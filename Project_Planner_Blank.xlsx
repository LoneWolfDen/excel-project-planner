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CriticalSlackDays" vbProcedure="false">Settings!$C$30</definedName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Gantt!$V$5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Settings!$C$32</definedName>
    <definedName function="false" hidden="false" name="ProjectFinish" vbProcedure="false">Settings!$C$31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Critical" vbProcedure="false">Tasks[Critical]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FreeSlack" vbProcedure="false">Tasks[Free Slack]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ateFinish" vbProcedure="false">Tasks[Late Finish]</definedName>
    <definedName function="false" hidden="false" name="tsk_LateStart" vbProcedure="false">Tasks[Late Start]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TotalSlack" vbProcedure="false">Tasks[Total Slack]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Latest start that doesn't delay the project finish or a deadline (critical path backward pass).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Latest finish that doesn't delay the project finish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Total slack: working days this task can slip before it delays the project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Free slack: working days it can slip before it delays any successor.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Yes when Total Slack &lt;= CriticalSlackDays (Settings) and the task isn't complete.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I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L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M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Y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Z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A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<sst xmlns="http://schemas.openxmlformats.org/spreadsheetml/2006/main" count="413" uniqueCount="353">
  <si>
    <t xml:space="preserve">Project Planner - MS Project-compatible Excel template</t>
  </si>
  <si>
    <t xml:space="preserve">REQUIREMENTS</t>
  </si>
  <si>
    <t xml:space="preserve">Excel version</t>
  </si>
  <si>
    <t xml:space="preserve">Excel 2019 or Microsoft 365 (Windows or Mac), or Excel for the web. No macros needed.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</si>
  <si>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</si>
  <si>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</si>
  <si>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</si>
  <si>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</si>
  <si>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</si>
  <si>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</si>
  <si>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</si>
  <si>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</si>
  <si>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</si>
  <si>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</si>
  <si>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</si>
  <si>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Critical path</t>
  </si>
  <si>
    <t xml:space="preserve">Late Start / Late Finish come from a backward pass from the forecast project finish (and any deadline). Total Slack = how far a task can slip before it delays the project or a deadline; Free Slack = before it delays a successor. Critical = slack &lt;= Settings &gt; CriticalSlackDays on an unfinished task. A missed deadline gives negative slack to the task and the chain feeding it.</t>
  </si>
  <si>
    <t xml:space="preserve">6. Gantt</t>
  </si>
  <si>
    <t xml:space="preserve">Read-only view: dark outline = planned dates, green = done, blue = remaining on track, red = remaining on the critical path,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</si>
  <si>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</si>
  <si>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</si>
  <si>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</si>
  <si>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</si>
  <si>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</si>
  <si>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</si>
  <si>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</si>
  <si>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</si>
  <si>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</si>
  <si>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</si>
  <si>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</si>
  <si>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</si>
  <si>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</si>
  <si>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</si>
  <si>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</si>
  <si>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</si>
  <si>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</si>
  <si>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</si>
  <si>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</si>
  <si>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</si>
  <si>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</si>
  <si>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</si>
  <si>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</si>
  <si>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</si>
  <si>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</si>
  <si>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</si>
  <si>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</si>
  <si>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</si>
  <si>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</si>
  <si>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</si>
  <si>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</si>
  <si>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</si>
  <si>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</si>
  <si>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</si>
  <si>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</si>
  <si>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</si>
  <si>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</si>
  <si>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</si>
  <si>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</si>
  <si>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</si>
  <si>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</si>
  <si>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</si>
  <si>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</si>
  <si>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</si>
  <si>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</si>
  <si>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</si>
  <si>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</si>
  <si>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</si>
  <si>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</si>
  <si>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</si>
  <si>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</si>
  <si>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</si>
  <si>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</si>
  <si>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</si>
  <si>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</si>
  <si>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</si>
  <si>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</si>
  <si>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</si>
  <si>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</si>
  <si>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</si>
  <si>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</si>
  <si>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</si>
  <si>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</si>
  <si>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</si>
  <si>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</si>
  <si>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</si>
  <si>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</si>
  <si>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</si>
  <si>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</si>
  <si>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</si>
  <si>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</si>
  <si>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Open critical tasks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</si>
  <si>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</si>
  <si>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</si>
  <si>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</si>
  <si>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</si>
  <si>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</si>
  <si>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</si>
  <si>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</si>
  <si>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</si>
  <si>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</si>
  <si>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</si>
  <si>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</si>
  <si>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</si>
  <si>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</si>
  <si>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</si>
  <si>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</si>
  <si>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</si>
  <si>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</si>
  <si>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</si>
  <si>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</si>
  <si>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</si>
  <si>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</si>
  <si>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</si>
  <si>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</si>
  <si>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</si>
  <si>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</si>
  <si>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</si>
  <si>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</si>
  <si>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</si>
  <si>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</si>
  <si>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</si>
  <si>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</si>
  <si>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</si>
  <si>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</si>
  <si>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</si>
  <si>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</si>
  <si>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</si>
  <si>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</si>
  <si>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</si>
  <si>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</si>
  <si>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</si>
  <si>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</si>
  <si>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</si>
  <si>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</si>
  <si>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</si>
  <si>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</si>
  <si>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</si>
  <si>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</si>
  <si>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</si>
  <si>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</si>
  <si>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</si>
  <si>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</si>
  <si>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</si>
  <si>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</si>
  <si>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</si>
  <si>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</si>
  <si>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</si>
  <si>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</si>
  <si>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</si>
  <si>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</si>
  <si>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</si>
  <si>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</si>
  <si>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</si>
  <si>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</si>
  <si>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</si>
  <si>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</si>
  <si>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</si>
  <si>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</si>
  <si>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</si>
  <si>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</si>
  <si>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</si>
  <si>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</si>
  <si>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</si>
  <si>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</si>
  <si>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</si>
  <si>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</si>
  <si>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</si>
  <si>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</si>
  <si>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</si>
  <si>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</si>
  <si>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Critical when total slack is at most (days)</t>
  </si>
  <si>
    <t xml:space="preserve">CriticalSlackDays</t>
  </si>
  <si>
    <t xml:space="preserve">0 = only tasks with no slack (or negative slack from a missed deadline) are critical, like MS Project.</t>
  </si>
  <si>
    <t xml:space="preserve">Forecast project finish (calculated)</t>
  </si>
  <si>
    <t xml:space="preserve">ProjectFinish</t>
  </si>
  <si>
    <t xml:space="preserve">The critical path's backward pass starts here.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</si>
  <si>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</si>
  <si>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</si>
  <si>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</si>
  <si>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</si>
  <si>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</si>
  <si>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</si>
  <si>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</si>
  <si>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VARIANCE</t>
  </si>
  <si>
    <t xml:space="preserve">CRITICAL PATH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</si>
  <si>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</si>
  <si>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</si>
  <si>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</si>
  <si>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</si>
  <si>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</si>
  <si>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</si>
  <si>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</si>
  <si>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</si>
  <si>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</si>
  <si>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</si>
  <si>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</si>
  <si>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</si>
  <si>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</si>
  <si>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</si>
  <si>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</si>
  <si>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</si>
  <si>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</si>
  <si>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</si>
  <si>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</si>
  <si>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</si>
  <si>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</si>
  <si>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</si>
  <si>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</si>
  <si>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</si>
  <si>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</si>
  <si>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</si>
  <si>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</si>
  <si>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</si>
  <si>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Late Finish</t>
  </si>
  <si>
    <t xml:space="preserve">Total Slack</t>
  </si>
  <si>
    <t xml:space="preserve">Free Slack</t>
  </si>
  <si>
    <t xml:space="preserve">Critical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</si>
  <si>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</si>
  <si>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</si>
  <si>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</si>
  <si>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</si>
  <si>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</si>
  <si>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</si>
  <si>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</si>
  <si>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</si>
  <si>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</si>
  <si>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</si>
  <si>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</si>
  <si>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</si>
  <si>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</si>
  <si>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</si>
  <si>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</si>
  <si>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</si>
  <si>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</si>
  <si>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</si>
  <si>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</si>
  <si>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</si>
  <si>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</si>
  <si>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</si>
  <si>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</si>
  <si>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</si>
  <si>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</si>
  <si>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</si>
  <si>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</si>
  <si>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</si>
  <si>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</si>
  <si>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</si>
  <si>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</si>
  <si>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</si>
  <si>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</si>
  <si>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</si>
  <si>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</si>
  <si>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</si>
  <si>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</si>
  <si>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</si>
  <si>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_Pred1FinishKey</t>
  </si>
  <si>
    <t xml:space="preserve">_Pred2FinishKey</t>
  </si>
  <si>
    <t xml:space="preserve">_Pred1SlackKey</t>
  </si>
  <si>
    <t xml:space="preserve">_Pred2SlackKey</t>
  </si>
  <si>
    <t xml:space="preserve">_LastSuccessorRow</t>
  </si>
  <si>
    <t xml:space="preserve">_SuccessorFinishLimit</t>
  </si>
  <si>
    <t xml:space="preserve">_LeafLateFinish</t>
  </si>
  <si>
    <t xml:space="preserve">_LeafLateStart</t>
  </si>
  <si>
    <t xml:space="preserve">_LeafTotalSlack</t>
  </si>
  <si>
    <t xml:space="preserve">_LeafCritical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</si>
  <si>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</si>
  <si>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</si>
  <si>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</si>
  <si>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</si>
  <si>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</si>
  <si>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</si>
  <si>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</si>
  <si>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</si>
  <si>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</si>
  <si>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</si>
  <si>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</si>
  <si>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</si>
  <si>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</si>
  <si>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</si>
  <si>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</si>
  <si>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</si>
  <si>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</si>
  <si>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</si>
  <si>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</si>
  <si>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</si>
  <si>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</si>
  <si>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</si>
  <si>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</si>
  <si>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</si>
  <si>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Remaining - critical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</si>
  <si>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</si>
  <si>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</si>
  <si>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</si>
  <si>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</si>
  <si>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</si>
  <si>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</si>
  <si>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</si>
  <si>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</si>
  <si>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</si>
  <si>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</si>
  <si>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</si>
  <si>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</si>
  <si>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</si>
  <si>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</si>
  <si>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_Critical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</si>
  <si>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</si>
  <si>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</si>
  <si>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</si>
  <si>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</si>
  <si>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</si>
  <si>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</si>
  <si>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</si>
  <si>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</si>
  <si>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</si>
  <si>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</si>
  <si>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</si>
  <si>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</si>
  <si>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</si>
  <si>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</si>
  <si>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</si>
  <si>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</si>
  <si>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</si>
  <si>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</si>
  <si>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</si>
  <si>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</si>
  <si>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</si>
  <si>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</si>
  <si>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</si>
  <si>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</si>
  <si>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</si>
  <si>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</si>
  <si>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</si>
  <si>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</si>
  <si>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</si>
  <si>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</si>
  <si>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</si>
  <si>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</si>
  <si>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</si>
  <si>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</si>
  <si>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</si>
  <si>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</si>
  <si>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</si>
  <si>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</si>
  <si>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</si>
  <si>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</si>
  <si>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FS</t>
  </si>
  <si>
    <t xml:space="preserve">Auto</t>
  </si>
  <si>
    <t xml:space="preserve">SS</t>
  </si>
  <si>
    <t xml:space="preserve">Manual</t>
  </si>
  <si>
    <t xml:space="preserve">Material</t>
  </si>
  <si>
    <t xml:space="preserve">FF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</si>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</sst>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#,##0.0"/>
    <numFmt numFmtId="174" formatCode="General"/>
    <numFmt numFmtId="175" formatCode="d"/>
    <numFmt numFmtId="176" formatCode="dd\-mmm\-yy"/>
    <numFmt numFmtId="177" formatCode="dd\-mmm;;\-"/>
    <numFmt numFmtId="178" formatCode="dd\-mmm"/>
    <numFmt numFmtId="179" formatCode="#,##0;;\-"/>
    <numFmt numFmtId="180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E06666"/>
        <bgColor rgb="FFC0504D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1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260649"/>
        <c:axId val="14343588"/>
      </c:barChart>
      <c:catAx>
        <c:axId val="72606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43588"/>
        <c:crosses val="autoZero"/>
        <c:auto val="1"/>
        <c:lblAlgn val="ctr"/>
        <c:lblOffset val="100"/>
        <c:noMultiLvlLbl val="0"/>
      </c:catAx>
      <c:valAx>
        <c:axId val="14343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606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3434779"/>
        <c:axId val="14417105"/>
      </c:barChart>
      <c:catAx>
        <c:axId val="83434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17105"/>
        <c:crosses val="autoZero"/>
        <c:auto val="1"/>
        <c:lblAlgn val="ctr"/>
        <c:lblOffset val="100"/>
        <c:noMultiLvlLbl val="0"/>
      </c:catAx>
      <c:valAx>
        <c:axId val="144171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4347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101160</xdr:rowOff>
    </xdr:from>
    <xdr:to>
      <xdr:col>8</xdr:col>
      <xdr:colOff>70920</xdr:colOff>
      <xdr:row>43</xdr:row>
      <xdr:rowOff>123120</xdr:rowOff>
    </xdr:to>
    <xdr:graphicFrame>
      <xdr:nvGraphicFramePr>
        <xdr:cNvPr id="1" name="Chart 2"/>
        <xdr:cNvGraphicFramePr/>
      </xdr:nvGraphicFramePr>
      <xdr:xfrm>
        <a:off x="211320" y="552456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U205" headerRowCount="1">
  <tableColumns count="21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  <tableColumn id="21" name="_Critical">
      <calculatedColumnFormula>IF(IFERROR(INDEX(tsk_Name,GanttView[[#This Row],[_Row]])="",TRUE()),FALSE(),INDEX(tsk_Critical,GanttView[[#This Row],[_Row]])="Yes")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9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1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2:C27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CU205" headerRowCount="1">
  <autoFilter ref="A5:CU205"/>
  <tableColumns count="99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Late Start">
      <calculatedColumnFormula>IF(Tasks[[#This Row],[Task Name]]="","",IF(Tasks[[#This Row],[_IsSummary]],MIN(INDEX(Tasks[_LeafLateStart],Tasks[[#This Row],[_Row]]+1):INDEX(Tasks[_LeafLateStart],Tasks[[#This Row],[_Row]]+Tasks[[#This Row],[_Descendants]])),Tasks[[#This Row],[_LeafLateStart]]))</calculatedColumnFormula>
    </tableColumn>
    <tableColumn id="25" name="Late Finish">
      <calculatedColumnFormula>IF(Tasks[[#This Row],[Task Name]]="","",IF(Tasks[[#This Row],[_IsSummary]],MAX(INDEX(Tasks[_LeafLateFinish],Tasks[[#This Row],[_Row]]+1):INDEX(Tasks[_LeafLateFinish],Tasks[[#This Row],[_Row]]+Tasks[[#This Row],[_Descendants]])),Tasks[[#This Row],[_LeafLateFinish]]))</calculatedColumnFormula>
    </tableColumn>
    <tableColumn id="26" name="Total Slack">
      <calculatedColumnFormula>IF(Tasks[[#This Row],[Task Name]]="","",IF(Tasks[[#This Row],[_IsSummary]],MIN(INDEX(Tasks[_LeafTotalSlack],Tasks[[#This Row],[_Row]]+1):INDEX(Tasks[_LeafTotalSlack],Tasks[[#This Row],[_Row]]+Tasks[[#This Row],[_Descendants]])),Tasks[[#This Row],[_LeafTotalSlack]]))</calculatedColumnFormula>
    </tableColumn>
    <tableColumn id="27" name="Free Slack">
      <calculatedColumnFormula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calculatedColumnFormula>
    </tableColumn>
    <tableColumn id="28" name="Critical">
      <calculatedColumnFormula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calculatedColumnFormula>
    </tableColumn>
    <tableColumn id="29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30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31" name="% Complete"/>
    <tableColumn id="32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33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34" name="Resource"/>
    <tableColumn id="35" name="Units"/>
    <tableColumn id="36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7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8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9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40" name="Notes"/>
    <tableColumn id="41" name="BL Source Start">
      <calculatedColumnFormula>IF(Tasks[[#This Row],[Task Name]]="","",Tasks[[#This Row],[Forecast Start]])</calculatedColumnFormula>
    </tableColumn>
    <tableColumn id="42" name="BL Source Finish">
      <calculatedColumnFormula>IF(Tasks[[#This Row],[Task Name]]="","",Tasks[[#This Row],[Forecast Finish]])</calculatedColumnFormula>
    </tableColumn>
    <tableColumn id="43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44" name="BL Source Work">
      <calculatedColumnFormula>IF(Tasks[[#This Row],[Task Name]]="","",Tasks[[#This Row],[Work]])</calculatedColumnFormula>
    </tableColumn>
    <tableColumn id="45" name="BL Source Cost">
      <calculatedColumnFormula>IF(Tasks[[#This Row],[Task Name]]="","",Tasks[[#This Row],[Cost]])</calculatedColumnFormula>
    </tableColumn>
    <tableColumn id="46" name="Baseline Start"/>
    <tableColumn id="47" name="Baseline Finish"/>
    <tableColumn id="48" name="Baseline Duration"/>
    <tableColumn id="49" name="Baseline Work"/>
    <tableColumn id="50" name="Baseline Cost"/>
    <tableColumn id="51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52" name="Work Var">
      <calculatedColumnFormula>IF(OR(Tasks[[#This Row],[Task Name]]="",Tasks[[#This Row],[Baseline Work]]=""),"",Tasks[[#This Row],[Work]]-N(Tasks[[#This Row],[Baseline Work]]))</calculatedColumnFormula>
    </tableColumn>
    <tableColumn id="53" name="Cost Var">
      <calculatedColumnFormula>IF(OR(Tasks[[#This Row],[Task Name]]="",Tasks[[#This Row],[Baseline Cost]]=""),"",Tasks[[#This Row],[Cost]]-N(Tasks[[#This Row],[Baseline Cost]]))</calculatedColumnFormula>
    </tableColumn>
    <tableColumn id="54" name="_Level">
      <calculatedColumnFormula>IF(Tasks[[#This Row],[Task Name]]="","",MAX(1,N(Tasks[[#This Row],[Level]])))</calculatedColumnFormula>
    </tableColumn>
    <tableColumn id="55" name="_Row">
      <calculatedColumnFormula>ROW()-ROW(Tasks[[#Headers],[ID]])</calculatedColumnFormula>
    </tableColumn>
    <tableColumn id="56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7" name="_NextLevel">
      <calculatedColumnFormula>IFERROR(N(INDEX(Tasks[_Level],Tasks[[#This Row],[_Row]]+1)),0)</calculatedColumnFormula>
    </tableColumn>
    <tableColumn id="58" name="_IsSummary">
      <calculatedColumnFormula>AND(Tasks[[#This Row],[Task Name]]&lt;&gt;"",Tasks[[#This Row],[_NextLevel]]&gt;Tasks[[#This Row],[_Level]])</calculatedColumnFormula>
    </tableColumn>
    <tableColumn id="59" name="_Descendants">
      <calculatedColumnFormula>IF(Tasks[[#This Row],[_IsSummary]],COUNTIF(Tasks[WBS],Tasks[[#This Row],[WBS]]&amp;".*"),0)</calculatedColumnFormula>
    </tableColumn>
    <tableColumn id="60" name="_IsLeaf">
      <calculatedColumnFormula>IF(AND(Tasks[[#This Row],[Task Name]]&lt;&gt;"",NOT(Tasks[[#This Row],[_IsSummary]])),1,0)</calculatedColumnFormula>
    </tableColumn>
    <tableColumn id="61" name="_Pred1Pos">
      <calculatedColumnFormula>IF(N(Tasks[[#This Row],[Pred1 UID]])=0,0,IFERROR(MATCH(Tasks[[#This Row],[Pred1 UID]],Tasks[UID],0),-1))</calculatedColumnFormula>
    </tableColumn>
    <tableColumn id="62" name="_Pred2Pos">
      <calculatedColumnFormula>IF(N(Tasks[[#This Row],[Pred2 UID]])=0,0,IFERROR(MATCH(Tasks[[#This Row],[Pred2 UID]],Tasks[UID],0),-1))</calculatedColumnFormula>
    </tableColumn>
    <tableColumn id="63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64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65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66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67" name="_LeafProgress">
      <calculatedColumnFormula>IF(NOT(Tasks[[#This Row],[_IsLeaf]]=1),0,IF(N(Tasks[[#This Row],[Actual Finish]])&gt;0,1,MIN(1,N(Tasks[[#This Row],[% Complete]]))))</calculatedColumnFormula>
    </tableColumn>
    <tableColumn id="68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69" name="_LeafCost">
      <calculatedColumnFormula>IF(Tasks[[#This Row],[_LeafWork]]=0,0,Tasks[[#This Row],[_LeafWork]]*IFERROR(INDEX(res_Rate,MATCH(Tasks[[#This Row],[Resource]],res_Name,0)),0))</calculatedColumnFormula>
    </tableColumn>
    <tableColumn id="70" name="_Pred1FinishKey">
      <calculatedColumnFormula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calculatedColumnFormula>
    </tableColumn>
    <tableColumn id="71" name="_Pred2FinishKey">
      <calculatedColumnFormula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calculatedColumnFormula>
    </tableColumn>
    <tableColumn id="72" name="_Pred1SlackKey">
      <calculatedColumnFormula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calculatedColumnFormula>
    </tableColumn>
    <tableColumn id="73" name="_Pred2SlackKey">
      <calculatedColumnFormula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calculatedColumnFormula>
    </tableColumn>
    <tableColumn id="74" name="_LastSuccessorRow">
      <calculatedColumnFormula>IF(NOT(Tasks[[#This Row],[_IsLeaf]]=1),0,MAX(_xlfn.MAXIFS(Tasks[_Row],Tasks[Pred1 UID],Tasks[[#This Row],[UID]]),_xlfn.MAXIFS(Tasks[_Row],Tasks[Pred2 UID],Tasks[[#This Row],[UID]])))</calculatedColumnFormula>
    </tableColumn>
    <tableColumn id="75" name="_SuccessorFinishLimit">
      <calculatedColumnFormula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calculatedColumnFormula>
    </tableColumn>
    <tableColumn id="76" name="_LeafLateFinish">
      <calculatedColumnFormula>IF(NOT(Tasks[[#This Row],[_IsLeaf]]=1),"",MIN(ProjectFinish,IF(N(Tasks[[#This Row],[Deadline]])&gt;0,Tasks[[#This Row],[Deadline]],2958465),Tasks[[#This Row],[_SuccessorFinishLimit]]))</calculatedColumnFormula>
    </tableColumn>
    <tableColumn id="77" name="_LeafLateStart">
      <calculatedColumnFormula>IF(NOT(Tasks[[#This Row],[_IsLeaf]]=1),"",IF(N(Tasks[[#This Row],[Duration]])&lt;=0,Tasks[[#This Row],[_LeafLateFinish]],WORKDAY.INTL(Tasks[[#This Row],[_LeafLateFinish]],-(Tasks[[#This Row],[Duration]]-1),WorkWeek,Holidays)))</calculatedColumnFormula>
    </tableColumn>
    <tableColumn id="78" name="_LeafTotalSlack">
      <calculatedColumnFormula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calculatedColumnFormula>
    </tableColumn>
    <tableColumn id="79" name="_LeafCritical">
      <calculatedColumnFormula>AND(Tasks[[#This Row],[_IsLeaf]]=1,Tasks[[#This Row],[_LeafProgress]]&lt;1,N(Tasks[[#This Row],[_LeafTotalSlack]])&lt;=CriticalSlackDays)</calculatedColumnFormula>
    </tableColumn>
    <tableColumn id="80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81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82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83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84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85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86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87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88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89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90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91" name="_WorkBeforeStart">
      <calculatedColumnFormula>Tasks[[#This Row],[_WorkPerWorkday]]*(Tasks[[#This Row],[_StartWorkday]]-1)</calculatedColumnFormula>
    </tableColumn>
    <tableColumn id="92" name="_WeightDur">
      <calculatedColumnFormula>IF(Tasks[[#This Row],[_IsLeaf]]=1,MAX(N(Tasks[[#This Row],[Duration]]),0.1),0)</calculatedColumnFormula>
    </tableColumn>
    <tableColumn id="93" name="_WeightDone">
      <calculatedColumnFormula>Tasks[[#This Row],[_WeightDur]]*Tasks[[#This Row],[_LeafProgress]]</calculatedColumnFormula>
    </tableColumn>
    <tableColumn id="94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95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96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97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98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99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7" customFormat="false" ht="15" hidden="false" customHeight="false" outlineLevel="0" collapsed="false">
      <c r="B7" s="2" t="s">
        <v>4</v>
      </c>
      <c r="C7" s="3"/>
    </row>
    <row r="8" customFormat="false" ht="23.8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B9" s="4" t="s">
        <v>7</v>
      </c>
      <c r="C9" s="5" t="s">
        <v>8</v>
      </c>
    </row>
    <row r="10" customFormat="false" ht="46.25" hidden="false" customHeight="false" outlineLevel="0" collapsed="false">
      <c r="B10" s="4" t="s">
        <v>9</v>
      </c>
      <c r="C10" s="5" t="s">
        <v>10</v>
      </c>
    </row>
    <row r="11" customFormat="false" ht="35.05" hidden="false" customHeight="false" outlineLevel="0" collapsed="false">
      <c r="B11" s="4" t="s">
        <v>11</v>
      </c>
      <c r="C11" s="5" t="s">
        <v>12</v>
      </c>
    </row>
    <row r="12" customFormat="false" ht="23.85" hidden="false" customHeight="false" outlineLevel="0" collapsed="false">
      <c r="B12" s="4" t="s">
        <v>13</v>
      </c>
      <c r="C12" s="5" t="s">
        <v>14</v>
      </c>
    </row>
    <row r="13" customFormat="false" ht="35.05" hidden="false" customHeight="false" outlineLevel="0" collapsed="false">
      <c r="B13" s="4" t="s">
        <v>15</v>
      </c>
      <c r="C13" s="5" t="s">
        <v>16</v>
      </c>
    </row>
    <row r="14" customFormat="false" ht="35.05" hidden="false" customHeight="false" outlineLevel="0" collapsed="false">
      <c r="B14" s="4" t="s">
        <v>17</v>
      </c>
      <c r="C14" s="5" t="s">
        <v>18</v>
      </c>
    </row>
    <row r="15" customFormat="false" ht="23.85" hidden="false" customHeight="fals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4" t="s">
        <v>21</v>
      </c>
      <c r="C16" s="5" t="s">
        <v>22</v>
      </c>
    </row>
    <row r="18" customFormat="false" ht="15" hidden="false" customHeight="false" outlineLevel="0" collapsed="false">
      <c r="B18" s="2" t="s">
        <v>23</v>
      </c>
      <c r="C18" s="3"/>
    </row>
    <row r="19" customFormat="false" ht="15" hidden="false" customHeight="false" outlineLevel="0" collapsed="false">
      <c r="B19" s="4" t="s">
        <v>24</v>
      </c>
      <c r="C19" s="6" t="s">
        <v>25</v>
      </c>
    </row>
    <row r="20" customFormat="false" ht="15" hidden="false" customHeight="false" outlineLevel="0" collapsed="false">
      <c r="B20" s="4" t="s">
        <v>26</v>
      </c>
      <c r="C20" s="7" t="s">
        <v>27</v>
      </c>
    </row>
    <row r="21" customFormat="false" ht="15" hidden="false" customHeight="false" outlineLevel="0" collapsed="false">
      <c r="B21" s="4" t="s">
        <v>28</v>
      </c>
      <c r="C21" s="5" t="s">
        <v>29</v>
      </c>
    </row>
    <row r="23" customFormat="false" ht="15" hidden="false" customHeight="false" outlineLevel="0" collapsed="false">
      <c r="B23" s="2" t="s">
        <v>30</v>
      </c>
      <c r="C23" s="3"/>
    </row>
    <row r="24" customFormat="false" ht="23.85" hidden="false" customHeight="false" outlineLevel="0" collapsed="false">
      <c r="B24" s="4" t="s">
        <v>31</v>
      </c>
      <c r="C24" s="5" t="s">
        <v>32</v>
      </c>
    </row>
    <row r="25" customFormat="false" ht="23.85" hidden="false" customHeight="false" outlineLevel="0" collapsed="false">
      <c r="B25" s="4" t="s">
        <v>33</v>
      </c>
      <c r="C25" s="5" t="s">
        <v>34</v>
      </c>
    </row>
    <row r="26" customFormat="false" ht="15" hidden="false" customHeight="false" outlineLevel="0" collapsed="false">
      <c r="B26" s="4" t="s">
        <v>35</v>
      </c>
      <c r="C26" s="5" t="s">
        <v>36</v>
      </c>
    </row>
    <row r="27" customFormat="false" ht="46.25" hidden="false" customHeight="false" outlineLevel="0" collapsed="false">
      <c r="B27" s="4" t="s">
        <v>37</v>
      </c>
      <c r="C27" s="5" t="s">
        <v>38</v>
      </c>
    </row>
    <row r="28" customFormat="false" ht="15" hidden="false" customHeight="false" outlineLevel="0" collapsed="false">
      <c r="B28" s="4" t="s">
        <v>39</v>
      </c>
      <c r="C28" s="5" t="s">
        <v>40</v>
      </c>
    </row>
    <row r="29" customFormat="false" ht="23.85" hidden="false" customHeight="false" outlineLevel="0" collapsed="false">
      <c r="B29" s="4" t="s">
        <v>41</v>
      </c>
      <c r="C29" s="5" t="s">
        <v>42</v>
      </c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35.05" hidden="false" customHeight="false" outlineLevel="0" collapsed="false">
      <c r="B31" s="4" t="s">
        <v>45</v>
      </c>
      <c r="C31" s="5" t="s">
        <v>46</v>
      </c>
    </row>
    <row r="33" customFormat="false" ht="15" hidden="false" customHeight="false" outlineLevel="0" collapsed="false">
      <c r="B33" s="2" t="s">
        <v>47</v>
      </c>
      <c r="C33" s="3"/>
    </row>
    <row r="34" customFormat="false" ht="23.85" hidden="false" customHeight="false" outlineLevel="0" collapsed="false">
      <c r="B34" s="4" t="s">
        <v>48</v>
      </c>
      <c r="C34" s="5" t="s">
        <v>49</v>
      </c>
    </row>
    <row r="35" customFormat="false" ht="46.25" hidden="false" customHeight="false" outlineLevel="0" collapsed="false">
      <c r="B35" s="4" t="s">
        <v>50</v>
      </c>
      <c r="C35" s="5" t="s">
        <v>51</v>
      </c>
    </row>
    <row r="36" customFormat="false" ht="35.05" hidden="false" customHeight="false" outlineLevel="0" collapsed="false">
      <c r="B36" s="4" t="s">
        <v>52</v>
      </c>
      <c r="C36" s="5" t="s">
        <v>53</v>
      </c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40" customFormat="false" ht="15" hidden="false" customHeight="false" outlineLevel="0" collapsed="false">
      <c r="B40" s="2" t="s">
        <v>58</v>
      </c>
      <c r="C40" s="3"/>
    </row>
    <row r="41" customFormat="false" ht="23.85" hidden="false" customHeight="false" outlineLevel="0" collapsed="false">
      <c r="B41" s="4" t="s">
        <v>59</v>
      </c>
      <c r="C41" s="5" t="s">
        <v>60</v>
      </c>
    </row>
    <row r="42" customFormat="false" ht="23.85" hidden="false" customHeight="false" outlineLevel="0" collapsed="false">
      <c r="B42" s="4" t="s">
        <v>61</v>
      </c>
      <c r="C42" s="5" t="s">
        <v>62</v>
      </c>
    </row>
    <row r="43" customFormat="false" ht="23.85" hidden="false" customHeight="false" outlineLevel="0" collapsed="false">
      <c r="B43" s="4" t="s">
        <v>63</v>
      </c>
      <c r="C43" s="5" t="s">
        <v>64</v>
      </c>
    </row>
    <row r="44" customFormat="false" ht="15" hidden="false" customHeight="false" outlineLevel="0" collapsed="false">
      <c r="B44" s="4" t="s">
        <v>65</v>
      </c>
      <c r="C44" s="5" t="s">
        <v>66</v>
      </c>
    </row>
    <row r="45" customFormat="false" ht="46.25" hidden="false" customHeight="false" outlineLevel="0" collapsed="false">
      <c r="B45" s="4" t="s">
        <v>67</v>
      </c>
      <c r="C45" s="5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Sun 31-Dec-1899</v>
      </c>
    </row>
    <row r="4" customFormat="false" ht="15" hidden="false" customHeight="false" outlineLevel="0" collapsed="false">
      <c r="B4" s="9" t="s">
        <v>69</v>
      </c>
      <c r="C4" s="9" t="s">
        <v>70</v>
      </c>
      <c r="E4" s="9" t="s">
        <v>71</v>
      </c>
      <c r="F4" s="9" t="s">
        <v>72</v>
      </c>
    </row>
    <row r="5" customFormat="false" ht="15" hidden="false" customHeight="false" outlineLevel="0" collapsed="false">
      <c r="B5" s="10" t="s">
        <v>73</v>
      </c>
      <c r="C5" s="11" t="n">
        <f aca="false">MIN(tsk_PlanStart)</f>
        <v>0</v>
      </c>
      <c r="E5" s="12" t="s">
        <v>74</v>
      </c>
      <c r="F5" s="10" t="n">
        <f aca="false">COUNTIFS(tsk_Status,StatusSummary[[#This Row],[Status]],tsk_IsLeaf,1)</f>
        <v>0</v>
      </c>
    </row>
    <row r="6" customFormat="false" ht="15" hidden="false" customHeight="false" outlineLevel="0" collapsed="false">
      <c r="B6" s="10" t="s">
        <v>75</v>
      </c>
      <c r="C6" s="11" t="n">
        <f aca="false">MAX(tsk_PlanFinish)</f>
        <v>0</v>
      </c>
      <c r="E6" s="13" t="s">
        <v>76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77</v>
      </c>
      <c r="C7" s="11" t="n">
        <f aca="false">MAX(tsk_FcFinish)</f>
        <v>0</v>
      </c>
      <c r="E7" s="14" t="s">
        <v>78</v>
      </c>
      <c r="F7" s="10" t="n">
        <f aca="false">COUNTIFS(tsk_Status,StatusSummary[[#This Row],[Status]],tsk_IsLeaf,1)</f>
        <v>0</v>
      </c>
    </row>
    <row r="8" customFormat="false" ht="15" hidden="false" customHeight="false" outlineLevel="0" collapsed="false">
      <c r="B8" s="10" t="s">
        <v>79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-1</v>
      </c>
      <c r="E8" s="16" t="s">
        <v>80</v>
      </c>
      <c r="F8" s="10" t="n">
        <f aca="false">COUNTIFS(tsk_Status,StatusSummary[[#This Row],[Status]],tsk_IsLeaf,1)</f>
        <v>0</v>
      </c>
    </row>
    <row r="9" customFormat="false" ht="15" hidden="false" customHeight="false" outlineLevel="0" collapsed="false">
      <c r="B9" s="10" t="s">
        <v>81</v>
      </c>
      <c r="C9" s="17" t="n">
        <f aca="false">IFERROR(SUM(tsk_WtDone)/SUM(tsk_WtDur),0)</f>
        <v>0</v>
      </c>
      <c r="E9" s="18" t="s">
        <v>82</v>
      </c>
      <c r="F9" s="10" t="n">
        <f aca="false">COUNTIFS(tsk_Status,StatusSummary[[#This Row],[Status]],tsk_IsLeaf,1)</f>
        <v>0</v>
      </c>
    </row>
    <row r="10" customFormat="false" ht="15" hidden="false" customHeight="false" outlineLevel="0" collapsed="false">
      <c r="B10" s="10" t="s">
        <v>83</v>
      </c>
      <c r="C10" s="17" t="n">
        <f aca="false">IFERROR(SUMPRODUCT(tsk_WtDur*(tsk_PlanFinish&lt;StatusDate))/SUM(tsk_WtDur),0)</f>
        <v>0</v>
      </c>
    </row>
    <row r="11" customFormat="false" ht="15" hidden="false" customHeight="false" outlineLevel="0" collapsed="false">
      <c r="B11" s="10" t="s">
        <v>84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85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86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87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88</v>
      </c>
      <c r="C15" s="22" t="str">
        <f aca="false">IF(OR(StatusDate&lt;Sprint1Start,StatusDate&gt;SprintLastEnd),"(outside sprint range)",INDEX(spr_Name,MATCH(StatusDate,spr_Start,1)))</f>
        <v>Sprint 1</v>
      </c>
    </row>
    <row r="16" customFormat="false" ht="15" hidden="false" customHeight="false" outlineLevel="0" collapsed="false">
      <c r="B16" s="10" t="s">
        <v>89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90</v>
      </c>
      <c r="C17" s="19" t="n">
        <f aca="false">COUNTIFS(tsk_Critical,"Yes",tsk_IsLeaf,1)</f>
        <v>0</v>
      </c>
    </row>
    <row r="18" customFormat="false" ht="15" hidden="false" customHeight="false" outlineLevel="0" collapsed="false">
      <c r="B18" s="10" t="s">
        <v>91</v>
      </c>
      <c r="C18" s="19" t="n">
        <f aca="false">COUNTIF(tsk_DeadlineCheck,"Late*")</f>
        <v>0</v>
      </c>
    </row>
    <row r="19" customFormat="false" ht="15" hidden="false" customHeight="false" outlineLevel="0" collapsed="false">
      <c r="B19" s="10" t="s">
        <v>92</v>
      </c>
      <c r="C19" s="19" t="n">
        <f aca="false">COUNTIF(tsk_LinkCheck,"?*")</f>
        <v>0</v>
      </c>
    </row>
    <row r="22" customFormat="false" ht="15" hidden="false" customHeight="false" outlineLevel="0" collapsed="false">
      <c r="B22" s="9" t="s">
        <v>93</v>
      </c>
      <c r="C22" s="9" t="s">
        <v>94</v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/>
      </c>
      <c r="C23" s="24" t="str">
        <f aca="false">IFERROR(INDEX(tsk_FcFinish,MATCH(SMALL(tsk_MilestoneKey,(ROW()-ROW(NextMilestones[[#Headers],[Next milestones (forecast)]]))),tsk_MilestoneKey,0)),"")</f>
        <v/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/>
      </c>
      <c r="C24" s="24" t="str">
        <f aca="false">IFERROR(INDEX(tsk_FcFinish,MATCH(SMALL(tsk_MilestoneKey,(ROW()-ROW(NextMilestones[[#Headers],[Next milestones (forecast)]]))),tsk_MilestoneKey,0)),"")</f>
        <v/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/>
      </c>
      <c r="C25" s="24" t="str">
        <f aca="false">IFERROR(INDEX(tsk_FcFinish,MATCH(SMALL(tsk_MilestoneKey,(ROW()-ROW(NextMilestones[[#Headers],[Next milestones (forecast)]]))),tsk_MilestoneKey,0)),"")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  <row r="27" customFormat="false" ht="15" hidden="false" customHeight="false" outlineLevel="0" collapsed="false">
      <c r="B27" s="23" t="str">
        <f aca="false">IFERROR(INDEX(tsk_Name,MATCH(SMALL(tsk_MilestoneKey,(ROW()-ROW(NextMilestones[[#Headers],[Next milestones (forecast)]]))),tsk_MilestoneKey,0)),"")</f>
        <v/>
      </c>
      <c r="C27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9">
      <formula>C8&gt;0</formula>
    </cfRule>
    <cfRule type="expression" priority="3" aboveAverage="0" equalAverage="0" bottom="0" percent="0" rank="0" text="" dxfId="10">
      <formula>C8&lt;=0</formula>
    </cfRule>
  </conditionalFormatting>
  <conditionalFormatting sqref="C18">
    <cfRule type="expression" priority="4" aboveAverage="0" equalAverage="0" bottom="0" percent="0" rank="0" text="" dxfId="9">
      <formula>C18&gt;0</formula>
    </cfRule>
    <cfRule type="expression" priority="5" aboveAverage="0" equalAverage="0" bottom="0" percent="0" rank="0" text="" dxfId="10">
      <formula>C18&lt;=0</formula>
    </cfRule>
  </conditionalFormatting>
  <conditionalFormatting sqref="C19">
    <cfRule type="expression" priority="6" aboveAverage="0" equalAverage="0" bottom="0" percent="0" rank="0" text="" dxfId="9">
      <formula>C19&gt;0</formula>
    </cfRule>
    <cfRule type="expression" priority="7" aboveAverage="0" equalAverage="0" bottom="0" percent="0" rank="0" text="" dxfId="10">
      <formula>C19&lt;=0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95</v>
      </c>
    </row>
    <row r="2" customFormat="false" ht="15" hidden="false" customHeight="false" outlineLevel="0" collapsed="false">
      <c r="A2" s="8" t="s">
        <v>96</v>
      </c>
    </row>
    <row r="4" customFormat="false" ht="15" hidden="false" customHeight="false" outlineLevel="0" collapsed="false">
      <c r="B4" s="9" t="s">
        <v>97</v>
      </c>
      <c r="C4" s="9" t="s">
        <v>70</v>
      </c>
      <c r="D4" s="9" t="s">
        <v>98</v>
      </c>
      <c r="E4" s="9" t="s">
        <v>99</v>
      </c>
    </row>
    <row r="5" customFormat="false" ht="15" hidden="false" customHeight="false" outlineLevel="0" collapsed="false">
      <c r="B5" s="26" t="s">
        <v>100</v>
      </c>
      <c r="C5" s="27" t="s">
        <v>101</v>
      </c>
      <c r="D5" s="28" t="s">
        <v>102</v>
      </c>
      <c r="E5" s="8" t="s">
        <v>103</v>
      </c>
    </row>
    <row r="6" customFormat="false" ht="15" hidden="false" customHeight="false" outlineLevel="0" collapsed="false">
      <c r="B6" s="26" t="s">
        <v>104</v>
      </c>
      <c r="C6" s="27"/>
      <c r="D6" s="28" t="s">
        <v>105</v>
      </c>
      <c r="E6" s="8"/>
    </row>
    <row r="7" customFormat="false" ht="15" hidden="false" customHeight="false" outlineLevel="0" collapsed="false">
      <c r="B7" s="26" t="s">
        <v>106</v>
      </c>
      <c r="C7" s="29"/>
      <c r="D7" s="28" t="s">
        <v>107</v>
      </c>
      <c r="E7" s="8" t="s">
        <v>108</v>
      </c>
    </row>
    <row r="8" customFormat="false" ht="15" hidden="false" customHeight="false" outlineLevel="0" collapsed="false">
      <c r="B8" s="26" t="s">
        <v>109</v>
      </c>
      <c r="C8" s="24" t="n">
        <f aca="false">MAX(1,N(ProjectStartDate))</f>
        <v>1</v>
      </c>
      <c r="D8" s="28" t="s">
        <v>110</v>
      </c>
      <c r="E8" s="8" t="s">
        <v>111</v>
      </c>
    </row>
    <row r="9" customFormat="false" ht="15" hidden="false" customHeight="false" outlineLevel="0" collapsed="false">
      <c r="B9" s="26" t="s">
        <v>112</v>
      </c>
      <c r="C9" s="29"/>
      <c r="D9" s="28" t="s">
        <v>113</v>
      </c>
      <c r="E9" s="8" t="s">
        <v>114</v>
      </c>
    </row>
    <row r="10" customFormat="false" ht="15" hidden="false" customHeight="false" outlineLevel="0" collapsed="false">
      <c r="B10" s="26" t="s">
        <v>115</v>
      </c>
      <c r="C10" s="24" t="n">
        <f aca="false">IF(N(StatusDateInput)&gt;0,StatusDateInput,ProjectStart)</f>
        <v>1</v>
      </c>
      <c r="D10" s="28" t="s">
        <v>116</v>
      </c>
      <c r="E10" s="8" t="s">
        <v>117</v>
      </c>
    </row>
    <row r="11" customFormat="false" ht="15" hidden="false" customHeight="false" outlineLevel="0" collapsed="false">
      <c r="B11" s="26" t="s">
        <v>118</v>
      </c>
      <c r="C11" s="24" t="n">
        <f aca="false">WORKDAY.INTL(StatusDate-1,1,WorkWeek,Holidays)</f>
        <v>2</v>
      </c>
      <c r="D11" s="28" t="s">
        <v>119</v>
      </c>
      <c r="E11" s="8"/>
    </row>
    <row r="12" customFormat="false" ht="15" hidden="false" customHeight="false" outlineLevel="0" collapsed="false">
      <c r="B12" s="26" t="s">
        <v>120</v>
      </c>
      <c r="C12" s="27" t="s">
        <v>121</v>
      </c>
      <c r="D12" s="28" t="s">
        <v>122</v>
      </c>
      <c r="E12" s="8" t="s">
        <v>123</v>
      </c>
    </row>
    <row r="13" customFormat="false" ht="15" hidden="false" customHeight="false" outlineLevel="0" collapsed="false">
      <c r="B13" s="26" t="s">
        <v>124</v>
      </c>
      <c r="C13" s="30" t="n">
        <v>8</v>
      </c>
      <c r="D13" s="28" t="s">
        <v>125</v>
      </c>
      <c r="E13" s="8" t="s">
        <v>126</v>
      </c>
    </row>
    <row r="14" customFormat="false" ht="15" hidden="false" customHeight="false" outlineLevel="0" collapsed="false">
      <c r="B14" s="26" t="s">
        <v>127</v>
      </c>
      <c r="C14" s="31" t="n">
        <v>1</v>
      </c>
      <c r="D14" s="28" t="s">
        <v>128</v>
      </c>
      <c r="E14" s="8" t="s">
        <v>129</v>
      </c>
    </row>
    <row r="15" customFormat="false" ht="15" hidden="false" customHeight="false" outlineLevel="0" collapsed="false">
      <c r="B15" s="26" t="s">
        <v>130</v>
      </c>
      <c r="C15" s="27" t="s">
        <v>121</v>
      </c>
      <c r="D15" s="28" t="s">
        <v>131</v>
      </c>
      <c r="E15" s="8" t="s">
        <v>132</v>
      </c>
    </row>
    <row r="16" customFormat="false" ht="15" hidden="false" customHeight="false" outlineLevel="0" collapsed="false">
      <c r="B16" s="26" t="s">
        <v>133</v>
      </c>
      <c r="C16" s="27" t="s">
        <v>121</v>
      </c>
      <c r="D16" s="28" t="s">
        <v>134</v>
      </c>
      <c r="E16" s="8"/>
    </row>
    <row r="17" customFormat="false" ht="15" hidden="false" customHeight="false" outlineLevel="0" collapsed="false">
      <c r="B17" s="26" t="s">
        <v>135</v>
      </c>
      <c r="C17" s="27" t="s">
        <v>121</v>
      </c>
      <c r="D17" s="28" t="s">
        <v>136</v>
      </c>
      <c r="E17" s="8"/>
    </row>
    <row r="18" customFormat="false" ht="15" hidden="false" customHeight="false" outlineLevel="0" collapsed="false">
      <c r="B18" s="26" t="s">
        <v>137</v>
      </c>
      <c r="C18" s="27" t="s">
        <v>121</v>
      </c>
      <c r="D18" s="28" t="s">
        <v>138</v>
      </c>
      <c r="E18" s="8"/>
    </row>
    <row r="19" customFormat="false" ht="15" hidden="false" customHeight="false" outlineLevel="0" collapsed="false">
      <c r="B19" s="26" t="s">
        <v>139</v>
      </c>
      <c r="C19" s="27" t="s">
        <v>121</v>
      </c>
      <c r="D19" s="28" t="s">
        <v>140</v>
      </c>
      <c r="E19" s="8"/>
    </row>
    <row r="20" customFormat="false" ht="15" hidden="false" customHeight="false" outlineLevel="0" collapsed="false">
      <c r="B20" s="26" t="s">
        <v>141</v>
      </c>
      <c r="C20" s="27" t="s">
        <v>142</v>
      </c>
      <c r="D20" s="28" t="s">
        <v>143</v>
      </c>
      <c r="E20" s="8"/>
    </row>
    <row r="21" customFormat="false" ht="15" hidden="false" customHeight="false" outlineLevel="0" collapsed="false">
      <c r="B21" s="26" t="s">
        <v>144</v>
      </c>
      <c r="C21" s="27" t="s">
        <v>142</v>
      </c>
      <c r="D21" s="28" t="s">
        <v>145</v>
      </c>
      <c r="E21" s="8"/>
    </row>
    <row r="22" customFormat="false" ht="15" hidden="false" customHeight="false" outlineLevel="0" collapsed="false">
      <c r="B22" s="26" t="s">
        <v>146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147</v>
      </c>
      <c r="E22" s="8" t="s">
        <v>148</v>
      </c>
    </row>
    <row r="23" customFormat="false" ht="15" hidden="false" customHeight="false" outlineLevel="0" collapsed="false">
      <c r="B23" s="26" t="s">
        <v>149</v>
      </c>
      <c r="C23" s="29" t="n">
        <f aca="false">ProjectStart-WEEKDAY(ProjectStart,3)</f>
        <v>-5</v>
      </c>
      <c r="D23" s="28" t="s">
        <v>150</v>
      </c>
      <c r="E23" s="8" t="s">
        <v>151</v>
      </c>
    </row>
    <row r="24" customFormat="false" ht="15" hidden="false" customHeight="false" outlineLevel="0" collapsed="false">
      <c r="B24" s="26" t="s">
        <v>152</v>
      </c>
      <c r="C24" s="33" t="n">
        <v>1</v>
      </c>
      <c r="D24" s="28" t="s">
        <v>153</v>
      </c>
      <c r="E24" s="8" t="s">
        <v>154</v>
      </c>
    </row>
    <row r="25" customFormat="false" ht="15" hidden="false" customHeight="false" outlineLevel="0" collapsed="false">
      <c r="B25" s="26" t="s">
        <v>155</v>
      </c>
      <c r="C25" s="29" t="n">
        <f aca="false">ProjectStart</f>
        <v>1</v>
      </c>
      <c r="D25" s="28" t="s">
        <v>156</v>
      </c>
      <c r="E25" s="8" t="s">
        <v>157</v>
      </c>
    </row>
    <row r="26" customFormat="false" ht="15" hidden="false" customHeight="false" outlineLevel="0" collapsed="false">
      <c r="B26" s="26" t="s">
        <v>158</v>
      </c>
      <c r="C26" s="33" t="n">
        <v>14</v>
      </c>
      <c r="D26" s="28" t="s">
        <v>159</v>
      </c>
      <c r="E26" s="8" t="s">
        <v>160</v>
      </c>
    </row>
    <row r="27" customFormat="false" ht="15" hidden="false" customHeight="false" outlineLevel="0" collapsed="false">
      <c r="B27" s="26" t="s">
        <v>161</v>
      </c>
      <c r="C27" s="33" t="n">
        <v>12</v>
      </c>
      <c r="D27" s="28" t="s">
        <v>162</v>
      </c>
      <c r="E27" s="8" t="s">
        <v>163</v>
      </c>
    </row>
    <row r="28" customFormat="false" ht="15" hidden="false" customHeight="false" outlineLevel="0" collapsed="false">
      <c r="B28" s="26" t="s">
        <v>164</v>
      </c>
      <c r="C28" s="27" t="s">
        <v>165</v>
      </c>
      <c r="D28" s="28" t="s">
        <v>166</v>
      </c>
      <c r="E28" s="8" t="s">
        <v>167</v>
      </c>
    </row>
    <row r="29" customFormat="false" ht="15" hidden="false" customHeight="false" outlineLevel="0" collapsed="false">
      <c r="B29" s="26" t="s">
        <v>168</v>
      </c>
      <c r="C29" s="24" t="n">
        <f aca="false">INDEX(spr_End,SprintCount)</f>
        <v>168</v>
      </c>
      <c r="D29" s="28" t="s">
        <v>169</v>
      </c>
      <c r="E29" s="8"/>
    </row>
    <row r="30" customFormat="false" ht="15" hidden="false" customHeight="false" outlineLevel="0" collapsed="false">
      <c r="B30" s="26" t="s">
        <v>170</v>
      </c>
      <c r="C30" s="33" t="n">
        <v>0</v>
      </c>
      <c r="D30" s="28" t="s">
        <v>171</v>
      </c>
      <c r="E30" s="8" t="s">
        <v>172</v>
      </c>
    </row>
    <row r="31" customFormat="false" ht="15" hidden="false" customHeight="false" outlineLevel="0" collapsed="false">
      <c r="B31" s="26" t="s">
        <v>173</v>
      </c>
      <c r="C31" s="24" t="n">
        <f aca="false">MAX(tsk_FcFinish)</f>
        <v>0</v>
      </c>
      <c r="D31" s="28" t="s">
        <v>174</v>
      </c>
      <c r="E31" s="8" t="s">
        <v>175</v>
      </c>
    </row>
    <row r="32" customFormat="false" ht="15" hidden="false" customHeight="false" outlineLevel="0" collapsed="false">
      <c r="B32" s="26" t="s">
        <v>176</v>
      </c>
      <c r="C32" s="34" t="n">
        <f aca="false">MAX(tsk_UID)+1</f>
        <v>201</v>
      </c>
      <c r="D32" s="28" t="s">
        <v>177</v>
      </c>
      <c r="E32" s="8" t="s">
        <v>178</v>
      </c>
    </row>
  </sheetData>
  <conditionalFormatting sqref="C7">
    <cfRule type="expression" priority="2" aboveAverage="0" equalAverage="0" bottom="0" percent="0" rank="0" text="" dxfId="11">
      <formula>N(C7)=0</formula>
    </cfRule>
  </conditionalFormatting>
  <conditionalFormatting sqref="C9">
    <cfRule type="expression" priority="3" aboveAverage="0" equalAverage="0" bottom="0" percent="0" rank="0" text="" dxfId="11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CU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5" min="24" style="0" width="15"/>
    <col collapsed="false" customWidth="true" hidden="false" outlineLevel="0" max="28" min="26" style="0" width="8"/>
    <col collapsed="false" customWidth="true" hidden="false" outlineLevel="0" max="29" min="29" style="0" width="12"/>
    <col collapsed="false" customWidth="true" hidden="false" outlineLevel="0" max="30" min="30" style="0" width="24"/>
    <col collapsed="false" customWidth="true" hidden="false" outlineLevel="0" max="32" min="31" style="0" width="9"/>
    <col collapsed="false" customWidth="true" hidden="false" outlineLevel="0" max="33" min="33" style="0" width="12"/>
    <col collapsed="false" customWidth="true" hidden="false" outlineLevel="0" max="34" min="34" style="0" width="16"/>
    <col collapsed="false" customWidth="true" hidden="false" outlineLevel="0" max="35" min="35" style="0" width="7"/>
    <col collapsed="false" customWidth="true" hidden="false" outlineLevel="0" max="36" min="36" style="0" width="9"/>
    <col collapsed="false" customWidth="true" hidden="false" outlineLevel="0" max="37" min="37" style="0" width="11"/>
    <col collapsed="false" customWidth="true" hidden="false" outlineLevel="0" max="38" min="38" style="0" width="10"/>
    <col collapsed="false" customWidth="true" hidden="false" outlineLevel="0" max="39" min="39" style="0" width="14"/>
    <col collapsed="false" customWidth="true" hidden="false" outlineLevel="0" max="40" min="40" style="0" width="40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15"/>
    <col collapsed="false" customWidth="true" hidden="false" outlineLevel="0" max="49" min="48" style="0" width="9"/>
    <col collapsed="false" customWidth="true" hidden="false" outlineLevel="0" max="50" min="50" style="0" width="11"/>
    <col collapsed="false" customWidth="true" hidden="false" outlineLevel="0" max="52" min="51" style="0" width="9"/>
    <col collapsed="false" customWidth="true" hidden="false" outlineLevel="0" max="53" min="53" style="0" width="11"/>
    <col collapsed="false" customWidth="true" hidden="true" outlineLevel="1" max="99" min="54" style="0" width="11"/>
  </cols>
  <sheetData>
    <row r="1" customFormat="false" ht="19.7" hidden="false" customHeight="false" outlineLevel="0" collapsed="false">
      <c r="A1" s="25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179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180</v>
      </c>
      <c r="F4" s="35" t="s">
        <v>181</v>
      </c>
      <c r="P4" s="35" t="s">
        <v>182</v>
      </c>
      <c r="V4" s="35" t="s">
        <v>183</v>
      </c>
      <c r="X4" s="35" t="s">
        <v>184</v>
      </c>
      <c r="AC4" s="35" t="s">
        <v>185</v>
      </c>
      <c r="AE4" s="35" t="s">
        <v>186</v>
      </c>
      <c r="AH4" s="35" t="s">
        <v>187</v>
      </c>
      <c r="AO4" s="35" t="s">
        <v>188</v>
      </c>
      <c r="AY4" s="35" t="s">
        <v>189</v>
      </c>
      <c r="BB4" s="35" t="s">
        <v>190</v>
      </c>
    </row>
    <row r="5" customFormat="false" ht="42" hidden="false" customHeight="true" outlineLevel="0" collapsed="false">
      <c r="A5" s="9" t="s">
        <v>191</v>
      </c>
      <c r="B5" s="36" t="s">
        <v>192</v>
      </c>
      <c r="C5" s="9" t="s">
        <v>193</v>
      </c>
      <c r="D5" s="36" t="s">
        <v>194</v>
      </c>
      <c r="E5" s="36" t="s">
        <v>195</v>
      </c>
      <c r="F5" s="36" t="s">
        <v>39</v>
      </c>
      <c r="G5" s="36" t="s">
        <v>196</v>
      </c>
      <c r="H5" s="36" t="s">
        <v>197</v>
      </c>
      <c r="I5" s="36" t="s">
        <v>198</v>
      </c>
      <c r="J5" s="36" t="s">
        <v>199</v>
      </c>
      <c r="K5" s="36" t="s">
        <v>200</v>
      </c>
      <c r="L5" s="36" t="s">
        <v>201</v>
      </c>
      <c r="M5" s="36" t="s">
        <v>202</v>
      </c>
      <c r="N5" s="36" t="s">
        <v>203</v>
      </c>
      <c r="O5" s="36" t="s">
        <v>204</v>
      </c>
      <c r="P5" s="9" t="s">
        <v>205</v>
      </c>
      <c r="Q5" s="9" t="s">
        <v>206</v>
      </c>
      <c r="R5" s="36" t="s">
        <v>207</v>
      </c>
      <c r="S5" s="36" t="s">
        <v>208</v>
      </c>
      <c r="T5" s="9" t="s">
        <v>209</v>
      </c>
      <c r="U5" s="9" t="s">
        <v>210</v>
      </c>
      <c r="V5" s="9" t="s">
        <v>211</v>
      </c>
      <c r="W5" s="9" t="s">
        <v>212</v>
      </c>
      <c r="X5" s="9" t="s">
        <v>80</v>
      </c>
      <c r="Y5" s="9" t="s">
        <v>213</v>
      </c>
      <c r="Z5" s="9" t="s">
        <v>214</v>
      </c>
      <c r="AA5" s="9" t="s">
        <v>215</v>
      </c>
      <c r="AB5" s="9" t="s">
        <v>216</v>
      </c>
      <c r="AC5" s="9" t="s">
        <v>217</v>
      </c>
      <c r="AD5" s="9" t="s">
        <v>218</v>
      </c>
      <c r="AE5" s="36" t="s">
        <v>219</v>
      </c>
      <c r="AF5" s="9" t="s">
        <v>220</v>
      </c>
      <c r="AG5" s="9" t="s">
        <v>71</v>
      </c>
      <c r="AH5" s="36" t="s">
        <v>221</v>
      </c>
      <c r="AI5" s="36" t="s">
        <v>222</v>
      </c>
      <c r="AJ5" s="9" t="s">
        <v>223</v>
      </c>
      <c r="AK5" s="9" t="s">
        <v>224</v>
      </c>
      <c r="AL5" s="9" t="s">
        <v>225</v>
      </c>
      <c r="AM5" s="9" t="s">
        <v>37</v>
      </c>
      <c r="AN5" s="36" t="s">
        <v>99</v>
      </c>
      <c r="AO5" s="9" t="s">
        <v>226</v>
      </c>
      <c r="AP5" s="9" t="s">
        <v>227</v>
      </c>
      <c r="AQ5" s="9" t="s">
        <v>228</v>
      </c>
      <c r="AR5" s="9" t="s">
        <v>229</v>
      </c>
      <c r="AS5" s="9" t="s">
        <v>230</v>
      </c>
      <c r="AT5" s="36" t="s">
        <v>231</v>
      </c>
      <c r="AU5" s="36" t="s">
        <v>232</v>
      </c>
      <c r="AV5" s="36" t="s">
        <v>233</v>
      </c>
      <c r="AW5" s="36" t="s">
        <v>234</v>
      </c>
      <c r="AX5" s="36" t="s">
        <v>235</v>
      </c>
      <c r="AY5" s="9" t="s">
        <v>236</v>
      </c>
      <c r="AZ5" s="9" t="s">
        <v>237</v>
      </c>
      <c r="BA5" s="9" t="s">
        <v>238</v>
      </c>
      <c r="BB5" s="37" t="s">
        <v>239</v>
      </c>
      <c r="BC5" s="37" t="s">
        <v>240</v>
      </c>
      <c r="BD5" s="37" t="s">
        <v>241</v>
      </c>
      <c r="BE5" s="37" t="s">
        <v>242</v>
      </c>
      <c r="BF5" s="37" t="s">
        <v>243</v>
      </c>
      <c r="BG5" s="37" t="s">
        <v>244</v>
      </c>
      <c r="BH5" s="37" t="s">
        <v>245</v>
      </c>
      <c r="BI5" s="37" t="s">
        <v>246</v>
      </c>
      <c r="BJ5" s="37" t="s">
        <v>247</v>
      </c>
      <c r="BK5" s="37" t="s">
        <v>248</v>
      </c>
      <c r="BL5" s="37" t="s">
        <v>249</v>
      </c>
      <c r="BM5" s="37" t="s">
        <v>250</v>
      </c>
      <c r="BN5" s="37" t="s">
        <v>251</v>
      </c>
      <c r="BO5" s="37" t="s">
        <v>252</v>
      </c>
      <c r="BP5" s="37" t="s">
        <v>253</v>
      </c>
      <c r="BQ5" s="37" t="s">
        <v>254</v>
      </c>
      <c r="BR5" s="37" t="s">
        <v>255</v>
      </c>
      <c r="BS5" s="37" t="s">
        <v>256</v>
      </c>
      <c r="BT5" s="37" t="s">
        <v>257</v>
      </c>
      <c r="BU5" s="37" t="s">
        <v>258</v>
      </c>
      <c r="BV5" s="37" t="s">
        <v>259</v>
      </c>
      <c r="BW5" s="37" t="s">
        <v>260</v>
      </c>
      <c r="BX5" s="37" t="s">
        <v>261</v>
      </c>
      <c r="BY5" s="37" t="s">
        <v>262</v>
      </c>
      <c r="BZ5" s="37" t="s">
        <v>263</v>
      </c>
      <c r="CA5" s="37" t="s">
        <v>264</v>
      </c>
      <c r="CB5" s="37" t="s">
        <v>265</v>
      </c>
      <c r="CC5" s="37" t="s">
        <v>266</v>
      </c>
      <c r="CD5" s="37" t="s">
        <v>267</v>
      </c>
      <c r="CE5" s="37" t="s">
        <v>268</v>
      </c>
      <c r="CF5" s="37" t="s">
        <v>269</v>
      </c>
      <c r="CG5" s="37" t="s">
        <v>270</v>
      </c>
      <c r="CH5" s="37" t="s">
        <v>271</v>
      </c>
      <c r="CI5" s="37" t="s">
        <v>272</v>
      </c>
      <c r="CJ5" s="37" t="s">
        <v>273</v>
      </c>
      <c r="CK5" s="37" t="s">
        <v>274</v>
      </c>
      <c r="CL5" s="37" t="s">
        <v>275</v>
      </c>
      <c r="CM5" s="37" t="s">
        <v>276</v>
      </c>
      <c r="CN5" s="37" t="s">
        <v>277</v>
      </c>
      <c r="CO5" s="37" t="s">
        <v>278</v>
      </c>
      <c r="CP5" s="37" t="s">
        <v>279</v>
      </c>
      <c r="CQ5" s="37" t="s">
        <v>280</v>
      </c>
      <c r="CR5" s="37" t="s">
        <v>281</v>
      </c>
      <c r="CS5" s="37" t="s">
        <v>282</v>
      </c>
      <c r="CT5" s="37" t="s">
        <v>283</v>
      </c>
      <c r="CU5" s="37" t="s">
        <v>284</v>
      </c>
    </row>
    <row r="6" customFormat="false" ht="15" hidden="false" customHeight="false" outlineLevel="0" collapsed="false">
      <c r="A6" s="38" t="str">
        <f aca="false">IF(Tasks[[#This Row],[Task Name]]="","",COUNTA(Tasks[[#Headers],[Task Name]]:Tasks[[#This Row],[Task Name]])-1)</f>
        <v/>
      </c>
      <c r="B6" s="39" t="n">
        <v>1</v>
      </c>
      <c r="C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" s="39"/>
      <c r="E6" s="40"/>
      <c r="F6" s="39"/>
      <c r="G6" s="39"/>
      <c r="H6" s="39"/>
      <c r="I6" s="39"/>
      <c r="J6" s="39"/>
      <c r="K6" s="39"/>
      <c r="L6" s="39"/>
      <c r="M6" s="39"/>
      <c r="N6" s="29"/>
      <c r="O6" s="29"/>
      <c r="P6" s="24" t="str">
        <f aca="false">IF(Tasks[[#This Row],[Task Name]]="","",IF(N(Tasks[[#This Row],[Baseline Start]])&gt;0,Tasks[[#This Row],[Baseline Start]],Tasks[[#This Row],[_CalcStart]]))</f>
        <v/>
      </c>
      <c r="Q6" s="24" t="str">
        <f aca="false">IF(Tasks[[#This Row],[Task Name]]="","",IF(N(Tasks[[#This Row],[Baseline Finish]])&gt;0,Tasks[[#This Row],[Baseline Finish]],Tasks[[#This Row],[_CalcFinish]]))</f>
        <v/>
      </c>
      <c r="R6" s="29"/>
      <c r="S6" s="29"/>
      <c r="T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" s="31"/>
      <c r="AF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" s="40"/>
      <c r="AI6" s="31"/>
      <c r="AJ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" s="40"/>
      <c r="AO6" s="24" t="str">
        <f aca="false">IF(Tasks[[#This Row],[Task Name]]="","",Tasks[[#This Row],[Forecast Start]])</f>
        <v/>
      </c>
      <c r="AP6" s="24" t="str">
        <f aca="false">IF(Tasks[[#This Row],[Task Name]]="","",Tasks[[#This Row],[Forecast Finish]])</f>
        <v/>
      </c>
      <c r="AQ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" s="42" t="str">
        <f aca="false">IF(Tasks[[#This Row],[Task Name]]="","",Tasks[[#This Row],[Work]])</f>
        <v/>
      </c>
      <c r="AS6" s="43" t="str">
        <f aca="false">IF(Tasks[[#This Row],[Task Name]]="","",Tasks[[#This Row],[Cost]])</f>
        <v/>
      </c>
      <c r="AT6" s="29"/>
      <c r="AU6" s="29"/>
      <c r="AV6" s="39"/>
      <c r="AW6" s="44"/>
      <c r="AX6" s="45"/>
      <c r="AY6" s="38" t="str">
        <f aca="false">IF(OR(Tasks[[#This Row],[Task Name]]="",Tasks[[#This Row],[Baseline Duration]]=""),"",Tasks[[#This Row],[BL Source Duration]]-N(Tasks[[#This Row],[Baseline Duration]]))</f>
        <v/>
      </c>
      <c r="AZ6" s="42" t="str">
        <f aca="false">IF(OR(Tasks[[#This Row],[Task Name]]="",Tasks[[#This Row],[Baseline Work]]=""),"",Tasks[[#This Row],[Work]]-N(Tasks[[#This Row],[Baseline Work]]))</f>
        <v/>
      </c>
      <c r="BA6" s="43" t="str">
        <f aca="false">IF(OR(Tasks[[#This Row],[Task Name]]="",Tasks[[#This Row],[Baseline Cost]]=""),"",Tasks[[#This Row],[Cost]]-N(Tasks[[#This Row],[Baseline Cost]]))</f>
        <v/>
      </c>
      <c r="BB6" s="46" t="str">
        <f aca="false">IF(Tasks[[#This Row],[Task Name]]="","",MAX(1,N(Tasks[[#This Row],[Level]])))</f>
        <v/>
      </c>
      <c r="BC6" s="46" t="n">
        <f aca="false">ROW()-ROW(Tasks[[#Headers],[ID]])</f>
        <v>1</v>
      </c>
      <c r="BD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" s="46" t="n">
        <f aca="false">IFERROR(N(INDEX(Tasks[_Level],Tasks[[#This Row],[_Row]]+1)),0)</f>
        <v>0</v>
      </c>
      <c r="BF6" s="47" t="b">
        <f aca="false">AND(Tasks[[#This Row],[Task Name]]&lt;&gt;"",Tasks[[#This Row],[_NextLevel]]&gt;Tasks[[#This Row],[_Level]])</f>
        <v>0</v>
      </c>
      <c r="BG6" s="46" t="n">
        <f aca="false">IF(Tasks[[#This Row],[_IsSummary]],COUNTIF(Tasks[WBS],Tasks[[#This Row],[WBS]]&amp;".*"),0)</f>
        <v>0</v>
      </c>
      <c r="BH6" s="46" t="n">
        <f aca="false">IF(AND(Tasks[[#This Row],[Task Name]]&lt;&gt;"",NOT(Tasks[[#This Row],[_IsSummary]])),1,0)</f>
        <v>0</v>
      </c>
      <c r="BI6" s="46" t="n">
        <f aca="false">IF(N(Tasks[[#This Row],[Pred1 UID]])=0,0,IFERROR(MATCH(Tasks[[#This Row],[Pred1 UID]],Tasks[UID],0),-1))</f>
        <v>0</v>
      </c>
      <c r="BJ6" s="46" t="n">
        <f aca="false">IF(N(Tasks[[#This Row],[Pred2 UID]])=0,0,IFERROR(MATCH(Tasks[[#This Row],[Pred2 UID]],Tasks[UID],0),-1))</f>
        <v>0</v>
      </c>
      <c r="BK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" s="46" t="n">
        <f aca="false">IF(NOT(Tasks[[#This Row],[_IsLeaf]]=1),0,IF(N(Tasks[[#This Row],[Actual Finish]])&gt;0,1,MIN(1,N(Tasks[[#This Row],[% Complete]]))))</f>
        <v>0</v>
      </c>
      <c r="BP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" s="46" t="n">
        <f aca="false">IF(Tasks[[#This Row],[_LeafWork]]=0,0,Tasks[[#This Row],[_LeafWork]]*IFERROR(INDEX(res_Rate,MATCH(Tasks[[#This Row],[Resource]],res_Name,0)),0))</f>
        <v>0</v>
      </c>
      <c r="BR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" s="46" t="n">
        <f aca="false">IF(NOT(Tasks[[#This Row],[_IsLeaf]]=1),0,MAX(_xlfn.MAXIFS(Tasks[_Row],Tasks[Pred1 UID],Tasks[[#This Row],[UID]]),_xlfn.MAXIFS(Tasks[_Row],Tasks[Pred2 UID],Tasks[[#This Row],[UID]])))</f>
        <v>0</v>
      </c>
      <c r="BW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" s="48" t="str">
        <f aca="false">IF(NOT(Tasks[[#This Row],[_IsLeaf]]=1),"",MIN(ProjectFinish,IF(N(Tasks[[#This Row],[Deadline]])&gt;0,Tasks[[#This Row],[Deadline]],2958465),Tasks[[#This Row],[_SuccessorFinishLimit]]))</f>
        <v/>
      </c>
      <c r="BY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" s="47" t="b">
        <f aca="false">AND(Tasks[[#This Row],[_IsLeaf]]=1,Tasks[[#This Row],[_LeafProgress]]&lt;1,N(Tasks[[#This Row],[_LeafTotalSlack]])&lt;=CriticalSlackDays)</f>
        <v>0</v>
      </c>
      <c r="CB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" s="46" t="n">
        <f aca="false">IF(AND(Tasks[[#This Row],[_IsLeaf]]=1,Tasks[[#This Row],[_LeafWork]]&gt;0),NETWORKDAYS.INTL(ProjectStart,Tasks[[#This Row],[_LeafFcstStart]],WorkWeek,Holidays),0)</f>
        <v>0</v>
      </c>
      <c r="CK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" s="46" t="n">
        <f aca="false">IF(AND(Tasks[[#This Row],[_IsLeaf]]=1,Tasks[[#This Row],[_LeafWork]]&gt;0),Tasks[[#This Row],[_LeafWork]]/(Tasks[[#This Row],[_FinishWorkday]]-Tasks[[#This Row],[_StartWorkday]]+1),0)</f>
        <v>0</v>
      </c>
      <c r="CM6" s="46" t="n">
        <f aca="false">Tasks[[#This Row],[_WorkPerWorkday]]*(Tasks[[#This Row],[_StartWorkday]]-1)</f>
        <v>-0</v>
      </c>
      <c r="CN6" s="46" t="n">
        <f aca="false">IF(Tasks[[#This Row],[_IsLeaf]]=1,MAX(N(Tasks[[#This Row],[Duration]]),0.1),0)</f>
        <v>0</v>
      </c>
      <c r="CO6" s="46" t="n">
        <f aca="false">Tasks[[#This Row],[_WeightDur]]*Tasks[[#This Row],[_LeafProgress]]</f>
        <v>0</v>
      </c>
      <c r="CP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" customFormat="false" ht="15" hidden="false" customHeight="false" outlineLevel="0" collapsed="false">
      <c r="A7" s="38" t="str">
        <f aca="false">IF(Tasks[[#This Row],[Task Name]]="","",COUNTA(Tasks[[#Headers],[Task Name]]:Tasks[[#This Row],[Task Name]])-1)</f>
        <v/>
      </c>
      <c r="B7" s="39" t="n">
        <v>2</v>
      </c>
      <c r="C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" s="39"/>
      <c r="E7" s="40"/>
      <c r="F7" s="39"/>
      <c r="G7" s="39"/>
      <c r="H7" s="39"/>
      <c r="I7" s="39"/>
      <c r="J7" s="39"/>
      <c r="K7" s="39"/>
      <c r="L7" s="39"/>
      <c r="M7" s="39"/>
      <c r="N7" s="29"/>
      <c r="O7" s="29"/>
      <c r="P7" s="24" t="str">
        <f aca="false">IF(Tasks[[#This Row],[Task Name]]="","",IF(N(Tasks[[#This Row],[Baseline Start]])&gt;0,Tasks[[#This Row],[Baseline Start]],Tasks[[#This Row],[_CalcStart]]))</f>
        <v/>
      </c>
      <c r="Q7" s="24" t="str">
        <f aca="false">IF(Tasks[[#This Row],[Task Name]]="","",IF(N(Tasks[[#This Row],[Baseline Finish]])&gt;0,Tasks[[#This Row],[Baseline Finish]],Tasks[[#This Row],[_CalcFinish]]))</f>
        <v/>
      </c>
      <c r="R7" s="29"/>
      <c r="S7" s="29"/>
      <c r="T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" s="31"/>
      <c r="AF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" s="40"/>
      <c r="AI7" s="31"/>
      <c r="AJ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" s="40"/>
      <c r="AO7" s="24" t="str">
        <f aca="false">IF(Tasks[[#This Row],[Task Name]]="","",Tasks[[#This Row],[Forecast Start]])</f>
        <v/>
      </c>
      <c r="AP7" s="24" t="str">
        <f aca="false">IF(Tasks[[#This Row],[Task Name]]="","",Tasks[[#This Row],[Forecast Finish]])</f>
        <v/>
      </c>
      <c r="AQ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" s="42" t="str">
        <f aca="false">IF(Tasks[[#This Row],[Task Name]]="","",Tasks[[#This Row],[Work]])</f>
        <v/>
      </c>
      <c r="AS7" s="43" t="str">
        <f aca="false">IF(Tasks[[#This Row],[Task Name]]="","",Tasks[[#This Row],[Cost]])</f>
        <v/>
      </c>
      <c r="AT7" s="29"/>
      <c r="AU7" s="29"/>
      <c r="AV7" s="39"/>
      <c r="AW7" s="44"/>
      <c r="AX7" s="45"/>
      <c r="AY7" s="38" t="str">
        <f aca="false">IF(OR(Tasks[[#This Row],[Task Name]]="",Tasks[[#This Row],[Baseline Duration]]=""),"",Tasks[[#This Row],[BL Source Duration]]-N(Tasks[[#This Row],[Baseline Duration]]))</f>
        <v/>
      </c>
      <c r="AZ7" s="42" t="str">
        <f aca="false">IF(OR(Tasks[[#This Row],[Task Name]]="",Tasks[[#This Row],[Baseline Work]]=""),"",Tasks[[#This Row],[Work]]-N(Tasks[[#This Row],[Baseline Work]]))</f>
        <v/>
      </c>
      <c r="BA7" s="43" t="str">
        <f aca="false">IF(OR(Tasks[[#This Row],[Task Name]]="",Tasks[[#This Row],[Baseline Cost]]=""),"",Tasks[[#This Row],[Cost]]-N(Tasks[[#This Row],[Baseline Cost]]))</f>
        <v/>
      </c>
      <c r="BB7" s="46" t="str">
        <f aca="false">IF(Tasks[[#This Row],[Task Name]]="","",MAX(1,N(Tasks[[#This Row],[Level]])))</f>
        <v/>
      </c>
      <c r="BC7" s="46" t="n">
        <f aca="false">ROW()-ROW(Tasks[[#Headers],[ID]])</f>
        <v>2</v>
      </c>
      <c r="BD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" s="46" t="n">
        <f aca="false">IFERROR(N(INDEX(Tasks[_Level],Tasks[[#This Row],[_Row]]+1)),0)</f>
        <v>0</v>
      </c>
      <c r="BF7" s="47" t="b">
        <f aca="false">AND(Tasks[[#This Row],[Task Name]]&lt;&gt;"",Tasks[[#This Row],[_NextLevel]]&gt;Tasks[[#This Row],[_Level]])</f>
        <v>0</v>
      </c>
      <c r="BG7" s="46" t="n">
        <f aca="false">IF(Tasks[[#This Row],[_IsSummary]],COUNTIF(Tasks[WBS],Tasks[[#This Row],[WBS]]&amp;".*"),0)</f>
        <v>0</v>
      </c>
      <c r="BH7" s="46" t="n">
        <f aca="false">IF(AND(Tasks[[#This Row],[Task Name]]&lt;&gt;"",NOT(Tasks[[#This Row],[_IsSummary]])),1,0)</f>
        <v>0</v>
      </c>
      <c r="BI7" s="46" t="n">
        <f aca="false">IF(N(Tasks[[#This Row],[Pred1 UID]])=0,0,IFERROR(MATCH(Tasks[[#This Row],[Pred1 UID]],Tasks[UID],0),-1))</f>
        <v>0</v>
      </c>
      <c r="BJ7" s="46" t="n">
        <f aca="false">IF(N(Tasks[[#This Row],[Pred2 UID]])=0,0,IFERROR(MATCH(Tasks[[#This Row],[Pred2 UID]],Tasks[UID],0),-1))</f>
        <v>0</v>
      </c>
      <c r="BK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" s="46" t="n">
        <f aca="false">IF(NOT(Tasks[[#This Row],[_IsLeaf]]=1),0,IF(N(Tasks[[#This Row],[Actual Finish]])&gt;0,1,MIN(1,N(Tasks[[#This Row],[% Complete]]))))</f>
        <v>0</v>
      </c>
      <c r="BP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" s="46" t="n">
        <f aca="false">IF(Tasks[[#This Row],[_LeafWork]]=0,0,Tasks[[#This Row],[_LeafWork]]*IFERROR(INDEX(res_Rate,MATCH(Tasks[[#This Row],[Resource]],res_Name,0)),0))</f>
        <v>0</v>
      </c>
      <c r="BR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" s="46" t="n">
        <f aca="false">IF(NOT(Tasks[[#This Row],[_IsLeaf]]=1),0,MAX(_xlfn.MAXIFS(Tasks[_Row],Tasks[Pred1 UID],Tasks[[#This Row],[UID]]),_xlfn.MAXIFS(Tasks[_Row],Tasks[Pred2 UID],Tasks[[#This Row],[UID]])))</f>
        <v>0</v>
      </c>
      <c r="BW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" s="48" t="str">
        <f aca="false">IF(NOT(Tasks[[#This Row],[_IsLeaf]]=1),"",MIN(ProjectFinish,IF(N(Tasks[[#This Row],[Deadline]])&gt;0,Tasks[[#This Row],[Deadline]],2958465),Tasks[[#This Row],[_SuccessorFinishLimit]]))</f>
        <v/>
      </c>
      <c r="BY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" s="47" t="b">
        <f aca="false">AND(Tasks[[#This Row],[_IsLeaf]]=1,Tasks[[#This Row],[_LeafProgress]]&lt;1,N(Tasks[[#This Row],[_LeafTotalSlack]])&lt;=CriticalSlackDays)</f>
        <v>0</v>
      </c>
      <c r="CB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" s="46" t="n">
        <f aca="false">IF(AND(Tasks[[#This Row],[_IsLeaf]]=1,Tasks[[#This Row],[_LeafWork]]&gt;0),NETWORKDAYS.INTL(ProjectStart,Tasks[[#This Row],[_LeafFcstStart]],WorkWeek,Holidays),0)</f>
        <v>0</v>
      </c>
      <c r="CK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" s="46" t="n">
        <f aca="false">IF(AND(Tasks[[#This Row],[_IsLeaf]]=1,Tasks[[#This Row],[_LeafWork]]&gt;0),Tasks[[#This Row],[_LeafWork]]/(Tasks[[#This Row],[_FinishWorkday]]-Tasks[[#This Row],[_StartWorkday]]+1),0)</f>
        <v>0</v>
      </c>
      <c r="CM7" s="46" t="n">
        <f aca="false">Tasks[[#This Row],[_WorkPerWorkday]]*(Tasks[[#This Row],[_StartWorkday]]-1)</f>
        <v>-0</v>
      </c>
      <c r="CN7" s="46" t="n">
        <f aca="false">IF(Tasks[[#This Row],[_IsLeaf]]=1,MAX(N(Tasks[[#This Row],[Duration]]),0.1),0)</f>
        <v>0</v>
      </c>
      <c r="CO7" s="46" t="n">
        <f aca="false">Tasks[[#This Row],[_WeightDur]]*Tasks[[#This Row],[_LeafProgress]]</f>
        <v>0</v>
      </c>
      <c r="CP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" customFormat="false" ht="15" hidden="false" customHeight="false" outlineLevel="0" collapsed="false">
      <c r="A8" s="38" t="str">
        <f aca="false">IF(Tasks[[#This Row],[Task Name]]="","",COUNTA(Tasks[[#Headers],[Task Name]]:Tasks[[#This Row],[Task Name]])-1)</f>
        <v/>
      </c>
      <c r="B8" s="39" t="n">
        <v>3</v>
      </c>
      <c r="C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" s="39"/>
      <c r="E8" s="40"/>
      <c r="F8" s="39"/>
      <c r="G8" s="39"/>
      <c r="H8" s="39"/>
      <c r="I8" s="39"/>
      <c r="J8" s="39"/>
      <c r="K8" s="39"/>
      <c r="L8" s="39"/>
      <c r="M8" s="39"/>
      <c r="N8" s="29"/>
      <c r="O8" s="29"/>
      <c r="P8" s="24" t="str">
        <f aca="false">IF(Tasks[[#This Row],[Task Name]]="","",IF(N(Tasks[[#This Row],[Baseline Start]])&gt;0,Tasks[[#This Row],[Baseline Start]],Tasks[[#This Row],[_CalcStart]]))</f>
        <v/>
      </c>
      <c r="Q8" s="24" t="str">
        <f aca="false">IF(Tasks[[#This Row],[Task Name]]="","",IF(N(Tasks[[#This Row],[Baseline Finish]])&gt;0,Tasks[[#This Row],[Baseline Finish]],Tasks[[#This Row],[_CalcFinish]]))</f>
        <v/>
      </c>
      <c r="R8" s="29"/>
      <c r="S8" s="29"/>
      <c r="T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" s="31"/>
      <c r="AF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" s="40"/>
      <c r="AI8" s="31"/>
      <c r="AJ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" s="40"/>
      <c r="AO8" s="24" t="str">
        <f aca="false">IF(Tasks[[#This Row],[Task Name]]="","",Tasks[[#This Row],[Forecast Start]])</f>
        <v/>
      </c>
      <c r="AP8" s="24" t="str">
        <f aca="false">IF(Tasks[[#This Row],[Task Name]]="","",Tasks[[#This Row],[Forecast Finish]])</f>
        <v/>
      </c>
      <c r="AQ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" s="42" t="str">
        <f aca="false">IF(Tasks[[#This Row],[Task Name]]="","",Tasks[[#This Row],[Work]])</f>
        <v/>
      </c>
      <c r="AS8" s="43" t="str">
        <f aca="false">IF(Tasks[[#This Row],[Task Name]]="","",Tasks[[#This Row],[Cost]])</f>
        <v/>
      </c>
      <c r="AT8" s="29"/>
      <c r="AU8" s="29"/>
      <c r="AV8" s="39"/>
      <c r="AW8" s="44"/>
      <c r="AX8" s="45"/>
      <c r="AY8" s="38" t="str">
        <f aca="false">IF(OR(Tasks[[#This Row],[Task Name]]="",Tasks[[#This Row],[Baseline Duration]]=""),"",Tasks[[#This Row],[BL Source Duration]]-N(Tasks[[#This Row],[Baseline Duration]]))</f>
        <v/>
      </c>
      <c r="AZ8" s="42" t="str">
        <f aca="false">IF(OR(Tasks[[#This Row],[Task Name]]="",Tasks[[#This Row],[Baseline Work]]=""),"",Tasks[[#This Row],[Work]]-N(Tasks[[#This Row],[Baseline Work]]))</f>
        <v/>
      </c>
      <c r="BA8" s="43" t="str">
        <f aca="false">IF(OR(Tasks[[#This Row],[Task Name]]="",Tasks[[#This Row],[Baseline Cost]]=""),"",Tasks[[#This Row],[Cost]]-N(Tasks[[#This Row],[Baseline Cost]]))</f>
        <v/>
      </c>
      <c r="BB8" s="46" t="str">
        <f aca="false">IF(Tasks[[#This Row],[Task Name]]="","",MAX(1,N(Tasks[[#This Row],[Level]])))</f>
        <v/>
      </c>
      <c r="BC8" s="46" t="n">
        <f aca="false">ROW()-ROW(Tasks[[#Headers],[ID]])</f>
        <v>3</v>
      </c>
      <c r="BD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" s="46" t="n">
        <f aca="false">IFERROR(N(INDEX(Tasks[_Level],Tasks[[#This Row],[_Row]]+1)),0)</f>
        <v>0</v>
      </c>
      <c r="BF8" s="47" t="b">
        <f aca="false">AND(Tasks[[#This Row],[Task Name]]&lt;&gt;"",Tasks[[#This Row],[_NextLevel]]&gt;Tasks[[#This Row],[_Level]])</f>
        <v>0</v>
      </c>
      <c r="BG8" s="46" t="n">
        <f aca="false">IF(Tasks[[#This Row],[_IsSummary]],COUNTIF(Tasks[WBS],Tasks[[#This Row],[WBS]]&amp;".*"),0)</f>
        <v>0</v>
      </c>
      <c r="BH8" s="46" t="n">
        <f aca="false">IF(AND(Tasks[[#This Row],[Task Name]]&lt;&gt;"",NOT(Tasks[[#This Row],[_IsSummary]])),1,0)</f>
        <v>0</v>
      </c>
      <c r="BI8" s="46" t="n">
        <f aca="false">IF(N(Tasks[[#This Row],[Pred1 UID]])=0,0,IFERROR(MATCH(Tasks[[#This Row],[Pred1 UID]],Tasks[UID],0),-1))</f>
        <v>0</v>
      </c>
      <c r="BJ8" s="46" t="n">
        <f aca="false">IF(N(Tasks[[#This Row],[Pred2 UID]])=0,0,IFERROR(MATCH(Tasks[[#This Row],[Pred2 UID]],Tasks[UID],0),-1))</f>
        <v>0</v>
      </c>
      <c r="BK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" s="46" t="n">
        <f aca="false">IF(NOT(Tasks[[#This Row],[_IsLeaf]]=1),0,IF(N(Tasks[[#This Row],[Actual Finish]])&gt;0,1,MIN(1,N(Tasks[[#This Row],[% Complete]]))))</f>
        <v>0</v>
      </c>
      <c r="BP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" s="46" t="n">
        <f aca="false">IF(Tasks[[#This Row],[_LeafWork]]=0,0,Tasks[[#This Row],[_LeafWork]]*IFERROR(INDEX(res_Rate,MATCH(Tasks[[#This Row],[Resource]],res_Name,0)),0))</f>
        <v>0</v>
      </c>
      <c r="BR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" s="46" t="n">
        <f aca="false">IF(NOT(Tasks[[#This Row],[_IsLeaf]]=1),0,MAX(_xlfn.MAXIFS(Tasks[_Row],Tasks[Pred1 UID],Tasks[[#This Row],[UID]]),_xlfn.MAXIFS(Tasks[_Row],Tasks[Pred2 UID],Tasks[[#This Row],[UID]])))</f>
        <v>0</v>
      </c>
      <c r="BW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" s="48" t="str">
        <f aca="false">IF(NOT(Tasks[[#This Row],[_IsLeaf]]=1),"",MIN(ProjectFinish,IF(N(Tasks[[#This Row],[Deadline]])&gt;0,Tasks[[#This Row],[Deadline]],2958465),Tasks[[#This Row],[_SuccessorFinishLimit]]))</f>
        <v/>
      </c>
      <c r="BY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" s="47" t="b">
        <f aca="false">AND(Tasks[[#This Row],[_IsLeaf]]=1,Tasks[[#This Row],[_LeafProgress]]&lt;1,N(Tasks[[#This Row],[_LeafTotalSlack]])&lt;=CriticalSlackDays)</f>
        <v>0</v>
      </c>
      <c r="CB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" s="46" t="n">
        <f aca="false">IF(AND(Tasks[[#This Row],[_IsLeaf]]=1,Tasks[[#This Row],[_LeafWork]]&gt;0),NETWORKDAYS.INTL(ProjectStart,Tasks[[#This Row],[_LeafFcstStart]],WorkWeek,Holidays),0)</f>
        <v>0</v>
      </c>
      <c r="CK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" s="46" t="n">
        <f aca="false">IF(AND(Tasks[[#This Row],[_IsLeaf]]=1,Tasks[[#This Row],[_LeafWork]]&gt;0),Tasks[[#This Row],[_LeafWork]]/(Tasks[[#This Row],[_FinishWorkday]]-Tasks[[#This Row],[_StartWorkday]]+1),0)</f>
        <v>0</v>
      </c>
      <c r="CM8" s="46" t="n">
        <f aca="false">Tasks[[#This Row],[_WorkPerWorkday]]*(Tasks[[#This Row],[_StartWorkday]]-1)</f>
        <v>-0</v>
      </c>
      <c r="CN8" s="46" t="n">
        <f aca="false">IF(Tasks[[#This Row],[_IsLeaf]]=1,MAX(N(Tasks[[#This Row],[Duration]]),0.1),0)</f>
        <v>0</v>
      </c>
      <c r="CO8" s="46" t="n">
        <f aca="false">Tasks[[#This Row],[_WeightDur]]*Tasks[[#This Row],[_LeafProgress]]</f>
        <v>0</v>
      </c>
      <c r="CP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" customFormat="false" ht="15" hidden="false" customHeight="false" outlineLevel="0" collapsed="false">
      <c r="A9" s="38" t="str">
        <f aca="false">IF(Tasks[[#This Row],[Task Name]]="","",COUNTA(Tasks[[#Headers],[Task Name]]:Tasks[[#This Row],[Task Name]])-1)</f>
        <v/>
      </c>
      <c r="B9" s="39" t="n">
        <v>4</v>
      </c>
      <c r="C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" s="39"/>
      <c r="E9" s="40"/>
      <c r="F9" s="39"/>
      <c r="G9" s="39"/>
      <c r="H9" s="39"/>
      <c r="I9" s="39"/>
      <c r="J9" s="39"/>
      <c r="K9" s="39"/>
      <c r="L9" s="39"/>
      <c r="M9" s="39"/>
      <c r="N9" s="29"/>
      <c r="O9" s="29"/>
      <c r="P9" s="24" t="str">
        <f aca="false">IF(Tasks[[#This Row],[Task Name]]="","",IF(N(Tasks[[#This Row],[Baseline Start]])&gt;0,Tasks[[#This Row],[Baseline Start]],Tasks[[#This Row],[_CalcStart]]))</f>
        <v/>
      </c>
      <c r="Q9" s="24" t="str">
        <f aca="false">IF(Tasks[[#This Row],[Task Name]]="","",IF(N(Tasks[[#This Row],[Baseline Finish]])&gt;0,Tasks[[#This Row],[Baseline Finish]],Tasks[[#This Row],[_CalcFinish]]))</f>
        <v/>
      </c>
      <c r="R9" s="29"/>
      <c r="S9" s="29"/>
      <c r="T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" s="31"/>
      <c r="AF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" s="40"/>
      <c r="AI9" s="31"/>
      <c r="AJ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" s="40"/>
      <c r="AO9" s="24" t="str">
        <f aca="false">IF(Tasks[[#This Row],[Task Name]]="","",Tasks[[#This Row],[Forecast Start]])</f>
        <v/>
      </c>
      <c r="AP9" s="24" t="str">
        <f aca="false">IF(Tasks[[#This Row],[Task Name]]="","",Tasks[[#This Row],[Forecast Finish]])</f>
        <v/>
      </c>
      <c r="AQ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" s="42" t="str">
        <f aca="false">IF(Tasks[[#This Row],[Task Name]]="","",Tasks[[#This Row],[Work]])</f>
        <v/>
      </c>
      <c r="AS9" s="43" t="str">
        <f aca="false">IF(Tasks[[#This Row],[Task Name]]="","",Tasks[[#This Row],[Cost]])</f>
        <v/>
      </c>
      <c r="AT9" s="29"/>
      <c r="AU9" s="29"/>
      <c r="AV9" s="39"/>
      <c r="AW9" s="44"/>
      <c r="AX9" s="45"/>
      <c r="AY9" s="38" t="str">
        <f aca="false">IF(OR(Tasks[[#This Row],[Task Name]]="",Tasks[[#This Row],[Baseline Duration]]=""),"",Tasks[[#This Row],[BL Source Duration]]-N(Tasks[[#This Row],[Baseline Duration]]))</f>
        <v/>
      </c>
      <c r="AZ9" s="42" t="str">
        <f aca="false">IF(OR(Tasks[[#This Row],[Task Name]]="",Tasks[[#This Row],[Baseline Work]]=""),"",Tasks[[#This Row],[Work]]-N(Tasks[[#This Row],[Baseline Work]]))</f>
        <v/>
      </c>
      <c r="BA9" s="43" t="str">
        <f aca="false">IF(OR(Tasks[[#This Row],[Task Name]]="",Tasks[[#This Row],[Baseline Cost]]=""),"",Tasks[[#This Row],[Cost]]-N(Tasks[[#This Row],[Baseline Cost]]))</f>
        <v/>
      </c>
      <c r="BB9" s="46" t="str">
        <f aca="false">IF(Tasks[[#This Row],[Task Name]]="","",MAX(1,N(Tasks[[#This Row],[Level]])))</f>
        <v/>
      </c>
      <c r="BC9" s="46" t="n">
        <f aca="false">ROW()-ROW(Tasks[[#Headers],[ID]])</f>
        <v>4</v>
      </c>
      <c r="BD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" s="46" t="n">
        <f aca="false">IFERROR(N(INDEX(Tasks[_Level],Tasks[[#This Row],[_Row]]+1)),0)</f>
        <v>0</v>
      </c>
      <c r="BF9" s="47" t="b">
        <f aca="false">AND(Tasks[[#This Row],[Task Name]]&lt;&gt;"",Tasks[[#This Row],[_NextLevel]]&gt;Tasks[[#This Row],[_Level]])</f>
        <v>0</v>
      </c>
      <c r="BG9" s="46" t="n">
        <f aca="false">IF(Tasks[[#This Row],[_IsSummary]],COUNTIF(Tasks[WBS],Tasks[[#This Row],[WBS]]&amp;".*"),0)</f>
        <v>0</v>
      </c>
      <c r="BH9" s="46" t="n">
        <f aca="false">IF(AND(Tasks[[#This Row],[Task Name]]&lt;&gt;"",NOT(Tasks[[#This Row],[_IsSummary]])),1,0)</f>
        <v>0</v>
      </c>
      <c r="BI9" s="46" t="n">
        <f aca="false">IF(N(Tasks[[#This Row],[Pred1 UID]])=0,0,IFERROR(MATCH(Tasks[[#This Row],[Pred1 UID]],Tasks[UID],0),-1))</f>
        <v>0</v>
      </c>
      <c r="BJ9" s="46" t="n">
        <f aca="false">IF(N(Tasks[[#This Row],[Pred2 UID]])=0,0,IFERROR(MATCH(Tasks[[#This Row],[Pred2 UID]],Tasks[UID],0),-1))</f>
        <v>0</v>
      </c>
      <c r="BK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" s="46" t="n">
        <f aca="false">IF(NOT(Tasks[[#This Row],[_IsLeaf]]=1),0,IF(N(Tasks[[#This Row],[Actual Finish]])&gt;0,1,MIN(1,N(Tasks[[#This Row],[% Complete]]))))</f>
        <v>0</v>
      </c>
      <c r="BP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" s="46" t="n">
        <f aca="false">IF(Tasks[[#This Row],[_LeafWork]]=0,0,Tasks[[#This Row],[_LeafWork]]*IFERROR(INDEX(res_Rate,MATCH(Tasks[[#This Row],[Resource]],res_Name,0)),0))</f>
        <v>0</v>
      </c>
      <c r="BR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" s="46" t="n">
        <f aca="false">IF(NOT(Tasks[[#This Row],[_IsLeaf]]=1),0,MAX(_xlfn.MAXIFS(Tasks[_Row],Tasks[Pred1 UID],Tasks[[#This Row],[UID]]),_xlfn.MAXIFS(Tasks[_Row],Tasks[Pred2 UID],Tasks[[#This Row],[UID]])))</f>
        <v>0</v>
      </c>
      <c r="BW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" s="48" t="str">
        <f aca="false">IF(NOT(Tasks[[#This Row],[_IsLeaf]]=1),"",MIN(ProjectFinish,IF(N(Tasks[[#This Row],[Deadline]])&gt;0,Tasks[[#This Row],[Deadline]],2958465),Tasks[[#This Row],[_SuccessorFinishLimit]]))</f>
        <v/>
      </c>
      <c r="BY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" s="47" t="b">
        <f aca="false">AND(Tasks[[#This Row],[_IsLeaf]]=1,Tasks[[#This Row],[_LeafProgress]]&lt;1,N(Tasks[[#This Row],[_LeafTotalSlack]])&lt;=CriticalSlackDays)</f>
        <v>0</v>
      </c>
      <c r="CB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" s="46" t="n">
        <f aca="false">IF(AND(Tasks[[#This Row],[_IsLeaf]]=1,Tasks[[#This Row],[_LeafWork]]&gt;0),NETWORKDAYS.INTL(ProjectStart,Tasks[[#This Row],[_LeafFcstStart]],WorkWeek,Holidays),0)</f>
        <v>0</v>
      </c>
      <c r="CK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" s="46" t="n">
        <f aca="false">IF(AND(Tasks[[#This Row],[_IsLeaf]]=1,Tasks[[#This Row],[_LeafWork]]&gt;0),Tasks[[#This Row],[_LeafWork]]/(Tasks[[#This Row],[_FinishWorkday]]-Tasks[[#This Row],[_StartWorkday]]+1),0)</f>
        <v>0</v>
      </c>
      <c r="CM9" s="46" t="n">
        <f aca="false">Tasks[[#This Row],[_WorkPerWorkday]]*(Tasks[[#This Row],[_StartWorkday]]-1)</f>
        <v>-0</v>
      </c>
      <c r="CN9" s="46" t="n">
        <f aca="false">IF(Tasks[[#This Row],[_IsLeaf]]=1,MAX(N(Tasks[[#This Row],[Duration]]),0.1),0)</f>
        <v>0</v>
      </c>
      <c r="CO9" s="46" t="n">
        <f aca="false">Tasks[[#This Row],[_WeightDur]]*Tasks[[#This Row],[_LeafProgress]]</f>
        <v>0</v>
      </c>
      <c r="CP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" customFormat="false" ht="15" hidden="false" customHeight="false" outlineLevel="0" collapsed="false">
      <c r="A10" s="38" t="str">
        <f aca="false">IF(Tasks[[#This Row],[Task Name]]="","",COUNTA(Tasks[[#Headers],[Task Name]]:Tasks[[#This Row],[Task Name]])-1)</f>
        <v/>
      </c>
      <c r="B10" s="39" t="n">
        <v>5</v>
      </c>
      <c r="C1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" s="39"/>
      <c r="E10" s="40"/>
      <c r="F10" s="39"/>
      <c r="G10" s="39"/>
      <c r="H10" s="39"/>
      <c r="I10" s="39"/>
      <c r="J10" s="39"/>
      <c r="K10" s="39"/>
      <c r="L10" s="39"/>
      <c r="M10" s="39"/>
      <c r="N10" s="29"/>
      <c r="O10" s="29"/>
      <c r="P10" s="24" t="str">
        <f aca="false">IF(Tasks[[#This Row],[Task Name]]="","",IF(N(Tasks[[#This Row],[Baseline Start]])&gt;0,Tasks[[#This Row],[Baseline Start]],Tasks[[#This Row],[_CalcStart]]))</f>
        <v/>
      </c>
      <c r="Q10" s="24" t="str">
        <f aca="false">IF(Tasks[[#This Row],[Task Name]]="","",IF(N(Tasks[[#This Row],[Baseline Finish]])&gt;0,Tasks[[#This Row],[Baseline Finish]],Tasks[[#This Row],[_CalcFinish]]))</f>
        <v/>
      </c>
      <c r="R10" s="29"/>
      <c r="S10" s="29"/>
      <c r="T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" s="31"/>
      <c r="AF1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" s="40"/>
      <c r="AI10" s="31"/>
      <c r="AJ1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" s="40"/>
      <c r="AO10" s="24" t="str">
        <f aca="false">IF(Tasks[[#This Row],[Task Name]]="","",Tasks[[#This Row],[Forecast Start]])</f>
        <v/>
      </c>
      <c r="AP10" s="24" t="str">
        <f aca="false">IF(Tasks[[#This Row],[Task Name]]="","",Tasks[[#This Row],[Forecast Finish]])</f>
        <v/>
      </c>
      <c r="AQ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" s="42" t="str">
        <f aca="false">IF(Tasks[[#This Row],[Task Name]]="","",Tasks[[#This Row],[Work]])</f>
        <v/>
      </c>
      <c r="AS10" s="43" t="str">
        <f aca="false">IF(Tasks[[#This Row],[Task Name]]="","",Tasks[[#This Row],[Cost]])</f>
        <v/>
      </c>
      <c r="AT10" s="29"/>
      <c r="AU10" s="29"/>
      <c r="AV10" s="39"/>
      <c r="AW10" s="44"/>
      <c r="AX10" s="45"/>
      <c r="AY10" s="38" t="str">
        <f aca="false">IF(OR(Tasks[[#This Row],[Task Name]]="",Tasks[[#This Row],[Baseline Duration]]=""),"",Tasks[[#This Row],[BL Source Duration]]-N(Tasks[[#This Row],[Baseline Duration]]))</f>
        <v/>
      </c>
      <c r="AZ10" s="42" t="str">
        <f aca="false">IF(OR(Tasks[[#This Row],[Task Name]]="",Tasks[[#This Row],[Baseline Work]]=""),"",Tasks[[#This Row],[Work]]-N(Tasks[[#This Row],[Baseline Work]]))</f>
        <v/>
      </c>
      <c r="BA10" s="43" t="str">
        <f aca="false">IF(OR(Tasks[[#This Row],[Task Name]]="",Tasks[[#This Row],[Baseline Cost]]=""),"",Tasks[[#This Row],[Cost]]-N(Tasks[[#This Row],[Baseline Cost]]))</f>
        <v/>
      </c>
      <c r="BB10" s="46" t="str">
        <f aca="false">IF(Tasks[[#This Row],[Task Name]]="","",MAX(1,N(Tasks[[#This Row],[Level]])))</f>
        <v/>
      </c>
      <c r="BC10" s="46" t="n">
        <f aca="false">ROW()-ROW(Tasks[[#Headers],[ID]])</f>
        <v>5</v>
      </c>
      <c r="BD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" s="46" t="n">
        <f aca="false">IFERROR(N(INDEX(Tasks[_Level],Tasks[[#This Row],[_Row]]+1)),0)</f>
        <v>0</v>
      </c>
      <c r="BF10" s="47" t="b">
        <f aca="false">AND(Tasks[[#This Row],[Task Name]]&lt;&gt;"",Tasks[[#This Row],[_NextLevel]]&gt;Tasks[[#This Row],[_Level]])</f>
        <v>0</v>
      </c>
      <c r="BG10" s="46" t="n">
        <f aca="false">IF(Tasks[[#This Row],[_IsSummary]],COUNTIF(Tasks[WBS],Tasks[[#This Row],[WBS]]&amp;".*"),0)</f>
        <v>0</v>
      </c>
      <c r="BH10" s="46" t="n">
        <f aca="false">IF(AND(Tasks[[#This Row],[Task Name]]&lt;&gt;"",NOT(Tasks[[#This Row],[_IsSummary]])),1,0)</f>
        <v>0</v>
      </c>
      <c r="BI10" s="46" t="n">
        <f aca="false">IF(N(Tasks[[#This Row],[Pred1 UID]])=0,0,IFERROR(MATCH(Tasks[[#This Row],[Pred1 UID]],Tasks[UID],0),-1))</f>
        <v>0</v>
      </c>
      <c r="BJ10" s="46" t="n">
        <f aca="false">IF(N(Tasks[[#This Row],[Pred2 UID]])=0,0,IFERROR(MATCH(Tasks[[#This Row],[Pred2 UID]],Tasks[UID],0),-1))</f>
        <v>0</v>
      </c>
      <c r="BK1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" s="46" t="n">
        <f aca="false">IF(NOT(Tasks[[#This Row],[_IsLeaf]]=1),0,IF(N(Tasks[[#This Row],[Actual Finish]])&gt;0,1,MIN(1,N(Tasks[[#This Row],[% Complete]]))))</f>
        <v>0</v>
      </c>
      <c r="BP1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" s="46" t="n">
        <f aca="false">IF(Tasks[[#This Row],[_LeafWork]]=0,0,Tasks[[#This Row],[_LeafWork]]*IFERROR(INDEX(res_Rate,MATCH(Tasks[[#This Row],[Resource]],res_Name,0)),0))</f>
        <v>0</v>
      </c>
      <c r="BR1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" s="46" t="n">
        <f aca="false">IF(NOT(Tasks[[#This Row],[_IsLeaf]]=1),0,MAX(_xlfn.MAXIFS(Tasks[_Row],Tasks[Pred1 UID],Tasks[[#This Row],[UID]]),_xlfn.MAXIFS(Tasks[_Row],Tasks[Pred2 UID],Tasks[[#This Row],[UID]])))</f>
        <v>0</v>
      </c>
      <c r="BW1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" s="48" t="str">
        <f aca="false">IF(NOT(Tasks[[#This Row],[_IsLeaf]]=1),"",MIN(ProjectFinish,IF(N(Tasks[[#This Row],[Deadline]])&gt;0,Tasks[[#This Row],[Deadline]],2958465),Tasks[[#This Row],[_SuccessorFinishLimit]]))</f>
        <v/>
      </c>
      <c r="BY1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" s="47" t="b">
        <f aca="false">AND(Tasks[[#This Row],[_IsLeaf]]=1,Tasks[[#This Row],[_LeafProgress]]&lt;1,N(Tasks[[#This Row],[_LeafTotalSlack]])&lt;=CriticalSlackDays)</f>
        <v>0</v>
      </c>
      <c r="CB1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" s="46" t="n">
        <f aca="false">IF(AND(Tasks[[#This Row],[_IsLeaf]]=1,Tasks[[#This Row],[_LeafWork]]&gt;0),NETWORKDAYS.INTL(ProjectStart,Tasks[[#This Row],[_LeafFcstStart]],WorkWeek,Holidays),0)</f>
        <v>0</v>
      </c>
      <c r="CK1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" s="46" t="n">
        <f aca="false">IF(AND(Tasks[[#This Row],[_IsLeaf]]=1,Tasks[[#This Row],[_LeafWork]]&gt;0),Tasks[[#This Row],[_LeafWork]]/(Tasks[[#This Row],[_FinishWorkday]]-Tasks[[#This Row],[_StartWorkday]]+1),0)</f>
        <v>0</v>
      </c>
      <c r="CM10" s="46" t="n">
        <f aca="false">Tasks[[#This Row],[_WorkPerWorkday]]*(Tasks[[#This Row],[_StartWorkday]]-1)</f>
        <v>-0</v>
      </c>
      <c r="CN10" s="46" t="n">
        <f aca="false">IF(Tasks[[#This Row],[_IsLeaf]]=1,MAX(N(Tasks[[#This Row],[Duration]]),0.1),0)</f>
        <v>0</v>
      </c>
      <c r="CO10" s="46" t="n">
        <f aca="false">Tasks[[#This Row],[_WeightDur]]*Tasks[[#This Row],[_LeafProgress]]</f>
        <v>0</v>
      </c>
      <c r="CP1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" customFormat="false" ht="15" hidden="false" customHeight="false" outlineLevel="0" collapsed="false">
      <c r="A11" s="38" t="str">
        <f aca="false">IF(Tasks[[#This Row],[Task Name]]="","",COUNTA(Tasks[[#Headers],[Task Name]]:Tasks[[#This Row],[Task Name]])-1)</f>
        <v/>
      </c>
      <c r="B11" s="39" t="n">
        <v>6</v>
      </c>
      <c r="C1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" s="39"/>
      <c r="E11" s="40"/>
      <c r="F11" s="39"/>
      <c r="G11" s="39"/>
      <c r="H11" s="39"/>
      <c r="I11" s="39"/>
      <c r="J11" s="39"/>
      <c r="K11" s="39"/>
      <c r="L11" s="39"/>
      <c r="M11" s="39"/>
      <c r="N11" s="29"/>
      <c r="O11" s="29"/>
      <c r="P11" s="24" t="str">
        <f aca="false">IF(Tasks[[#This Row],[Task Name]]="","",IF(N(Tasks[[#This Row],[Baseline Start]])&gt;0,Tasks[[#This Row],[Baseline Start]],Tasks[[#This Row],[_CalcStart]]))</f>
        <v/>
      </c>
      <c r="Q11" s="24" t="str">
        <f aca="false">IF(Tasks[[#This Row],[Task Name]]="","",IF(N(Tasks[[#This Row],[Baseline Finish]])&gt;0,Tasks[[#This Row],[Baseline Finish]],Tasks[[#This Row],[_CalcFinish]]))</f>
        <v/>
      </c>
      <c r="R11" s="29"/>
      <c r="S11" s="29"/>
      <c r="T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" s="31"/>
      <c r="AF1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" s="40"/>
      <c r="AI11" s="31"/>
      <c r="AJ1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" s="40"/>
      <c r="AO11" s="24" t="str">
        <f aca="false">IF(Tasks[[#This Row],[Task Name]]="","",Tasks[[#This Row],[Forecast Start]])</f>
        <v/>
      </c>
      <c r="AP11" s="24" t="str">
        <f aca="false">IF(Tasks[[#This Row],[Task Name]]="","",Tasks[[#This Row],[Forecast Finish]])</f>
        <v/>
      </c>
      <c r="AQ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" s="42" t="str">
        <f aca="false">IF(Tasks[[#This Row],[Task Name]]="","",Tasks[[#This Row],[Work]])</f>
        <v/>
      </c>
      <c r="AS11" s="43" t="str">
        <f aca="false">IF(Tasks[[#This Row],[Task Name]]="","",Tasks[[#This Row],[Cost]])</f>
        <v/>
      </c>
      <c r="AT11" s="29"/>
      <c r="AU11" s="29"/>
      <c r="AV11" s="39"/>
      <c r="AW11" s="44"/>
      <c r="AX11" s="45"/>
      <c r="AY11" s="38" t="str">
        <f aca="false">IF(OR(Tasks[[#This Row],[Task Name]]="",Tasks[[#This Row],[Baseline Duration]]=""),"",Tasks[[#This Row],[BL Source Duration]]-N(Tasks[[#This Row],[Baseline Duration]]))</f>
        <v/>
      </c>
      <c r="AZ11" s="42" t="str">
        <f aca="false">IF(OR(Tasks[[#This Row],[Task Name]]="",Tasks[[#This Row],[Baseline Work]]=""),"",Tasks[[#This Row],[Work]]-N(Tasks[[#This Row],[Baseline Work]]))</f>
        <v/>
      </c>
      <c r="BA11" s="43" t="str">
        <f aca="false">IF(OR(Tasks[[#This Row],[Task Name]]="",Tasks[[#This Row],[Baseline Cost]]=""),"",Tasks[[#This Row],[Cost]]-N(Tasks[[#This Row],[Baseline Cost]]))</f>
        <v/>
      </c>
      <c r="BB11" s="46" t="str">
        <f aca="false">IF(Tasks[[#This Row],[Task Name]]="","",MAX(1,N(Tasks[[#This Row],[Level]])))</f>
        <v/>
      </c>
      <c r="BC11" s="46" t="n">
        <f aca="false">ROW()-ROW(Tasks[[#Headers],[ID]])</f>
        <v>6</v>
      </c>
      <c r="BD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" s="46" t="n">
        <f aca="false">IFERROR(N(INDEX(Tasks[_Level],Tasks[[#This Row],[_Row]]+1)),0)</f>
        <v>0</v>
      </c>
      <c r="BF11" s="47" t="b">
        <f aca="false">AND(Tasks[[#This Row],[Task Name]]&lt;&gt;"",Tasks[[#This Row],[_NextLevel]]&gt;Tasks[[#This Row],[_Level]])</f>
        <v>0</v>
      </c>
      <c r="BG11" s="46" t="n">
        <f aca="false">IF(Tasks[[#This Row],[_IsSummary]],COUNTIF(Tasks[WBS],Tasks[[#This Row],[WBS]]&amp;".*"),0)</f>
        <v>0</v>
      </c>
      <c r="BH11" s="46" t="n">
        <f aca="false">IF(AND(Tasks[[#This Row],[Task Name]]&lt;&gt;"",NOT(Tasks[[#This Row],[_IsSummary]])),1,0)</f>
        <v>0</v>
      </c>
      <c r="BI11" s="46" t="n">
        <f aca="false">IF(N(Tasks[[#This Row],[Pred1 UID]])=0,0,IFERROR(MATCH(Tasks[[#This Row],[Pred1 UID]],Tasks[UID],0),-1))</f>
        <v>0</v>
      </c>
      <c r="BJ11" s="46" t="n">
        <f aca="false">IF(N(Tasks[[#This Row],[Pred2 UID]])=0,0,IFERROR(MATCH(Tasks[[#This Row],[Pred2 UID]],Tasks[UID],0),-1))</f>
        <v>0</v>
      </c>
      <c r="BK1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" s="46" t="n">
        <f aca="false">IF(NOT(Tasks[[#This Row],[_IsLeaf]]=1),0,IF(N(Tasks[[#This Row],[Actual Finish]])&gt;0,1,MIN(1,N(Tasks[[#This Row],[% Complete]]))))</f>
        <v>0</v>
      </c>
      <c r="BP1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" s="46" t="n">
        <f aca="false">IF(Tasks[[#This Row],[_LeafWork]]=0,0,Tasks[[#This Row],[_LeafWork]]*IFERROR(INDEX(res_Rate,MATCH(Tasks[[#This Row],[Resource]],res_Name,0)),0))</f>
        <v>0</v>
      </c>
      <c r="BR1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" s="46" t="n">
        <f aca="false">IF(NOT(Tasks[[#This Row],[_IsLeaf]]=1),0,MAX(_xlfn.MAXIFS(Tasks[_Row],Tasks[Pred1 UID],Tasks[[#This Row],[UID]]),_xlfn.MAXIFS(Tasks[_Row],Tasks[Pred2 UID],Tasks[[#This Row],[UID]])))</f>
        <v>0</v>
      </c>
      <c r="BW1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" s="48" t="str">
        <f aca="false">IF(NOT(Tasks[[#This Row],[_IsLeaf]]=1),"",MIN(ProjectFinish,IF(N(Tasks[[#This Row],[Deadline]])&gt;0,Tasks[[#This Row],[Deadline]],2958465),Tasks[[#This Row],[_SuccessorFinishLimit]]))</f>
        <v/>
      </c>
      <c r="BY1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" s="47" t="b">
        <f aca="false">AND(Tasks[[#This Row],[_IsLeaf]]=1,Tasks[[#This Row],[_LeafProgress]]&lt;1,N(Tasks[[#This Row],[_LeafTotalSlack]])&lt;=CriticalSlackDays)</f>
        <v>0</v>
      </c>
      <c r="CB1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" s="46" t="n">
        <f aca="false">IF(AND(Tasks[[#This Row],[_IsLeaf]]=1,Tasks[[#This Row],[_LeafWork]]&gt;0),NETWORKDAYS.INTL(ProjectStart,Tasks[[#This Row],[_LeafFcstStart]],WorkWeek,Holidays),0)</f>
        <v>0</v>
      </c>
      <c r="CK1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" s="46" t="n">
        <f aca="false">IF(AND(Tasks[[#This Row],[_IsLeaf]]=1,Tasks[[#This Row],[_LeafWork]]&gt;0),Tasks[[#This Row],[_LeafWork]]/(Tasks[[#This Row],[_FinishWorkday]]-Tasks[[#This Row],[_StartWorkday]]+1),0)</f>
        <v>0</v>
      </c>
      <c r="CM11" s="46" t="n">
        <f aca="false">Tasks[[#This Row],[_WorkPerWorkday]]*(Tasks[[#This Row],[_StartWorkday]]-1)</f>
        <v>-0</v>
      </c>
      <c r="CN11" s="46" t="n">
        <f aca="false">IF(Tasks[[#This Row],[_IsLeaf]]=1,MAX(N(Tasks[[#This Row],[Duration]]),0.1),0)</f>
        <v>0</v>
      </c>
      <c r="CO11" s="46" t="n">
        <f aca="false">Tasks[[#This Row],[_WeightDur]]*Tasks[[#This Row],[_LeafProgress]]</f>
        <v>0</v>
      </c>
      <c r="CP1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" customFormat="false" ht="15" hidden="false" customHeight="false" outlineLevel="0" collapsed="false">
      <c r="A12" s="38" t="str">
        <f aca="false">IF(Tasks[[#This Row],[Task Name]]="","",COUNTA(Tasks[[#Headers],[Task Name]]:Tasks[[#This Row],[Task Name]])-1)</f>
        <v/>
      </c>
      <c r="B12" s="39" t="n">
        <v>7</v>
      </c>
      <c r="C1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" s="39"/>
      <c r="E12" s="40"/>
      <c r="F12" s="39"/>
      <c r="G12" s="39"/>
      <c r="H12" s="39"/>
      <c r="I12" s="39"/>
      <c r="J12" s="39"/>
      <c r="K12" s="39"/>
      <c r="L12" s="39"/>
      <c r="M12" s="39"/>
      <c r="N12" s="29"/>
      <c r="O12" s="29"/>
      <c r="P12" s="24" t="str">
        <f aca="false">IF(Tasks[[#This Row],[Task Name]]="","",IF(N(Tasks[[#This Row],[Baseline Start]])&gt;0,Tasks[[#This Row],[Baseline Start]],Tasks[[#This Row],[_CalcStart]]))</f>
        <v/>
      </c>
      <c r="Q12" s="24" t="str">
        <f aca="false">IF(Tasks[[#This Row],[Task Name]]="","",IF(N(Tasks[[#This Row],[Baseline Finish]])&gt;0,Tasks[[#This Row],[Baseline Finish]],Tasks[[#This Row],[_CalcFinish]]))</f>
        <v/>
      </c>
      <c r="R12" s="29"/>
      <c r="S12" s="29"/>
      <c r="T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" s="31"/>
      <c r="AF1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" s="40"/>
      <c r="AI12" s="31"/>
      <c r="AJ1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" s="40"/>
      <c r="AO12" s="24" t="str">
        <f aca="false">IF(Tasks[[#This Row],[Task Name]]="","",Tasks[[#This Row],[Forecast Start]])</f>
        <v/>
      </c>
      <c r="AP12" s="24" t="str">
        <f aca="false">IF(Tasks[[#This Row],[Task Name]]="","",Tasks[[#This Row],[Forecast Finish]])</f>
        <v/>
      </c>
      <c r="AQ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" s="42" t="str">
        <f aca="false">IF(Tasks[[#This Row],[Task Name]]="","",Tasks[[#This Row],[Work]])</f>
        <v/>
      </c>
      <c r="AS12" s="43" t="str">
        <f aca="false">IF(Tasks[[#This Row],[Task Name]]="","",Tasks[[#This Row],[Cost]])</f>
        <v/>
      </c>
      <c r="AT12" s="29"/>
      <c r="AU12" s="29"/>
      <c r="AV12" s="39"/>
      <c r="AW12" s="44"/>
      <c r="AX12" s="45"/>
      <c r="AY12" s="38" t="str">
        <f aca="false">IF(OR(Tasks[[#This Row],[Task Name]]="",Tasks[[#This Row],[Baseline Duration]]=""),"",Tasks[[#This Row],[BL Source Duration]]-N(Tasks[[#This Row],[Baseline Duration]]))</f>
        <v/>
      </c>
      <c r="AZ12" s="42" t="str">
        <f aca="false">IF(OR(Tasks[[#This Row],[Task Name]]="",Tasks[[#This Row],[Baseline Work]]=""),"",Tasks[[#This Row],[Work]]-N(Tasks[[#This Row],[Baseline Work]]))</f>
        <v/>
      </c>
      <c r="BA12" s="43" t="str">
        <f aca="false">IF(OR(Tasks[[#This Row],[Task Name]]="",Tasks[[#This Row],[Baseline Cost]]=""),"",Tasks[[#This Row],[Cost]]-N(Tasks[[#This Row],[Baseline Cost]]))</f>
        <v/>
      </c>
      <c r="BB12" s="46" t="str">
        <f aca="false">IF(Tasks[[#This Row],[Task Name]]="","",MAX(1,N(Tasks[[#This Row],[Level]])))</f>
        <v/>
      </c>
      <c r="BC12" s="46" t="n">
        <f aca="false">ROW()-ROW(Tasks[[#Headers],[ID]])</f>
        <v>7</v>
      </c>
      <c r="BD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" s="46" t="n">
        <f aca="false">IFERROR(N(INDEX(Tasks[_Level],Tasks[[#This Row],[_Row]]+1)),0)</f>
        <v>0</v>
      </c>
      <c r="BF12" s="47" t="b">
        <f aca="false">AND(Tasks[[#This Row],[Task Name]]&lt;&gt;"",Tasks[[#This Row],[_NextLevel]]&gt;Tasks[[#This Row],[_Level]])</f>
        <v>0</v>
      </c>
      <c r="BG12" s="46" t="n">
        <f aca="false">IF(Tasks[[#This Row],[_IsSummary]],COUNTIF(Tasks[WBS],Tasks[[#This Row],[WBS]]&amp;".*"),0)</f>
        <v>0</v>
      </c>
      <c r="BH12" s="46" t="n">
        <f aca="false">IF(AND(Tasks[[#This Row],[Task Name]]&lt;&gt;"",NOT(Tasks[[#This Row],[_IsSummary]])),1,0)</f>
        <v>0</v>
      </c>
      <c r="BI12" s="46" t="n">
        <f aca="false">IF(N(Tasks[[#This Row],[Pred1 UID]])=0,0,IFERROR(MATCH(Tasks[[#This Row],[Pred1 UID]],Tasks[UID],0),-1))</f>
        <v>0</v>
      </c>
      <c r="BJ12" s="46" t="n">
        <f aca="false">IF(N(Tasks[[#This Row],[Pred2 UID]])=0,0,IFERROR(MATCH(Tasks[[#This Row],[Pred2 UID]],Tasks[UID],0),-1))</f>
        <v>0</v>
      </c>
      <c r="BK1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" s="46" t="n">
        <f aca="false">IF(NOT(Tasks[[#This Row],[_IsLeaf]]=1),0,IF(N(Tasks[[#This Row],[Actual Finish]])&gt;0,1,MIN(1,N(Tasks[[#This Row],[% Complete]]))))</f>
        <v>0</v>
      </c>
      <c r="BP1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" s="46" t="n">
        <f aca="false">IF(Tasks[[#This Row],[_LeafWork]]=0,0,Tasks[[#This Row],[_LeafWork]]*IFERROR(INDEX(res_Rate,MATCH(Tasks[[#This Row],[Resource]],res_Name,0)),0))</f>
        <v>0</v>
      </c>
      <c r="BR1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" s="46" t="n">
        <f aca="false">IF(NOT(Tasks[[#This Row],[_IsLeaf]]=1),0,MAX(_xlfn.MAXIFS(Tasks[_Row],Tasks[Pred1 UID],Tasks[[#This Row],[UID]]),_xlfn.MAXIFS(Tasks[_Row],Tasks[Pred2 UID],Tasks[[#This Row],[UID]])))</f>
        <v>0</v>
      </c>
      <c r="BW1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" s="48" t="str">
        <f aca="false">IF(NOT(Tasks[[#This Row],[_IsLeaf]]=1),"",MIN(ProjectFinish,IF(N(Tasks[[#This Row],[Deadline]])&gt;0,Tasks[[#This Row],[Deadline]],2958465),Tasks[[#This Row],[_SuccessorFinishLimit]]))</f>
        <v/>
      </c>
      <c r="BY1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" s="47" t="b">
        <f aca="false">AND(Tasks[[#This Row],[_IsLeaf]]=1,Tasks[[#This Row],[_LeafProgress]]&lt;1,N(Tasks[[#This Row],[_LeafTotalSlack]])&lt;=CriticalSlackDays)</f>
        <v>0</v>
      </c>
      <c r="CB1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" s="46" t="n">
        <f aca="false">IF(AND(Tasks[[#This Row],[_IsLeaf]]=1,Tasks[[#This Row],[_LeafWork]]&gt;0),NETWORKDAYS.INTL(ProjectStart,Tasks[[#This Row],[_LeafFcstStart]],WorkWeek,Holidays),0)</f>
        <v>0</v>
      </c>
      <c r="CK1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" s="46" t="n">
        <f aca="false">IF(AND(Tasks[[#This Row],[_IsLeaf]]=1,Tasks[[#This Row],[_LeafWork]]&gt;0),Tasks[[#This Row],[_LeafWork]]/(Tasks[[#This Row],[_FinishWorkday]]-Tasks[[#This Row],[_StartWorkday]]+1),0)</f>
        <v>0</v>
      </c>
      <c r="CM12" s="46" t="n">
        <f aca="false">Tasks[[#This Row],[_WorkPerWorkday]]*(Tasks[[#This Row],[_StartWorkday]]-1)</f>
        <v>-0</v>
      </c>
      <c r="CN12" s="46" t="n">
        <f aca="false">IF(Tasks[[#This Row],[_IsLeaf]]=1,MAX(N(Tasks[[#This Row],[Duration]]),0.1),0)</f>
        <v>0</v>
      </c>
      <c r="CO12" s="46" t="n">
        <f aca="false">Tasks[[#This Row],[_WeightDur]]*Tasks[[#This Row],[_LeafProgress]]</f>
        <v>0</v>
      </c>
      <c r="CP1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" customFormat="false" ht="15" hidden="false" customHeight="false" outlineLevel="0" collapsed="false">
      <c r="A13" s="38" t="str">
        <f aca="false">IF(Tasks[[#This Row],[Task Name]]="","",COUNTA(Tasks[[#Headers],[Task Name]]:Tasks[[#This Row],[Task Name]])-1)</f>
        <v/>
      </c>
      <c r="B13" s="39" t="n">
        <v>8</v>
      </c>
      <c r="C1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" s="39"/>
      <c r="E13" s="40"/>
      <c r="F13" s="39"/>
      <c r="G13" s="39"/>
      <c r="H13" s="39"/>
      <c r="I13" s="39"/>
      <c r="J13" s="39"/>
      <c r="K13" s="39"/>
      <c r="L13" s="39"/>
      <c r="M13" s="39"/>
      <c r="N13" s="29"/>
      <c r="O13" s="29"/>
      <c r="P13" s="24" t="str">
        <f aca="false">IF(Tasks[[#This Row],[Task Name]]="","",IF(N(Tasks[[#This Row],[Baseline Start]])&gt;0,Tasks[[#This Row],[Baseline Start]],Tasks[[#This Row],[_CalcStart]]))</f>
        <v/>
      </c>
      <c r="Q13" s="24" t="str">
        <f aca="false">IF(Tasks[[#This Row],[Task Name]]="","",IF(N(Tasks[[#This Row],[Baseline Finish]])&gt;0,Tasks[[#This Row],[Baseline Finish]],Tasks[[#This Row],[_CalcFinish]]))</f>
        <v/>
      </c>
      <c r="R13" s="29"/>
      <c r="S13" s="29"/>
      <c r="T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" s="31"/>
      <c r="AF1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" s="40"/>
      <c r="AI13" s="31"/>
      <c r="AJ1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" s="40"/>
      <c r="AO13" s="24" t="str">
        <f aca="false">IF(Tasks[[#This Row],[Task Name]]="","",Tasks[[#This Row],[Forecast Start]])</f>
        <v/>
      </c>
      <c r="AP13" s="24" t="str">
        <f aca="false">IF(Tasks[[#This Row],[Task Name]]="","",Tasks[[#This Row],[Forecast Finish]])</f>
        <v/>
      </c>
      <c r="AQ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" s="42" t="str">
        <f aca="false">IF(Tasks[[#This Row],[Task Name]]="","",Tasks[[#This Row],[Work]])</f>
        <v/>
      </c>
      <c r="AS13" s="43" t="str">
        <f aca="false">IF(Tasks[[#This Row],[Task Name]]="","",Tasks[[#This Row],[Cost]])</f>
        <v/>
      </c>
      <c r="AT13" s="29"/>
      <c r="AU13" s="29"/>
      <c r="AV13" s="39"/>
      <c r="AW13" s="44"/>
      <c r="AX13" s="45"/>
      <c r="AY13" s="38" t="str">
        <f aca="false">IF(OR(Tasks[[#This Row],[Task Name]]="",Tasks[[#This Row],[Baseline Duration]]=""),"",Tasks[[#This Row],[BL Source Duration]]-N(Tasks[[#This Row],[Baseline Duration]]))</f>
        <v/>
      </c>
      <c r="AZ13" s="42" t="str">
        <f aca="false">IF(OR(Tasks[[#This Row],[Task Name]]="",Tasks[[#This Row],[Baseline Work]]=""),"",Tasks[[#This Row],[Work]]-N(Tasks[[#This Row],[Baseline Work]]))</f>
        <v/>
      </c>
      <c r="BA13" s="43" t="str">
        <f aca="false">IF(OR(Tasks[[#This Row],[Task Name]]="",Tasks[[#This Row],[Baseline Cost]]=""),"",Tasks[[#This Row],[Cost]]-N(Tasks[[#This Row],[Baseline Cost]]))</f>
        <v/>
      </c>
      <c r="BB13" s="46" t="str">
        <f aca="false">IF(Tasks[[#This Row],[Task Name]]="","",MAX(1,N(Tasks[[#This Row],[Level]])))</f>
        <v/>
      </c>
      <c r="BC13" s="46" t="n">
        <f aca="false">ROW()-ROW(Tasks[[#Headers],[ID]])</f>
        <v>8</v>
      </c>
      <c r="BD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" s="46" t="n">
        <f aca="false">IFERROR(N(INDEX(Tasks[_Level],Tasks[[#This Row],[_Row]]+1)),0)</f>
        <v>0</v>
      </c>
      <c r="BF13" s="47" t="b">
        <f aca="false">AND(Tasks[[#This Row],[Task Name]]&lt;&gt;"",Tasks[[#This Row],[_NextLevel]]&gt;Tasks[[#This Row],[_Level]])</f>
        <v>0</v>
      </c>
      <c r="BG13" s="46" t="n">
        <f aca="false">IF(Tasks[[#This Row],[_IsSummary]],COUNTIF(Tasks[WBS],Tasks[[#This Row],[WBS]]&amp;".*"),0)</f>
        <v>0</v>
      </c>
      <c r="BH13" s="46" t="n">
        <f aca="false">IF(AND(Tasks[[#This Row],[Task Name]]&lt;&gt;"",NOT(Tasks[[#This Row],[_IsSummary]])),1,0)</f>
        <v>0</v>
      </c>
      <c r="BI13" s="46" t="n">
        <f aca="false">IF(N(Tasks[[#This Row],[Pred1 UID]])=0,0,IFERROR(MATCH(Tasks[[#This Row],[Pred1 UID]],Tasks[UID],0),-1))</f>
        <v>0</v>
      </c>
      <c r="BJ13" s="46" t="n">
        <f aca="false">IF(N(Tasks[[#This Row],[Pred2 UID]])=0,0,IFERROR(MATCH(Tasks[[#This Row],[Pred2 UID]],Tasks[UID],0),-1))</f>
        <v>0</v>
      </c>
      <c r="BK1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" s="46" t="n">
        <f aca="false">IF(NOT(Tasks[[#This Row],[_IsLeaf]]=1),0,IF(N(Tasks[[#This Row],[Actual Finish]])&gt;0,1,MIN(1,N(Tasks[[#This Row],[% Complete]]))))</f>
        <v>0</v>
      </c>
      <c r="BP1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" s="46" t="n">
        <f aca="false">IF(Tasks[[#This Row],[_LeafWork]]=0,0,Tasks[[#This Row],[_LeafWork]]*IFERROR(INDEX(res_Rate,MATCH(Tasks[[#This Row],[Resource]],res_Name,0)),0))</f>
        <v>0</v>
      </c>
      <c r="BR1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" s="46" t="n">
        <f aca="false">IF(NOT(Tasks[[#This Row],[_IsLeaf]]=1),0,MAX(_xlfn.MAXIFS(Tasks[_Row],Tasks[Pred1 UID],Tasks[[#This Row],[UID]]),_xlfn.MAXIFS(Tasks[_Row],Tasks[Pred2 UID],Tasks[[#This Row],[UID]])))</f>
        <v>0</v>
      </c>
      <c r="BW1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" s="48" t="str">
        <f aca="false">IF(NOT(Tasks[[#This Row],[_IsLeaf]]=1),"",MIN(ProjectFinish,IF(N(Tasks[[#This Row],[Deadline]])&gt;0,Tasks[[#This Row],[Deadline]],2958465),Tasks[[#This Row],[_SuccessorFinishLimit]]))</f>
        <v/>
      </c>
      <c r="BY1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" s="47" t="b">
        <f aca="false">AND(Tasks[[#This Row],[_IsLeaf]]=1,Tasks[[#This Row],[_LeafProgress]]&lt;1,N(Tasks[[#This Row],[_LeafTotalSlack]])&lt;=CriticalSlackDays)</f>
        <v>0</v>
      </c>
      <c r="CB1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" s="46" t="n">
        <f aca="false">IF(AND(Tasks[[#This Row],[_IsLeaf]]=1,Tasks[[#This Row],[_LeafWork]]&gt;0),NETWORKDAYS.INTL(ProjectStart,Tasks[[#This Row],[_LeafFcstStart]],WorkWeek,Holidays),0)</f>
        <v>0</v>
      </c>
      <c r="CK1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" s="46" t="n">
        <f aca="false">IF(AND(Tasks[[#This Row],[_IsLeaf]]=1,Tasks[[#This Row],[_LeafWork]]&gt;0),Tasks[[#This Row],[_LeafWork]]/(Tasks[[#This Row],[_FinishWorkday]]-Tasks[[#This Row],[_StartWorkday]]+1),0)</f>
        <v>0</v>
      </c>
      <c r="CM13" s="46" t="n">
        <f aca="false">Tasks[[#This Row],[_WorkPerWorkday]]*(Tasks[[#This Row],[_StartWorkday]]-1)</f>
        <v>-0</v>
      </c>
      <c r="CN13" s="46" t="n">
        <f aca="false">IF(Tasks[[#This Row],[_IsLeaf]]=1,MAX(N(Tasks[[#This Row],[Duration]]),0.1),0)</f>
        <v>0</v>
      </c>
      <c r="CO13" s="46" t="n">
        <f aca="false">Tasks[[#This Row],[_WeightDur]]*Tasks[[#This Row],[_LeafProgress]]</f>
        <v>0</v>
      </c>
      <c r="CP1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" customFormat="false" ht="15" hidden="false" customHeight="false" outlineLevel="0" collapsed="false">
      <c r="A14" s="38" t="str">
        <f aca="false">IF(Tasks[[#This Row],[Task Name]]="","",COUNTA(Tasks[[#Headers],[Task Name]]:Tasks[[#This Row],[Task Name]])-1)</f>
        <v/>
      </c>
      <c r="B14" s="39" t="n">
        <v>9</v>
      </c>
      <c r="C1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" s="39"/>
      <c r="E14" s="40"/>
      <c r="F14" s="39"/>
      <c r="G14" s="39"/>
      <c r="H14" s="39"/>
      <c r="I14" s="39"/>
      <c r="J14" s="39"/>
      <c r="K14" s="39"/>
      <c r="L14" s="39"/>
      <c r="M14" s="39"/>
      <c r="N14" s="29"/>
      <c r="O14" s="29"/>
      <c r="P14" s="24" t="str">
        <f aca="false">IF(Tasks[[#This Row],[Task Name]]="","",IF(N(Tasks[[#This Row],[Baseline Start]])&gt;0,Tasks[[#This Row],[Baseline Start]],Tasks[[#This Row],[_CalcStart]]))</f>
        <v/>
      </c>
      <c r="Q14" s="24" t="str">
        <f aca="false">IF(Tasks[[#This Row],[Task Name]]="","",IF(N(Tasks[[#This Row],[Baseline Finish]])&gt;0,Tasks[[#This Row],[Baseline Finish]],Tasks[[#This Row],[_CalcFinish]]))</f>
        <v/>
      </c>
      <c r="R14" s="29"/>
      <c r="S14" s="29"/>
      <c r="T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" s="31"/>
      <c r="AF1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" s="40"/>
      <c r="AI14" s="31"/>
      <c r="AJ1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" s="40"/>
      <c r="AO14" s="24" t="str">
        <f aca="false">IF(Tasks[[#This Row],[Task Name]]="","",Tasks[[#This Row],[Forecast Start]])</f>
        <v/>
      </c>
      <c r="AP14" s="24" t="str">
        <f aca="false">IF(Tasks[[#This Row],[Task Name]]="","",Tasks[[#This Row],[Forecast Finish]])</f>
        <v/>
      </c>
      <c r="AQ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" s="42" t="str">
        <f aca="false">IF(Tasks[[#This Row],[Task Name]]="","",Tasks[[#This Row],[Work]])</f>
        <v/>
      </c>
      <c r="AS14" s="43" t="str">
        <f aca="false">IF(Tasks[[#This Row],[Task Name]]="","",Tasks[[#This Row],[Cost]])</f>
        <v/>
      </c>
      <c r="AT14" s="29"/>
      <c r="AU14" s="29"/>
      <c r="AV14" s="39"/>
      <c r="AW14" s="44"/>
      <c r="AX14" s="45"/>
      <c r="AY14" s="38" t="str">
        <f aca="false">IF(OR(Tasks[[#This Row],[Task Name]]="",Tasks[[#This Row],[Baseline Duration]]=""),"",Tasks[[#This Row],[BL Source Duration]]-N(Tasks[[#This Row],[Baseline Duration]]))</f>
        <v/>
      </c>
      <c r="AZ14" s="42" t="str">
        <f aca="false">IF(OR(Tasks[[#This Row],[Task Name]]="",Tasks[[#This Row],[Baseline Work]]=""),"",Tasks[[#This Row],[Work]]-N(Tasks[[#This Row],[Baseline Work]]))</f>
        <v/>
      </c>
      <c r="BA14" s="43" t="str">
        <f aca="false">IF(OR(Tasks[[#This Row],[Task Name]]="",Tasks[[#This Row],[Baseline Cost]]=""),"",Tasks[[#This Row],[Cost]]-N(Tasks[[#This Row],[Baseline Cost]]))</f>
        <v/>
      </c>
      <c r="BB14" s="46" t="str">
        <f aca="false">IF(Tasks[[#This Row],[Task Name]]="","",MAX(1,N(Tasks[[#This Row],[Level]])))</f>
        <v/>
      </c>
      <c r="BC14" s="46" t="n">
        <f aca="false">ROW()-ROW(Tasks[[#Headers],[ID]])</f>
        <v>9</v>
      </c>
      <c r="BD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" s="46" t="n">
        <f aca="false">IFERROR(N(INDEX(Tasks[_Level],Tasks[[#This Row],[_Row]]+1)),0)</f>
        <v>0</v>
      </c>
      <c r="BF14" s="47" t="b">
        <f aca="false">AND(Tasks[[#This Row],[Task Name]]&lt;&gt;"",Tasks[[#This Row],[_NextLevel]]&gt;Tasks[[#This Row],[_Level]])</f>
        <v>0</v>
      </c>
      <c r="BG14" s="46" t="n">
        <f aca="false">IF(Tasks[[#This Row],[_IsSummary]],COUNTIF(Tasks[WBS],Tasks[[#This Row],[WBS]]&amp;".*"),0)</f>
        <v>0</v>
      </c>
      <c r="BH14" s="46" t="n">
        <f aca="false">IF(AND(Tasks[[#This Row],[Task Name]]&lt;&gt;"",NOT(Tasks[[#This Row],[_IsSummary]])),1,0)</f>
        <v>0</v>
      </c>
      <c r="BI14" s="46" t="n">
        <f aca="false">IF(N(Tasks[[#This Row],[Pred1 UID]])=0,0,IFERROR(MATCH(Tasks[[#This Row],[Pred1 UID]],Tasks[UID],0),-1))</f>
        <v>0</v>
      </c>
      <c r="BJ14" s="46" t="n">
        <f aca="false">IF(N(Tasks[[#This Row],[Pred2 UID]])=0,0,IFERROR(MATCH(Tasks[[#This Row],[Pred2 UID]],Tasks[UID],0),-1))</f>
        <v>0</v>
      </c>
      <c r="BK1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" s="46" t="n">
        <f aca="false">IF(NOT(Tasks[[#This Row],[_IsLeaf]]=1),0,IF(N(Tasks[[#This Row],[Actual Finish]])&gt;0,1,MIN(1,N(Tasks[[#This Row],[% Complete]]))))</f>
        <v>0</v>
      </c>
      <c r="BP1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" s="46" t="n">
        <f aca="false">IF(Tasks[[#This Row],[_LeafWork]]=0,0,Tasks[[#This Row],[_LeafWork]]*IFERROR(INDEX(res_Rate,MATCH(Tasks[[#This Row],[Resource]],res_Name,0)),0))</f>
        <v>0</v>
      </c>
      <c r="BR1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" s="46" t="n">
        <f aca="false">IF(NOT(Tasks[[#This Row],[_IsLeaf]]=1),0,MAX(_xlfn.MAXIFS(Tasks[_Row],Tasks[Pred1 UID],Tasks[[#This Row],[UID]]),_xlfn.MAXIFS(Tasks[_Row],Tasks[Pred2 UID],Tasks[[#This Row],[UID]])))</f>
        <v>0</v>
      </c>
      <c r="BW1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" s="48" t="str">
        <f aca="false">IF(NOT(Tasks[[#This Row],[_IsLeaf]]=1),"",MIN(ProjectFinish,IF(N(Tasks[[#This Row],[Deadline]])&gt;0,Tasks[[#This Row],[Deadline]],2958465),Tasks[[#This Row],[_SuccessorFinishLimit]]))</f>
        <v/>
      </c>
      <c r="BY1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" s="47" t="b">
        <f aca="false">AND(Tasks[[#This Row],[_IsLeaf]]=1,Tasks[[#This Row],[_LeafProgress]]&lt;1,N(Tasks[[#This Row],[_LeafTotalSlack]])&lt;=CriticalSlackDays)</f>
        <v>0</v>
      </c>
      <c r="CB1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" s="46" t="n">
        <f aca="false">IF(AND(Tasks[[#This Row],[_IsLeaf]]=1,Tasks[[#This Row],[_LeafWork]]&gt;0),NETWORKDAYS.INTL(ProjectStart,Tasks[[#This Row],[_LeafFcstStart]],WorkWeek,Holidays),0)</f>
        <v>0</v>
      </c>
      <c r="CK1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" s="46" t="n">
        <f aca="false">IF(AND(Tasks[[#This Row],[_IsLeaf]]=1,Tasks[[#This Row],[_LeafWork]]&gt;0),Tasks[[#This Row],[_LeafWork]]/(Tasks[[#This Row],[_FinishWorkday]]-Tasks[[#This Row],[_StartWorkday]]+1),0)</f>
        <v>0</v>
      </c>
      <c r="CM14" s="46" t="n">
        <f aca="false">Tasks[[#This Row],[_WorkPerWorkday]]*(Tasks[[#This Row],[_StartWorkday]]-1)</f>
        <v>-0</v>
      </c>
      <c r="CN14" s="46" t="n">
        <f aca="false">IF(Tasks[[#This Row],[_IsLeaf]]=1,MAX(N(Tasks[[#This Row],[Duration]]),0.1),0)</f>
        <v>0</v>
      </c>
      <c r="CO14" s="46" t="n">
        <f aca="false">Tasks[[#This Row],[_WeightDur]]*Tasks[[#This Row],[_LeafProgress]]</f>
        <v>0</v>
      </c>
      <c r="CP1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" customFormat="false" ht="15" hidden="false" customHeight="false" outlineLevel="0" collapsed="false">
      <c r="A15" s="38" t="str">
        <f aca="false">IF(Tasks[[#This Row],[Task Name]]="","",COUNTA(Tasks[[#Headers],[Task Name]]:Tasks[[#This Row],[Task Name]])-1)</f>
        <v/>
      </c>
      <c r="B15" s="39" t="n">
        <v>10</v>
      </c>
      <c r="C1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" s="39"/>
      <c r="E15" s="40"/>
      <c r="F15" s="39"/>
      <c r="G15" s="39"/>
      <c r="H15" s="39"/>
      <c r="I15" s="39"/>
      <c r="J15" s="39"/>
      <c r="K15" s="39"/>
      <c r="L15" s="39"/>
      <c r="M15" s="39"/>
      <c r="N15" s="29"/>
      <c r="O15" s="29"/>
      <c r="P15" s="24" t="str">
        <f aca="false">IF(Tasks[[#This Row],[Task Name]]="","",IF(N(Tasks[[#This Row],[Baseline Start]])&gt;0,Tasks[[#This Row],[Baseline Start]],Tasks[[#This Row],[_CalcStart]]))</f>
        <v/>
      </c>
      <c r="Q15" s="24" t="str">
        <f aca="false">IF(Tasks[[#This Row],[Task Name]]="","",IF(N(Tasks[[#This Row],[Baseline Finish]])&gt;0,Tasks[[#This Row],[Baseline Finish]],Tasks[[#This Row],[_CalcFinish]]))</f>
        <v/>
      </c>
      <c r="R15" s="29"/>
      <c r="S15" s="29"/>
      <c r="T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" s="31"/>
      <c r="AF1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" s="40"/>
      <c r="AI15" s="31"/>
      <c r="AJ1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" s="40"/>
      <c r="AO15" s="24" t="str">
        <f aca="false">IF(Tasks[[#This Row],[Task Name]]="","",Tasks[[#This Row],[Forecast Start]])</f>
        <v/>
      </c>
      <c r="AP15" s="24" t="str">
        <f aca="false">IF(Tasks[[#This Row],[Task Name]]="","",Tasks[[#This Row],[Forecast Finish]])</f>
        <v/>
      </c>
      <c r="AQ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" s="42" t="str">
        <f aca="false">IF(Tasks[[#This Row],[Task Name]]="","",Tasks[[#This Row],[Work]])</f>
        <v/>
      </c>
      <c r="AS15" s="43" t="str">
        <f aca="false">IF(Tasks[[#This Row],[Task Name]]="","",Tasks[[#This Row],[Cost]])</f>
        <v/>
      </c>
      <c r="AT15" s="29"/>
      <c r="AU15" s="29"/>
      <c r="AV15" s="39"/>
      <c r="AW15" s="44"/>
      <c r="AX15" s="45"/>
      <c r="AY15" s="38" t="str">
        <f aca="false">IF(OR(Tasks[[#This Row],[Task Name]]="",Tasks[[#This Row],[Baseline Duration]]=""),"",Tasks[[#This Row],[BL Source Duration]]-N(Tasks[[#This Row],[Baseline Duration]]))</f>
        <v/>
      </c>
      <c r="AZ15" s="42" t="str">
        <f aca="false">IF(OR(Tasks[[#This Row],[Task Name]]="",Tasks[[#This Row],[Baseline Work]]=""),"",Tasks[[#This Row],[Work]]-N(Tasks[[#This Row],[Baseline Work]]))</f>
        <v/>
      </c>
      <c r="BA15" s="43" t="str">
        <f aca="false">IF(OR(Tasks[[#This Row],[Task Name]]="",Tasks[[#This Row],[Baseline Cost]]=""),"",Tasks[[#This Row],[Cost]]-N(Tasks[[#This Row],[Baseline Cost]]))</f>
        <v/>
      </c>
      <c r="BB15" s="46" t="str">
        <f aca="false">IF(Tasks[[#This Row],[Task Name]]="","",MAX(1,N(Tasks[[#This Row],[Level]])))</f>
        <v/>
      </c>
      <c r="BC15" s="46" t="n">
        <f aca="false">ROW()-ROW(Tasks[[#Headers],[ID]])</f>
        <v>10</v>
      </c>
      <c r="BD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" s="46" t="n">
        <f aca="false">IFERROR(N(INDEX(Tasks[_Level],Tasks[[#This Row],[_Row]]+1)),0)</f>
        <v>0</v>
      </c>
      <c r="BF15" s="47" t="b">
        <f aca="false">AND(Tasks[[#This Row],[Task Name]]&lt;&gt;"",Tasks[[#This Row],[_NextLevel]]&gt;Tasks[[#This Row],[_Level]])</f>
        <v>0</v>
      </c>
      <c r="BG15" s="46" t="n">
        <f aca="false">IF(Tasks[[#This Row],[_IsSummary]],COUNTIF(Tasks[WBS],Tasks[[#This Row],[WBS]]&amp;".*"),0)</f>
        <v>0</v>
      </c>
      <c r="BH15" s="46" t="n">
        <f aca="false">IF(AND(Tasks[[#This Row],[Task Name]]&lt;&gt;"",NOT(Tasks[[#This Row],[_IsSummary]])),1,0)</f>
        <v>0</v>
      </c>
      <c r="BI15" s="46" t="n">
        <f aca="false">IF(N(Tasks[[#This Row],[Pred1 UID]])=0,0,IFERROR(MATCH(Tasks[[#This Row],[Pred1 UID]],Tasks[UID],0),-1))</f>
        <v>0</v>
      </c>
      <c r="BJ15" s="46" t="n">
        <f aca="false">IF(N(Tasks[[#This Row],[Pred2 UID]])=0,0,IFERROR(MATCH(Tasks[[#This Row],[Pred2 UID]],Tasks[UID],0),-1))</f>
        <v>0</v>
      </c>
      <c r="BK1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" s="46" t="n">
        <f aca="false">IF(NOT(Tasks[[#This Row],[_IsLeaf]]=1),0,IF(N(Tasks[[#This Row],[Actual Finish]])&gt;0,1,MIN(1,N(Tasks[[#This Row],[% Complete]]))))</f>
        <v>0</v>
      </c>
      <c r="BP1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" s="46" t="n">
        <f aca="false">IF(Tasks[[#This Row],[_LeafWork]]=0,0,Tasks[[#This Row],[_LeafWork]]*IFERROR(INDEX(res_Rate,MATCH(Tasks[[#This Row],[Resource]],res_Name,0)),0))</f>
        <v>0</v>
      </c>
      <c r="BR1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" s="46" t="n">
        <f aca="false">IF(NOT(Tasks[[#This Row],[_IsLeaf]]=1),0,MAX(_xlfn.MAXIFS(Tasks[_Row],Tasks[Pred1 UID],Tasks[[#This Row],[UID]]),_xlfn.MAXIFS(Tasks[_Row],Tasks[Pred2 UID],Tasks[[#This Row],[UID]])))</f>
        <v>0</v>
      </c>
      <c r="BW1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" s="48" t="str">
        <f aca="false">IF(NOT(Tasks[[#This Row],[_IsLeaf]]=1),"",MIN(ProjectFinish,IF(N(Tasks[[#This Row],[Deadline]])&gt;0,Tasks[[#This Row],[Deadline]],2958465),Tasks[[#This Row],[_SuccessorFinishLimit]]))</f>
        <v/>
      </c>
      <c r="BY1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" s="47" t="b">
        <f aca="false">AND(Tasks[[#This Row],[_IsLeaf]]=1,Tasks[[#This Row],[_LeafProgress]]&lt;1,N(Tasks[[#This Row],[_LeafTotalSlack]])&lt;=CriticalSlackDays)</f>
        <v>0</v>
      </c>
      <c r="CB1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" s="46" t="n">
        <f aca="false">IF(AND(Tasks[[#This Row],[_IsLeaf]]=1,Tasks[[#This Row],[_LeafWork]]&gt;0),NETWORKDAYS.INTL(ProjectStart,Tasks[[#This Row],[_LeafFcstStart]],WorkWeek,Holidays),0)</f>
        <v>0</v>
      </c>
      <c r="CK1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" s="46" t="n">
        <f aca="false">IF(AND(Tasks[[#This Row],[_IsLeaf]]=1,Tasks[[#This Row],[_LeafWork]]&gt;0),Tasks[[#This Row],[_LeafWork]]/(Tasks[[#This Row],[_FinishWorkday]]-Tasks[[#This Row],[_StartWorkday]]+1),0)</f>
        <v>0</v>
      </c>
      <c r="CM15" s="46" t="n">
        <f aca="false">Tasks[[#This Row],[_WorkPerWorkday]]*(Tasks[[#This Row],[_StartWorkday]]-1)</f>
        <v>-0</v>
      </c>
      <c r="CN15" s="46" t="n">
        <f aca="false">IF(Tasks[[#This Row],[_IsLeaf]]=1,MAX(N(Tasks[[#This Row],[Duration]]),0.1),0)</f>
        <v>0</v>
      </c>
      <c r="CO15" s="46" t="n">
        <f aca="false">Tasks[[#This Row],[_WeightDur]]*Tasks[[#This Row],[_LeafProgress]]</f>
        <v>0</v>
      </c>
      <c r="CP1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" customFormat="false" ht="15" hidden="false" customHeight="false" outlineLevel="0" collapsed="false">
      <c r="A16" s="38" t="str">
        <f aca="false">IF(Tasks[[#This Row],[Task Name]]="","",COUNTA(Tasks[[#Headers],[Task Name]]:Tasks[[#This Row],[Task Name]])-1)</f>
        <v/>
      </c>
      <c r="B16" s="39" t="n">
        <v>11</v>
      </c>
      <c r="C1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" s="39"/>
      <c r="E16" s="40"/>
      <c r="F16" s="39"/>
      <c r="G16" s="39"/>
      <c r="H16" s="39"/>
      <c r="I16" s="39"/>
      <c r="J16" s="39"/>
      <c r="K16" s="39"/>
      <c r="L16" s="39"/>
      <c r="M16" s="39"/>
      <c r="N16" s="29"/>
      <c r="O16" s="29"/>
      <c r="P16" s="24" t="str">
        <f aca="false">IF(Tasks[[#This Row],[Task Name]]="","",IF(N(Tasks[[#This Row],[Baseline Start]])&gt;0,Tasks[[#This Row],[Baseline Start]],Tasks[[#This Row],[_CalcStart]]))</f>
        <v/>
      </c>
      <c r="Q16" s="24" t="str">
        <f aca="false">IF(Tasks[[#This Row],[Task Name]]="","",IF(N(Tasks[[#This Row],[Baseline Finish]])&gt;0,Tasks[[#This Row],[Baseline Finish]],Tasks[[#This Row],[_CalcFinish]]))</f>
        <v/>
      </c>
      <c r="R16" s="29"/>
      <c r="S16" s="29"/>
      <c r="T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" s="31"/>
      <c r="AF1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" s="40"/>
      <c r="AI16" s="31"/>
      <c r="AJ1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" s="40"/>
      <c r="AO16" s="24" t="str">
        <f aca="false">IF(Tasks[[#This Row],[Task Name]]="","",Tasks[[#This Row],[Forecast Start]])</f>
        <v/>
      </c>
      <c r="AP16" s="24" t="str">
        <f aca="false">IF(Tasks[[#This Row],[Task Name]]="","",Tasks[[#This Row],[Forecast Finish]])</f>
        <v/>
      </c>
      <c r="AQ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" s="42" t="str">
        <f aca="false">IF(Tasks[[#This Row],[Task Name]]="","",Tasks[[#This Row],[Work]])</f>
        <v/>
      </c>
      <c r="AS16" s="43" t="str">
        <f aca="false">IF(Tasks[[#This Row],[Task Name]]="","",Tasks[[#This Row],[Cost]])</f>
        <v/>
      </c>
      <c r="AT16" s="29"/>
      <c r="AU16" s="29"/>
      <c r="AV16" s="39"/>
      <c r="AW16" s="44"/>
      <c r="AX16" s="45"/>
      <c r="AY16" s="38" t="str">
        <f aca="false">IF(OR(Tasks[[#This Row],[Task Name]]="",Tasks[[#This Row],[Baseline Duration]]=""),"",Tasks[[#This Row],[BL Source Duration]]-N(Tasks[[#This Row],[Baseline Duration]]))</f>
        <v/>
      </c>
      <c r="AZ16" s="42" t="str">
        <f aca="false">IF(OR(Tasks[[#This Row],[Task Name]]="",Tasks[[#This Row],[Baseline Work]]=""),"",Tasks[[#This Row],[Work]]-N(Tasks[[#This Row],[Baseline Work]]))</f>
        <v/>
      </c>
      <c r="BA16" s="43" t="str">
        <f aca="false">IF(OR(Tasks[[#This Row],[Task Name]]="",Tasks[[#This Row],[Baseline Cost]]=""),"",Tasks[[#This Row],[Cost]]-N(Tasks[[#This Row],[Baseline Cost]]))</f>
        <v/>
      </c>
      <c r="BB16" s="46" t="str">
        <f aca="false">IF(Tasks[[#This Row],[Task Name]]="","",MAX(1,N(Tasks[[#This Row],[Level]])))</f>
        <v/>
      </c>
      <c r="BC16" s="46" t="n">
        <f aca="false">ROW()-ROW(Tasks[[#Headers],[ID]])</f>
        <v>11</v>
      </c>
      <c r="BD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" s="46" t="n">
        <f aca="false">IFERROR(N(INDEX(Tasks[_Level],Tasks[[#This Row],[_Row]]+1)),0)</f>
        <v>0</v>
      </c>
      <c r="BF16" s="47" t="b">
        <f aca="false">AND(Tasks[[#This Row],[Task Name]]&lt;&gt;"",Tasks[[#This Row],[_NextLevel]]&gt;Tasks[[#This Row],[_Level]])</f>
        <v>0</v>
      </c>
      <c r="BG16" s="46" t="n">
        <f aca="false">IF(Tasks[[#This Row],[_IsSummary]],COUNTIF(Tasks[WBS],Tasks[[#This Row],[WBS]]&amp;".*"),0)</f>
        <v>0</v>
      </c>
      <c r="BH16" s="46" t="n">
        <f aca="false">IF(AND(Tasks[[#This Row],[Task Name]]&lt;&gt;"",NOT(Tasks[[#This Row],[_IsSummary]])),1,0)</f>
        <v>0</v>
      </c>
      <c r="BI16" s="46" t="n">
        <f aca="false">IF(N(Tasks[[#This Row],[Pred1 UID]])=0,0,IFERROR(MATCH(Tasks[[#This Row],[Pred1 UID]],Tasks[UID],0),-1))</f>
        <v>0</v>
      </c>
      <c r="BJ16" s="46" t="n">
        <f aca="false">IF(N(Tasks[[#This Row],[Pred2 UID]])=0,0,IFERROR(MATCH(Tasks[[#This Row],[Pred2 UID]],Tasks[UID],0),-1))</f>
        <v>0</v>
      </c>
      <c r="BK1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" s="46" t="n">
        <f aca="false">IF(NOT(Tasks[[#This Row],[_IsLeaf]]=1),0,IF(N(Tasks[[#This Row],[Actual Finish]])&gt;0,1,MIN(1,N(Tasks[[#This Row],[% Complete]]))))</f>
        <v>0</v>
      </c>
      <c r="BP1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" s="46" t="n">
        <f aca="false">IF(Tasks[[#This Row],[_LeafWork]]=0,0,Tasks[[#This Row],[_LeafWork]]*IFERROR(INDEX(res_Rate,MATCH(Tasks[[#This Row],[Resource]],res_Name,0)),0))</f>
        <v>0</v>
      </c>
      <c r="BR1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" s="46" t="n">
        <f aca="false">IF(NOT(Tasks[[#This Row],[_IsLeaf]]=1),0,MAX(_xlfn.MAXIFS(Tasks[_Row],Tasks[Pred1 UID],Tasks[[#This Row],[UID]]),_xlfn.MAXIFS(Tasks[_Row],Tasks[Pred2 UID],Tasks[[#This Row],[UID]])))</f>
        <v>0</v>
      </c>
      <c r="BW1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" s="48" t="str">
        <f aca="false">IF(NOT(Tasks[[#This Row],[_IsLeaf]]=1),"",MIN(ProjectFinish,IF(N(Tasks[[#This Row],[Deadline]])&gt;0,Tasks[[#This Row],[Deadline]],2958465),Tasks[[#This Row],[_SuccessorFinishLimit]]))</f>
        <v/>
      </c>
      <c r="BY1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" s="47" t="b">
        <f aca="false">AND(Tasks[[#This Row],[_IsLeaf]]=1,Tasks[[#This Row],[_LeafProgress]]&lt;1,N(Tasks[[#This Row],[_LeafTotalSlack]])&lt;=CriticalSlackDays)</f>
        <v>0</v>
      </c>
      <c r="CB1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" s="46" t="n">
        <f aca="false">IF(AND(Tasks[[#This Row],[_IsLeaf]]=1,Tasks[[#This Row],[_LeafWork]]&gt;0),NETWORKDAYS.INTL(ProjectStart,Tasks[[#This Row],[_LeafFcstStart]],WorkWeek,Holidays),0)</f>
        <v>0</v>
      </c>
      <c r="CK1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" s="46" t="n">
        <f aca="false">IF(AND(Tasks[[#This Row],[_IsLeaf]]=1,Tasks[[#This Row],[_LeafWork]]&gt;0),Tasks[[#This Row],[_LeafWork]]/(Tasks[[#This Row],[_FinishWorkday]]-Tasks[[#This Row],[_StartWorkday]]+1),0)</f>
        <v>0</v>
      </c>
      <c r="CM16" s="46" t="n">
        <f aca="false">Tasks[[#This Row],[_WorkPerWorkday]]*(Tasks[[#This Row],[_StartWorkday]]-1)</f>
        <v>-0</v>
      </c>
      <c r="CN16" s="46" t="n">
        <f aca="false">IF(Tasks[[#This Row],[_IsLeaf]]=1,MAX(N(Tasks[[#This Row],[Duration]]),0.1),0)</f>
        <v>0</v>
      </c>
      <c r="CO16" s="46" t="n">
        <f aca="false">Tasks[[#This Row],[_WeightDur]]*Tasks[[#This Row],[_LeafProgress]]</f>
        <v>0</v>
      </c>
      <c r="CP1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" customFormat="false" ht="15" hidden="false" customHeight="false" outlineLevel="0" collapsed="false">
      <c r="A17" s="38" t="str">
        <f aca="false">IF(Tasks[[#This Row],[Task Name]]="","",COUNTA(Tasks[[#Headers],[Task Name]]:Tasks[[#This Row],[Task Name]])-1)</f>
        <v/>
      </c>
      <c r="B17" s="39" t="n">
        <v>12</v>
      </c>
      <c r="C1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" s="39"/>
      <c r="E17" s="40"/>
      <c r="F17" s="39"/>
      <c r="G17" s="39"/>
      <c r="H17" s="39"/>
      <c r="I17" s="39"/>
      <c r="J17" s="39"/>
      <c r="K17" s="39"/>
      <c r="L17" s="39"/>
      <c r="M17" s="39"/>
      <c r="N17" s="29"/>
      <c r="O17" s="29"/>
      <c r="P17" s="24" t="str">
        <f aca="false">IF(Tasks[[#This Row],[Task Name]]="","",IF(N(Tasks[[#This Row],[Baseline Start]])&gt;0,Tasks[[#This Row],[Baseline Start]],Tasks[[#This Row],[_CalcStart]]))</f>
        <v/>
      </c>
      <c r="Q17" s="24" t="str">
        <f aca="false">IF(Tasks[[#This Row],[Task Name]]="","",IF(N(Tasks[[#This Row],[Baseline Finish]])&gt;0,Tasks[[#This Row],[Baseline Finish]],Tasks[[#This Row],[_CalcFinish]]))</f>
        <v/>
      </c>
      <c r="R17" s="29"/>
      <c r="S17" s="29"/>
      <c r="T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" s="31"/>
      <c r="AF1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" s="40"/>
      <c r="AI17" s="31"/>
      <c r="AJ1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" s="40"/>
      <c r="AO17" s="24" t="str">
        <f aca="false">IF(Tasks[[#This Row],[Task Name]]="","",Tasks[[#This Row],[Forecast Start]])</f>
        <v/>
      </c>
      <c r="AP17" s="24" t="str">
        <f aca="false">IF(Tasks[[#This Row],[Task Name]]="","",Tasks[[#This Row],[Forecast Finish]])</f>
        <v/>
      </c>
      <c r="AQ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" s="42" t="str">
        <f aca="false">IF(Tasks[[#This Row],[Task Name]]="","",Tasks[[#This Row],[Work]])</f>
        <v/>
      </c>
      <c r="AS17" s="43" t="str">
        <f aca="false">IF(Tasks[[#This Row],[Task Name]]="","",Tasks[[#This Row],[Cost]])</f>
        <v/>
      </c>
      <c r="AT17" s="29"/>
      <c r="AU17" s="29"/>
      <c r="AV17" s="39"/>
      <c r="AW17" s="44"/>
      <c r="AX17" s="45"/>
      <c r="AY17" s="38" t="str">
        <f aca="false">IF(OR(Tasks[[#This Row],[Task Name]]="",Tasks[[#This Row],[Baseline Duration]]=""),"",Tasks[[#This Row],[BL Source Duration]]-N(Tasks[[#This Row],[Baseline Duration]]))</f>
        <v/>
      </c>
      <c r="AZ17" s="42" t="str">
        <f aca="false">IF(OR(Tasks[[#This Row],[Task Name]]="",Tasks[[#This Row],[Baseline Work]]=""),"",Tasks[[#This Row],[Work]]-N(Tasks[[#This Row],[Baseline Work]]))</f>
        <v/>
      </c>
      <c r="BA17" s="43" t="str">
        <f aca="false">IF(OR(Tasks[[#This Row],[Task Name]]="",Tasks[[#This Row],[Baseline Cost]]=""),"",Tasks[[#This Row],[Cost]]-N(Tasks[[#This Row],[Baseline Cost]]))</f>
        <v/>
      </c>
      <c r="BB17" s="46" t="str">
        <f aca="false">IF(Tasks[[#This Row],[Task Name]]="","",MAX(1,N(Tasks[[#This Row],[Level]])))</f>
        <v/>
      </c>
      <c r="BC17" s="46" t="n">
        <f aca="false">ROW()-ROW(Tasks[[#Headers],[ID]])</f>
        <v>12</v>
      </c>
      <c r="BD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" s="46" t="n">
        <f aca="false">IFERROR(N(INDEX(Tasks[_Level],Tasks[[#This Row],[_Row]]+1)),0)</f>
        <v>0</v>
      </c>
      <c r="BF17" s="47" t="b">
        <f aca="false">AND(Tasks[[#This Row],[Task Name]]&lt;&gt;"",Tasks[[#This Row],[_NextLevel]]&gt;Tasks[[#This Row],[_Level]])</f>
        <v>0</v>
      </c>
      <c r="BG17" s="46" t="n">
        <f aca="false">IF(Tasks[[#This Row],[_IsSummary]],COUNTIF(Tasks[WBS],Tasks[[#This Row],[WBS]]&amp;".*"),0)</f>
        <v>0</v>
      </c>
      <c r="BH17" s="46" t="n">
        <f aca="false">IF(AND(Tasks[[#This Row],[Task Name]]&lt;&gt;"",NOT(Tasks[[#This Row],[_IsSummary]])),1,0)</f>
        <v>0</v>
      </c>
      <c r="BI17" s="46" t="n">
        <f aca="false">IF(N(Tasks[[#This Row],[Pred1 UID]])=0,0,IFERROR(MATCH(Tasks[[#This Row],[Pred1 UID]],Tasks[UID],0),-1))</f>
        <v>0</v>
      </c>
      <c r="BJ17" s="46" t="n">
        <f aca="false">IF(N(Tasks[[#This Row],[Pred2 UID]])=0,0,IFERROR(MATCH(Tasks[[#This Row],[Pred2 UID]],Tasks[UID],0),-1))</f>
        <v>0</v>
      </c>
      <c r="BK1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" s="46" t="n">
        <f aca="false">IF(NOT(Tasks[[#This Row],[_IsLeaf]]=1),0,IF(N(Tasks[[#This Row],[Actual Finish]])&gt;0,1,MIN(1,N(Tasks[[#This Row],[% Complete]]))))</f>
        <v>0</v>
      </c>
      <c r="BP1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" s="46" t="n">
        <f aca="false">IF(Tasks[[#This Row],[_LeafWork]]=0,0,Tasks[[#This Row],[_LeafWork]]*IFERROR(INDEX(res_Rate,MATCH(Tasks[[#This Row],[Resource]],res_Name,0)),0))</f>
        <v>0</v>
      </c>
      <c r="BR1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" s="46" t="n">
        <f aca="false">IF(NOT(Tasks[[#This Row],[_IsLeaf]]=1),0,MAX(_xlfn.MAXIFS(Tasks[_Row],Tasks[Pred1 UID],Tasks[[#This Row],[UID]]),_xlfn.MAXIFS(Tasks[_Row],Tasks[Pred2 UID],Tasks[[#This Row],[UID]])))</f>
        <v>0</v>
      </c>
      <c r="BW1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" s="48" t="str">
        <f aca="false">IF(NOT(Tasks[[#This Row],[_IsLeaf]]=1),"",MIN(ProjectFinish,IF(N(Tasks[[#This Row],[Deadline]])&gt;0,Tasks[[#This Row],[Deadline]],2958465),Tasks[[#This Row],[_SuccessorFinishLimit]]))</f>
        <v/>
      </c>
      <c r="BY1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" s="47" t="b">
        <f aca="false">AND(Tasks[[#This Row],[_IsLeaf]]=1,Tasks[[#This Row],[_LeafProgress]]&lt;1,N(Tasks[[#This Row],[_LeafTotalSlack]])&lt;=CriticalSlackDays)</f>
        <v>0</v>
      </c>
      <c r="CB1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" s="46" t="n">
        <f aca="false">IF(AND(Tasks[[#This Row],[_IsLeaf]]=1,Tasks[[#This Row],[_LeafWork]]&gt;0),NETWORKDAYS.INTL(ProjectStart,Tasks[[#This Row],[_LeafFcstStart]],WorkWeek,Holidays),0)</f>
        <v>0</v>
      </c>
      <c r="CK1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" s="46" t="n">
        <f aca="false">IF(AND(Tasks[[#This Row],[_IsLeaf]]=1,Tasks[[#This Row],[_LeafWork]]&gt;0),Tasks[[#This Row],[_LeafWork]]/(Tasks[[#This Row],[_FinishWorkday]]-Tasks[[#This Row],[_StartWorkday]]+1),0)</f>
        <v>0</v>
      </c>
      <c r="CM17" s="46" t="n">
        <f aca="false">Tasks[[#This Row],[_WorkPerWorkday]]*(Tasks[[#This Row],[_StartWorkday]]-1)</f>
        <v>-0</v>
      </c>
      <c r="CN17" s="46" t="n">
        <f aca="false">IF(Tasks[[#This Row],[_IsLeaf]]=1,MAX(N(Tasks[[#This Row],[Duration]]),0.1),0)</f>
        <v>0</v>
      </c>
      <c r="CO17" s="46" t="n">
        <f aca="false">Tasks[[#This Row],[_WeightDur]]*Tasks[[#This Row],[_LeafProgress]]</f>
        <v>0</v>
      </c>
      <c r="CP1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" customFormat="false" ht="15" hidden="false" customHeight="false" outlineLevel="0" collapsed="false">
      <c r="A18" s="38" t="str">
        <f aca="false">IF(Tasks[[#This Row],[Task Name]]="","",COUNTA(Tasks[[#Headers],[Task Name]]:Tasks[[#This Row],[Task Name]])-1)</f>
        <v/>
      </c>
      <c r="B18" s="39" t="n">
        <v>13</v>
      </c>
      <c r="C1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" s="39"/>
      <c r="E18" s="40"/>
      <c r="F18" s="39"/>
      <c r="G18" s="39"/>
      <c r="H18" s="39"/>
      <c r="I18" s="39"/>
      <c r="J18" s="39"/>
      <c r="K18" s="39"/>
      <c r="L18" s="39"/>
      <c r="M18" s="39"/>
      <c r="N18" s="29"/>
      <c r="O18" s="29"/>
      <c r="P18" s="24" t="str">
        <f aca="false">IF(Tasks[[#This Row],[Task Name]]="","",IF(N(Tasks[[#This Row],[Baseline Start]])&gt;0,Tasks[[#This Row],[Baseline Start]],Tasks[[#This Row],[_CalcStart]]))</f>
        <v/>
      </c>
      <c r="Q18" s="24" t="str">
        <f aca="false">IF(Tasks[[#This Row],[Task Name]]="","",IF(N(Tasks[[#This Row],[Baseline Finish]])&gt;0,Tasks[[#This Row],[Baseline Finish]],Tasks[[#This Row],[_CalcFinish]]))</f>
        <v/>
      </c>
      <c r="R18" s="29"/>
      <c r="S18" s="29"/>
      <c r="T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" s="31"/>
      <c r="AF1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" s="40"/>
      <c r="AI18" s="31"/>
      <c r="AJ1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" s="40"/>
      <c r="AO18" s="24" t="str">
        <f aca="false">IF(Tasks[[#This Row],[Task Name]]="","",Tasks[[#This Row],[Forecast Start]])</f>
        <v/>
      </c>
      <c r="AP18" s="24" t="str">
        <f aca="false">IF(Tasks[[#This Row],[Task Name]]="","",Tasks[[#This Row],[Forecast Finish]])</f>
        <v/>
      </c>
      <c r="AQ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" s="42" t="str">
        <f aca="false">IF(Tasks[[#This Row],[Task Name]]="","",Tasks[[#This Row],[Work]])</f>
        <v/>
      </c>
      <c r="AS18" s="43" t="str">
        <f aca="false">IF(Tasks[[#This Row],[Task Name]]="","",Tasks[[#This Row],[Cost]])</f>
        <v/>
      </c>
      <c r="AT18" s="29"/>
      <c r="AU18" s="29"/>
      <c r="AV18" s="39"/>
      <c r="AW18" s="44"/>
      <c r="AX18" s="45"/>
      <c r="AY18" s="38" t="str">
        <f aca="false">IF(OR(Tasks[[#This Row],[Task Name]]="",Tasks[[#This Row],[Baseline Duration]]=""),"",Tasks[[#This Row],[BL Source Duration]]-N(Tasks[[#This Row],[Baseline Duration]]))</f>
        <v/>
      </c>
      <c r="AZ18" s="42" t="str">
        <f aca="false">IF(OR(Tasks[[#This Row],[Task Name]]="",Tasks[[#This Row],[Baseline Work]]=""),"",Tasks[[#This Row],[Work]]-N(Tasks[[#This Row],[Baseline Work]]))</f>
        <v/>
      </c>
      <c r="BA18" s="43" t="str">
        <f aca="false">IF(OR(Tasks[[#This Row],[Task Name]]="",Tasks[[#This Row],[Baseline Cost]]=""),"",Tasks[[#This Row],[Cost]]-N(Tasks[[#This Row],[Baseline Cost]]))</f>
        <v/>
      </c>
      <c r="BB18" s="46" t="str">
        <f aca="false">IF(Tasks[[#This Row],[Task Name]]="","",MAX(1,N(Tasks[[#This Row],[Level]])))</f>
        <v/>
      </c>
      <c r="BC18" s="46" t="n">
        <f aca="false">ROW()-ROW(Tasks[[#Headers],[ID]])</f>
        <v>13</v>
      </c>
      <c r="BD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" s="46" t="n">
        <f aca="false">IFERROR(N(INDEX(Tasks[_Level],Tasks[[#This Row],[_Row]]+1)),0)</f>
        <v>0</v>
      </c>
      <c r="BF18" s="47" t="b">
        <f aca="false">AND(Tasks[[#This Row],[Task Name]]&lt;&gt;"",Tasks[[#This Row],[_NextLevel]]&gt;Tasks[[#This Row],[_Level]])</f>
        <v>0</v>
      </c>
      <c r="BG18" s="46" t="n">
        <f aca="false">IF(Tasks[[#This Row],[_IsSummary]],COUNTIF(Tasks[WBS],Tasks[[#This Row],[WBS]]&amp;".*"),0)</f>
        <v>0</v>
      </c>
      <c r="BH18" s="46" t="n">
        <f aca="false">IF(AND(Tasks[[#This Row],[Task Name]]&lt;&gt;"",NOT(Tasks[[#This Row],[_IsSummary]])),1,0)</f>
        <v>0</v>
      </c>
      <c r="BI18" s="46" t="n">
        <f aca="false">IF(N(Tasks[[#This Row],[Pred1 UID]])=0,0,IFERROR(MATCH(Tasks[[#This Row],[Pred1 UID]],Tasks[UID],0),-1))</f>
        <v>0</v>
      </c>
      <c r="BJ18" s="46" t="n">
        <f aca="false">IF(N(Tasks[[#This Row],[Pred2 UID]])=0,0,IFERROR(MATCH(Tasks[[#This Row],[Pred2 UID]],Tasks[UID],0),-1))</f>
        <v>0</v>
      </c>
      <c r="BK1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" s="46" t="n">
        <f aca="false">IF(NOT(Tasks[[#This Row],[_IsLeaf]]=1),0,IF(N(Tasks[[#This Row],[Actual Finish]])&gt;0,1,MIN(1,N(Tasks[[#This Row],[% Complete]]))))</f>
        <v>0</v>
      </c>
      <c r="BP1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" s="46" t="n">
        <f aca="false">IF(Tasks[[#This Row],[_LeafWork]]=0,0,Tasks[[#This Row],[_LeafWork]]*IFERROR(INDEX(res_Rate,MATCH(Tasks[[#This Row],[Resource]],res_Name,0)),0))</f>
        <v>0</v>
      </c>
      <c r="BR1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" s="46" t="n">
        <f aca="false">IF(NOT(Tasks[[#This Row],[_IsLeaf]]=1),0,MAX(_xlfn.MAXIFS(Tasks[_Row],Tasks[Pred1 UID],Tasks[[#This Row],[UID]]),_xlfn.MAXIFS(Tasks[_Row],Tasks[Pred2 UID],Tasks[[#This Row],[UID]])))</f>
        <v>0</v>
      </c>
      <c r="BW1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" s="48" t="str">
        <f aca="false">IF(NOT(Tasks[[#This Row],[_IsLeaf]]=1),"",MIN(ProjectFinish,IF(N(Tasks[[#This Row],[Deadline]])&gt;0,Tasks[[#This Row],[Deadline]],2958465),Tasks[[#This Row],[_SuccessorFinishLimit]]))</f>
        <v/>
      </c>
      <c r="BY1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" s="47" t="b">
        <f aca="false">AND(Tasks[[#This Row],[_IsLeaf]]=1,Tasks[[#This Row],[_LeafProgress]]&lt;1,N(Tasks[[#This Row],[_LeafTotalSlack]])&lt;=CriticalSlackDays)</f>
        <v>0</v>
      </c>
      <c r="CB1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" s="46" t="n">
        <f aca="false">IF(AND(Tasks[[#This Row],[_IsLeaf]]=1,Tasks[[#This Row],[_LeafWork]]&gt;0),NETWORKDAYS.INTL(ProjectStart,Tasks[[#This Row],[_LeafFcstStart]],WorkWeek,Holidays),0)</f>
        <v>0</v>
      </c>
      <c r="CK1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" s="46" t="n">
        <f aca="false">IF(AND(Tasks[[#This Row],[_IsLeaf]]=1,Tasks[[#This Row],[_LeafWork]]&gt;0),Tasks[[#This Row],[_LeafWork]]/(Tasks[[#This Row],[_FinishWorkday]]-Tasks[[#This Row],[_StartWorkday]]+1),0)</f>
        <v>0</v>
      </c>
      <c r="CM18" s="46" t="n">
        <f aca="false">Tasks[[#This Row],[_WorkPerWorkday]]*(Tasks[[#This Row],[_StartWorkday]]-1)</f>
        <v>-0</v>
      </c>
      <c r="CN18" s="46" t="n">
        <f aca="false">IF(Tasks[[#This Row],[_IsLeaf]]=1,MAX(N(Tasks[[#This Row],[Duration]]),0.1),0)</f>
        <v>0</v>
      </c>
      <c r="CO18" s="46" t="n">
        <f aca="false">Tasks[[#This Row],[_WeightDur]]*Tasks[[#This Row],[_LeafProgress]]</f>
        <v>0</v>
      </c>
      <c r="CP1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" customFormat="false" ht="15" hidden="false" customHeight="false" outlineLevel="0" collapsed="false">
      <c r="A19" s="38" t="str">
        <f aca="false">IF(Tasks[[#This Row],[Task Name]]="","",COUNTA(Tasks[[#Headers],[Task Name]]:Tasks[[#This Row],[Task Name]])-1)</f>
        <v/>
      </c>
      <c r="B19" s="39" t="n">
        <v>14</v>
      </c>
      <c r="C1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" s="39"/>
      <c r="E19" s="40"/>
      <c r="F19" s="39"/>
      <c r="G19" s="39"/>
      <c r="H19" s="39"/>
      <c r="I19" s="39"/>
      <c r="J19" s="39"/>
      <c r="K19" s="39"/>
      <c r="L19" s="39"/>
      <c r="M19" s="39"/>
      <c r="N19" s="29"/>
      <c r="O19" s="29"/>
      <c r="P19" s="24" t="str">
        <f aca="false">IF(Tasks[[#This Row],[Task Name]]="","",IF(N(Tasks[[#This Row],[Baseline Start]])&gt;0,Tasks[[#This Row],[Baseline Start]],Tasks[[#This Row],[_CalcStart]]))</f>
        <v/>
      </c>
      <c r="Q19" s="24" t="str">
        <f aca="false">IF(Tasks[[#This Row],[Task Name]]="","",IF(N(Tasks[[#This Row],[Baseline Finish]])&gt;0,Tasks[[#This Row],[Baseline Finish]],Tasks[[#This Row],[_CalcFinish]]))</f>
        <v/>
      </c>
      <c r="R19" s="29"/>
      <c r="S19" s="29"/>
      <c r="T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" s="31"/>
      <c r="AF1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" s="40"/>
      <c r="AI19" s="31"/>
      <c r="AJ1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" s="40"/>
      <c r="AO19" s="24" t="str">
        <f aca="false">IF(Tasks[[#This Row],[Task Name]]="","",Tasks[[#This Row],[Forecast Start]])</f>
        <v/>
      </c>
      <c r="AP19" s="24" t="str">
        <f aca="false">IF(Tasks[[#This Row],[Task Name]]="","",Tasks[[#This Row],[Forecast Finish]])</f>
        <v/>
      </c>
      <c r="AQ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" s="42" t="str">
        <f aca="false">IF(Tasks[[#This Row],[Task Name]]="","",Tasks[[#This Row],[Work]])</f>
        <v/>
      </c>
      <c r="AS19" s="43" t="str">
        <f aca="false">IF(Tasks[[#This Row],[Task Name]]="","",Tasks[[#This Row],[Cost]])</f>
        <v/>
      </c>
      <c r="AT19" s="29"/>
      <c r="AU19" s="29"/>
      <c r="AV19" s="39"/>
      <c r="AW19" s="44"/>
      <c r="AX19" s="45"/>
      <c r="AY19" s="38" t="str">
        <f aca="false">IF(OR(Tasks[[#This Row],[Task Name]]="",Tasks[[#This Row],[Baseline Duration]]=""),"",Tasks[[#This Row],[BL Source Duration]]-N(Tasks[[#This Row],[Baseline Duration]]))</f>
        <v/>
      </c>
      <c r="AZ19" s="42" t="str">
        <f aca="false">IF(OR(Tasks[[#This Row],[Task Name]]="",Tasks[[#This Row],[Baseline Work]]=""),"",Tasks[[#This Row],[Work]]-N(Tasks[[#This Row],[Baseline Work]]))</f>
        <v/>
      </c>
      <c r="BA19" s="43" t="str">
        <f aca="false">IF(OR(Tasks[[#This Row],[Task Name]]="",Tasks[[#This Row],[Baseline Cost]]=""),"",Tasks[[#This Row],[Cost]]-N(Tasks[[#This Row],[Baseline Cost]]))</f>
        <v/>
      </c>
      <c r="BB19" s="46" t="str">
        <f aca="false">IF(Tasks[[#This Row],[Task Name]]="","",MAX(1,N(Tasks[[#This Row],[Level]])))</f>
        <v/>
      </c>
      <c r="BC19" s="46" t="n">
        <f aca="false">ROW()-ROW(Tasks[[#Headers],[ID]])</f>
        <v>14</v>
      </c>
      <c r="BD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" s="46" t="n">
        <f aca="false">IFERROR(N(INDEX(Tasks[_Level],Tasks[[#This Row],[_Row]]+1)),0)</f>
        <v>0</v>
      </c>
      <c r="BF19" s="47" t="b">
        <f aca="false">AND(Tasks[[#This Row],[Task Name]]&lt;&gt;"",Tasks[[#This Row],[_NextLevel]]&gt;Tasks[[#This Row],[_Level]])</f>
        <v>0</v>
      </c>
      <c r="BG19" s="46" t="n">
        <f aca="false">IF(Tasks[[#This Row],[_IsSummary]],COUNTIF(Tasks[WBS],Tasks[[#This Row],[WBS]]&amp;".*"),0)</f>
        <v>0</v>
      </c>
      <c r="BH19" s="46" t="n">
        <f aca="false">IF(AND(Tasks[[#This Row],[Task Name]]&lt;&gt;"",NOT(Tasks[[#This Row],[_IsSummary]])),1,0)</f>
        <v>0</v>
      </c>
      <c r="BI19" s="46" t="n">
        <f aca="false">IF(N(Tasks[[#This Row],[Pred1 UID]])=0,0,IFERROR(MATCH(Tasks[[#This Row],[Pred1 UID]],Tasks[UID],0),-1))</f>
        <v>0</v>
      </c>
      <c r="BJ19" s="46" t="n">
        <f aca="false">IF(N(Tasks[[#This Row],[Pred2 UID]])=0,0,IFERROR(MATCH(Tasks[[#This Row],[Pred2 UID]],Tasks[UID],0),-1))</f>
        <v>0</v>
      </c>
      <c r="BK1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" s="46" t="n">
        <f aca="false">IF(NOT(Tasks[[#This Row],[_IsLeaf]]=1),0,IF(N(Tasks[[#This Row],[Actual Finish]])&gt;0,1,MIN(1,N(Tasks[[#This Row],[% Complete]]))))</f>
        <v>0</v>
      </c>
      <c r="BP1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" s="46" t="n">
        <f aca="false">IF(Tasks[[#This Row],[_LeafWork]]=0,0,Tasks[[#This Row],[_LeafWork]]*IFERROR(INDEX(res_Rate,MATCH(Tasks[[#This Row],[Resource]],res_Name,0)),0))</f>
        <v>0</v>
      </c>
      <c r="BR1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" s="46" t="n">
        <f aca="false">IF(NOT(Tasks[[#This Row],[_IsLeaf]]=1),0,MAX(_xlfn.MAXIFS(Tasks[_Row],Tasks[Pred1 UID],Tasks[[#This Row],[UID]]),_xlfn.MAXIFS(Tasks[_Row],Tasks[Pred2 UID],Tasks[[#This Row],[UID]])))</f>
        <v>0</v>
      </c>
      <c r="BW1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" s="48" t="str">
        <f aca="false">IF(NOT(Tasks[[#This Row],[_IsLeaf]]=1),"",MIN(ProjectFinish,IF(N(Tasks[[#This Row],[Deadline]])&gt;0,Tasks[[#This Row],[Deadline]],2958465),Tasks[[#This Row],[_SuccessorFinishLimit]]))</f>
        <v/>
      </c>
      <c r="BY1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" s="47" t="b">
        <f aca="false">AND(Tasks[[#This Row],[_IsLeaf]]=1,Tasks[[#This Row],[_LeafProgress]]&lt;1,N(Tasks[[#This Row],[_LeafTotalSlack]])&lt;=CriticalSlackDays)</f>
        <v>0</v>
      </c>
      <c r="CB1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" s="46" t="n">
        <f aca="false">IF(AND(Tasks[[#This Row],[_IsLeaf]]=1,Tasks[[#This Row],[_LeafWork]]&gt;0),NETWORKDAYS.INTL(ProjectStart,Tasks[[#This Row],[_LeafFcstStart]],WorkWeek,Holidays),0)</f>
        <v>0</v>
      </c>
      <c r="CK1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" s="46" t="n">
        <f aca="false">IF(AND(Tasks[[#This Row],[_IsLeaf]]=1,Tasks[[#This Row],[_LeafWork]]&gt;0),Tasks[[#This Row],[_LeafWork]]/(Tasks[[#This Row],[_FinishWorkday]]-Tasks[[#This Row],[_StartWorkday]]+1),0)</f>
        <v>0</v>
      </c>
      <c r="CM19" s="46" t="n">
        <f aca="false">Tasks[[#This Row],[_WorkPerWorkday]]*(Tasks[[#This Row],[_StartWorkday]]-1)</f>
        <v>-0</v>
      </c>
      <c r="CN19" s="46" t="n">
        <f aca="false">IF(Tasks[[#This Row],[_IsLeaf]]=1,MAX(N(Tasks[[#This Row],[Duration]]),0.1),0)</f>
        <v>0</v>
      </c>
      <c r="CO19" s="46" t="n">
        <f aca="false">Tasks[[#This Row],[_WeightDur]]*Tasks[[#This Row],[_LeafProgress]]</f>
        <v>0</v>
      </c>
      <c r="CP1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" customFormat="false" ht="15" hidden="false" customHeight="false" outlineLevel="0" collapsed="false">
      <c r="A20" s="38" t="str">
        <f aca="false">IF(Tasks[[#This Row],[Task Name]]="","",COUNTA(Tasks[[#Headers],[Task Name]]:Tasks[[#This Row],[Task Name]])-1)</f>
        <v/>
      </c>
      <c r="B20" s="39" t="n">
        <v>15</v>
      </c>
      <c r="C2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" s="39"/>
      <c r="E20" s="40"/>
      <c r="F20" s="39"/>
      <c r="G20" s="39"/>
      <c r="H20" s="39"/>
      <c r="I20" s="39"/>
      <c r="J20" s="39"/>
      <c r="K20" s="39"/>
      <c r="L20" s="39"/>
      <c r="M20" s="39"/>
      <c r="N20" s="29"/>
      <c r="O20" s="29"/>
      <c r="P20" s="24" t="str">
        <f aca="false">IF(Tasks[[#This Row],[Task Name]]="","",IF(N(Tasks[[#This Row],[Baseline Start]])&gt;0,Tasks[[#This Row],[Baseline Start]],Tasks[[#This Row],[_CalcStart]]))</f>
        <v/>
      </c>
      <c r="Q20" s="24" t="str">
        <f aca="false">IF(Tasks[[#This Row],[Task Name]]="","",IF(N(Tasks[[#This Row],[Baseline Finish]])&gt;0,Tasks[[#This Row],[Baseline Finish]],Tasks[[#This Row],[_CalcFinish]]))</f>
        <v/>
      </c>
      <c r="R20" s="29"/>
      <c r="S20" s="29"/>
      <c r="T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" s="31"/>
      <c r="AF2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" s="40"/>
      <c r="AI20" s="31"/>
      <c r="AJ2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" s="40"/>
      <c r="AO20" s="24" t="str">
        <f aca="false">IF(Tasks[[#This Row],[Task Name]]="","",Tasks[[#This Row],[Forecast Start]])</f>
        <v/>
      </c>
      <c r="AP20" s="24" t="str">
        <f aca="false">IF(Tasks[[#This Row],[Task Name]]="","",Tasks[[#This Row],[Forecast Finish]])</f>
        <v/>
      </c>
      <c r="AQ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" s="42" t="str">
        <f aca="false">IF(Tasks[[#This Row],[Task Name]]="","",Tasks[[#This Row],[Work]])</f>
        <v/>
      </c>
      <c r="AS20" s="43" t="str">
        <f aca="false">IF(Tasks[[#This Row],[Task Name]]="","",Tasks[[#This Row],[Cost]])</f>
        <v/>
      </c>
      <c r="AT20" s="29"/>
      <c r="AU20" s="29"/>
      <c r="AV20" s="39"/>
      <c r="AW20" s="44"/>
      <c r="AX20" s="45"/>
      <c r="AY20" s="38" t="str">
        <f aca="false">IF(OR(Tasks[[#This Row],[Task Name]]="",Tasks[[#This Row],[Baseline Duration]]=""),"",Tasks[[#This Row],[BL Source Duration]]-N(Tasks[[#This Row],[Baseline Duration]]))</f>
        <v/>
      </c>
      <c r="AZ20" s="42" t="str">
        <f aca="false">IF(OR(Tasks[[#This Row],[Task Name]]="",Tasks[[#This Row],[Baseline Work]]=""),"",Tasks[[#This Row],[Work]]-N(Tasks[[#This Row],[Baseline Work]]))</f>
        <v/>
      </c>
      <c r="BA20" s="43" t="str">
        <f aca="false">IF(OR(Tasks[[#This Row],[Task Name]]="",Tasks[[#This Row],[Baseline Cost]]=""),"",Tasks[[#This Row],[Cost]]-N(Tasks[[#This Row],[Baseline Cost]]))</f>
        <v/>
      </c>
      <c r="BB20" s="46" t="str">
        <f aca="false">IF(Tasks[[#This Row],[Task Name]]="","",MAX(1,N(Tasks[[#This Row],[Level]])))</f>
        <v/>
      </c>
      <c r="BC20" s="46" t="n">
        <f aca="false">ROW()-ROW(Tasks[[#Headers],[ID]])</f>
        <v>15</v>
      </c>
      <c r="BD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" s="46" t="n">
        <f aca="false">IFERROR(N(INDEX(Tasks[_Level],Tasks[[#This Row],[_Row]]+1)),0)</f>
        <v>0</v>
      </c>
      <c r="BF20" s="47" t="b">
        <f aca="false">AND(Tasks[[#This Row],[Task Name]]&lt;&gt;"",Tasks[[#This Row],[_NextLevel]]&gt;Tasks[[#This Row],[_Level]])</f>
        <v>0</v>
      </c>
      <c r="BG20" s="46" t="n">
        <f aca="false">IF(Tasks[[#This Row],[_IsSummary]],COUNTIF(Tasks[WBS],Tasks[[#This Row],[WBS]]&amp;".*"),0)</f>
        <v>0</v>
      </c>
      <c r="BH20" s="46" t="n">
        <f aca="false">IF(AND(Tasks[[#This Row],[Task Name]]&lt;&gt;"",NOT(Tasks[[#This Row],[_IsSummary]])),1,0)</f>
        <v>0</v>
      </c>
      <c r="BI20" s="46" t="n">
        <f aca="false">IF(N(Tasks[[#This Row],[Pred1 UID]])=0,0,IFERROR(MATCH(Tasks[[#This Row],[Pred1 UID]],Tasks[UID],0),-1))</f>
        <v>0</v>
      </c>
      <c r="BJ20" s="46" t="n">
        <f aca="false">IF(N(Tasks[[#This Row],[Pred2 UID]])=0,0,IFERROR(MATCH(Tasks[[#This Row],[Pred2 UID]],Tasks[UID],0),-1))</f>
        <v>0</v>
      </c>
      <c r="BK2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" s="46" t="n">
        <f aca="false">IF(NOT(Tasks[[#This Row],[_IsLeaf]]=1),0,IF(N(Tasks[[#This Row],[Actual Finish]])&gt;0,1,MIN(1,N(Tasks[[#This Row],[% Complete]]))))</f>
        <v>0</v>
      </c>
      <c r="BP2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0" s="46" t="n">
        <f aca="false">IF(Tasks[[#This Row],[_LeafWork]]=0,0,Tasks[[#This Row],[_LeafWork]]*IFERROR(INDEX(res_Rate,MATCH(Tasks[[#This Row],[Resource]],res_Name,0)),0))</f>
        <v>0</v>
      </c>
      <c r="BR2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" s="46" t="n">
        <f aca="false">IF(NOT(Tasks[[#This Row],[_IsLeaf]]=1),0,MAX(_xlfn.MAXIFS(Tasks[_Row],Tasks[Pred1 UID],Tasks[[#This Row],[UID]]),_xlfn.MAXIFS(Tasks[_Row],Tasks[Pred2 UID],Tasks[[#This Row],[UID]])))</f>
        <v>0</v>
      </c>
      <c r="BW2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" s="48" t="str">
        <f aca="false">IF(NOT(Tasks[[#This Row],[_IsLeaf]]=1),"",MIN(ProjectFinish,IF(N(Tasks[[#This Row],[Deadline]])&gt;0,Tasks[[#This Row],[Deadline]],2958465),Tasks[[#This Row],[_SuccessorFinishLimit]]))</f>
        <v/>
      </c>
      <c r="BY2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" s="47" t="b">
        <f aca="false">AND(Tasks[[#This Row],[_IsLeaf]]=1,Tasks[[#This Row],[_LeafProgress]]&lt;1,N(Tasks[[#This Row],[_LeafTotalSlack]])&lt;=CriticalSlackDays)</f>
        <v>0</v>
      </c>
      <c r="CB2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" s="46" t="n">
        <f aca="false">IF(AND(Tasks[[#This Row],[_IsLeaf]]=1,Tasks[[#This Row],[_LeafWork]]&gt;0),NETWORKDAYS.INTL(ProjectStart,Tasks[[#This Row],[_LeafFcstStart]],WorkWeek,Holidays),0)</f>
        <v>0</v>
      </c>
      <c r="CK2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" s="46" t="n">
        <f aca="false">IF(AND(Tasks[[#This Row],[_IsLeaf]]=1,Tasks[[#This Row],[_LeafWork]]&gt;0),Tasks[[#This Row],[_LeafWork]]/(Tasks[[#This Row],[_FinishWorkday]]-Tasks[[#This Row],[_StartWorkday]]+1),0)</f>
        <v>0</v>
      </c>
      <c r="CM20" s="46" t="n">
        <f aca="false">Tasks[[#This Row],[_WorkPerWorkday]]*(Tasks[[#This Row],[_StartWorkday]]-1)</f>
        <v>-0</v>
      </c>
      <c r="CN20" s="46" t="n">
        <f aca="false">IF(Tasks[[#This Row],[_IsLeaf]]=1,MAX(N(Tasks[[#This Row],[Duration]]),0.1),0)</f>
        <v>0</v>
      </c>
      <c r="CO20" s="46" t="n">
        <f aca="false">Tasks[[#This Row],[_WeightDur]]*Tasks[[#This Row],[_LeafProgress]]</f>
        <v>0</v>
      </c>
      <c r="CP2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1" customFormat="false" ht="15" hidden="false" customHeight="false" outlineLevel="0" collapsed="false">
      <c r="A21" s="38" t="str">
        <f aca="false">IF(Tasks[[#This Row],[Task Name]]="","",COUNTA(Tasks[[#Headers],[Task Name]]:Tasks[[#This Row],[Task Name]])-1)</f>
        <v/>
      </c>
      <c r="B21" s="39" t="n">
        <v>16</v>
      </c>
      <c r="C2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1" s="39"/>
      <c r="E21" s="40"/>
      <c r="F21" s="39"/>
      <c r="G21" s="39"/>
      <c r="H21" s="39"/>
      <c r="I21" s="39"/>
      <c r="J21" s="39"/>
      <c r="K21" s="39"/>
      <c r="L21" s="39"/>
      <c r="M21" s="39"/>
      <c r="N21" s="29"/>
      <c r="O21" s="29"/>
      <c r="P21" s="24" t="str">
        <f aca="false">IF(Tasks[[#This Row],[Task Name]]="","",IF(N(Tasks[[#This Row],[Baseline Start]])&gt;0,Tasks[[#This Row],[Baseline Start]],Tasks[[#This Row],[_CalcStart]]))</f>
        <v/>
      </c>
      <c r="Q21" s="24" t="str">
        <f aca="false">IF(Tasks[[#This Row],[Task Name]]="","",IF(N(Tasks[[#This Row],[Baseline Finish]])&gt;0,Tasks[[#This Row],[Baseline Finish]],Tasks[[#This Row],[_CalcFinish]]))</f>
        <v/>
      </c>
      <c r="R21" s="29"/>
      <c r="S21" s="29"/>
      <c r="T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1" s="31"/>
      <c r="AF2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1" s="40"/>
      <c r="AI21" s="31"/>
      <c r="AJ2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1" s="40"/>
      <c r="AO21" s="24" t="str">
        <f aca="false">IF(Tasks[[#This Row],[Task Name]]="","",Tasks[[#This Row],[Forecast Start]])</f>
        <v/>
      </c>
      <c r="AP21" s="24" t="str">
        <f aca="false">IF(Tasks[[#This Row],[Task Name]]="","",Tasks[[#This Row],[Forecast Finish]])</f>
        <v/>
      </c>
      <c r="AQ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1" s="42" t="str">
        <f aca="false">IF(Tasks[[#This Row],[Task Name]]="","",Tasks[[#This Row],[Work]])</f>
        <v/>
      </c>
      <c r="AS21" s="43" t="str">
        <f aca="false">IF(Tasks[[#This Row],[Task Name]]="","",Tasks[[#This Row],[Cost]])</f>
        <v/>
      </c>
      <c r="AT21" s="29"/>
      <c r="AU21" s="29"/>
      <c r="AV21" s="39"/>
      <c r="AW21" s="44"/>
      <c r="AX21" s="45"/>
      <c r="AY21" s="38" t="str">
        <f aca="false">IF(OR(Tasks[[#This Row],[Task Name]]="",Tasks[[#This Row],[Baseline Duration]]=""),"",Tasks[[#This Row],[BL Source Duration]]-N(Tasks[[#This Row],[Baseline Duration]]))</f>
        <v/>
      </c>
      <c r="AZ21" s="42" t="str">
        <f aca="false">IF(OR(Tasks[[#This Row],[Task Name]]="",Tasks[[#This Row],[Baseline Work]]=""),"",Tasks[[#This Row],[Work]]-N(Tasks[[#This Row],[Baseline Work]]))</f>
        <v/>
      </c>
      <c r="BA21" s="43" t="str">
        <f aca="false">IF(OR(Tasks[[#This Row],[Task Name]]="",Tasks[[#This Row],[Baseline Cost]]=""),"",Tasks[[#This Row],[Cost]]-N(Tasks[[#This Row],[Baseline Cost]]))</f>
        <v/>
      </c>
      <c r="BB21" s="46" t="str">
        <f aca="false">IF(Tasks[[#This Row],[Task Name]]="","",MAX(1,N(Tasks[[#This Row],[Level]])))</f>
        <v/>
      </c>
      <c r="BC21" s="46" t="n">
        <f aca="false">ROW()-ROW(Tasks[[#Headers],[ID]])</f>
        <v>16</v>
      </c>
      <c r="BD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1" s="46" t="n">
        <f aca="false">IFERROR(N(INDEX(Tasks[_Level],Tasks[[#This Row],[_Row]]+1)),0)</f>
        <v>0</v>
      </c>
      <c r="BF21" s="47" t="b">
        <f aca="false">AND(Tasks[[#This Row],[Task Name]]&lt;&gt;"",Tasks[[#This Row],[_NextLevel]]&gt;Tasks[[#This Row],[_Level]])</f>
        <v>0</v>
      </c>
      <c r="BG21" s="46" t="n">
        <f aca="false">IF(Tasks[[#This Row],[_IsSummary]],COUNTIF(Tasks[WBS],Tasks[[#This Row],[WBS]]&amp;".*"),0)</f>
        <v>0</v>
      </c>
      <c r="BH21" s="46" t="n">
        <f aca="false">IF(AND(Tasks[[#This Row],[Task Name]]&lt;&gt;"",NOT(Tasks[[#This Row],[_IsSummary]])),1,0)</f>
        <v>0</v>
      </c>
      <c r="BI21" s="46" t="n">
        <f aca="false">IF(N(Tasks[[#This Row],[Pred1 UID]])=0,0,IFERROR(MATCH(Tasks[[#This Row],[Pred1 UID]],Tasks[UID],0),-1))</f>
        <v>0</v>
      </c>
      <c r="BJ21" s="46" t="n">
        <f aca="false">IF(N(Tasks[[#This Row],[Pred2 UID]])=0,0,IFERROR(MATCH(Tasks[[#This Row],[Pred2 UID]],Tasks[UID],0),-1))</f>
        <v>0</v>
      </c>
      <c r="BK2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1" s="46" t="n">
        <f aca="false">IF(NOT(Tasks[[#This Row],[_IsLeaf]]=1),0,IF(N(Tasks[[#This Row],[Actual Finish]])&gt;0,1,MIN(1,N(Tasks[[#This Row],[% Complete]]))))</f>
        <v>0</v>
      </c>
      <c r="BP2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1" s="46" t="n">
        <f aca="false">IF(Tasks[[#This Row],[_LeafWork]]=0,0,Tasks[[#This Row],[_LeafWork]]*IFERROR(INDEX(res_Rate,MATCH(Tasks[[#This Row],[Resource]],res_Name,0)),0))</f>
        <v>0</v>
      </c>
      <c r="BR2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1" s="46" t="n">
        <f aca="false">IF(NOT(Tasks[[#This Row],[_IsLeaf]]=1),0,MAX(_xlfn.MAXIFS(Tasks[_Row],Tasks[Pred1 UID],Tasks[[#This Row],[UID]]),_xlfn.MAXIFS(Tasks[_Row],Tasks[Pred2 UID],Tasks[[#This Row],[UID]])))</f>
        <v>0</v>
      </c>
      <c r="BW2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1" s="48" t="str">
        <f aca="false">IF(NOT(Tasks[[#This Row],[_IsLeaf]]=1),"",MIN(ProjectFinish,IF(N(Tasks[[#This Row],[Deadline]])&gt;0,Tasks[[#This Row],[Deadline]],2958465),Tasks[[#This Row],[_SuccessorFinishLimit]]))</f>
        <v/>
      </c>
      <c r="BY2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1" s="47" t="b">
        <f aca="false">AND(Tasks[[#This Row],[_IsLeaf]]=1,Tasks[[#This Row],[_LeafProgress]]&lt;1,N(Tasks[[#This Row],[_LeafTotalSlack]])&lt;=CriticalSlackDays)</f>
        <v>0</v>
      </c>
      <c r="CB2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1" s="46" t="n">
        <f aca="false">IF(AND(Tasks[[#This Row],[_IsLeaf]]=1,Tasks[[#This Row],[_LeafWork]]&gt;0),NETWORKDAYS.INTL(ProjectStart,Tasks[[#This Row],[_LeafFcstStart]],WorkWeek,Holidays),0)</f>
        <v>0</v>
      </c>
      <c r="CK2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1" s="46" t="n">
        <f aca="false">IF(AND(Tasks[[#This Row],[_IsLeaf]]=1,Tasks[[#This Row],[_LeafWork]]&gt;0),Tasks[[#This Row],[_LeafWork]]/(Tasks[[#This Row],[_FinishWorkday]]-Tasks[[#This Row],[_StartWorkday]]+1),0)</f>
        <v>0</v>
      </c>
      <c r="CM21" s="46" t="n">
        <f aca="false">Tasks[[#This Row],[_WorkPerWorkday]]*(Tasks[[#This Row],[_StartWorkday]]-1)</f>
        <v>-0</v>
      </c>
      <c r="CN21" s="46" t="n">
        <f aca="false">IF(Tasks[[#This Row],[_IsLeaf]]=1,MAX(N(Tasks[[#This Row],[Duration]]),0.1),0)</f>
        <v>0</v>
      </c>
      <c r="CO21" s="46" t="n">
        <f aca="false">Tasks[[#This Row],[_WeightDur]]*Tasks[[#This Row],[_LeafProgress]]</f>
        <v>0</v>
      </c>
      <c r="CP2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2" customFormat="false" ht="15" hidden="false" customHeight="false" outlineLevel="0" collapsed="false">
      <c r="A22" s="38" t="str">
        <f aca="false">IF(Tasks[[#This Row],[Task Name]]="","",COUNTA(Tasks[[#Headers],[Task Name]]:Tasks[[#This Row],[Task Name]])-1)</f>
        <v/>
      </c>
      <c r="B22" s="39" t="n">
        <v>17</v>
      </c>
      <c r="C2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2" s="39"/>
      <c r="E22" s="40"/>
      <c r="F22" s="39"/>
      <c r="G22" s="39"/>
      <c r="H22" s="39"/>
      <c r="I22" s="39"/>
      <c r="J22" s="39"/>
      <c r="K22" s="39"/>
      <c r="L22" s="39"/>
      <c r="M22" s="39"/>
      <c r="N22" s="29"/>
      <c r="O22" s="29"/>
      <c r="P22" s="24" t="str">
        <f aca="false">IF(Tasks[[#This Row],[Task Name]]="","",IF(N(Tasks[[#This Row],[Baseline Start]])&gt;0,Tasks[[#This Row],[Baseline Start]],Tasks[[#This Row],[_CalcStart]]))</f>
        <v/>
      </c>
      <c r="Q22" s="24" t="str">
        <f aca="false">IF(Tasks[[#This Row],[Task Name]]="","",IF(N(Tasks[[#This Row],[Baseline Finish]])&gt;0,Tasks[[#This Row],[Baseline Finish]],Tasks[[#This Row],[_CalcFinish]]))</f>
        <v/>
      </c>
      <c r="R22" s="29"/>
      <c r="S22" s="29"/>
      <c r="T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2" s="31"/>
      <c r="AF2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2" s="40"/>
      <c r="AI22" s="31"/>
      <c r="AJ2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2" s="40"/>
      <c r="AO22" s="24" t="str">
        <f aca="false">IF(Tasks[[#This Row],[Task Name]]="","",Tasks[[#This Row],[Forecast Start]])</f>
        <v/>
      </c>
      <c r="AP22" s="24" t="str">
        <f aca="false">IF(Tasks[[#This Row],[Task Name]]="","",Tasks[[#This Row],[Forecast Finish]])</f>
        <v/>
      </c>
      <c r="AQ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2" s="42" t="str">
        <f aca="false">IF(Tasks[[#This Row],[Task Name]]="","",Tasks[[#This Row],[Work]])</f>
        <v/>
      </c>
      <c r="AS22" s="43" t="str">
        <f aca="false">IF(Tasks[[#This Row],[Task Name]]="","",Tasks[[#This Row],[Cost]])</f>
        <v/>
      </c>
      <c r="AT22" s="29"/>
      <c r="AU22" s="29"/>
      <c r="AV22" s="39"/>
      <c r="AW22" s="44"/>
      <c r="AX22" s="45"/>
      <c r="AY22" s="38" t="str">
        <f aca="false">IF(OR(Tasks[[#This Row],[Task Name]]="",Tasks[[#This Row],[Baseline Duration]]=""),"",Tasks[[#This Row],[BL Source Duration]]-N(Tasks[[#This Row],[Baseline Duration]]))</f>
        <v/>
      </c>
      <c r="AZ22" s="42" t="str">
        <f aca="false">IF(OR(Tasks[[#This Row],[Task Name]]="",Tasks[[#This Row],[Baseline Work]]=""),"",Tasks[[#This Row],[Work]]-N(Tasks[[#This Row],[Baseline Work]]))</f>
        <v/>
      </c>
      <c r="BA22" s="43" t="str">
        <f aca="false">IF(OR(Tasks[[#This Row],[Task Name]]="",Tasks[[#This Row],[Baseline Cost]]=""),"",Tasks[[#This Row],[Cost]]-N(Tasks[[#This Row],[Baseline Cost]]))</f>
        <v/>
      </c>
      <c r="BB22" s="46" t="str">
        <f aca="false">IF(Tasks[[#This Row],[Task Name]]="","",MAX(1,N(Tasks[[#This Row],[Level]])))</f>
        <v/>
      </c>
      <c r="BC22" s="46" t="n">
        <f aca="false">ROW()-ROW(Tasks[[#Headers],[ID]])</f>
        <v>17</v>
      </c>
      <c r="BD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2" s="46" t="n">
        <f aca="false">IFERROR(N(INDEX(Tasks[_Level],Tasks[[#This Row],[_Row]]+1)),0)</f>
        <v>0</v>
      </c>
      <c r="BF22" s="47" t="b">
        <f aca="false">AND(Tasks[[#This Row],[Task Name]]&lt;&gt;"",Tasks[[#This Row],[_NextLevel]]&gt;Tasks[[#This Row],[_Level]])</f>
        <v>0</v>
      </c>
      <c r="BG22" s="46" t="n">
        <f aca="false">IF(Tasks[[#This Row],[_IsSummary]],COUNTIF(Tasks[WBS],Tasks[[#This Row],[WBS]]&amp;".*"),0)</f>
        <v>0</v>
      </c>
      <c r="BH22" s="46" t="n">
        <f aca="false">IF(AND(Tasks[[#This Row],[Task Name]]&lt;&gt;"",NOT(Tasks[[#This Row],[_IsSummary]])),1,0)</f>
        <v>0</v>
      </c>
      <c r="BI22" s="46" t="n">
        <f aca="false">IF(N(Tasks[[#This Row],[Pred1 UID]])=0,0,IFERROR(MATCH(Tasks[[#This Row],[Pred1 UID]],Tasks[UID],0),-1))</f>
        <v>0</v>
      </c>
      <c r="BJ22" s="46" t="n">
        <f aca="false">IF(N(Tasks[[#This Row],[Pred2 UID]])=0,0,IFERROR(MATCH(Tasks[[#This Row],[Pred2 UID]],Tasks[UID],0),-1))</f>
        <v>0</v>
      </c>
      <c r="BK2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2" s="46" t="n">
        <f aca="false">IF(NOT(Tasks[[#This Row],[_IsLeaf]]=1),0,IF(N(Tasks[[#This Row],[Actual Finish]])&gt;0,1,MIN(1,N(Tasks[[#This Row],[% Complete]]))))</f>
        <v>0</v>
      </c>
      <c r="BP2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2" s="46" t="n">
        <f aca="false">IF(Tasks[[#This Row],[_LeafWork]]=0,0,Tasks[[#This Row],[_LeafWork]]*IFERROR(INDEX(res_Rate,MATCH(Tasks[[#This Row],[Resource]],res_Name,0)),0))</f>
        <v>0</v>
      </c>
      <c r="BR2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2" s="46" t="n">
        <f aca="false">IF(NOT(Tasks[[#This Row],[_IsLeaf]]=1),0,MAX(_xlfn.MAXIFS(Tasks[_Row],Tasks[Pred1 UID],Tasks[[#This Row],[UID]]),_xlfn.MAXIFS(Tasks[_Row],Tasks[Pred2 UID],Tasks[[#This Row],[UID]])))</f>
        <v>0</v>
      </c>
      <c r="BW2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2" s="48" t="str">
        <f aca="false">IF(NOT(Tasks[[#This Row],[_IsLeaf]]=1),"",MIN(ProjectFinish,IF(N(Tasks[[#This Row],[Deadline]])&gt;0,Tasks[[#This Row],[Deadline]],2958465),Tasks[[#This Row],[_SuccessorFinishLimit]]))</f>
        <v/>
      </c>
      <c r="BY2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2" s="47" t="b">
        <f aca="false">AND(Tasks[[#This Row],[_IsLeaf]]=1,Tasks[[#This Row],[_LeafProgress]]&lt;1,N(Tasks[[#This Row],[_LeafTotalSlack]])&lt;=CriticalSlackDays)</f>
        <v>0</v>
      </c>
      <c r="CB2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2" s="46" t="n">
        <f aca="false">IF(AND(Tasks[[#This Row],[_IsLeaf]]=1,Tasks[[#This Row],[_LeafWork]]&gt;0),NETWORKDAYS.INTL(ProjectStart,Tasks[[#This Row],[_LeafFcstStart]],WorkWeek,Holidays),0)</f>
        <v>0</v>
      </c>
      <c r="CK2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2" s="46" t="n">
        <f aca="false">IF(AND(Tasks[[#This Row],[_IsLeaf]]=1,Tasks[[#This Row],[_LeafWork]]&gt;0),Tasks[[#This Row],[_LeafWork]]/(Tasks[[#This Row],[_FinishWorkday]]-Tasks[[#This Row],[_StartWorkday]]+1),0)</f>
        <v>0</v>
      </c>
      <c r="CM22" s="46" t="n">
        <f aca="false">Tasks[[#This Row],[_WorkPerWorkday]]*(Tasks[[#This Row],[_StartWorkday]]-1)</f>
        <v>-0</v>
      </c>
      <c r="CN22" s="46" t="n">
        <f aca="false">IF(Tasks[[#This Row],[_IsLeaf]]=1,MAX(N(Tasks[[#This Row],[Duration]]),0.1),0)</f>
        <v>0</v>
      </c>
      <c r="CO22" s="46" t="n">
        <f aca="false">Tasks[[#This Row],[_WeightDur]]*Tasks[[#This Row],[_LeafProgress]]</f>
        <v>0</v>
      </c>
      <c r="CP2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3" customFormat="false" ht="15" hidden="false" customHeight="false" outlineLevel="0" collapsed="false">
      <c r="A23" s="38" t="str">
        <f aca="false">IF(Tasks[[#This Row],[Task Name]]="","",COUNTA(Tasks[[#Headers],[Task Name]]:Tasks[[#This Row],[Task Name]])-1)</f>
        <v/>
      </c>
      <c r="B23" s="39" t="n">
        <v>18</v>
      </c>
      <c r="C2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3" s="39"/>
      <c r="E23" s="40"/>
      <c r="F23" s="39"/>
      <c r="G23" s="39"/>
      <c r="H23" s="39"/>
      <c r="I23" s="39"/>
      <c r="J23" s="39"/>
      <c r="K23" s="39"/>
      <c r="L23" s="39"/>
      <c r="M23" s="39"/>
      <c r="N23" s="29"/>
      <c r="O23" s="29"/>
      <c r="P23" s="24" t="str">
        <f aca="false">IF(Tasks[[#This Row],[Task Name]]="","",IF(N(Tasks[[#This Row],[Baseline Start]])&gt;0,Tasks[[#This Row],[Baseline Start]],Tasks[[#This Row],[_CalcStart]]))</f>
        <v/>
      </c>
      <c r="Q23" s="24" t="str">
        <f aca="false">IF(Tasks[[#This Row],[Task Name]]="","",IF(N(Tasks[[#This Row],[Baseline Finish]])&gt;0,Tasks[[#This Row],[Baseline Finish]],Tasks[[#This Row],[_CalcFinish]]))</f>
        <v/>
      </c>
      <c r="R23" s="29"/>
      <c r="S23" s="29"/>
      <c r="T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3" s="31"/>
      <c r="AF2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3" s="40"/>
      <c r="AI23" s="31"/>
      <c r="AJ2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3" s="40"/>
      <c r="AO23" s="24" t="str">
        <f aca="false">IF(Tasks[[#This Row],[Task Name]]="","",Tasks[[#This Row],[Forecast Start]])</f>
        <v/>
      </c>
      <c r="AP23" s="24" t="str">
        <f aca="false">IF(Tasks[[#This Row],[Task Name]]="","",Tasks[[#This Row],[Forecast Finish]])</f>
        <v/>
      </c>
      <c r="AQ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3" s="42" t="str">
        <f aca="false">IF(Tasks[[#This Row],[Task Name]]="","",Tasks[[#This Row],[Work]])</f>
        <v/>
      </c>
      <c r="AS23" s="43" t="str">
        <f aca="false">IF(Tasks[[#This Row],[Task Name]]="","",Tasks[[#This Row],[Cost]])</f>
        <v/>
      </c>
      <c r="AT23" s="29"/>
      <c r="AU23" s="29"/>
      <c r="AV23" s="39"/>
      <c r="AW23" s="44"/>
      <c r="AX23" s="45"/>
      <c r="AY23" s="38" t="str">
        <f aca="false">IF(OR(Tasks[[#This Row],[Task Name]]="",Tasks[[#This Row],[Baseline Duration]]=""),"",Tasks[[#This Row],[BL Source Duration]]-N(Tasks[[#This Row],[Baseline Duration]]))</f>
        <v/>
      </c>
      <c r="AZ23" s="42" t="str">
        <f aca="false">IF(OR(Tasks[[#This Row],[Task Name]]="",Tasks[[#This Row],[Baseline Work]]=""),"",Tasks[[#This Row],[Work]]-N(Tasks[[#This Row],[Baseline Work]]))</f>
        <v/>
      </c>
      <c r="BA23" s="43" t="str">
        <f aca="false">IF(OR(Tasks[[#This Row],[Task Name]]="",Tasks[[#This Row],[Baseline Cost]]=""),"",Tasks[[#This Row],[Cost]]-N(Tasks[[#This Row],[Baseline Cost]]))</f>
        <v/>
      </c>
      <c r="BB23" s="46" t="str">
        <f aca="false">IF(Tasks[[#This Row],[Task Name]]="","",MAX(1,N(Tasks[[#This Row],[Level]])))</f>
        <v/>
      </c>
      <c r="BC23" s="46" t="n">
        <f aca="false">ROW()-ROW(Tasks[[#Headers],[ID]])</f>
        <v>18</v>
      </c>
      <c r="BD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3" s="46" t="n">
        <f aca="false">IFERROR(N(INDEX(Tasks[_Level],Tasks[[#This Row],[_Row]]+1)),0)</f>
        <v>0</v>
      </c>
      <c r="BF23" s="47" t="b">
        <f aca="false">AND(Tasks[[#This Row],[Task Name]]&lt;&gt;"",Tasks[[#This Row],[_NextLevel]]&gt;Tasks[[#This Row],[_Level]])</f>
        <v>0</v>
      </c>
      <c r="BG23" s="46" t="n">
        <f aca="false">IF(Tasks[[#This Row],[_IsSummary]],COUNTIF(Tasks[WBS],Tasks[[#This Row],[WBS]]&amp;".*"),0)</f>
        <v>0</v>
      </c>
      <c r="BH23" s="46" t="n">
        <f aca="false">IF(AND(Tasks[[#This Row],[Task Name]]&lt;&gt;"",NOT(Tasks[[#This Row],[_IsSummary]])),1,0)</f>
        <v>0</v>
      </c>
      <c r="BI23" s="46" t="n">
        <f aca="false">IF(N(Tasks[[#This Row],[Pred1 UID]])=0,0,IFERROR(MATCH(Tasks[[#This Row],[Pred1 UID]],Tasks[UID],0),-1))</f>
        <v>0</v>
      </c>
      <c r="BJ23" s="46" t="n">
        <f aca="false">IF(N(Tasks[[#This Row],[Pred2 UID]])=0,0,IFERROR(MATCH(Tasks[[#This Row],[Pred2 UID]],Tasks[UID],0),-1))</f>
        <v>0</v>
      </c>
      <c r="BK2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3" s="46" t="n">
        <f aca="false">IF(NOT(Tasks[[#This Row],[_IsLeaf]]=1),0,IF(N(Tasks[[#This Row],[Actual Finish]])&gt;0,1,MIN(1,N(Tasks[[#This Row],[% Complete]]))))</f>
        <v>0</v>
      </c>
      <c r="BP2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3" s="46" t="n">
        <f aca="false">IF(Tasks[[#This Row],[_LeafWork]]=0,0,Tasks[[#This Row],[_LeafWork]]*IFERROR(INDEX(res_Rate,MATCH(Tasks[[#This Row],[Resource]],res_Name,0)),0))</f>
        <v>0</v>
      </c>
      <c r="BR2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3" s="46" t="n">
        <f aca="false">IF(NOT(Tasks[[#This Row],[_IsLeaf]]=1),0,MAX(_xlfn.MAXIFS(Tasks[_Row],Tasks[Pred1 UID],Tasks[[#This Row],[UID]]),_xlfn.MAXIFS(Tasks[_Row],Tasks[Pred2 UID],Tasks[[#This Row],[UID]])))</f>
        <v>0</v>
      </c>
      <c r="BW2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3" s="48" t="str">
        <f aca="false">IF(NOT(Tasks[[#This Row],[_IsLeaf]]=1),"",MIN(ProjectFinish,IF(N(Tasks[[#This Row],[Deadline]])&gt;0,Tasks[[#This Row],[Deadline]],2958465),Tasks[[#This Row],[_SuccessorFinishLimit]]))</f>
        <v/>
      </c>
      <c r="BY2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3" s="47" t="b">
        <f aca="false">AND(Tasks[[#This Row],[_IsLeaf]]=1,Tasks[[#This Row],[_LeafProgress]]&lt;1,N(Tasks[[#This Row],[_LeafTotalSlack]])&lt;=CriticalSlackDays)</f>
        <v>0</v>
      </c>
      <c r="CB2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3" s="46" t="n">
        <f aca="false">IF(AND(Tasks[[#This Row],[_IsLeaf]]=1,Tasks[[#This Row],[_LeafWork]]&gt;0),NETWORKDAYS.INTL(ProjectStart,Tasks[[#This Row],[_LeafFcstStart]],WorkWeek,Holidays),0)</f>
        <v>0</v>
      </c>
      <c r="CK2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3" s="46" t="n">
        <f aca="false">IF(AND(Tasks[[#This Row],[_IsLeaf]]=1,Tasks[[#This Row],[_LeafWork]]&gt;0),Tasks[[#This Row],[_LeafWork]]/(Tasks[[#This Row],[_FinishWorkday]]-Tasks[[#This Row],[_StartWorkday]]+1),0)</f>
        <v>0</v>
      </c>
      <c r="CM23" s="46" t="n">
        <f aca="false">Tasks[[#This Row],[_WorkPerWorkday]]*(Tasks[[#This Row],[_StartWorkday]]-1)</f>
        <v>-0</v>
      </c>
      <c r="CN23" s="46" t="n">
        <f aca="false">IF(Tasks[[#This Row],[_IsLeaf]]=1,MAX(N(Tasks[[#This Row],[Duration]]),0.1),0)</f>
        <v>0</v>
      </c>
      <c r="CO23" s="46" t="n">
        <f aca="false">Tasks[[#This Row],[_WeightDur]]*Tasks[[#This Row],[_LeafProgress]]</f>
        <v>0</v>
      </c>
      <c r="CP2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4" customFormat="false" ht="15" hidden="false" customHeight="false" outlineLevel="0" collapsed="false">
      <c r="A24" s="38" t="str">
        <f aca="false">IF(Tasks[[#This Row],[Task Name]]="","",COUNTA(Tasks[[#Headers],[Task Name]]:Tasks[[#This Row],[Task Name]])-1)</f>
        <v/>
      </c>
      <c r="B24" s="39" t="n">
        <v>19</v>
      </c>
      <c r="C2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4" s="39"/>
      <c r="E24" s="40"/>
      <c r="F24" s="39"/>
      <c r="G24" s="39"/>
      <c r="H24" s="39"/>
      <c r="I24" s="39"/>
      <c r="J24" s="39"/>
      <c r="K24" s="39"/>
      <c r="L24" s="39"/>
      <c r="M24" s="39"/>
      <c r="N24" s="29"/>
      <c r="O24" s="29"/>
      <c r="P24" s="24" t="str">
        <f aca="false">IF(Tasks[[#This Row],[Task Name]]="","",IF(N(Tasks[[#This Row],[Baseline Start]])&gt;0,Tasks[[#This Row],[Baseline Start]],Tasks[[#This Row],[_CalcStart]]))</f>
        <v/>
      </c>
      <c r="Q24" s="24" t="str">
        <f aca="false">IF(Tasks[[#This Row],[Task Name]]="","",IF(N(Tasks[[#This Row],[Baseline Finish]])&gt;0,Tasks[[#This Row],[Baseline Finish]],Tasks[[#This Row],[_CalcFinish]]))</f>
        <v/>
      </c>
      <c r="R24" s="29"/>
      <c r="S24" s="29"/>
      <c r="T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4" s="31"/>
      <c r="AF2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4" s="40"/>
      <c r="AI24" s="31"/>
      <c r="AJ2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4" s="40"/>
      <c r="AO24" s="24" t="str">
        <f aca="false">IF(Tasks[[#This Row],[Task Name]]="","",Tasks[[#This Row],[Forecast Start]])</f>
        <v/>
      </c>
      <c r="AP24" s="24" t="str">
        <f aca="false">IF(Tasks[[#This Row],[Task Name]]="","",Tasks[[#This Row],[Forecast Finish]])</f>
        <v/>
      </c>
      <c r="AQ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4" s="42" t="str">
        <f aca="false">IF(Tasks[[#This Row],[Task Name]]="","",Tasks[[#This Row],[Work]])</f>
        <v/>
      </c>
      <c r="AS24" s="43" t="str">
        <f aca="false">IF(Tasks[[#This Row],[Task Name]]="","",Tasks[[#This Row],[Cost]])</f>
        <v/>
      </c>
      <c r="AT24" s="29"/>
      <c r="AU24" s="29"/>
      <c r="AV24" s="39"/>
      <c r="AW24" s="44"/>
      <c r="AX24" s="45"/>
      <c r="AY24" s="38" t="str">
        <f aca="false">IF(OR(Tasks[[#This Row],[Task Name]]="",Tasks[[#This Row],[Baseline Duration]]=""),"",Tasks[[#This Row],[BL Source Duration]]-N(Tasks[[#This Row],[Baseline Duration]]))</f>
        <v/>
      </c>
      <c r="AZ24" s="42" t="str">
        <f aca="false">IF(OR(Tasks[[#This Row],[Task Name]]="",Tasks[[#This Row],[Baseline Work]]=""),"",Tasks[[#This Row],[Work]]-N(Tasks[[#This Row],[Baseline Work]]))</f>
        <v/>
      </c>
      <c r="BA24" s="43" t="str">
        <f aca="false">IF(OR(Tasks[[#This Row],[Task Name]]="",Tasks[[#This Row],[Baseline Cost]]=""),"",Tasks[[#This Row],[Cost]]-N(Tasks[[#This Row],[Baseline Cost]]))</f>
        <v/>
      </c>
      <c r="BB24" s="46" t="str">
        <f aca="false">IF(Tasks[[#This Row],[Task Name]]="","",MAX(1,N(Tasks[[#This Row],[Level]])))</f>
        <v/>
      </c>
      <c r="BC24" s="46" t="n">
        <f aca="false">ROW()-ROW(Tasks[[#Headers],[ID]])</f>
        <v>19</v>
      </c>
      <c r="BD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4" s="46" t="n">
        <f aca="false">IFERROR(N(INDEX(Tasks[_Level],Tasks[[#This Row],[_Row]]+1)),0)</f>
        <v>0</v>
      </c>
      <c r="BF24" s="47" t="b">
        <f aca="false">AND(Tasks[[#This Row],[Task Name]]&lt;&gt;"",Tasks[[#This Row],[_NextLevel]]&gt;Tasks[[#This Row],[_Level]])</f>
        <v>0</v>
      </c>
      <c r="BG24" s="46" t="n">
        <f aca="false">IF(Tasks[[#This Row],[_IsSummary]],COUNTIF(Tasks[WBS],Tasks[[#This Row],[WBS]]&amp;".*"),0)</f>
        <v>0</v>
      </c>
      <c r="BH24" s="46" t="n">
        <f aca="false">IF(AND(Tasks[[#This Row],[Task Name]]&lt;&gt;"",NOT(Tasks[[#This Row],[_IsSummary]])),1,0)</f>
        <v>0</v>
      </c>
      <c r="BI24" s="46" t="n">
        <f aca="false">IF(N(Tasks[[#This Row],[Pred1 UID]])=0,0,IFERROR(MATCH(Tasks[[#This Row],[Pred1 UID]],Tasks[UID],0),-1))</f>
        <v>0</v>
      </c>
      <c r="BJ24" s="46" t="n">
        <f aca="false">IF(N(Tasks[[#This Row],[Pred2 UID]])=0,0,IFERROR(MATCH(Tasks[[#This Row],[Pred2 UID]],Tasks[UID],0),-1))</f>
        <v>0</v>
      </c>
      <c r="BK2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4" s="46" t="n">
        <f aca="false">IF(NOT(Tasks[[#This Row],[_IsLeaf]]=1),0,IF(N(Tasks[[#This Row],[Actual Finish]])&gt;0,1,MIN(1,N(Tasks[[#This Row],[% Complete]]))))</f>
        <v>0</v>
      </c>
      <c r="BP2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4" s="46" t="n">
        <f aca="false">IF(Tasks[[#This Row],[_LeafWork]]=0,0,Tasks[[#This Row],[_LeafWork]]*IFERROR(INDEX(res_Rate,MATCH(Tasks[[#This Row],[Resource]],res_Name,0)),0))</f>
        <v>0</v>
      </c>
      <c r="BR2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4" s="46" t="n">
        <f aca="false">IF(NOT(Tasks[[#This Row],[_IsLeaf]]=1),0,MAX(_xlfn.MAXIFS(Tasks[_Row],Tasks[Pred1 UID],Tasks[[#This Row],[UID]]),_xlfn.MAXIFS(Tasks[_Row],Tasks[Pred2 UID],Tasks[[#This Row],[UID]])))</f>
        <v>0</v>
      </c>
      <c r="BW2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4" s="48" t="str">
        <f aca="false">IF(NOT(Tasks[[#This Row],[_IsLeaf]]=1),"",MIN(ProjectFinish,IF(N(Tasks[[#This Row],[Deadline]])&gt;0,Tasks[[#This Row],[Deadline]],2958465),Tasks[[#This Row],[_SuccessorFinishLimit]]))</f>
        <v/>
      </c>
      <c r="BY2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4" s="47" t="b">
        <f aca="false">AND(Tasks[[#This Row],[_IsLeaf]]=1,Tasks[[#This Row],[_LeafProgress]]&lt;1,N(Tasks[[#This Row],[_LeafTotalSlack]])&lt;=CriticalSlackDays)</f>
        <v>0</v>
      </c>
      <c r="CB2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4" s="46" t="n">
        <f aca="false">IF(AND(Tasks[[#This Row],[_IsLeaf]]=1,Tasks[[#This Row],[_LeafWork]]&gt;0),NETWORKDAYS.INTL(ProjectStart,Tasks[[#This Row],[_LeafFcstStart]],WorkWeek,Holidays),0)</f>
        <v>0</v>
      </c>
      <c r="CK2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4" s="46" t="n">
        <f aca="false">IF(AND(Tasks[[#This Row],[_IsLeaf]]=1,Tasks[[#This Row],[_LeafWork]]&gt;0),Tasks[[#This Row],[_LeafWork]]/(Tasks[[#This Row],[_FinishWorkday]]-Tasks[[#This Row],[_StartWorkday]]+1),0)</f>
        <v>0</v>
      </c>
      <c r="CM24" s="46" t="n">
        <f aca="false">Tasks[[#This Row],[_WorkPerWorkday]]*(Tasks[[#This Row],[_StartWorkday]]-1)</f>
        <v>-0</v>
      </c>
      <c r="CN24" s="46" t="n">
        <f aca="false">IF(Tasks[[#This Row],[_IsLeaf]]=1,MAX(N(Tasks[[#This Row],[Duration]]),0.1),0)</f>
        <v>0</v>
      </c>
      <c r="CO24" s="46" t="n">
        <f aca="false">Tasks[[#This Row],[_WeightDur]]*Tasks[[#This Row],[_LeafProgress]]</f>
        <v>0</v>
      </c>
      <c r="CP2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5" customFormat="false" ht="15" hidden="false" customHeight="false" outlineLevel="0" collapsed="false">
      <c r="A25" s="38" t="str">
        <f aca="false">IF(Tasks[[#This Row],[Task Name]]="","",COUNTA(Tasks[[#Headers],[Task Name]]:Tasks[[#This Row],[Task Name]])-1)</f>
        <v/>
      </c>
      <c r="B25" s="39" t="n">
        <v>20</v>
      </c>
      <c r="C2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5" s="39"/>
      <c r="E25" s="40"/>
      <c r="F25" s="39"/>
      <c r="G25" s="39"/>
      <c r="H25" s="39"/>
      <c r="I25" s="39"/>
      <c r="J25" s="39"/>
      <c r="K25" s="39"/>
      <c r="L25" s="39"/>
      <c r="M25" s="39"/>
      <c r="N25" s="29"/>
      <c r="O25" s="29"/>
      <c r="P25" s="24" t="str">
        <f aca="false">IF(Tasks[[#This Row],[Task Name]]="","",IF(N(Tasks[[#This Row],[Baseline Start]])&gt;0,Tasks[[#This Row],[Baseline Start]],Tasks[[#This Row],[_CalcStart]]))</f>
        <v/>
      </c>
      <c r="Q25" s="24" t="str">
        <f aca="false">IF(Tasks[[#This Row],[Task Name]]="","",IF(N(Tasks[[#This Row],[Baseline Finish]])&gt;0,Tasks[[#This Row],[Baseline Finish]],Tasks[[#This Row],[_CalcFinish]]))</f>
        <v/>
      </c>
      <c r="R25" s="29"/>
      <c r="S25" s="29"/>
      <c r="T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5" s="31"/>
      <c r="AF2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5" s="40"/>
      <c r="AI25" s="31"/>
      <c r="AJ2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5" s="40"/>
      <c r="AO25" s="24" t="str">
        <f aca="false">IF(Tasks[[#This Row],[Task Name]]="","",Tasks[[#This Row],[Forecast Start]])</f>
        <v/>
      </c>
      <c r="AP25" s="24" t="str">
        <f aca="false">IF(Tasks[[#This Row],[Task Name]]="","",Tasks[[#This Row],[Forecast Finish]])</f>
        <v/>
      </c>
      <c r="AQ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5" s="42" t="str">
        <f aca="false">IF(Tasks[[#This Row],[Task Name]]="","",Tasks[[#This Row],[Work]])</f>
        <v/>
      </c>
      <c r="AS25" s="43" t="str">
        <f aca="false">IF(Tasks[[#This Row],[Task Name]]="","",Tasks[[#This Row],[Cost]])</f>
        <v/>
      </c>
      <c r="AT25" s="29"/>
      <c r="AU25" s="29"/>
      <c r="AV25" s="39"/>
      <c r="AW25" s="44"/>
      <c r="AX25" s="45"/>
      <c r="AY25" s="38" t="str">
        <f aca="false">IF(OR(Tasks[[#This Row],[Task Name]]="",Tasks[[#This Row],[Baseline Duration]]=""),"",Tasks[[#This Row],[BL Source Duration]]-N(Tasks[[#This Row],[Baseline Duration]]))</f>
        <v/>
      </c>
      <c r="AZ25" s="42" t="str">
        <f aca="false">IF(OR(Tasks[[#This Row],[Task Name]]="",Tasks[[#This Row],[Baseline Work]]=""),"",Tasks[[#This Row],[Work]]-N(Tasks[[#This Row],[Baseline Work]]))</f>
        <v/>
      </c>
      <c r="BA25" s="43" t="str">
        <f aca="false">IF(OR(Tasks[[#This Row],[Task Name]]="",Tasks[[#This Row],[Baseline Cost]]=""),"",Tasks[[#This Row],[Cost]]-N(Tasks[[#This Row],[Baseline Cost]]))</f>
        <v/>
      </c>
      <c r="BB25" s="46" t="str">
        <f aca="false">IF(Tasks[[#This Row],[Task Name]]="","",MAX(1,N(Tasks[[#This Row],[Level]])))</f>
        <v/>
      </c>
      <c r="BC25" s="46" t="n">
        <f aca="false">ROW()-ROW(Tasks[[#Headers],[ID]])</f>
        <v>20</v>
      </c>
      <c r="BD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5" s="46" t="n">
        <f aca="false">IFERROR(N(INDEX(Tasks[_Level],Tasks[[#This Row],[_Row]]+1)),0)</f>
        <v>0</v>
      </c>
      <c r="BF25" s="47" t="b">
        <f aca="false">AND(Tasks[[#This Row],[Task Name]]&lt;&gt;"",Tasks[[#This Row],[_NextLevel]]&gt;Tasks[[#This Row],[_Level]])</f>
        <v>0</v>
      </c>
      <c r="BG25" s="46" t="n">
        <f aca="false">IF(Tasks[[#This Row],[_IsSummary]],COUNTIF(Tasks[WBS],Tasks[[#This Row],[WBS]]&amp;".*"),0)</f>
        <v>0</v>
      </c>
      <c r="BH25" s="46" t="n">
        <f aca="false">IF(AND(Tasks[[#This Row],[Task Name]]&lt;&gt;"",NOT(Tasks[[#This Row],[_IsSummary]])),1,0)</f>
        <v>0</v>
      </c>
      <c r="BI25" s="46" t="n">
        <f aca="false">IF(N(Tasks[[#This Row],[Pred1 UID]])=0,0,IFERROR(MATCH(Tasks[[#This Row],[Pred1 UID]],Tasks[UID],0),-1))</f>
        <v>0</v>
      </c>
      <c r="BJ25" s="46" t="n">
        <f aca="false">IF(N(Tasks[[#This Row],[Pred2 UID]])=0,0,IFERROR(MATCH(Tasks[[#This Row],[Pred2 UID]],Tasks[UID],0),-1))</f>
        <v>0</v>
      </c>
      <c r="BK2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5" s="46" t="n">
        <f aca="false">IF(NOT(Tasks[[#This Row],[_IsLeaf]]=1),0,IF(N(Tasks[[#This Row],[Actual Finish]])&gt;0,1,MIN(1,N(Tasks[[#This Row],[% Complete]]))))</f>
        <v>0</v>
      </c>
      <c r="BP2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5" s="46" t="n">
        <f aca="false">IF(Tasks[[#This Row],[_LeafWork]]=0,0,Tasks[[#This Row],[_LeafWork]]*IFERROR(INDEX(res_Rate,MATCH(Tasks[[#This Row],[Resource]],res_Name,0)),0))</f>
        <v>0</v>
      </c>
      <c r="BR2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5" s="46" t="n">
        <f aca="false">IF(NOT(Tasks[[#This Row],[_IsLeaf]]=1),0,MAX(_xlfn.MAXIFS(Tasks[_Row],Tasks[Pred1 UID],Tasks[[#This Row],[UID]]),_xlfn.MAXIFS(Tasks[_Row],Tasks[Pred2 UID],Tasks[[#This Row],[UID]])))</f>
        <v>0</v>
      </c>
      <c r="BW2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5" s="48" t="str">
        <f aca="false">IF(NOT(Tasks[[#This Row],[_IsLeaf]]=1),"",MIN(ProjectFinish,IF(N(Tasks[[#This Row],[Deadline]])&gt;0,Tasks[[#This Row],[Deadline]],2958465),Tasks[[#This Row],[_SuccessorFinishLimit]]))</f>
        <v/>
      </c>
      <c r="BY2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5" s="47" t="b">
        <f aca="false">AND(Tasks[[#This Row],[_IsLeaf]]=1,Tasks[[#This Row],[_LeafProgress]]&lt;1,N(Tasks[[#This Row],[_LeafTotalSlack]])&lt;=CriticalSlackDays)</f>
        <v>0</v>
      </c>
      <c r="CB2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5" s="46" t="n">
        <f aca="false">IF(AND(Tasks[[#This Row],[_IsLeaf]]=1,Tasks[[#This Row],[_LeafWork]]&gt;0),NETWORKDAYS.INTL(ProjectStart,Tasks[[#This Row],[_LeafFcstStart]],WorkWeek,Holidays),0)</f>
        <v>0</v>
      </c>
      <c r="CK2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5" s="46" t="n">
        <f aca="false">IF(AND(Tasks[[#This Row],[_IsLeaf]]=1,Tasks[[#This Row],[_LeafWork]]&gt;0),Tasks[[#This Row],[_LeafWork]]/(Tasks[[#This Row],[_FinishWorkday]]-Tasks[[#This Row],[_StartWorkday]]+1),0)</f>
        <v>0</v>
      </c>
      <c r="CM25" s="46" t="n">
        <f aca="false">Tasks[[#This Row],[_WorkPerWorkday]]*(Tasks[[#This Row],[_StartWorkday]]-1)</f>
        <v>-0</v>
      </c>
      <c r="CN25" s="46" t="n">
        <f aca="false">IF(Tasks[[#This Row],[_IsLeaf]]=1,MAX(N(Tasks[[#This Row],[Duration]]),0.1),0)</f>
        <v>0</v>
      </c>
      <c r="CO25" s="46" t="n">
        <f aca="false">Tasks[[#This Row],[_WeightDur]]*Tasks[[#This Row],[_LeafProgress]]</f>
        <v>0</v>
      </c>
      <c r="CP2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6" customFormat="false" ht="15" hidden="false" customHeight="false" outlineLevel="0" collapsed="false">
      <c r="A26" s="38" t="str">
        <f aca="false">IF(Tasks[[#This Row],[Task Name]]="","",COUNTA(Tasks[[#Headers],[Task Name]]:Tasks[[#This Row],[Task Name]])-1)</f>
        <v/>
      </c>
      <c r="B26" s="39" t="n">
        <v>21</v>
      </c>
      <c r="C2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6" s="39"/>
      <c r="E26" s="40"/>
      <c r="F26" s="39"/>
      <c r="G26" s="39"/>
      <c r="H26" s="39"/>
      <c r="I26" s="39"/>
      <c r="J26" s="39"/>
      <c r="K26" s="39"/>
      <c r="L26" s="39"/>
      <c r="M26" s="39"/>
      <c r="N26" s="29"/>
      <c r="O26" s="29"/>
      <c r="P26" s="24" t="str">
        <f aca="false">IF(Tasks[[#This Row],[Task Name]]="","",IF(N(Tasks[[#This Row],[Baseline Start]])&gt;0,Tasks[[#This Row],[Baseline Start]],Tasks[[#This Row],[_CalcStart]]))</f>
        <v/>
      </c>
      <c r="Q26" s="24" t="str">
        <f aca="false">IF(Tasks[[#This Row],[Task Name]]="","",IF(N(Tasks[[#This Row],[Baseline Finish]])&gt;0,Tasks[[#This Row],[Baseline Finish]],Tasks[[#This Row],[_CalcFinish]]))</f>
        <v/>
      </c>
      <c r="R26" s="29"/>
      <c r="S26" s="29"/>
      <c r="T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6" s="31"/>
      <c r="AF2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6" s="40"/>
      <c r="AI26" s="31"/>
      <c r="AJ2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6" s="40"/>
      <c r="AO26" s="24" t="str">
        <f aca="false">IF(Tasks[[#This Row],[Task Name]]="","",Tasks[[#This Row],[Forecast Start]])</f>
        <v/>
      </c>
      <c r="AP26" s="24" t="str">
        <f aca="false">IF(Tasks[[#This Row],[Task Name]]="","",Tasks[[#This Row],[Forecast Finish]])</f>
        <v/>
      </c>
      <c r="AQ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6" s="42" t="str">
        <f aca="false">IF(Tasks[[#This Row],[Task Name]]="","",Tasks[[#This Row],[Work]])</f>
        <v/>
      </c>
      <c r="AS26" s="43" t="str">
        <f aca="false">IF(Tasks[[#This Row],[Task Name]]="","",Tasks[[#This Row],[Cost]])</f>
        <v/>
      </c>
      <c r="AT26" s="29"/>
      <c r="AU26" s="29"/>
      <c r="AV26" s="39"/>
      <c r="AW26" s="44"/>
      <c r="AX26" s="45"/>
      <c r="AY26" s="38" t="str">
        <f aca="false">IF(OR(Tasks[[#This Row],[Task Name]]="",Tasks[[#This Row],[Baseline Duration]]=""),"",Tasks[[#This Row],[BL Source Duration]]-N(Tasks[[#This Row],[Baseline Duration]]))</f>
        <v/>
      </c>
      <c r="AZ26" s="42" t="str">
        <f aca="false">IF(OR(Tasks[[#This Row],[Task Name]]="",Tasks[[#This Row],[Baseline Work]]=""),"",Tasks[[#This Row],[Work]]-N(Tasks[[#This Row],[Baseline Work]]))</f>
        <v/>
      </c>
      <c r="BA26" s="43" t="str">
        <f aca="false">IF(OR(Tasks[[#This Row],[Task Name]]="",Tasks[[#This Row],[Baseline Cost]]=""),"",Tasks[[#This Row],[Cost]]-N(Tasks[[#This Row],[Baseline Cost]]))</f>
        <v/>
      </c>
      <c r="BB26" s="46" t="str">
        <f aca="false">IF(Tasks[[#This Row],[Task Name]]="","",MAX(1,N(Tasks[[#This Row],[Level]])))</f>
        <v/>
      </c>
      <c r="BC26" s="46" t="n">
        <f aca="false">ROW()-ROW(Tasks[[#Headers],[ID]])</f>
        <v>21</v>
      </c>
      <c r="BD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6" s="46" t="n">
        <f aca="false">IFERROR(N(INDEX(Tasks[_Level],Tasks[[#This Row],[_Row]]+1)),0)</f>
        <v>0</v>
      </c>
      <c r="BF26" s="47" t="b">
        <f aca="false">AND(Tasks[[#This Row],[Task Name]]&lt;&gt;"",Tasks[[#This Row],[_NextLevel]]&gt;Tasks[[#This Row],[_Level]])</f>
        <v>0</v>
      </c>
      <c r="BG26" s="46" t="n">
        <f aca="false">IF(Tasks[[#This Row],[_IsSummary]],COUNTIF(Tasks[WBS],Tasks[[#This Row],[WBS]]&amp;".*"),0)</f>
        <v>0</v>
      </c>
      <c r="BH26" s="46" t="n">
        <f aca="false">IF(AND(Tasks[[#This Row],[Task Name]]&lt;&gt;"",NOT(Tasks[[#This Row],[_IsSummary]])),1,0)</f>
        <v>0</v>
      </c>
      <c r="BI26" s="46" t="n">
        <f aca="false">IF(N(Tasks[[#This Row],[Pred1 UID]])=0,0,IFERROR(MATCH(Tasks[[#This Row],[Pred1 UID]],Tasks[UID],0),-1))</f>
        <v>0</v>
      </c>
      <c r="BJ26" s="46" t="n">
        <f aca="false">IF(N(Tasks[[#This Row],[Pred2 UID]])=0,0,IFERROR(MATCH(Tasks[[#This Row],[Pred2 UID]],Tasks[UID],0),-1))</f>
        <v>0</v>
      </c>
      <c r="BK2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6" s="46" t="n">
        <f aca="false">IF(NOT(Tasks[[#This Row],[_IsLeaf]]=1),0,IF(N(Tasks[[#This Row],[Actual Finish]])&gt;0,1,MIN(1,N(Tasks[[#This Row],[% Complete]]))))</f>
        <v>0</v>
      </c>
      <c r="BP2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6" s="46" t="n">
        <f aca="false">IF(Tasks[[#This Row],[_LeafWork]]=0,0,Tasks[[#This Row],[_LeafWork]]*IFERROR(INDEX(res_Rate,MATCH(Tasks[[#This Row],[Resource]],res_Name,0)),0))</f>
        <v>0</v>
      </c>
      <c r="BR2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6" s="46" t="n">
        <f aca="false">IF(NOT(Tasks[[#This Row],[_IsLeaf]]=1),0,MAX(_xlfn.MAXIFS(Tasks[_Row],Tasks[Pred1 UID],Tasks[[#This Row],[UID]]),_xlfn.MAXIFS(Tasks[_Row],Tasks[Pred2 UID],Tasks[[#This Row],[UID]])))</f>
        <v>0</v>
      </c>
      <c r="BW2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6" s="48" t="str">
        <f aca="false">IF(NOT(Tasks[[#This Row],[_IsLeaf]]=1),"",MIN(ProjectFinish,IF(N(Tasks[[#This Row],[Deadline]])&gt;0,Tasks[[#This Row],[Deadline]],2958465),Tasks[[#This Row],[_SuccessorFinishLimit]]))</f>
        <v/>
      </c>
      <c r="BY2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6" s="47" t="b">
        <f aca="false">AND(Tasks[[#This Row],[_IsLeaf]]=1,Tasks[[#This Row],[_LeafProgress]]&lt;1,N(Tasks[[#This Row],[_LeafTotalSlack]])&lt;=CriticalSlackDays)</f>
        <v>0</v>
      </c>
      <c r="CB2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6" s="46" t="n">
        <f aca="false">IF(AND(Tasks[[#This Row],[_IsLeaf]]=1,Tasks[[#This Row],[_LeafWork]]&gt;0),NETWORKDAYS.INTL(ProjectStart,Tasks[[#This Row],[_LeafFcstStart]],WorkWeek,Holidays),0)</f>
        <v>0</v>
      </c>
      <c r="CK2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6" s="46" t="n">
        <f aca="false">IF(AND(Tasks[[#This Row],[_IsLeaf]]=1,Tasks[[#This Row],[_LeafWork]]&gt;0),Tasks[[#This Row],[_LeafWork]]/(Tasks[[#This Row],[_FinishWorkday]]-Tasks[[#This Row],[_StartWorkday]]+1),0)</f>
        <v>0</v>
      </c>
      <c r="CM26" s="46" t="n">
        <f aca="false">Tasks[[#This Row],[_WorkPerWorkday]]*(Tasks[[#This Row],[_StartWorkday]]-1)</f>
        <v>-0</v>
      </c>
      <c r="CN26" s="46" t="n">
        <f aca="false">IF(Tasks[[#This Row],[_IsLeaf]]=1,MAX(N(Tasks[[#This Row],[Duration]]),0.1),0)</f>
        <v>0</v>
      </c>
      <c r="CO26" s="46" t="n">
        <f aca="false">Tasks[[#This Row],[_WeightDur]]*Tasks[[#This Row],[_LeafProgress]]</f>
        <v>0</v>
      </c>
      <c r="CP2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7" customFormat="false" ht="15" hidden="false" customHeight="false" outlineLevel="0" collapsed="false">
      <c r="A27" s="38" t="str">
        <f aca="false">IF(Tasks[[#This Row],[Task Name]]="","",COUNTA(Tasks[[#Headers],[Task Name]]:Tasks[[#This Row],[Task Name]])-1)</f>
        <v/>
      </c>
      <c r="B27" s="39" t="n">
        <v>22</v>
      </c>
      <c r="C2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7" s="39"/>
      <c r="E27" s="40"/>
      <c r="F27" s="39"/>
      <c r="G27" s="39"/>
      <c r="H27" s="39"/>
      <c r="I27" s="39"/>
      <c r="J27" s="39"/>
      <c r="K27" s="39"/>
      <c r="L27" s="39"/>
      <c r="M27" s="39"/>
      <c r="N27" s="29"/>
      <c r="O27" s="29"/>
      <c r="P27" s="24" t="str">
        <f aca="false">IF(Tasks[[#This Row],[Task Name]]="","",IF(N(Tasks[[#This Row],[Baseline Start]])&gt;0,Tasks[[#This Row],[Baseline Start]],Tasks[[#This Row],[_CalcStart]]))</f>
        <v/>
      </c>
      <c r="Q27" s="24" t="str">
        <f aca="false">IF(Tasks[[#This Row],[Task Name]]="","",IF(N(Tasks[[#This Row],[Baseline Finish]])&gt;0,Tasks[[#This Row],[Baseline Finish]],Tasks[[#This Row],[_CalcFinish]]))</f>
        <v/>
      </c>
      <c r="R27" s="29"/>
      <c r="S27" s="29"/>
      <c r="T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7" s="31"/>
      <c r="AF2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7" s="40"/>
      <c r="AI27" s="31"/>
      <c r="AJ2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7" s="40"/>
      <c r="AO27" s="24" t="str">
        <f aca="false">IF(Tasks[[#This Row],[Task Name]]="","",Tasks[[#This Row],[Forecast Start]])</f>
        <v/>
      </c>
      <c r="AP27" s="24" t="str">
        <f aca="false">IF(Tasks[[#This Row],[Task Name]]="","",Tasks[[#This Row],[Forecast Finish]])</f>
        <v/>
      </c>
      <c r="AQ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7" s="42" t="str">
        <f aca="false">IF(Tasks[[#This Row],[Task Name]]="","",Tasks[[#This Row],[Work]])</f>
        <v/>
      </c>
      <c r="AS27" s="43" t="str">
        <f aca="false">IF(Tasks[[#This Row],[Task Name]]="","",Tasks[[#This Row],[Cost]])</f>
        <v/>
      </c>
      <c r="AT27" s="29"/>
      <c r="AU27" s="29"/>
      <c r="AV27" s="39"/>
      <c r="AW27" s="44"/>
      <c r="AX27" s="45"/>
      <c r="AY27" s="38" t="str">
        <f aca="false">IF(OR(Tasks[[#This Row],[Task Name]]="",Tasks[[#This Row],[Baseline Duration]]=""),"",Tasks[[#This Row],[BL Source Duration]]-N(Tasks[[#This Row],[Baseline Duration]]))</f>
        <v/>
      </c>
      <c r="AZ27" s="42" t="str">
        <f aca="false">IF(OR(Tasks[[#This Row],[Task Name]]="",Tasks[[#This Row],[Baseline Work]]=""),"",Tasks[[#This Row],[Work]]-N(Tasks[[#This Row],[Baseline Work]]))</f>
        <v/>
      </c>
      <c r="BA27" s="43" t="str">
        <f aca="false">IF(OR(Tasks[[#This Row],[Task Name]]="",Tasks[[#This Row],[Baseline Cost]]=""),"",Tasks[[#This Row],[Cost]]-N(Tasks[[#This Row],[Baseline Cost]]))</f>
        <v/>
      </c>
      <c r="BB27" s="46" t="str">
        <f aca="false">IF(Tasks[[#This Row],[Task Name]]="","",MAX(1,N(Tasks[[#This Row],[Level]])))</f>
        <v/>
      </c>
      <c r="BC27" s="46" t="n">
        <f aca="false">ROW()-ROW(Tasks[[#Headers],[ID]])</f>
        <v>22</v>
      </c>
      <c r="BD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7" s="46" t="n">
        <f aca="false">IFERROR(N(INDEX(Tasks[_Level],Tasks[[#This Row],[_Row]]+1)),0)</f>
        <v>0</v>
      </c>
      <c r="BF27" s="47" t="b">
        <f aca="false">AND(Tasks[[#This Row],[Task Name]]&lt;&gt;"",Tasks[[#This Row],[_NextLevel]]&gt;Tasks[[#This Row],[_Level]])</f>
        <v>0</v>
      </c>
      <c r="BG27" s="46" t="n">
        <f aca="false">IF(Tasks[[#This Row],[_IsSummary]],COUNTIF(Tasks[WBS],Tasks[[#This Row],[WBS]]&amp;".*"),0)</f>
        <v>0</v>
      </c>
      <c r="BH27" s="46" t="n">
        <f aca="false">IF(AND(Tasks[[#This Row],[Task Name]]&lt;&gt;"",NOT(Tasks[[#This Row],[_IsSummary]])),1,0)</f>
        <v>0</v>
      </c>
      <c r="BI27" s="46" t="n">
        <f aca="false">IF(N(Tasks[[#This Row],[Pred1 UID]])=0,0,IFERROR(MATCH(Tasks[[#This Row],[Pred1 UID]],Tasks[UID],0),-1))</f>
        <v>0</v>
      </c>
      <c r="BJ27" s="46" t="n">
        <f aca="false">IF(N(Tasks[[#This Row],[Pred2 UID]])=0,0,IFERROR(MATCH(Tasks[[#This Row],[Pred2 UID]],Tasks[UID],0),-1))</f>
        <v>0</v>
      </c>
      <c r="BK2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7" s="46" t="n">
        <f aca="false">IF(NOT(Tasks[[#This Row],[_IsLeaf]]=1),0,IF(N(Tasks[[#This Row],[Actual Finish]])&gt;0,1,MIN(1,N(Tasks[[#This Row],[% Complete]]))))</f>
        <v>0</v>
      </c>
      <c r="BP2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7" s="46" t="n">
        <f aca="false">IF(Tasks[[#This Row],[_LeafWork]]=0,0,Tasks[[#This Row],[_LeafWork]]*IFERROR(INDEX(res_Rate,MATCH(Tasks[[#This Row],[Resource]],res_Name,0)),0))</f>
        <v>0</v>
      </c>
      <c r="BR2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7" s="46" t="n">
        <f aca="false">IF(NOT(Tasks[[#This Row],[_IsLeaf]]=1),0,MAX(_xlfn.MAXIFS(Tasks[_Row],Tasks[Pred1 UID],Tasks[[#This Row],[UID]]),_xlfn.MAXIFS(Tasks[_Row],Tasks[Pred2 UID],Tasks[[#This Row],[UID]])))</f>
        <v>0</v>
      </c>
      <c r="BW2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7" s="48" t="str">
        <f aca="false">IF(NOT(Tasks[[#This Row],[_IsLeaf]]=1),"",MIN(ProjectFinish,IF(N(Tasks[[#This Row],[Deadline]])&gt;0,Tasks[[#This Row],[Deadline]],2958465),Tasks[[#This Row],[_SuccessorFinishLimit]]))</f>
        <v/>
      </c>
      <c r="BY2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7" s="47" t="b">
        <f aca="false">AND(Tasks[[#This Row],[_IsLeaf]]=1,Tasks[[#This Row],[_LeafProgress]]&lt;1,N(Tasks[[#This Row],[_LeafTotalSlack]])&lt;=CriticalSlackDays)</f>
        <v>0</v>
      </c>
      <c r="CB2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7" s="46" t="n">
        <f aca="false">IF(AND(Tasks[[#This Row],[_IsLeaf]]=1,Tasks[[#This Row],[_LeafWork]]&gt;0),NETWORKDAYS.INTL(ProjectStart,Tasks[[#This Row],[_LeafFcstStart]],WorkWeek,Holidays),0)</f>
        <v>0</v>
      </c>
      <c r="CK2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7" s="46" t="n">
        <f aca="false">IF(AND(Tasks[[#This Row],[_IsLeaf]]=1,Tasks[[#This Row],[_LeafWork]]&gt;0),Tasks[[#This Row],[_LeafWork]]/(Tasks[[#This Row],[_FinishWorkday]]-Tasks[[#This Row],[_StartWorkday]]+1),0)</f>
        <v>0</v>
      </c>
      <c r="CM27" s="46" t="n">
        <f aca="false">Tasks[[#This Row],[_WorkPerWorkday]]*(Tasks[[#This Row],[_StartWorkday]]-1)</f>
        <v>-0</v>
      </c>
      <c r="CN27" s="46" t="n">
        <f aca="false">IF(Tasks[[#This Row],[_IsLeaf]]=1,MAX(N(Tasks[[#This Row],[Duration]]),0.1),0)</f>
        <v>0</v>
      </c>
      <c r="CO27" s="46" t="n">
        <f aca="false">Tasks[[#This Row],[_WeightDur]]*Tasks[[#This Row],[_LeafProgress]]</f>
        <v>0</v>
      </c>
      <c r="CP2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8" customFormat="false" ht="15" hidden="false" customHeight="false" outlineLevel="0" collapsed="false">
      <c r="A28" s="38" t="str">
        <f aca="false">IF(Tasks[[#This Row],[Task Name]]="","",COUNTA(Tasks[[#Headers],[Task Name]]:Tasks[[#This Row],[Task Name]])-1)</f>
        <v/>
      </c>
      <c r="B28" s="39" t="n">
        <v>23</v>
      </c>
      <c r="C2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8" s="39"/>
      <c r="E28" s="40"/>
      <c r="F28" s="39"/>
      <c r="G28" s="39"/>
      <c r="H28" s="39"/>
      <c r="I28" s="39"/>
      <c r="J28" s="39"/>
      <c r="K28" s="39"/>
      <c r="L28" s="39"/>
      <c r="M28" s="39"/>
      <c r="N28" s="29"/>
      <c r="O28" s="29"/>
      <c r="P28" s="24" t="str">
        <f aca="false">IF(Tasks[[#This Row],[Task Name]]="","",IF(N(Tasks[[#This Row],[Baseline Start]])&gt;0,Tasks[[#This Row],[Baseline Start]],Tasks[[#This Row],[_CalcStart]]))</f>
        <v/>
      </c>
      <c r="Q28" s="24" t="str">
        <f aca="false">IF(Tasks[[#This Row],[Task Name]]="","",IF(N(Tasks[[#This Row],[Baseline Finish]])&gt;0,Tasks[[#This Row],[Baseline Finish]],Tasks[[#This Row],[_CalcFinish]]))</f>
        <v/>
      </c>
      <c r="R28" s="29"/>
      <c r="S28" s="29"/>
      <c r="T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8" s="31"/>
      <c r="AF2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8" s="40"/>
      <c r="AI28" s="31"/>
      <c r="AJ2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8" s="40"/>
      <c r="AO28" s="24" t="str">
        <f aca="false">IF(Tasks[[#This Row],[Task Name]]="","",Tasks[[#This Row],[Forecast Start]])</f>
        <v/>
      </c>
      <c r="AP28" s="24" t="str">
        <f aca="false">IF(Tasks[[#This Row],[Task Name]]="","",Tasks[[#This Row],[Forecast Finish]])</f>
        <v/>
      </c>
      <c r="AQ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8" s="42" t="str">
        <f aca="false">IF(Tasks[[#This Row],[Task Name]]="","",Tasks[[#This Row],[Work]])</f>
        <v/>
      </c>
      <c r="AS28" s="43" t="str">
        <f aca="false">IF(Tasks[[#This Row],[Task Name]]="","",Tasks[[#This Row],[Cost]])</f>
        <v/>
      </c>
      <c r="AT28" s="29"/>
      <c r="AU28" s="29"/>
      <c r="AV28" s="39"/>
      <c r="AW28" s="44"/>
      <c r="AX28" s="45"/>
      <c r="AY28" s="38" t="str">
        <f aca="false">IF(OR(Tasks[[#This Row],[Task Name]]="",Tasks[[#This Row],[Baseline Duration]]=""),"",Tasks[[#This Row],[BL Source Duration]]-N(Tasks[[#This Row],[Baseline Duration]]))</f>
        <v/>
      </c>
      <c r="AZ28" s="42" t="str">
        <f aca="false">IF(OR(Tasks[[#This Row],[Task Name]]="",Tasks[[#This Row],[Baseline Work]]=""),"",Tasks[[#This Row],[Work]]-N(Tasks[[#This Row],[Baseline Work]]))</f>
        <v/>
      </c>
      <c r="BA28" s="43" t="str">
        <f aca="false">IF(OR(Tasks[[#This Row],[Task Name]]="",Tasks[[#This Row],[Baseline Cost]]=""),"",Tasks[[#This Row],[Cost]]-N(Tasks[[#This Row],[Baseline Cost]]))</f>
        <v/>
      </c>
      <c r="BB28" s="46" t="str">
        <f aca="false">IF(Tasks[[#This Row],[Task Name]]="","",MAX(1,N(Tasks[[#This Row],[Level]])))</f>
        <v/>
      </c>
      <c r="BC28" s="46" t="n">
        <f aca="false">ROW()-ROW(Tasks[[#Headers],[ID]])</f>
        <v>23</v>
      </c>
      <c r="BD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8" s="46" t="n">
        <f aca="false">IFERROR(N(INDEX(Tasks[_Level],Tasks[[#This Row],[_Row]]+1)),0)</f>
        <v>0</v>
      </c>
      <c r="BF28" s="47" t="b">
        <f aca="false">AND(Tasks[[#This Row],[Task Name]]&lt;&gt;"",Tasks[[#This Row],[_NextLevel]]&gt;Tasks[[#This Row],[_Level]])</f>
        <v>0</v>
      </c>
      <c r="BG28" s="46" t="n">
        <f aca="false">IF(Tasks[[#This Row],[_IsSummary]],COUNTIF(Tasks[WBS],Tasks[[#This Row],[WBS]]&amp;".*"),0)</f>
        <v>0</v>
      </c>
      <c r="BH28" s="46" t="n">
        <f aca="false">IF(AND(Tasks[[#This Row],[Task Name]]&lt;&gt;"",NOT(Tasks[[#This Row],[_IsSummary]])),1,0)</f>
        <v>0</v>
      </c>
      <c r="BI28" s="46" t="n">
        <f aca="false">IF(N(Tasks[[#This Row],[Pred1 UID]])=0,0,IFERROR(MATCH(Tasks[[#This Row],[Pred1 UID]],Tasks[UID],0),-1))</f>
        <v>0</v>
      </c>
      <c r="BJ28" s="46" t="n">
        <f aca="false">IF(N(Tasks[[#This Row],[Pred2 UID]])=0,0,IFERROR(MATCH(Tasks[[#This Row],[Pred2 UID]],Tasks[UID],0),-1))</f>
        <v>0</v>
      </c>
      <c r="BK2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8" s="46" t="n">
        <f aca="false">IF(NOT(Tasks[[#This Row],[_IsLeaf]]=1),0,IF(N(Tasks[[#This Row],[Actual Finish]])&gt;0,1,MIN(1,N(Tasks[[#This Row],[% Complete]]))))</f>
        <v>0</v>
      </c>
      <c r="BP2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8" s="46" t="n">
        <f aca="false">IF(Tasks[[#This Row],[_LeafWork]]=0,0,Tasks[[#This Row],[_LeafWork]]*IFERROR(INDEX(res_Rate,MATCH(Tasks[[#This Row],[Resource]],res_Name,0)),0))</f>
        <v>0</v>
      </c>
      <c r="BR2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8" s="46" t="n">
        <f aca="false">IF(NOT(Tasks[[#This Row],[_IsLeaf]]=1),0,MAX(_xlfn.MAXIFS(Tasks[_Row],Tasks[Pred1 UID],Tasks[[#This Row],[UID]]),_xlfn.MAXIFS(Tasks[_Row],Tasks[Pred2 UID],Tasks[[#This Row],[UID]])))</f>
        <v>0</v>
      </c>
      <c r="BW2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8" s="48" t="str">
        <f aca="false">IF(NOT(Tasks[[#This Row],[_IsLeaf]]=1),"",MIN(ProjectFinish,IF(N(Tasks[[#This Row],[Deadline]])&gt;0,Tasks[[#This Row],[Deadline]],2958465),Tasks[[#This Row],[_SuccessorFinishLimit]]))</f>
        <v/>
      </c>
      <c r="BY2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8" s="47" t="b">
        <f aca="false">AND(Tasks[[#This Row],[_IsLeaf]]=1,Tasks[[#This Row],[_LeafProgress]]&lt;1,N(Tasks[[#This Row],[_LeafTotalSlack]])&lt;=CriticalSlackDays)</f>
        <v>0</v>
      </c>
      <c r="CB2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8" s="46" t="n">
        <f aca="false">IF(AND(Tasks[[#This Row],[_IsLeaf]]=1,Tasks[[#This Row],[_LeafWork]]&gt;0),NETWORKDAYS.INTL(ProjectStart,Tasks[[#This Row],[_LeafFcstStart]],WorkWeek,Holidays),0)</f>
        <v>0</v>
      </c>
      <c r="CK2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8" s="46" t="n">
        <f aca="false">IF(AND(Tasks[[#This Row],[_IsLeaf]]=1,Tasks[[#This Row],[_LeafWork]]&gt;0),Tasks[[#This Row],[_LeafWork]]/(Tasks[[#This Row],[_FinishWorkday]]-Tasks[[#This Row],[_StartWorkday]]+1),0)</f>
        <v>0</v>
      </c>
      <c r="CM28" s="46" t="n">
        <f aca="false">Tasks[[#This Row],[_WorkPerWorkday]]*(Tasks[[#This Row],[_StartWorkday]]-1)</f>
        <v>-0</v>
      </c>
      <c r="CN28" s="46" t="n">
        <f aca="false">IF(Tasks[[#This Row],[_IsLeaf]]=1,MAX(N(Tasks[[#This Row],[Duration]]),0.1),0)</f>
        <v>0</v>
      </c>
      <c r="CO28" s="46" t="n">
        <f aca="false">Tasks[[#This Row],[_WeightDur]]*Tasks[[#This Row],[_LeafProgress]]</f>
        <v>0</v>
      </c>
      <c r="CP2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9" customFormat="false" ht="15" hidden="false" customHeight="false" outlineLevel="0" collapsed="false">
      <c r="A29" s="38" t="str">
        <f aca="false">IF(Tasks[[#This Row],[Task Name]]="","",COUNTA(Tasks[[#Headers],[Task Name]]:Tasks[[#This Row],[Task Name]])-1)</f>
        <v/>
      </c>
      <c r="B29" s="39" t="n">
        <v>24</v>
      </c>
      <c r="C2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9" s="39"/>
      <c r="E29" s="40"/>
      <c r="F29" s="39"/>
      <c r="G29" s="39"/>
      <c r="H29" s="39"/>
      <c r="I29" s="39"/>
      <c r="J29" s="39"/>
      <c r="K29" s="39"/>
      <c r="L29" s="39"/>
      <c r="M29" s="39"/>
      <c r="N29" s="29"/>
      <c r="O29" s="29"/>
      <c r="P29" s="24" t="str">
        <f aca="false">IF(Tasks[[#This Row],[Task Name]]="","",IF(N(Tasks[[#This Row],[Baseline Start]])&gt;0,Tasks[[#This Row],[Baseline Start]],Tasks[[#This Row],[_CalcStart]]))</f>
        <v/>
      </c>
      <c r="Q29" s="24" t="str">
        <f aca="false">IF(Tasks[[#This Row],[Task Name]]="","",IF(N(Tasks[[#This Row],[Baseline Finish]])&gt;0,Tasks[[#This Row],[Baseline Finish]],Tasks[[#This Row],[_CalcFinish]]))</f>
        <v/>
      </c>
      <c r="R29" s="29"/>
      <c r="S29" s="29"/>
      <c r="T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9" s="31"/>
      <c r="AF2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9" s="40"/>
      <c r="AI29" s="31"/>
      <c r="AJ2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9" s="40"/>
      <c r="AO29" s="24" t="str">
        <f aca="false">IF(Tasks[[#This Row],[Task Name]]="","",Tasks[[#This Row],[Forecast Start]])</f>
        <v/>
      </c>
      <c r="AP29" s="24" t="str">
        <f aca="false">IF(Tasks[[#This Row],[Task Name]]="","",Tasks[[#This Row],[Forecast Finish]])</f>
        <v/>
      </c>
      <c r="AQ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9" s="42" t="str">
        <f aca="false">IF(Tasks[[#This Row],[Task Name]]="","",Tasks[[#This Row],[Work]])</f>
        <v/>
      </c>
      <c r="AS29" s="43" t="str">
        <f aca="false">IF(Tasks[[#This Row],[Task Name]]="","",Tasks[[#This Row],[Cost]])</f>
        <v/>
      </c>
      <c r="AT29" s="29"/>
      <c r="AU29" s="29"/>
      <c r="AV29" s="39"/>
      <c r="AW29" s="44"/>
      <c r="AX29" s="45"/>
      <c r="AY29" s="38" t="str">
        <f aca="false">IF(OR(Tasks[[#This Row],[Task Name]]="",Tasks[[#This Row],[Baseline Duration]]=""),"",Tasks[[#This Row],[BL Source Duration]]-N(Tasks[[#This Row],[Baseline Duration]]))</f>
        <v/>
      </c>
      <c r="AZ29" s="42" t="str">
        <f aca="false">IF(OR(Tasks[[#This Row],[Task Name]]="",Tasks[[#This Row],[Baseline Work]]=""),"",Tasks[[#This Row],[Work]]-N(Tasks[[#This Row],[Baseline Work]]))</f>
        <v/>
      </c>
      <c r="BA29" s="43" t="str">
        <f aca="false">IF(OR(Tasks[[#This Row],[Task Name]]="",Tasks[[#This Row],[Baseline Cost]]=""),"",Tasks[[#This Row],[Cost]]-N(Tasks[[#This Row],[Baseline Cost]]))</f>
        <v/>
      </c>
      <c r="BB29" s="46" t="str">
        <f aca="false">IF(Tasks[[#This Row],[Task Name]]="","",MAX(1,N(Tasks[[#This Row],[Level]])))</f>
        <v/>
      </c>
      <c r="BC29" s="46" t="n">
        <f aca="false">ROW()-ROW(Tasks[[#Headers],[ID]])</f>
        <v>24</v>
      </c>
      <c r="BD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9" s="46" t="n">
        <f aca="false">IFERROR(N(INDEX(Tasks[_Level],Tasks[[#This Row],[_Row]]+1)),0)</f>
        <v>0</v>
      </c>
      <c r="BF29" s="47" t="b">
        <f aca="false">AND(Tasks[[#This Row],[Task Name]]&lt;&gt;"",Tasks[[#This Row],[_NextLevel]]&gt;Tasks[[#This Row],[_Level]])</f>
        <v>0</v>
      </c>
      <c r="BG29" s="46" t="n">
        <f aca="false">IF(Tasks[[#This Row],[_IsSummary]],COUNTIF(Tasks[WBS],Tasks[[#This Row],[WBS]]&amp;".*"),0)</f>
        <v>0</v>
      </c>
      <c r="BH29" s="46" t="n">
        <f aca="false">IF(AND(Tasks[[#This Row],[Task Name]]&lt;&gt;"",NOT(Tasks[[#This Row],[_IsSummary]])),1,0)</f>
        <v>0</v>
      </c>
      <c r="BI29" s="46" t="n">
        <f aca="false">IF(N(Tasks[[#This Row],[Pred1 UID]])=0,0,IFERROR(MATCH(Tasks[[#This Row],[Pred1 UID]],Tasks[UID],0),-1))</f>
        <v>0</v>
      </c>
      <c r="BJ29" s="46" t="n">
        <f aca="false">IF(N(Tasks[[#This Row],[Pred2 UID]])=0,0,IFERROR(MATCH(Tasks[[#This Row],[Pred2 UID]],Tasks[UID],0),-1))</f>
        <v>0</v>
      </c>
      <c r="BK2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9" s="46" t="n">
        <f aca="false">IF(NOT(Tasks[[#This Row],[_IsLeaf]]=1),0,IF(N(Tasks[[#This Row],[Actual Finish]])&gt;0,1,MIN(1,N(Tasks[[#This Row],[% Complete]]))))</f>
        <v>0</v>
      </c>
      <c r="BP2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9" s="46" t="n">
        <f aca="false">IF(Tasks[[#This Row],[_LeafWork]]=0,0,Tasks[[#This Row],[_LeafWork]]*IFERROR(INDEX(res_Rate,MATCH(Tasks[[#This Row],[Resource]],res_Name,0)),0))</f>
        <v>0</v>
      </c>
      <c r="BR2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9" s="46" t="n">
        <f aca="false">IF(NOT(Tasks[[#This Row],[_IsLeaf]]=1),0,MAX(_xlfn.MAXIFS(Tasks[_Row],Tasks[Pred1 UID],Tasks[[#This Row],[UID]]),_xlfn.MAXIFS(Tasks[_Row],Tasks[Pred2 UID],Tasks[[#This Row],[UID]])))</f>
        <v>0</v>
      </c>
      <c r="BW2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9" s="48" t="str">
        <f aca="false">IF(NOT(Tasks[[#This Row],[_IsLeaf]]=1),"",MIN(ProjectFinish,IF(N(Tasks[[#This Row],[Deadline]])&gt;0,Tasks[[#This Row],[Deadline]],2958465),Tasks[[#This Row],[_SuccessorFinishLimit]]))</f>
        <v/>
      </c>
      <c r="BY2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9" s="47" t="b">
        <f aca="false">AND(Tasks[[#This Row],[_IsLeaf]]=1,Tasks[[#This Row],[_LeafProgress]]&lt;1,N(Tasks[[#This Row],[_LeafTotalSlack]])&lt;=CriticalSlackDays)</f>
        <v>0</v>
      </c>
      <c r="CB2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9" s="46" t="n">
        <f aca="false">IF(AND(Tasks[[#This Row],[_IsLeaf]]=1,Tasks[[#This Row],[_LeafWork]]&gt;0),NETWORKDAYS.INTL(ProjectStart,Tasks[[#This Row],[_LeafFcstStart]],WorkWeek,Holidays),0)</f>
        <v>0</v>
      </c>
      <c r="CK2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9" s="46" t="n">
        <f aca="false">IF(AND(Tasks[[#This Row],[_IsLeaf]]=1,Tasks[[#This Row],[_LeafWork]]&gt;0),Tasks[[#This Row],[_LeafWork]]/(Tasks[[#This Row],[_FinishWorkday]]-Tasks[[#This Row],[_StartWorkday]]+1),0)</f>
        <v>0</v>
      </c>
      <c r="CM29" s="46" t="n">
        <f aca="false">Tasks[[#This Row],[_WorkPerWorkday]]*(Tasks[[#This Row],[_StartWorkday]]-1)</f>
        <v>-0</v>
      </c>
      <c r="CN29" s="46" t="n">
        <f aca="false">IF(Tasks[[#This Row],[_IsLeaf]]=1,MAX(N(Tasks[[#This Row],[Duration]]),0.1),0)</f>
        <v>0</v>
      </c>
      <c r="CO29" s="46" t="n">
        <f aca="false">Tasks[[#This Row],[_WeightDur]]*Tasks[[#This Row],[_LeafProgress]]</f>
        <v>0</v>
      </c>
      <c r="CP2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0" customFormat="false" ht="15" hidden="false" customHeight="false" outlineLevel="0" collapsed="false">
      <c r="A30" s="38" t="str">
        <f aca="false">IF(Tasks[[#This Row],[Task Name]]="","",COUNTA(Tasks[[#Headers],[Task Name]]:Tasks[[#This Row],[Task Name]])-1)</f>
        <v/>
      </c>
      <c r="B30" s="39" t="n">
        <v>25</v>
      </c>
      <c r="C3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0" s="39"/>
      <c r="E30" s="40"/>
      <c r="F30" s="39"/>
      <c r="G30" s="39"/>
      <c r="H30" s="39"/>
      <c r="I30" s="39"/>
      <c r="J30" s="39"/>
      <c r="K30" s="39"/>
      <c r="L30" s="39"/>
      <c r="M30" s="39"/>
      <c r="N30" s="29"/>
      <c r="O30" s="29"/>
      <c r="P30" s="24" t="str">
        <f aca="false">IF(Tasks[[#This Row],[Task Name]]="","",IF(N(Tasks[[#This Row],[Baseline Start]])&gt;0,Tasks[[#This Row],[Baseline Start]],Tasks[[#This Row],[_CalcStart]]))</f>
        <v/>
      </c>
      <c r="Q30" s="24" t="str">
        <f aca="false">IF(Tasks[[#This Row],[Task Name]]="","",IF(N(Tasks[[#This Row],[Baseline Finish]])&gt;0,Tasks[[#This Row],[Baseline Finish]],Tasks[[#This Row],[_CalcFinish]]))</f>
        <v/>
      </c>
      <c r="R30" s="29"/>
      <c r="S30" s="29"/>
      <c r="T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0" s="31"/>
      <c r="AF3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0" s="40"/>
      <c r="AI30" s="31"/>
      <c r="AJ3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0" s="40"/>
      <c r="AO30" s="24" t="str">
        <f aca="false">IF(Tasks[[#This Row],[Task Name]]="","",Tasks[[#This Row],[Forecast Start]])</f>
        <v/>
      </c>
      <c r="AP30" s="24" t="str">
        <f aca="false">IF(Tasks[[#This Row],[Task Name]]="","",Tasks[[#This Row],[Forecast Finish]])</f>
        <v/>
      </c>
      <c r="AQ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0" s="42" t="str">
        <f aca="false">IF(Tasks[[#This Row],[Task Name]]="","",Tasks[[#This Row],[Work]])</f>
        <v/>
      </c>
      <c r="AS30" s="43" t="str">
        <f aca="false">IF(Tasks[[#This Row],[Task Name]]="","",Tasks[[#This Row],[Cost]])</f>
        <v/>
      </c>
      <c r="AT30" s="29"/>
      <c r="AU30" s="29"/>
      <c r="AV30" s="39"/>
      <c r="AW30" s="44"/>
      <c r="AX30" s="45"/>
      <c r="AY30" s="38" t="str">
        <f aca="false">IF(OR(Tasks[[#This Row],[Task Name]]="",Tasks[[#This Row],[Baseline Duration]]=""),"",Tasks[[#This Row],[BL Source Duration]]-N(Tasks[[#This Row],[Baseline Duration]]))</f>
        <v/>
      </c>
      <c r="AZ30" s="42" t="str">
        <f aca="false">IF(OR(Tasks[[#This Row],[Task Name]]="",Tasks[[#This Row],[Baseline Work]]=""),"",Tasks[[#This Row],[Work]]-N(Tasks[[#This Row],[Baseline Work]]))</f>
        <v/>
      </c>
      <c r="BA30" s="43" t="str">
        <f aca="false">IF(OR(Tasks[[#This Row],[Task Name]]="",Tasks[[#This Row],[Baseline Cost]]=""),"",Tasks[[#This Row],[Cost]]-N(Tasks[[#This Row],[Baseline Cost]]))</f>
        <v/>
      </c>
      <c r="BB30" s="46" t="str">
        <f aca="false">IF(Tasks[[#This Row],[Task Name]]="","",MAX(1,N(Tasks[[#This Row],[Level]])))</f>
        <v/>
      </c>
      <c r="BC30" s="46" t="n">
        <f aca="false">ROW()-ROW(Tasks[[#Headers],[ID]])</f>
        <v>25</v>
      </c>
      <c r="BD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0" s="46" t="n">
        <f aca="false">IFERROR(N(INDEX(Tasks[_Level],Tasks[[#This Row],[_Row]]+1)),0)</f>
        <v>0</v>
      </c>
      <c r="BF30" s="47" t="b">
        <f aca="false">AND(Tasks[[#This Row],[Task Name]]&lt;&gt;"",Tasks[[#This Row],[_NextLevel]]&gt;Tasks[[#This Row],[_Level]])</f>
        <v>0</v>
      </c>
      <c r="BG30" s="46" t="n">
        <f aca="false">IF(Tasks[[#This Row],[_IsSummary]],COUNTIF(Tasks[WBS],Tasks[[#This Row],[WBS]]&amp;".*"),0)</f>
        <v>0</v>
      </c>
      <c r="BH30" s="46" t="n">
        <f aca="false">IF(AND(Tasks[[#This Row],[Task Name]]&lt;&gt;"",NOT(Tasks[[#This Row],[_IsSummary]])),1,0)</f>
        <v>0</v>
      </c>
      <c r="BI30" s="46" t="n">
        <f aca="false">IF(N(Tasks[[#This Row],[Pred1 UID]])=0,0,IFERROR(MATCH(Tasks[[#This Row],[Pred1 UID]],Tasks[UID],0),-1))</f>
        <v>0</v>
      </c>
      <c r="BJ30" s="46" t="n">
        <f aca="false">IF(N(Tasks[[#This Row],[Pred2 UID]])=0,0,IFERROR(MATCH(Tasks[[#This Row],[Pred2 UID]],Tasks[UID],0),-1))</f>
        <v>0</v>
      </c>
      <c r="BK3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0" s="46" t="n">
        <f aca="false">IF(NOT(Tasks[[#This Row],[_IsLeaf]]=1),0,IF(N(Tasks[[#This Row],[Actual Finish]])&gt;0,1,MIN(1,N(Tasks[[#This Row],[% Complete]]))))</f>
        <v>0</v>
      </c>
      <c r="BP3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0" s="46" t="n">
        <f aca="false">IF(Tasks[[#This Row],[_LeafWork]]=0,0,Tasks[[#This Row],[_LeafWork]]*IFERROR(INDEX(res_Rate,MATCH(Tasks[[#This Row],[Resource]],res_Name,0)),0))</f>
        <v>0</v>
      </c>
      <c r="BR3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0" s="46" t="n">
        <f aca="false">IF(NOT(Tasks[[#This Row],[_IsLeaf]]=1),0,MAX(_xlfn.MAXIFS(Tasks[_Row],Tasks[Pred1 UID],Tasks[[#This Row],[UID]]),_xlfn.MAXIFS(Tasks[_Row],Tasks[Pred2 UID],Tasks[[#This Row],[UID]])))</f>
        <v>0</v>
      </c>
      <c r="BW3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0" s="48" t="str">
        <f aca="false">IF(NOT(Tasks[[#This Row],[_IsLeaf]]=1),"",MIN(ProjectFinish,IF(N(Tasks[[#This Row],[Deadline]])&gt;0,Tasks[[#This Row],[Deadline]],2958465),Tasks[[#This Row],[_SuccessorFinishLimit]]))</f>
        <v/>
      </c>
      <c r="BY3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0" s="47" t="b">
        <f aca="false">AND(Tasks[[#This Row],[_IsLeaf]]=1,Tasks[[#This Row],[_LeafProgress]]&lt;1,N(Tasks[[#This Row],[_LeafTotalSlack]])&lt;=CriticalSlackDays)</f>
        <v>0</v>
      </c>
      <c r="CB3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0" s="46" t="n">
        <f aca="false">IF(AND(Tasks[[#This Row],[_IsLeaf]]=1,Tasks[[#This Row],[_LeafWork]]&gt;0),NETWORKDAYS.INTL(ProjectStart,Tasks[[#This Row],[_LeafFcstStart]],WorkWeek,Holidays),0)</f>
        <v>0</v>
      </c>
      <c r="CK3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0" s="46" t="n">
        <f aca="false">IF(AND(Tasks[[#This Row],[_IsLeaf]]=1,Tasks[[#This Row],[_LeafWork]]&gt;0),Tasks[[#This Row],[_LeafWork]]/(Tasks[[#This Row],[_FinishWorkday]]-Tasks[[#This Row],[_StartWorkday]]+1),0)</f>
        <v>0</v>
      </c>
      <c r="CM30" s="46" t="n">
        <f aca="false">Tasks[[#This Row],[_WorkPerWorkday]]*(Tasks[[#This Row],[_StartWorkday]]-1)</f>
        <v>-0</v>
      </c>
      <c r="CN30" s="46" t="n">
        <f aca="false">IF(Tasks[[#This Row],[_IsLeaf]]=1,MAX(N(Tasks[[#This Row],[Duration]]),0.1),0)</f>
        <v>0</v>
      </c>
      <c r="CO30" s="46" t="n">
        <f aca="false">Tasks[[#This Row],[_WeightDur]]*Tasks[[#This Row],[_LeafProgress]]</f>
        <v>0</v>
      </c>
      <c r="CP3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1" customFormat="false" ht="15" hidden="false" customHeight="false" outlineLevel="0" collapsed="false">
      <c r="A31" s="38" t="str">
        <f aca="false">IF(Tasks[[#This Row],[Task Name]]="","",COUNTA(Tasks[[#Headers],[Task Name]]:Tasks[[#This Row],[Task Name]])-1)</f>
        <v/>
      </c>
      <c r="B31" s="39" t="n">
        <v>26</v>
      </c>
      <c r="C3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1" s="39"/>
      <c r="E31" s="40"/>
      <c r="F31" s="39"/>
      <c r="G31" s="39"/>
      <c r="H31" s="39"/>
      <c r="I31" s="39"/>
      <c r="J31" s="39"/>
      <c r="K31" s="39"/>
      <c r="L31" s="39"/>
      <c r="M31" s="39"/>
      <c r="N31" s="29"/>
      <c r="O31" s="29"/>
      <c r="P31" s="24" t="str">
        <f aca="false">IF(Tasks[[#This Row],[Task Name]]="","",IF(N(Tasks[[#This Row],[Baseline Start]])&gt;0,Tasks[[#This Row],[Baseline Start]],Tasks[[#This Row],[_CalcStart]]))</f>
        <v/>
      </c>
      <c r="Q31" s="24" t="str">
        <f aca="false">IF(Tasks[[#This Row],[Task Name]]="","",IF(N(Tasks[[#This Row],[Baseline Finish]])&gt;0,Tasks[[#This Row],[Baseline Finish]],Tasks[[#This Row],[_CalcFinish]]))</f>
        <v/>
      </c>
      <c r="R31" s="29"/>
      <c r="S31" s="29"/>
      <c r="T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1" s="31"/>
      <c r="AF3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1" s="40"/>
      <c r="AI31" s="31"/>
      <c r="AJ3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1" s="40"/>
      <c r="AO31" s="24" t="str">
        <f aca="false">IF(Tasks[[#This Row],[Task Name]]="","",Tasks[[#This Row],[Forecast Start]])</f>
        <v/>
      </c>
      <c r="AP31" s="24" t="str">
        <f aca="false">IF(Tasks[[#This Row],[Task Name]]="","",Tasks[[#This Row],[Forecast Finish]])</f>
        <v/>
      </c>
      <c r="AQ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1" s="42" t="str">
        <f aca="false">IF(Tasks[[#This Row],[Task Name]]="","",Tasks[[#This Row],[Work]])</f>
        <v/>
      </c>
      <c r="AS31" s="43" t="str">
        <f aca="false">IF(Tasks[[#This Row],[Task Name]]="","",Tasks[[#This Row],[Cost]])</f>
        <v/>
      </c>
      <c r="AT31" s="29"/>
      <c r="AU31" s="29"/>
      <c r="AV31" s="39"/>
      <c r="AW31" s="44"/>
      <c r="AX31" s="45"/>
      <c r="AY31" s="38" t="str">
        <f aca="false">IF(OR(Tasks[[#This Row],[Task Name]]="",Tasks[[#This Row],[Baseline Duration]]=""),"",Tasks[[#This Row],[BL Source Duration]]-N(Tasks[[#This Row],[Baseline Duration]]))</f>
        <v/>
      </c>
      <c r="AZ31" s="42" t="str">
        <f aca="false">IF(OR(Tasks[[#This Row],[Task Name]]="",Tasks[[#This Row],[Baseline Work]]=""),"",Tasks[[#This Row],[Work]]-N(Tasks[[#This Row],[Baseline Work]]))</f>
        <v/>
      </c>
      <c r="BA31" s="43" t="str">
        <f aca="false">IF(OR(Tasks[[#This Row],[Task Name]]="",Tasks[[#This Row],[Baseline Cost]]=""),"",Tasks[[#This Row],[Cost]]-N(Tasks[[#This Row],[Baseline Cost]]))</f>
        <v/>
      </c>
      <c r="BB31" s="46" t="str">
        <f aca="false">IF(Tasks[[#This Row],[Task Name]]="","",MAX(1,N(Tasks[[#This Row],[Level]])))</f>
        <v/>
      </c>
      <c r="BC31" s="46" t="n">
        <f aca="false">ROW()-ROW(Tasks[[#Headers],[ID]])</f>
        <v>26</v>
      </c>
      <c r="BD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1" s="46" t="n">
        <f aca="false">IFERROR(N(INDEX(Tasks[_Level],Tasks[[#This Row],[_Row]]+1)),0)</f>
        <v>0</v>
      </c>
      <c r="BF31" s="47" t="b">
        <f aca="false">AND(Tasks[[#This Row],[Task Name]]&lt;&gt;"",Tasks[[#This Row],[_NextLevel]]&gt;Tasks[[#This Row],[_Level]])</f>
        <v>0</v>
      </c>
      <c r="BG31" s="46" t="n">
        <f aca="false">IF(Tasks[[#This Row],[_IsSummary]],COUNTIF(Tasks[WBS],Tasks[[#This Row],[WBS]]&amp;".*"),0)</f>
        <v>0</v>
      </c>
      <c r="BH31" s="46" t="n">
        <f aca="false">IF(AND(Tasks[[#This Row],[Task Name]]&lt;&gt;"",NOT(Tasks[[#This Row],[_IsSummary]])),1,0)</f>
        <v>0</v>
      </c>
      <c r="BI31" s="46" t="n">
        <f aca="false">IF(N(Tasks[[#This Row],[Pred1 UID]])=0,0,IFERROR(MATCH(Tasks[[#This Row],[Pred1 UID]],Tasks[UID],0),-1))</f>
        <v>0</v>
      </c>
      <c r="BJ31" s="46" t="n">
        <f aca="false">IF(N(Tasks[[#This Row],[Pred2 UID]])=0,0,IFERROR(MATCH(Tasks[[#This Row],[Pred2 UID]],Tasks[UID],0),-1))</f>
        <v>0</v>
      </c>
      <c r="BK3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1" s="46" t="n">
        <f aca="false">IF(NOT(Tasks[[#This Row],[_IsLeaf]]=1),0,IF(N(Tasks[[#This Row],[Actual Finish]])&gt;0,1,MIN(1,N(Tasks[[#This Row],[% Complete]]))))</f>
        <v>0</v>
      </c>
      <c r="BP3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1" s="46" t="n">
        <f aca="false">IF(Tasks[[#This Row],[_LeafWork]]=0,0,Tasks[[#This Row],[_LeafWork]]*IFERROR(INDEX(res_Rate,MATCH(Tasks[[#This Row],[Resource]],res_Name,0)),0))</f>
        <v>0</v>
      </c>
      <c r="BR3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1" s="46" t="n">
        <f aca="false">IF(NOT(Tasks[[#This Row],[_IsLeaf]]=1),0,MAX(_xlfn.MAXIFS(Tasks[_Row],Tasks[Pred1 UID],Tasks[[#This Row],[UID]]),_xlfn.MAXIFS(Tasks[_Row],Tasks[Pred2 UID],Tasks[[#This Row],[UID]])))</f>
        <v>0</v>
      </c>
      <c r="BW3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1" s="48" t="str">
        <f aca="false">IF(NOT(Tasks[[#This Row],[_IsLeaf]]=1),"",MIN(ProjectFinish,IF(N(Tasks[[#This Row],[Deadline]])&gt;0,Tasks[[#This Row],[Deadline]],2958465),Tasks[[#This Row],[_SuccessorFinishLimit]]))</f>
        <v/>
      </c>
      <c r="BY3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1" s="47" t="b">
        <f aca="false">AND(Tasks[[#This Row],[_IsLeaf]]=1,Tasks[[#This Row],[_LeafProgress]]&lt;1,N(Tasks[[#This Row],[_LeafTotalSlack]])&lt;=CriticalSlackDays)</f>
        <v>0</v>
      </c>
      <c r="CB3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1" s="46" t="n">
        <f aca="false">IF(AND(Tasks[[#This Row],[_IsLeaf]]=1,Tasks[[#This Row],[_LeafWork]]&gt;0),NETWORKDAYS.INTL(ProjectStart,Tasks[[#This Row],[_LeafFcstStart]],WorkWeek,Holidays),0)</f>
        <v>0</v>
      </c>
      <c r="CK3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1" s="46" t="n">
        <f aca="false">IF(AND(Tasks[[#This Row],[_IsLeaf]]=1,Tasks[[#This Row],[_LeafWork]]&gt;0),Tasks[[#This Row],[_LeafWork]]/(Tasks[[#This Row],[_FinishWorkday]]-Tasks[[#This Row],[_StartWorkday]]+1),0)</f>
        <v>0</v>
      </c>
      <c r="CM31" s="46" t="n">
        <f aca="false">Tasks[[#This Row],[_WorkPerWorkday]]*(Tasks[[#This Row],[_StartWorkday]]-1)</f>
        <v>-0</v>
      </c>
      <c r="CN31" s="46" t="n">
        <f aca="false">IF(Tasks[[#This Row],[_IsLeaf]]=1,MAX(N(Tasks[[#This Row],[Duration]]),0.1),0)</f>
        <v>0</v>
      </c>
      <c r="CO31" s="46" t="n">
        <f aca="false">Tasks[[#This Row],[_WeightDur]]*Tasks[[#This Row],[_LeafProgress]]</f>
        <v>0</v>
      </c>
      <c r="CP3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2" customFormat="false" ht="15" hidden="false" customHeight="false" outlineLevel="0" collapsed="false">
      <c r="A32" s="38" t="str">
        <f aca="false">IF(Tasks[[#This Row],[Task Name]]="","",COUNTA(Tasks[[#Headers],[Task Name]]:Tasks[[#This Row],[Task Name]])-1)</f>
        <v/>
      </c>
      <c r="B32" s="39" t="n">
        <v>27</v>
      </c>
      <c r="C3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2" s="39"/>
      <c r="E32" s="40"/>
      <c r="F32" s="39"/>
      <c r="G32" s="39"/>
      <c r="H32" s="39"/>
      <c r="I32" s="39"/>
      <c r="J32" s="39"/>
      <c r="K32" s="39"/>
      <c r="L32" s="39"/>
      <c r="M32" s="39"/>
      <c r="N32" s="29"/>
      <c r="O32" s="29"/>
      <c r="P32" s="24" t="str">
        <f aca="false">IF(Tasks[[#This Row],[Task Name]]="","",IF(N(Tasks[[#This Row],[Baseline Start]])&gt;0,Tasks[[#This Row],[Baseline Start]],Tasks[[#This Row],[_CalcStart]]))</f>
        <v/>
      </c>
      <c r="Q32" s="24" t="str">
        <f aca="false">IF(Tasks[[#This Row],[Task Name]]="","",IF(N(Tasks[[#This Row],[Baseline Finish]])&gt;0,Tasks[[#This Row],[Baseline Finish]],Tasks[[#This Row],[_CalcFinish]]))</f>
        <v/>
      </c>
      <c r="R32" s="29"/>
      <c r="S32" s="29"/>
      <c r="T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2" s="31"/>
      <c r="AF3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2" s="40"/>
      <c r="AI32" s="31"/>
      <c r="AJ3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2" s="40"/>
      <c r="AO32" s="24" t="str">
        <f aca="false">IF(Tasks[[#This Row],[Task Name]]="","",Tasks[[#This Row],[Forecast Start]])</f>
        <v/>
      </c>
      <c r="AP32" s="24" t="str">
        <f aca="false">IF(Tasks[[#This Row],[Task Name]]="","",Tasks[[#This Row],[Forecast Finish]])</f>
        <v/>
      </c>
      <c r="AQ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2" s="42" t="str">
        <f aca="false">IF(Tasks[[#This Row],[Task Name]]="","",Tasks[[#This Row],[Work]])</f>
        <v/>
      </c>
      <c r="AS32" s="43" t="str">
        <f aca="false">IF(Tasks[[#This Row],[Task Name]]="","",Tasks[[#This Row],[Cost]])</f>
        <v/>
      </c>
      <c r="AT32" s="29"/>
      <c r="AU32" s="29"/>
      <c r="AV32" s="39"/>
      <c r="AW32" s="44"/>
      <c r="AX32" s="45"/>
      <c r="AY32" s="38" t="str">
        <f aca="false">IF(OR(Tasks[[#This Row],[Task Name]]="",Tasks[[#This Row],[Baseline Duration]]=""),"",Tasks[[#This Row],[BL Source Duration]]-N(Tasks[[#This Row],[Baseline Duration]]))</f>
        <v/>
      </c>
      <c r="AZ32" s="42" t="str">
        <f aca="false">IF(OR(Tasks[[#This Row],[Task Name]]="",Tasks[[#This Row],[Baseline Work]]=""),"",Tasks[[#This Row],[Work]]-N(Tasks[[#This Row],[Baseline Work]]))</f>
        <v/>
      </c>
      <c r="BA32" s="43" t="str">
        <f aca="false">IF(OR(Tasks[[#This Row],[Task Name]]="",Tasks[[#This Row],[Baseline Cost]]=""),"",Tasks[[#This Row],[Cost]]-N(Tasks[[#This Row],[Baseline Cost]]))</f>
        <v/>
      </c>
      <c r="BB32" s="46" t="str">
        <f aca="false">IF(Tasks[[#This Row],[Task Name]]="","",MAX(1,N(Tasks[[#This Row],[Level]])))</f>
        <v/>
      </c>
      <c r="BC32" s="46" t="n">
        <f aca="false">ROW()-ROW(Tasks[[#Headers],[ID]])</f>
        <v>27</v>
      </c>
      <c r="BD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2" s="46" t="n">
        <f aca="false">IFERROR(N(INDEX(Tasks[_Level],Tasks[[#This Row],[_Row]]+1)),0)</f>
        <v>0</v>
      </c>
      <c r="BF32" s="47" t="b">
        <f aca="false">AND(Tasks[[#This Row],[Task Name]]&lt;&gt;"",Tasks[[#This Row],[_NextLevel]]&gt;Tasks[[#This Row],[_Level]])</f>
        <v>0</v>
      </c>
      <c r="BG32" s="46" t="n">
        <f aca="false">IF(Tasks[[#This Row],[_IsSummary]],COUNTIF(Tasks[WBS],Tasks[[#This Row],[WBS]]&amp;".*"),0)</f>
        <v>0</v>
      </c>
      <c r="BH32" s="46" t="n">
        <f aca="false">IF(AND(Tasks[[#This Row],[Task Name]]&lt;&gt;"",NOT(Tasks[[#This Row],[_IsSummary]])),1,0)</f>
        <v>0</v>
      </c>
      <c r="BI32" s="46" t="n">
        <f aca="false">IF(N(Tasks[[#This Row],[Pred1 UID]])=0,0,IFERROR(MATCH(Tasks[[#This Row],[Pred1 UID]],Tasks[UID],0),-1))</f>
        <v>0</v>
      </c>
      <c r="BJ32" s="46" t="n">
        <f aca="false">IF(N(Tasks[[#This Row],[Pred2 UID]])=0,0,IFERROR(MATCH(Tasks[[#This Row],[Pred2 UID]],Tasks[UID],0),-1))</f>
        <v>0</v>
      </c>
      <c r="BK3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2" s="46" t="n">
        <f aca="false">IF(NOT(Tasks[[#This Row],[_IsLeaf]]=1),0,IF(N(Tasks[[#This Row],[Actual Finish]])&gt;0,1,MIN(1,N(Tasks[[#This Row],[% Complete]]))))</f>
        <v>0</v>
      </c>
      <c r="BP3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2" s="46" t="n">
        <f aca="false">IF(Tasks[[#This Row],[_LeafWork]]=0,0,Tasks[[#This Row],[_LeafWork]]*IFERROR(INDEX(res_Rate,MATCH(Tasks[[#This Row],[Resource]],res_Name,0)),0))</f>
        <v>0</v>
      </c>
      <c r="BR3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2" s="46" t="n">
        <f aca="false">IF(NOT(Tasks[[#This Row],[_IsLeaf]]=1),0,MAX(_xlfn.MAXIFS(Tasks[_Row],Tasks[Pred1 UID],Tasks[[#This Row],[UID]]),_xlfn.MAXIFS(Tasks[_Row],Tasks[Pred2 UID],Tasks[[#This Row],[UID]])))</f>
        <v>0</v>
      </c>
      <c r="BW3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2" s="48" t="str">
        <f aca="false">IF(NOT(Tasks[[#This Row],[_IsLeaf]]=1),"",MIN(ProjectFinish,IF(N(Tasks[[#This Row],[Deadline]])&gt;0,Tasks[[#This Row],[Deadline]],2958465),Tasks[[#This Row],[_SuccessorFinishLimit]]))</f>
        <v/>
      </c>
      <c r="BY3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2" s="47" t="b">
        <f aca="false">AND(Tasks[[#This Row],[_IsLeaf]]=1,Tasks[[#This Row],[_LeafProgress]]&lt;1,N(Tasks[[#This Row],[_LeafTotalSlack]])&lt;=CriticalSlackDays)</f>
        <v>0</v>
      </c>
      <c r="CB3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2" s="46" t="n">
        <f aca="false">IF(AND(Tasks[[#This Row],[_IsLeaf]]=1,Tasks[[#This Row],[_LeafWork]]&gt;0),NETWORKDAYS.INTL(ProjectStart,Tasks[[#This Row],[_LeafFcstStart]],WorkWeek,Holidays),0)</f>
        <v>0</v>
      </c>
      <c r="CK3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2" s="46" t="n">
        <f aca="false">IF(AND(Tasks[[#This Row],[_IsLeaf]]=1,Tasks[[#This Row],[_LeafWork]]&gt;0),Tasks[[#This Row],[_LeafWork]]/(Tasks[[#This Row],[_FinishWorkday]]-Tasks[[#This Row],[_StartWorkday]]+1),0)</f>
        <v>0</v>
      </c>
      <c r="CM32" s="46" t="n">
        <f aca="false">Tasks[[#This Row],[_WorkPerWorkday]]*(Tasks[[#This Row],[_StartWorkday]]-1)</f>
        <v>-0</v>
      </c>
      <c r="CN32" s="46" t="n">
        <f aca="false">IF(Tasks[[#This Row],[_IsLeaf]]=1,MAX(N(Tasks[[#This Row],[Duration]]),0.1),0)</f>
        <v>0</v>
      </c>
      <c r="CO32" s="46" t="n">
        <f aca="false">Tasks[[#This Row],[_WeightDur]]*Tasks[[#This Row],[_LeafProgress]]</f>
        <v>0</v>
      </c>
      <c r="CP3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3" customFormat="false" ht="15" hidden="false" customHeight="false" outlineLevel="0" collapsed="false">
      <c r="A33" s="38" t="str">
        <f aca="false">IF(Tasks[[#This Row],[Task Name]]="","",COUNTA(Tasks[[#Headers],[Task Name]]:Tasks[[#This Row],[Task Name]])-1)</f>
        <v/>
      </c>
      <c r="B33" s="39" t="n">
        <v>28</v>
      </c>
      <c r="C3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3" s="39"/>
      <c r="E33" s="40"/>
      <c r="F33" s="39"/>
      <c r="G33" s="39"/>
      <c r="H33" s="39"/>
      <c r="I33" s="39"/>
      <c r="J33" s="39"/>
      <c r="K33" s="39"/>
      <c r="L33" s="39"/>
      <c r="M33" s="39"/>
      <c r="N33" s="29"/>
      <c r="O33" s="29"/>
      <c r="P33" s="24" t="str">
        <f aca="false">IF(Tasks[[#This Row],[Task Name]]="","",IF(N(Tasks[[#This Row],[Baseline Start]])&gt;0,Tasks[[#This Row],[Baseline Start]],Tasks[[#This Row],[_CalcStart]]))</f>
        <v/>
      </c>
      <c r="Q33" s="24" t="str">
        <f aca="false">IF(Tasks[[#This Row],[Task Name]]="","",IF(N(Tasks[[#This Row],[Baseline Finish]])&gt;0,Tasks[[#This Row],[Baseline Finish]],Tasks[[#This Row],[_CalcFinish]]))</f>
        <v/>
      </c>
      <c r="R33" s="29"/>
      <c r="S33" s="29"/>
      <c r="T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3" s="31"/>
      <c r="AF3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3" s="40"/>
      <c r="AI33" s="31"/>
      <c r="AJ3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3" s="40"/>
      <c r="AO33" s="24" t="str">
        <f aca="false">IF(Tasks[[#This Row],[Task Name]]="","",Tasks[[#This Row],[Forecast Start]])</f>
        <v/>
      </c>
      <c r="AP33" s="24" t="str">
        <f aca="false">IF(Tasks[[#This Row],[Task Name]]="","",Tasks[[#This Row],[Forecast Finish]])</f>
        <v/>
      </c>
      <c r="AQ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3" s="42" t="str">
        <f aca="false">IF(Tasks[[#This Row],[Task Name]]="","",Tasks[[#This Row],[Work]])</f>
        <v/>
      </c>
      <c r="AS33" s="43" t="str">
        <f aca="false">IF(Tasks[[#This Row],[Task Name]]="","",Tasks[[#This Row],[Cost]])</f>
        <v/>
      </c>
      <c r="AT33" s="29"/>
      <c r="AU33" s="29"/>
      <c r="AV33" s="39"/>
      <c r="AW33" s="44"/>
      <c r="AX33" s="45"/>
      <c r="AY33" s="38" t="str">
        <f aca="false">IF(OR(Tasks[[#This Row],[Task Name]]="",Tasks[[#This Row],[Baseline Duration]]=""),"",Tasks[[#This Row],[BL Source Duration]]-N(Tasks[[#This Row],[Baseline Duration]]))</f>
        <v/>
      </c>
      <c r="AZ33" s="42" t="str">
        <f aca="false">IF(OR(Tasks[[#This Row],[Task Name]]="",Tasks[[#This Row],[Baseline Work]]=""),"",Tasks[[#This Row],[Work]]-N(Tasks[[#This Row],[Baseline Work]]))</f>
        <v/>
      </c>
      <c r="BA33" s="43" t="str">
        <f aca="false">IF(OR(Tasks[[#This Row],[Task Name]]="",Tasks[[#This Row],[Baseline Cost]]=""),"",Tasks[[#This Row],[Cost]]-N(Tasks[[#This Row],[Baseline Cost]]))</f>
        <v/>
      </c>
      <c r="BB33" s="46" t="str">
        <f aca="false">IF(Tasks[[#This Row],[Task Name]]="","",MAX(1,N(Tasks[[#This Row],[Level]])))</f>
        <v/>
      </c>
      <c r="BC33" s="46" t="n">
        <f aca="false">ROW()-ROW(Tasks[[#Headers],[ID]])</f>
        <v>28</v>
      </c>
      <c r="BD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3" s="46" t="n">
        <f aca="false">IFERROR(N(INDEX(Tasks[_Level],Tasks[[#This Row],[_Row]]+1)),0)</f>
        <v>0</v>
      </c>
      <c r="BF33" s="47" t="b">
        <f aca="false">AND(Tasks[[#This Row],[Task Name]]&lt;&gt;"",Tasks[[#This Row],[_NextLevel]]&gt;Tasks[[#This Row],[_Level]])</f>
        <v>0</v>
      </c>
      <c r="BG33" s="46" t="n">
        <f aca="false">IF(Tasks[[#This Row],[_IsSummary]],COUNTIF(Tasks[WBS],Tasks[[#This Row],[WBS]]&amp;".*"),0)</f>
        <v>0</v>
      </c>
      <c r="BH33" s="46" t="n">
        <f aca="false">IF(AND(Tasks[[#This Row],[Task Name]]&lt;&gt;"",NOT(Tasks[[#This Row],[_IsSummary]])),1,0)</f>
        <v>0</v>
      </c>
      <c r="BI33" s="46" t="n">
        <f aca="false">IF(N(Tasks[[#This Row],[Pred1 UID]])=0,0,IFERROR(MATCH(Tasks[[#This Row],[Pred1 UID]],Tasks[UID],0),-1))</f>
        <v>0</v>
      </c>
      <c r="BJ33" s="46" t="n">
        <f aca="false">IF(N(Tasks[[#This Row],[Pred2 UID]])=0,0,IFERROR(MATCH(Tasks[[#This Row],[Pred2 UID]],Tasks[UID],0),-1))</f>
        <v>0</v>
      </c>
      <c r="BK3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3" s="46" t="n">
        <f aca="false">IF(NOT(Tasks[[#This Row],[_IsLeaf]]=1),0,IF(N(Tasks[[#This Row],[Actual Finish]])&gt;0,1,MIN(1,N(Tasks[[#This Row],[% Complete]]))))</f>
        <v>0</v>
      </c>
      <c r="BP3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3" s="46" t="n">
        <f aca="false">IF(Tasks[[#This Row],[_LeafWork]]=0,0,Tasks[[#This Row],[_LeafWork]]*IFERROR(INDEX(res_Rate,MATCH(Tasks[[#This Row],[Resource]],res_Name,0)),0))</f>
        <v>0</v>
      </c>
      <c r="BR3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3" s="46" t="n">
        <f aca="false">IF(NOT(Tasks[[#This Row],[_IsLeaf]]=1),0,MAX(_xlfn.MAXIFS(Tasks[_Row],Tasks[Pred1 UID],Tasks[[#This Row],[UID]]),_xlfn.MAXIFS(Tasks[_Row],Tasks[Pred2 UID],Tasks[[#This Row],[UID]])))</f>
        <v>0</v>
      </c>
      <c r="BW3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3" s="48" t="str">
        <f aca="false">IF(NOT(Tasks[[#This Row],[_IsLeaf]]=1),"",MIN(ProjectFinish,IF(N(Tasks[[#This Row],[Deadline]])&gt;0,Tasks[[#This Row],[Deadline]],2958465),Tasks[[#This Row],[_SuccessorFinishLimit]]))</f>
        <v/>
      </c>
      <c r="BY3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3" s="47" t="b">
        <f aca="false">AND(Tasks[[#This Row],[_IsLeaf]]=1,Tasks[[#This Row],[_LeafProgress]]&lt;1,N(Tasks[[#This Row],[_LeafTotalSlack]])&lt;=CriticalSlackDays)</f>
        <v>0</v>
      </c>
      <c r="CB3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3" s="46" t="n">
        <f aca="false">IF(AND(Tasks[[#This Row],[_IsLeaf]]=1,Tasks[[#This Row],[_LeafWork]]&gt;0),NETWORKDAYS.INTL(ProjectStart,Tasks[[#This Row],[_LeafFcstStart]],WorkWeek,Holidays),0)</f>
        <v>0</v>
      </c>
      <c r="CK3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3" s="46" t="n">
        <f aca="false">IF(AND(Tasks[[#This Row],[_IsLeaf]]=1,Tasks[[#This Row],[_LeafWork]]&gt;0),Tasks[[#This Row],[_LeafWork]]/(Tasks[[#This Row],[_FinishWorkday]]-Tasks[[#This Row],[_StartWorkday]]+1),0)</f>
        <v>0</v>
      </c>
      <c r="CM33" s="46" t="n">
        <f aca="false">Tasks[[#This Row],[_WorkPerWorkday]]*(Tasks[[#This Row],[_StartWorkday]]-1)</f>
        <v>-0</v>
      </c>
      <c r="CN33" s="46" t="n">
        <f aca="false">IF(Tasks[[#This Row],[_IsLeaf]]=1,MAX(N(Tasks[[#This Row],[Duration]]),0.1),0)</f>
        <v>0</v>
      </c>
      <c r="CO33" s="46" t="n">
        <f aca="false">Tasks[[#This Row],[_WeightDur]]*Tasks[[#This Row],[_LeafProgress]]</f>
        <v>0</v>
      </c>
      <c r="CP3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4" customFormat="false" ht="15" hidden="false" customHeight="false" outlineLevel="0" collapsed="false">
      <c r="A34" s="38" t="str">
        <f aca="false">IF(Tasks[[#This Row],[Task Name]]="","",COUNTA(Tasks[[#Headers],[Task Name]]:Tasks[[#This Row],[Task Name]])-1)</f>
        <v/>
      </c>
      <c r="B34" s="39" t="n">
        <v>29</v>
      </c>
      <c r="C3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4" s="39"/>
      <c r="E34" s="40"/>
      <c r="F34" s="39"/>
      <c r="G34" s="39"/>
      <c r="H34" s="39"/>
      <c r="I34" s="39"/>
      <c r="J34" s="39"/>
      <c r="K34" s="39"/>
      <c r="L34" s="39"/>
      <c r="M34" s="39"/>
      <c r="N34" s="29"/>
      <c r="O34" s="29"/>
      <c r="P34" s="24" t="str">
        <f aca="false">IF(Tasks[[#This Row],[Task Name]]="","",IF(N(Tasks[[#This Row],[Baseline Start]])&gt;0,Tasks[[#This Row],[Baseline Start]],Tasks[[#This Row],[_CalcStart]]))</f>
        <v/>
      </c>
      <c r="Q34" s="24" t="str">
        <f aca="false">IF(Tasks[[#This Row],[Task Name]]="","",IF(N(Tasks[[#This Row],[Baseline Finish]])&gt;0,Tasks[[#This Row],[Baseline Finish]],Tasks[[#This Row],[_CalcFinish]]))</f>
        <v/>
      </c>
      <c r="R34" s="29"/>
      <c r="S34" s="29"/>
      <c r="T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4" s="31"/>
      <c r="AF3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4" s="40"/>
      <c r="AI34" s="31"/>
      <c r="AJ3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4" s="40"/>
      <c r="AO34" s="24" t="str">
        <f aca="false">IF(Tasks[[#This Row],[Task Name]]="","",Tasks[[#This Row],[Forecast Start]])</f>
        <v/>
      </c>
      <c r="AP34" s="24" t="str">
        <f aca="false">IF(Tasks[[#This Row],[Task Name]]="","",Tasks[[#This Row],[Forecast Finish]])</f>
        <v/>
      </c>
      <c r="AQ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4" s="42" t="str">
        <f aca="false">IF(Tasks[[#This Row],[Task Name]]="","",Tasks[[#This Row],[Work]])</f>
        <v/>
      </c>
      <c r="AS34" s="43" t="str">
        <f aca="false">IF(Tasks[[#This Row],[Task Name]]="","",Tasks[[#This Row],[Cost]])</f>
        <v/>
      </c>
      <c r="AT34" s="29"/>
      <c r="AU34" s="29"/>
      <c r="AV34" s="39"/>
      <c r="AW34" s="44"/>
      <c r="AX34" s="45"/>
      <c r="AY34" s="38" t="str">
        <f aca="false">IF(OR(Tasks[[#This Row],[Task Name]]="",Tasks[[#This Row],[Baseline Duration]]=""),"",Tasks[[#This Row],[BL Source Duration]]-N(Tasks[[#This Row],[Baseline Duration]]))</f>
        <v/>
      </c>
      <c r="AZ34" s="42" t="str">
        <f aca="false">IF(OR(Tasks[[#This Row],[Task Name]]="",Tasks[[#This Row],[Baseline Work]]=""),"",Tasks[[#This Row],[Work]]-N(Tasks[[#This Row],[Baseline Work]]))</f>
        <v/>
      </c>
      <c r="BA34" s="43" t="str">
        <f aca="false">IF(OR(Tasks[[#This Row],[Task Name]]="",Tasks[[#This Row],[Baseline Cost]]=""),"",Tasks[[#This Row],[Cost]]-N(Tasks[[#This Row],[Baseline Cost]]))</f>
        <v/>
      </c>
      <c r="BB34" s="46" t="str">
        <f aca="false">IF(Tasks[[#This Row],[Task Name]]="","",MAX(1,N(Tasks[[#This Row],[Level]])))</f>
        <v/>
      </c>
      <c r="BC34" s="46" t="n">
        <f aca="false">ROW()-ROW(Tasks[[#Headers],[ID]])</f>
        <v>29</v>
      </c>
      <c r="BD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4" s="46" t="n">
        <f aca="false">IFERROR(N(INDEX(Tasks[_Level],Tasks[[#This Row],[_Row]]+1)),0)</f>
        <v>0</v>
      </c>
      <c r="BF34" s="47" t="b">
        <f aca="false">AND(Tasks[[#This Row],[Task Name]]&lt;&gt;"",Tasks[[#This Row],[_NextLevel]]&gt;Tasks[[#This Row],[_Level]])</f>
        <v>0</v>
      </c>
      <c r="BG34" s="46" t="n">
        <f aca="false">IF(Tasks[[#This Row],[_IsSummary]],COUNTIF(Tasks[WBS],Tasks[[#This Row],[WBS]]&amp;".*"),0)</f>
        <v>0</v>
      </c>
      <c r="BH34" s="46" t="n">
        <f aca="false">IF(AND(Tasks[[#This Row],[Task Name]]&lt;&gt;"",NOT(Tasks[[#This Row],[_IsSummary]])),1,0)</f>
        <v>0</v>
      </c>
      <c r="BI34" s="46" t="n">
        <f aca="false">IF(N(Tasks[[#This Row],[Pred1 UID]])=0,0,IFERROR(MATCH(Tasks[[#This Row],[Pred1 UID]],Tasks[UID],0),-1))</f>
        <v>0</v>
      </c>
      <c r="BJ34" s="46" t="n">
        <f aca="false">IF(N(Tasks[[#This Row],[Pred2 UID]])=0,0,IFERROR(MATCH(Tasks[[#This Row],[Pred2 UID]],Tasks[UID],0),-1))</f>
        <v>0</v>
      </c>
      <c r="BK3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4" s="46" t="n">
        <f aca="false">IF(NOT(Tasks[[#This Row],[_IsLeaf]]=1),0,IF(N(Tasks[[#This Row],[Actual Finish]])&gt;0,1,MIN(1,N(Tasks[[#This Row],[% Complete]]))))</f>
        <v>0</v>
      </c>
      <c r="BP3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4" s="46" t="n">
        <f aca="false">IF(Tasks[[#This Row],[_LeafWork]]=0,0,Tasks[[#This Row],[_LeafWork]]*IFERROR(INDEX(res_Rate,MATCH(Tasks[[#This Row],[Resource]],res_Name,0)),0))</f>
        <v>0</v>
      </c>
      <c r="BR3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4" s="46" t="n">
        <f aca="false">IF(NOT(Tasks[[#This Row],[_IsLeaf]]=1),0,MAX(_xlfn.MAXIFS(Tasks[_Row],Tasks[Pred1 UID],Tasks[[#This Row],[UID]]),_xlfn.MAXIFS(Tasks[_Row],Tasks[Pred2 UID],Tasks[[#This Row],[UID]])))</f>
        <v>0</v>
      </c>
      <c r="BW3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4" s="48" t="str">
        <f aca="false">IF(NOT(Tasks[[#This Row],[_IsLeaf]]=1),"",MIN(ProjectFinish,IF(N(Tasks[[#This Row],[Deadline]])&gt;0,Tasks[[#This Row],[Deadline]],2958465),Tasks[[#This Row],[_SuccessorFinishLimit]]))</f>
        <v/>
      </c>
      <c r="BY3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4" s="47" t="b">
        <f aca="false">AND(Tasks[[#This Row],[_IsLeaf]]=1,Tasks[[#This Row],[_LeafProgress]]&lt;1,N(Tasks[[#This Row],[_LeafTotalSlack]])&lt;=CriticalSlackDays)</f>
        <v>0</v>
      </c>
      <c r="CB3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4" s="46" t="n">
        <f aca="false">IF(AND(Tasks[[#This Row],[_IsLeaf]]=1,Tasks[[#This Row],[_LeafWork]]&gt;0),NETWORKDAYS.INTL(ProjectStart,Tasks[[#This Row],[_LeafFcstStart]],WorkWeek,Holidays),0)</f>
        <v>0</v>
      </c>
      <c r="CK3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4" s="46" t="n">
        <f aca="false">IF(AND(Tasks[[#This Row],[_IsLeaf]]=1,Tasks[[#This Row],[_LeafWork]]&gt;0),Tasks[[#This Row],[_LeafWork]]/(Tasks[[#This Row],[_FinishWorkday]]-Tasks[[#This Row],[_StartWorkday]]+1),0)</f>
        <v>0</v>
      </c>
      <c r="CM34" s="46" t="n">
        <f aca="false">Tasks[[#This Row],[_WorkPerWorkday]]*(Tasks[[#This Row],[_StartWorkday]]-1)</f>
        <v>-0</v>
      </c>
      <c r="CN34" s="46" t="n">
        <f aca="false">IF(Tasks[[#This Row],[_IsLeaf]]=1,MAX(N(Tasks[[#This Row],[Duration]]),0.1),0)</f>
        <v>0</v>
      </c>
      <c r="CO34" s="46" t="n">
        <f aca="false">Tasks[[#This Row],[_WeightDur]]*Tasks[[#This Row],[_LeafProgress]]</f>
        <v>0</v>
      </c>
      <c r="CP3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5" customFormat="false" ht="15" hidden="false" customHeight="false" outlineLevel="0" collapsed="false">
      <c r="A35" s="38" t="str">
        <f aca="false">IF(Tasks[[#This Row],[Task Name]]="","",COUNTA(Tasks[[#Headers],[Task Name]]:Tasks[[#This Row],[Task Name]])-1)</f>
        <v/>
      </c>
      <c r="B35" s="39" t="n">
        <v>30</v>
      </c>
      <c r="C3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5" s="39"/>
      <c r="E35" s="40"/>
      <c r="F35" s="39"/>
      <c r="G35" s="39"/>
      <c r="H35" s="39"/>
      <c r="I35" s="39"/>
      <c r="J35" s="39"/>
      <c r="K35" s="39"/>
      <c r="L35" s="39"/>
      <c r="M35" s="39"/>
      <c r="N35" s="29"/>
      <c r="O35" s="29"/>
      <c r="P35" s="24" t="str">
        <f aca="false">IF(Tasks[[#This Row],[Task Name]]="","",IF(N(Tasks[[#This Row],[Baseline Start]])&gt;0,Tasks[[#This Row],[Baseline Start]],Tasks[[#This Row],[_CalcStart]]))</f>
        <v/>
      </c>
      <c r="Q35" s="24" t="str">
        <f aca="false">IF(Tasks[[#This Row],[Task Name]]="","",IF(N(Tasks[[#This Row],[Baseline Finish]])&gt;0,Tasks[[#This Row],[Baseline Finish]],Tasks[[#This Row],[_CalcFinish]]))</f>
        <v/>
      </c>
      <c r="R35" s="29"/>
      <c r="S35" s="29"/>
      <c r="T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5" s="31"/>
      <c r="AF3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5" s="40"/>
      <c r="AI35" s="31"/>
      <c r="AJ3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5" s="40"/>
      <c r="AO35" s="24" t="str">
        <f aca="false">IF(Tasks[[#This Row],[Task Name]]="","",Tasks[[#This Row],[Forecast Start]])</f>
        <v/>
      </c>
      <c r="AP35" s="24" t="str">
        <f aca="false">IF(Tasks[[#This Row],[Task Name]]="","",Tasks[[#This Row],[Forecast Finish]])</f>
        <v/>
      </c>
      <c r="AQ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5" s="42" t="str">
        <f aca="false">IF(Tasks[[#This Row],[Task Name]]="","",Tasks[[#This Row],[Work]])</f>
        <v/>
      </c>
      <c r="AS35" s="43" t="str">
        <f aca="false">IF(Tasks[[#This Row],[Task Name]]="","",Tasks[[#This Row],[Cost]])</f>
        <v/>
      </c>
      <c r="AT35" s="29"/>
      <c r="AU35" s="29"/>
      <c r="AV35" s="39"/>
      <c r="AW35" s="44"/>
      <c r="AX35" s="45"/>
      <c r="AY35" s="38" t="str">
        <f aca="false">IF(OR(Tasks[[#This Row],[Task Name]]="",Tasks[[#This Row],[Baseline Duration]]=""),"",Tasks[[#This Row],[BL Source Duration]]-N(Tasks[[#This Row],[Baseline Duration]]))</f>
        <v/>
      </c>
      <c r="AZ35" s="42" t="str">
        <f aca="false">IF(OR(Tasks[[#This Row],[Task Name]]="",Tasks[[#This Row],[Baseline Work]]=""),"",Tasks[[#This Row],[Work]]-N(Tasks[[#This Row],[Baseline Work]]))</f>
        <v/>
      </c>
      <c r="BA35" s="43" t="str">
        <f aca="false">IF(OR(Tasks[[#This Row],[Task Name]]="",Tasks[[#This Row],[Baseline Cost]]=""),"",Tasks[[#This Row],[Cost]]-N(Tasks[[#This Row],[Baseline Cost]]))</f>
        <v/>
      </c>
      <c r="BB35" s="46" t="str">
        <f aca="false">IF(Tasks[[#This Row],[Task Name]]="","",MAX(1,N(Tasks[[#This Row],[Level]])))</f>
        <v/>
      </c>
      <c r="BC35" s="46" t="n">
        <f aca="false">ROW()-ROW(Tasks[[#Headers],[ID]])</f>
        <v>30</v>
      </c>
      <c r="BD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5" s="46" t="n">
        <f aca="false">IFERROR(N(INDEX(Tasks[_Level],Tasks[[#This Row],[_Row]]+1)),0)</f>
        <v>0</v>
      </c>
      <c r="BF35" s="47" t="b">
        <f aca="false">AND(Tasks[[#This Row],[Task Name]]&lt;&gt;"",Tasks[[#This Row],[_NextLevel]]&gt;Tasks[[#This Row],[_Level]])</f>
        <v>0</v>
      </c>
      <c r="BG35" s="46" t="n">
        <f aca="false">IF(Tasks[[#This Row],[_IsSummary]],COUNTIF(Tasks[WBS],Tasks[[#This Row],[WBS]]&amp;".*"),0)</f>
        <v>0</v>
      </c>
      <c r="BH35" s="46" t="n">
        <f aca="false">IF(AND(Tasks[[#This Row],[Task Name]]&lt;&gt;"",NOT(Tasks[[#This Row],[_IsSummary]])),1,0)</f>
        <v>0</v>
      </c>
      <c r="BI35" s="46" t="n">
        <f aca="false">IF(N(Tasks[[#This Row],[Pred1 UID]])=0,0,IFERROR(MATCH(Tasks[[#This Row],[Pred1 UID]],Tasks[UID],0),-1))</f>
        <v>0</v>
      </c>
      <c r="BJ35" s="46" t="n">
        <f aca="false">IF(N(Tasks[[#This Row],[Pred2 UID]])=0,0,IFERROR(MATCH(Tasks[[#This Row],[Pred2 UID]],Tasks[UID],0),-1))</f>
        <v>0</v>
      </c>
      <c r="BK3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5" s="46" t="n">
        <f aca="false">IF(NOT(Tasks[[#This Row],[_IsLeaf]]=1),0,IF(N(Tasks[[#This Row],[Actual Finish]])&gt;0,1,MIN(1,N(Tasks[[#This Row],[% Complete]]))))</f>
        <v>0</v>
      </c>
      <c r="BP3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5" s="46" t="n">
        <f aca="false">IF(Tasks[[#This Row],[_LeafWork]]=0,0,Tasks[[#This Row],[_LeafWork]]*IFERROR(INDEX(res_Rate,MATCH(Tasks[[#This Row],[Resource]],res_Name,0)),0))</f>
        <v>0</v>
      </c>
      <c r="BR3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5" s="46" t="n">
        <f aca="false">IF(NOT(Tasks[[#This Row],[_IsLeaf]]=1),0,MAX(_xlfn.MAXIFS(Tasks[_Row],Tasks[Pred1 UID],Tasks[[#This Row],[UID]]),_xlfn.MAXIFS(Tasks[_Row],Tasks[Pred2 UID],Tasks[[#This Row],[UID]])))</f>
        <v>0</v>
      </c>
      <c r="BW3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5" s="48" t="str">
        <f aca="false">IF(NOT(Tasks[[#This Row],[_IsLeaf]]=1),"",MIN(ProjectFinish,IF(N(Tasks[[#This Row],[Deadline]])&gt;0,Tasks[[#This Row],[Deadline]],2958465),Tasks[[#This Row],[_SuccessorFinishLimit]]))</f>
        <v/>
      </c>
      <c r="BY3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5" s="47" t="b">
        <f aca="false">AND(Tasks[[#This Row],[_IsLeaf]]=1,Tasks[[#This Row],[_LeafProgress]]&lt;1,N(Tasks[[#This Row],[_LeafTotalSlack]])&lt;=CriticalSlackDays)</f>
        <v>0</v>
      </c>
      <c r="CB3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5" s="46" t="n">
        <f aca="false">IF(AND(Tasks[[#This Row],[_IsLeaf]]=1,Tasks[[#This Row],[_LeafWork]]&gt;0),NETWORKDAYS.INTL(ProjectStart,Tasks[[#This Row],[_LeafFcstStart]],WorkWeek,Holidays),0)</f>
        <v>0</v>
      </c>
      <c r="CK3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5" s="46" t="n">
        <f aca="false">IF(AND(Tasks[[#This Row],[_IsLeaf]]=1,Tasks[[#This Row],[_LeafWork]]&gt;0),Tasks[[#This Row],[_LeafWork]]/(Tasks[[#This Row],[_FinishWorkday]]-Tasks[[#This Row],[_StartWorkday]]+1),0)</f>
        <v>0</v>
      </c>
      <c r="CM35" s="46" t="n">
        <f aca="false">Tasks[[#This Row],[_WorkPerWorkday]]*(Tasks[[#This Row],[_StartWorkday]]-1)</f>
        <v>-0</v>
      </c>
      <c r="CN35" s="46" t="n">
        <f aca="false">IF(Tasks[[#This Row],[_IsLeaf]]=1,MAX(N(Tasks[[#This Row],[Duration]]),0.1),0)</f>
        <v>0</v>
      </c>
      <c r="CO35" s="46" t="n">
        <f aca="false">Tasks[[#This Row],[_WeightDur]]*Tasks[[#This Row],[_LeafProgress]]</f>
        <v>0</v>
      </c>
      <c r="CP3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39"/>
      <c r="E36" s="40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6" s="31"/>
      <c r="AF3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6" s="40"/>
      <c r="AI36" s="31"/>
      <c r="AJ3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6" s="40"/>
      <c r="AO36" s="24" t="str">
        <f aca="false">IF(Tasks[[#This Row],[Task Name]]="","",Tasks[[#This Row],[Forecast Start]])</f>
        <v/>
      </c>
      <c r="AP36" s="24" t="str">
        <f aca="false">IF(Tasks[[#This Row],[Task Name]]="","",Tasks[[#This Row],[Forecast Finish]])</f>
        <v/>
      </c>
      <c r="AQ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6" s="42" t="str">
        <f aca="false">IF(Tasks[[#This Row],[Task Name]]="","",Tasks[[#This Row],[Work]])</f>
        <v/>
      </c>
      <c r="AS36" s="43" t="str">
        <f aca="false">IF(Tasks[[#This Row],[Task Name]]="","",Tasks[[#This Row],[Cost]])</f>
        <v/>
      </c>
      <c r="AT36" s="29"/>
      <c r="AU36" s="29"/>
      <c r="AV36" s="39"/>
      <c r="AW36" s="44"/>
      <c r="AX36" s="45"/>
      <c r="AY36" s="38" t="str">
        <f aca="false">IF(OR(Tasks[[#This Row],[Task Name]]="",Tasks[[#This Row],[Baseline Duration]]=""),"",Tasks[[#This Row],[BL Source Duration]]-N(Tasks[[#This Row],[Baseline Duration]]))</f>
        <v/>
      </c>
      <c r="AZ36" s="42" t="str">
        <f aca="false">IF(OR(Tasks[[#This Row],[Task Name]]="",Tasks[[#This Row],[Baseline Work]]=""),"",Tasks[[#This Row],[Work]]-N(Tasks[[#This Row],[Baseline Work]]))</f>
        <v/>
      </c>
      <c r="BA36" s="43" t="str">
        <f aca="false">IF(OR(Tasks[[#This Row],[Task Name]]="",Tasks[[#This Row],[Baseline Cost]]=""),"",Tasks[[#This Row],[Cost]]-N(Tasks[[#This Row],[Baseline Cost]]))</f>
        <v/>
      </c>
      <c r="BB36" s="46" t="str">
        <f aca="false">IF(Tasks[[#This Row],[Task Name]]="","",MAX(1,N(Tasks[[#This Row],[Level]])))</f>
        <v/>
      </c>
      <c r="BC36" s="46" t="n">
        <f aca="false">ROW()-ROW(Tasks[[#Headers],[ID]])</f>
        <v>31</v>
      </c>
      <c r="BD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6" s="46" t="n">
        <f aca="false">IFERROR(N(INDEX(Tasks[_Level],Tasks[[#This Row],[_Row]]+1)),0)</f>
        <v>0</v>
      </c>
      <c r="BF36" s="47" t="b">
        <f aca="false">AND(Tasks[[#This Row],[Task Name]]&lt;&gt;"",Tasks[[#This Row],[_NextLevel]]&gt;Tasks[[#This Row],[_Level]])</f>
        <v>0</v>
      </c>
      <c r="BG36" s="46" t="n">
        <f aca="false">IF(Tasks[[#This Row],[_IsSummary]],COUNTIF(Tasks[WBS],Tasks[[#This Row],[WBS]]&amp;".*"),0)</f>
        <v>0</v>
      </c>
      <c r="BH36" s="46" t="n">
        <f aca="false">IF(AND(Tasks[[#This Row],[Task Name]]&lt;&gt;"",NOT(Tasks[[#This Row],[_IsSummary]])),1,0)</f>
        <v>0</v>
      </c>
      <c r="BI36" s="46" t="n">
        <f aca="false">IF(N(Tasks[[#This Row],[Pred1 UID]])=0,0,IFERROR(MATCH(Tasks[[#This Row],[Pred1 UID]],Tasks[UID],0),-1))</f>
        <v>0</v>
      </c>
      <c r="BJ36" s="46" t="n">
        <f aca="false">IF(N(Tasks[[#This Row],[Pred2 UID]])=0,0,IFERROR(MATCH(Tasks[[#This Row],[Pred2 UID]],Tasks[UID],0),-1))</f>
        <v>0</v>
      </c>
      <c r="BK3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6" s="46" t="n">
        <f aca="false">IF(NOT(Tasks[[#This Row],[_IsLeaf]]=1),0,IF(N(Tasks[[#This Row],[Actual Finish]])&gt;0,1,MIN(1,N(Tasks[[#This Row],[% Complete]]))))</f>
        <v>0</v>
      </c>
      <c r="BP3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6" s="46" t="n">
        <f aca="false">IF(Tasks[[#This Row],[_LeafWork]]=0,0,Tasks[[#This Row],[_LeafWork]]*IFERROR(INDEX(res_Rate,MATCH(Tasks[[#This Row],[Resource]],res_Name,0)),0))</f>
        <v>0</v>
      </c>
      <c r="BR3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6" s="46" t="n">
        <f aca="false">IF(NOT(Tasks[[#This Row],[_IsLeaf]]=1),0,MAX(_xlfn.MAXIFS(Tasks[_Row],Tasks[Pred1 UID],Tasks[[#This Row],[UID]]),_xlfn.MAXIFS(Tasks[_Row],Tasks[Pred2 UID],Tasks[[#This Row],[UID]])))</f>
        <v>0</v>
      </c>
      <c r="BW3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6" s="48" t="str">
        <f aca="false">IF(NOT(Tasks[[#This Row],[_IsLeaf]]=1),"",MIN(ProjectFinish,IF(N(Tasks[[#This Row],[Deadline]])&gt;0,Tasks[[#This Row],[Deadline]],2958465),Tasks[[#This Row],[_SuccessorFinishLimit]]))</f>
        <v/>
      </c>
      <c r="BY3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6" s="47" t="b">
        <f aca="false">AND(Tasks[[#This Row],[_IsLeaf]]=1,Tasks[[#This Row],[_LeafProgress]]&lt;1,N(Tasks[[#This Row],[_LeafTotalSlack]])&lt;=CriticalSlackDays)</f>
        <v>0</v>
      </c>
      <c r="CB3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6" s="46" t="n">
        <f aca="false">IF(AND(Tasks[[#This Row],[_IsLeaf]]=1,Tasks[[#This Row],[_LeafWork]]&gt;0),NETWORKDAYS.INTL(ProjectStart,Tasks[[#This Row],[_LeafFcstStart]],WorkWeek,Holidays),0)</f>
        <v>0</v>
      </c>
      <c r="CK3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6" s="46" t="n">
        <f aca="false">IF(AND(Tasks[[#This Row],[_IsLeaf]]=1,Tasks[[#This Row],[_LeafWork]]&gt;0),Tasks[[#This Row],[_LeafWork]]/(Tasks[[#This Row],[_FinishWorkday]]-Tasks[[#This Row],[_StartWorkday]]+1),0)</f>
        <v>0</v>
      </c>
      <c r="CM36" s="46" t="n">
        <f aca="false">Tasks[[#This Row],[_WorkPerWorkday]]*(Tasks[[#This Row],[_StartWorkday]]-1)</f>
        <v>-0</v>
      </c>
      <c r="CN36" s="46" t="n">
        <f aca="false">IF(Tasks[[#This Row],[_IsLeaf]]=1,MAX(N(Tasks[[#This Row],[Duration]]),0.1),0)</f>
        <v>0</v>
      </c>
      <c r="CO36" s="46" t="n">
        <f aca="false">Tasks[[#This Row],[_WeightDur]]*Tasks[[#This Row],[_LeafProgress]]</f>
        <v>0</v>
      </c>
      <c r="CP3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39"/>
      <c r="E37" s="40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7" s="31"/>
      <c r="AF3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7" s="40"/>
      <c r="AI37" s="31"/>
      <c r="AJ3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7" s="40"/>
      <c r="AO37" s="24" t="str">
        <f aca="false">IF(Tasks[[#This Row],[Task Name]]="","",Tasks[[#This Row],[Forecast Start]])</f>
        <v/>
      </c>
      <c r="AP37" s="24" t="str">
        <f aca="false">IF(Tasks[[#This Row],[Task Name]]="","",Tasks[[#This Row],[Forecast Finish]])</f>
        <v/>
      </c>
      <c r="AQ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7" s="42" t="str">
        <f aca="false">IF(Tasks[[#This Row],[Task Name]]="","",Tasks[[#This Row],[Work]])</f>
        <v/>
      </c>
      <c r="AS37" s="43" t="str">
        <f aca="false">IF(Tasks[[#This Row],[Task Name]]="","",Tasks[[#This Row],[Cost]])</f>
        <v/>
      </c>
      <c r="AT37" s="29"/>
      <c r="AU37" s="29"/>
      <c r="AV37" s="39"/>
      <c r="AW37" s="44"/>
      <c r="AX37" s="45"/>
      <c r="AY37" s="38" t="str">
        <f aca="false">IF(OR(Tasks[[#This Row],[Task Name]]="",Tasks[[#This Row],[Baseline Duration]]=""),"",Tasks[[#This Row],[BL Source Duration]]-N(Tasks[[#This Row],[Baseline Duration]]))</f>
        <v/>
      </c>
      <c r="AZ37" s="42" t="str">
        <f aca="false">IF(OR(Tasks[[#This Row],[Task Name]]="",Tasks[[#This Row],[Baseline Work]]=""),"",Tasks[[#This Row],[Work]]-N(Tasks[[#This Row],[Baseline Work]]))</f>
        <v/>
      </c>
      <c r="BA37" s="43" t="str">
        <f aca="false">IF(OR(Tasks[[#This Row],[Task Name]]="",Tasks[[#This Row],[Baseline Cost]]=""),"",Tasks[[#This Row],[Cost]]-N(Tasks[[#This Row],[Baseline Cost]]))</f>
        <v/>
      </c>
      <c r="BB37" s="46" t="str">
        <f aca="false">IF(Tasks[[#This Row],[Task Name]]="","",MAX(1,N(Tasks[[#This Row],[Level]])))</f>
        <v/>
      </c>
      <c r="BC37" s="46" t="n">
        <f aca="false">ROW()-ROW(Tasks[[#Headers],[ID]])</f>
        <v>32</v>
      </c>
      <c r="BD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7" s="46" t="n">
        <f aca="false">IFERROR(N(INDEX(Tasks[_Level],Tasks[[#This Row],[_Row]]+1)),0)</f>
        <v>0</v>
      </c>
      <c r="BF37" s="47" t="b">
        <f aca="false">AND(Tasks[[#This Row],[Task Name]]&lt;&gt;"",Tasks[[#This Row],[_NextLevel]]&gt;Tasks[[#This Row],[_Level]])</f>
        <v>0</v>
      </c>
      <c r="BG37" s="46" t="n">
        <f aca="false">IF(Tasks[[#This Row],[_IsSummary]],COUNTIF(Tasks[WBS],Tasks[[#This Row],[WBS]]&amp;".*"),0)</f>
        <v>0</v>
      </c>
      <c r="BH37" s="46" t="n">
        <f aca="false">IF(AND(Tasks[[#This Row],[Task Name]]&lt;&gt;"",NOT(Tasks[[#This Row],[_IsSummary]])),1,0)</f>
        <v>0</v>
      </c>
      <c r="BI37" s="46" t="n">
        <f aca="false">IF(N(Tasks[[#This Row],[Pred1 UID]])=0,0,IFERROR(MATCH(Tasks[[#This Row],[Pred1 UID]],Tasks[UID],0),-1))</f>
        <v>0</v>
      </c>
      <c r="BJ37" s="46" t="n">
        <f aca="false">IF(N(Tasks[[#This Row],[Pred2 UID]])=0,0,IFERROR(MATCH(Tasks[[#This Row],[Pred2 UID]],Tasks[UID],0),-1))</f>
        <v>0</v>
      </c>
      <c r="BK3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7" s="46" t="n">
        <f aca="false">IF(NOT(Tasks[[#This Row],[_IsLeaf]]=1),0,IF(N(Tasks[[#This Row],[Actual Finish]])&gt;0,1,MIN(1,N(Tasks[[#This Row],[% Complete]]))))</f>
        <v>0</v>
      </c>
      <c r="BP3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7" s="46" t="n">
        <f aca="false">IF(Tasks[[#This Row],[_LeafWork]]=0,0,Tasks[[#This Row],[_LeafWork]]*IFERROR(INDEX(res_Rate,MATCH(Tasks[[#This Row],[Resource]],res_Name,0)),0))</f>
        <v>0</v>
      </c>
      <c r="BR3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7" s="46" t="n">
        <f aca="false">IF(NOT(Tasks[[#This Row],[_IsLeaf]]=1),0,MAX(_xlfn.MAXIFS(Tasks[_Row],Tasks[Pred1 UID],Tasks[[#This Row],[UID]]),_xlfn.MAXIFS(Tasks[_Row],Tasks[Pred2 UID],Tasks[[#This Row],[UID]])))</f>
        <v>0</v>
      </c>
      <c r="BW3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7" s="48" t="str">
        <f aca="false">IF(NOT(Tasks[[#This Row],[_IsLeaf]]=1),"",MIN(ProjectFinish,IF(N(Tasks[[#This Row],[Deadline]])&gt;0,Tasks[[#This Row],[Deadline]],2958465),Tasks[[#This Row],[_SuccessorFinishLimit]]))</f>
        <v/>
      </c>
      <c r="BY3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7" s="47" t="b">
        <f aca="false">AND(Tasks[[#This Row],[_IsLeaf]]=1,Tasks[[#This Row],[_LeafProgress]]&lt;1,N(Tasks[[#This Row],[_LeafTotalSlack]])&lt;=CriticalSlackDays)</f>
        <v>0</v>
      </c>
      <c r="CB3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7" s="46" t="n">
        <f aca="false">IF(AND(Tasks[[#This Row],[_IsLeaf]]=1,Tasks[[#This Row],[_LeafWork]]&gt;0),NETWORKDAYS.INTL(ProjectStart,Tasks[[#This Row],[_LeafFcstStart]],WorkWeek,Holidays),0)</f>
        <v>0</v>
      </c>
      <c r="CK3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7" s="46" t="n">
        <f aca="false">IF(AND(Tasks[[#This Row],[_IsLeaf]]=1,Tasks[[#This Row],[_LeafWork]]&gt;0),Tasks[[#This Row],[_LeafWork]]/(Tasks[[#This Row],[_FinishWorkday]]-Tasks[[#This Row],[_StartWorkday]]+1),0)</f>
        <v>0</v>
      </c>
      <c r="CM37" s="46" t="n">
        <f aca="false">Tasks[[#This Row],[_WorkPerWorkday]]*(Tasks[[#This Row],[_StartWorkday]]-1)</f>
        <v>-0</v>
      </c>
      <c r="CN37" s="46" t="n">
        <f aca="false">IF(Tasks[[#This Row],[_IsLeaf]]=1,MAX(N(Tasks[[#This Row],[Duration]]),0.1),0)</f>
        <v>0</v>
      </c>
      <c r="CO37" s="46" t="n">
        <f aca="false">Tasks[[#This Row],[_WeightDur]]*Tasks[[#This Row],[_LeafProgress]]</f>
        <v>0</v>
      </c>
      <c r="CP3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39"/>
      <c r="E38" s="40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8" s="31"/>
      <c r="AF3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8" s="40"/>
      <c r="AI38" s="31"/>
      <c r="AJ3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8" s="40"/>
      <c r="AO38" s="24" t="str">
        <f aca="false">IF(Tasks[[#This Row],[Task Name]]="","",Tasks[[#This Row],[Forecast Start]])</f>
        <v/>
      </c>
      <c r="AP38" s="24" t="str">
        <f aca="false">IF(Tasks[[#This Row],[Task Name]]="","",Tasks[[#This Row],[Forecast Finish]])</f>
        <v/>
      </c>
      <c r="AQ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8" s="42" t="str">
        <f aca="false">IF(Tasks[[#This Row],[Task Name]]="","",Tasks[[#This Row],[Work]])</f>
        <v/>
      </c>
      <c r="AS38" s="43" t="str">
        <f aca="false">IF(Tasks[[#This Row],[Task Name]]="","",Tasks[[#This Row],[Cost]])</f>
        <v/>
      </c>
      <c r="AT38" s="29"/>
      <c r="AU38" s="29"/>
      <c r="AV38" s="39"/>
      <c r="AW38" s="44"/>
      <c r="AX38" s="45"/>
      <c r="AY38" s="38" t="str">
        <f aca="false">IF(OR(Tasks[[#This Row],[Task Name]]="",Tasks[[#This Row],[Baseline Duration]]=""),"",Tasks[[#This Row],[BL Source Duration]]-N(Tasks[[#This Row],[Baseline Duration]]))</f>
        <v/>
      </c>
      <c r="AZ38" s="42" t="str">
        <f aca="false">IF(OR(Tasks[[#This Row],[Task Name]]="",Tasks[[#This Row],[Baseline Work]]=""),"",Tasks[[#This Row],[Work]]-N(Tasks[[#This Row],[Baseline Work]]))</f>
        <v/>
      </c>
      <c r="BA38" s="43" t="str">
        <f aca="false">IF(OR(Tasks[[#This Row],[Task Name]]="",Tasks[[#This Row],[Baseline Cost]]=""),"",Tasks[[#This Row],[Cost]]-N(Tasks[[#This Row],[Baseline Cost]]))</f>
        <v/>
      </c>
      <c r="BB38" s="46" t="str">
        <f aca="false">IF(Tasks[[#This Row],[Task Name]]="","",MAX(1,N(Tasks[[#This Row],[Level]])))</f>
        <v/>
      </c>
      <c r="BC38" s="46" t="n">
        <f aca="false">ROW()-ROW(Tasks[[#Headers],[ID]])</f>
        <v>33</v>
      </c>
      <c r="BD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8" s="46" t="n">
        <f aca="false">IFERROR(N(INDEX(Tasks[_Level],Tasks[[#This Row],[_Row]]+1)),0)</f>
        <v>0</v>
      </c>
      <c r="BF38" s="47" t="b">
        <f aca="false">AND(Tasks[[#This Row],[Task Name]]&lt;&gt;"",Tasks[[#This Row],[_NextLevel]]&gt;Tasks[[#This Row],[_Level]])</f>
        <v>0</v>
      </c>
      <c r="BG38" s="46" t="n">
        <f aca="false">IF(Tasks[[#This Row],[_IsSummary]],COUNTIF(Tasks[WBS],Tasks[[#This Row],[WBS]]&amp;".*"),0)</f>
        <v>0</v>
      </c>
      <c r="BH38" s="46" t="n">
        <f aca="false">IF(AND(Tasks[[#This Row],[Task Name]]&lt;&gt;"",NOT(Tasks[[#This Row],[_IsSummary]])),1,0)</f>
        <v>0</v>
      </c>
      <c r="BI38" s="46" t="n">
        <f aca="false">IF(N(Tasks[[#This Row],[Pred1 UID]])=0,0,IFERROR(MATCH(Tasks[[#This Row],[Pred1 UID]],Tasks[UID],0),-1))</f>
        <v>0</v>
      </c>
      <c r="BJ38" s="46" t="n">
        <f aca="false">IF(N(Tasks[[#This Row],[Pred2 UID]])=0,0,IFERROR(MATCH(Tasks[[#This Row],[Pred2 UID]],Tasks[UID],0),-1))</f>
        <v>0</v>
      </c>
      <c r="BK3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8" s="46" t="n">
        <f aca="false">IF(NOT(Tasks[[#This Row],[_IsLeaf]]=1),0,IF(N(Tasks[[#This Row],[Actual Finish]])&gt;0,1,MIN(1,N(Tasks[[#This Row],[% Complete]]))))</f>
        <v>0</v>
      </c>
      <c r="BP3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8" s="46" t="n">
        <f aca="false">IF(Tasks[[#This Row],[_LeafWork]]=0,0,Tasks[[#This Row],[_LeafWork]]*IFERROR(INDEX(res_Rate,MATCH(Tasks[[#This Row],[Resource]],res_Name,0)),0))</f>
        <v>0</v>
      </c>
      <c r="BR3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8" s="46" t="n">
        <f aca="false">IF(NOT(Tasks[[#This Row],[_IsLeaf]]=1),0,MAX(_xlfn.MAXIFS(Tasks[_Row],Tasks[Pred1 UID],Tasks[[#This Row],[UID]]),_xlfn.MAXIFS(Tasks[_Row],Tasks[Pred2 UID],Tasks[[#This Row],[UID]])))</f>
        <v>0</v>
      </c>
      <c r="BW3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8" s="48" t="str">
        <f aca="false">IF(NOT(Tasks[[#This Row],[_IsLeaf]]=1),"",MIN(ProjectFinish,IF(N(Tasks[[#This Row],[Deadline]])&gt;0,Tasks[[#This Row],[Deadline]],2958465),Tasks[[#This Row],[_SuccessorFinishLimit]]))</f>
        <v/>
      </c>
      <c r="BY3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8" s="47" t="b">
        <f aca="false">AND(Tasks[[#This Row],[_IsLeaf]]=1,Tasks[[#This Row],[_LeafProgress]]&lt;1,N(Tasks[[#This Row],[_LeafTotalSlack]])&lt;=CriticalSlackDays)</f>
        <v>0</v>
      </c>
      <c r="CB3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8" s="46" t="n">
        <f aca="false">IF(AND(Tasks[[#This Row],[_IsLeaf]]=1,Tasks[[#This Row],[_LeafWork]]&gt;0),NETWORKDAYS.INTL(ProjectStart,Tasks[[#This Row],[_LeafFcstStart]],WorkWeek,Holidays),0)</f>
        <v>0</v>
      </c>
      <c r="CK3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8" s="46" t="n">
        <f aca="false">IF(AND(Tasks[[#This Row],[_IsLeaf]]=1,Tasks[[#This Row],[_LeafWork]]&gt;0),Tasks[[#This Row],[_LeafWork]]/(Tasks[[#This Row],[_FinishWorkday]]-Tasks[[#This Row],[_StartWorkday]]+1),0)</f>
        <v>0</v>
      </c>
      <c r="CM38" s="46" t="n">
        <f aca="false">Tasks[[#This Row],[_WorkPerWorkday]]*(Tasks[[#This Row],[_StartWorkday]]-1)</f>
        <v>-0</v>
      </c>
      <c r="CN38" s="46" t="n">
        <f aca="false">IF(Tasks[[#This Row],[_IsLeaf]]=1,MAX(N(Tasks[[#This Row],[Duration]]),0.1),0)</f>
        <v>0</v>
      </c>
      <c r="CO38" s="46" t="n">
        <f aca="false">Tasks[[#This Row],[_WeightDur]]*Tasks[[#This Row],[_LeafProgress]]</f>
        <v>0</v>
      </c>
      <c r="CP3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39"/>
      <c r="E39" s="40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9" s="31"/>
      <c r="AF3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9" s="40"/>
      <c r="AI39" s="31"/>
      <c r="AJ3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9" s="40"/>
      <c r="AO39" s="24" t="str">
        <f aca="false">IF(Tasks[[#This Row],[Task Name]]="","",Tasks[[#This Row],[Forecast Start]])</f>
        <v/>
      </c>
      <c r="AP39" s="24" t="str">
        <f aca="false">IF(Tasks[[#This Row],[Task Name]]="","",Tasks[[#This Row],[Forecast Finish]])</f>
        <v/>
      </c>
      <c r="AQ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9" s="42" t="str">
        <f aca="false">IF(Tasks[[#This Row],[Task Name]]="","",Tasks[[#This Row],[Work]])</f>
        <v/>
      </c>
      <c r="AS39" s="43" t="str">
        <f aca="false">IF(Tasks[[#This Row],[Task Name]]="","",Tasks[[#This Row],[Cost]])</f>
        <v/>
      </c>
      <c r="AT39" s="29"/>
      <c r="AU39" s="29"/>
      <c r="AV39" s="39"/>
      <c r="AW39" s="44"/>
      <c r="AX39" s="45"/>
      <c r="AY39" s="38" t="str">
        <f aca="false">IF(OR(Tasks[[#This Row],[Task Name]]="",Tasks[[#This Row],[Baseline Duration]]=""),"",Tasks[[#This Row],[BL Source Duration]]-N(Tasks[[#This Row],[Baseline Duration]]))</f>
        <v/>
      </c>
      <c r="AZ39" s="42" t="str">
        <f aca="false">IF(OR(Tasks[[#This Row],[Task Name]]="",Tasks[[#This Row],[Baseline Work]]=""),"",Tasks[[#This Row],[Work]]-N(Tasks[[#This Row],[Baseline Work]]))</f>
        <v/>
      </c>
      <c r="BA39" s="43" t="str">
        <f aca="false">IF(OR(Tasks[[#This Row],[Task Name]]="",Tasks[[#This Row],[Baseline Cost]]=""),"",Tasks[[#This Row],[Cost]]-N(Tasks[[#This Row],[Baseline Cost]]))</f>
        <v/>
      </c>
      <c r="BB39" s="46" t="str">
        <f aca="false">IF(Tasks[[#This Row],[Task Name]]="","",MAX(1,N(Tasks[[#This Row],[Level]])))</f>
        <v/>
      </c>
      <c r="BC39" s="46" t="n">
        <f aca="false">ROW()-ROW(Tasks[[#Headers],[ID]])</f>
        <v>34</v>
      </c>
      <c r="BD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9" s="46" t="n">
        <f aca="false">IFERROR(N(INDEX(Tasks[_Level],Tasks[[#This Row],[_Row]]+1)),0)</f>
        <v>0</v>
      </c>
      <c r="BF39" s="47" t="b">
        <f aca="false">AND(Tasks[[#This Row],[Task Name]]&lt;&gt;"",Tasks[[#This Row],[_NextLevel]]&gt;Tasks[[#This Row],[_Level]])</f>
        <v>0</v>
      </c>
      <c r="BG39" s="46" t="n">
        <f aca="false">IF(Tasks[[#This Row],[_IsSummary]],COUNTIF(Tasks[WBS],Tasks[[#This Row],[WBS]]&amp;".*"),0)</f>
        <v>0</v>
      </c>
      <c r="BH39" s="46" t="n">
        <f aca="false">IF(AND(Tasks[[#This Row],[Task Name]]&lt;&gt;"",NOT(Tasks[[#This Row],[_IsSummary]])),1,0)</f>
        <v>0</v>
      </c>
      <c r="BI39" s="46" t="n">
        <f aca="false">IF(N(Tasks[[#This Row],[Pred1 UID]])=0,0,IFERROR(MATCH(Tasks[[#This Row],[Pred1 UID]],Tasks[UID],0),-1))</f>
        <v>0</v>
      </c>
      <c r="BJ39" s="46" t="n">
        <f aca="false">IF(N(Tasks[[#This Row],[Pred2 UID]])=0,0,IFERROR(MATCH(Tasks[[#This Row],[Pred2 UID]],Tasks[UID],0),-1))</f>
        <v>0</v>
      </c>
      <c r="BK3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9" s="46" t="n">
        <f aca="false">IF(NOT(Tasks[[#This Row],[_IsLeaf]]=1),0,IF(N(Tasks[[#This Row],[Actual Finish]])&gt;0,1,MIN(1,N(Tasks[[#This Row],[% Complete]]))))</f>
        <v>0</v>
      </c>
      <c r="BP3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39" s="46" t="n">
        <f aca="false">IF(Tasks[[#This Row],[_LeafWork]]=0,0,Tasks[[#This Row],[_LeafWork]]*IFERROR(INDEX(res_Rate,MATCH(Tasks[[#This Row],[Resource]],res_Name,0)),0))</f>
        <v>0</v>
      </c>
      <c r="BR3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9" s="46" t="n">
        <f aca="false">IF(NOT(Tasks[[#This Row],[_IsLeaf]]=1),0,MAX(_xlfn.MAXIFS(Tasks[_Row],Tasks[Pred1 UID],Tasks[[#This Row],[UID]]),_xlfn.MAXIFS(Tasks[_Row],Tasks[Pred2 UID],Tasks[[#This Row],[UID]])))</f>
        <v>0</v>
      </c>
      <c r="BW3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9" s="48" t="str">
        <f aca="false">IF(NOT(Tasks[[#This Row],[_IsLeaf]]=1),"",MIN(ProjectFinish,IF(N(Tasks[[#This Row],[Deadline]])&gt;0,Tasks[[#This Row],[Deadline]],2958465),Tasks[[#This Row],[_SuccessorFinishLimit]]))</f>
        <v/>
      </c>
      <c r="BY3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9" s="47" t="b">
        <f aca="false">AND(Tasks[[#This Row],[_IsLeaf]]=1,Tasks[[#This Row],[_LeafProgress]]&lt;1,N(Tasks[[#This Row],[_LeafTotalSlack]])&lt;=CriticalSlackDays)</f>
        <v>0</v>
      </c>
      <c r="CB3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9" s="46" t="n">
        <f aca="false">IF(AND(Tasks[[#This Row],[_IsLeaf]]=1,Tasks[[#This Row],[_LeafWork]]&gt;0),NETWORKDAYS.INTL(ProjectStart,Tasks[[#This Row],[_LeafFcstStart]],WorkWeek,Holidays),0)</f>
        <v>0</v>
      </c>
      <c r="CK3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9" s="46" t="n">
        <f aca="false">IF(AND(Tasks[[#This Row],[_IsLeaf]]=1,Tasks[[#This Row],[_LeafWork]]&gt;0),Tasks[[#This Row],[_LeafWork]]/(Tasks[[#This Row],[_FinishWorkday]]-Tasks[[#This Row],[_StartWorkday]]+1),0)</f>
        <v>0</v>
      </c>
      <c r="CM39" s="46" t="n">
        <f aca="false">Tasks[[#This Row],[_WorkPerWorkday]]*(Tasks[[#This Row],[_StartWorkday]]-1)</f>
        <v>-0</v>
      </c>
      <c r="CN39" s="46" t="n">
        <f aca="false">IF(Tasks[[#This Row],[_IsLeaf]]=1,MAX(N(Tasks[[#This Row],[Duration]]),0.1),0)</f>
        <v>0</v>
      </c>
      <c r="CO39" s="46" t="n">
        <f aca="false">Tasks[[#This Row],[_WeightDur]]*Tasks[[#This Row],[_LeafProgress]]</f>
        <v>0</v>
      </c>
      <c r="CP3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39"/>
      <c r="E40" s="40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0" s="31"/>
      <c r="AF4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0" s="40"/>
      <c r="AI40" s="31"/>
      <c r="AJ4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0" s="40"/>
      <c r="AO40" s="24" t="str">
        <f aca="false">IF(Tasks[[#This Row],[Task Name]]="","",Tasks[[#This Row],[Forecast Start]])</f>
        <v/>
      </c>
      <c r="AP40" s="24" t="str">
        <f aca="false">IF(Tasks[[#This Row],[Task Name]]="","",Tasks[[#This Row],[Forecast Finish]])</f>
        <v/>
      </c>
      <c r="AQ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0" s="42" t="str">
        <f aca="false">IF(Tasks[[#This Row],[Task Name]]="","",Tasks[[#This Row],[Work]])</f>
        <v/>
      </c>
      <c r="AS40" s="43" t="str">
        <f aca="false">IF(Tasks[[#This Row],[Task Name]]="","",Tasks[[#This Row],[Cost]])</f>
        <v/>
      </c>
      <c r="AT40" s="29"/>
      <c r="AU40" s="29"/>
      <c r="AV40" s="39"/>
      <c r="AW40" s="44"/>
      <c r="AX40" s="45"/>
      <c r="AY40" s="38" t="str">
        <f aca="false">IF(OR(Tasks[[#This Row],[Task Name]]="",Tasks[[#This Row],[Baseline Duration]]=""),"",Tasks[[#This Row],[BL Source Duration]]-N(Tasks[[#This Row],[Baseline Duration]]))</f>
        <v/>
      </c>
      <c r="AZ40" s="42" t="str">
        <f aca="false">IF(OR(Tasks[[#This Row],[Task Name]]="",Tasks[[#This Row],[Baseline Work]]=""),"",Tasks[[#This Row],[Work]]-N(Tasks[[#This Row],[Baseline Work]]))</f>
        <v/>
      </c>
      <c r="BA40" s="43" t="str">
        <f aca="false">IF(OR(Tasks[[#This Row],[Task Name]]="",Tasks[[#This Row],[Baseline Cost]]=""),"",Tasks[[#This Row],[Cost]]-N(Tasks[[#This Row],[Baseline Cost]]))</f>
        <v/>
      </c>
      <c r="BB40" s="46" t="str">
        <f aca="false">IF(Tasks[[#This Row],[Task Name]]="","",MAX(1,N(Tasks[[#This Row],[Level]])))</f>
        <v/>
      </c>
      <c r="BC40" s="46" t="n">
        <f aca="false">ROW()-ROW(Tasks[[#Headers],[ID]])</f>
        <v>35</v>
      </c>
      <c r="BD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0" s="46" t="n">
        <f aca="false">IFERROR(N(INDEX(Tasks[_Level],Tasks[[#This Row],[_Row]]+1)),0)</f>
        <v>0</v>
      </c>
      <c r="BF40" s="47" t="b">
        <f aca="false">AND(Tasks[[#This Row],[Task Name]]&lt;&gt;"",Tasks[[#This Row],[_NextLevel]]&gt;Tasks[[#This Row],[_Level]])</f>
        <v>0</v>
      </c>
      <c r="BG40" s="46" t="n">
        <f aca="false">IF(Tasks[[#This Row],[_IsSummary]],COUNTIF(Tasks[WBS],Tasks[[#This Row],[WBS]]&amp;".*"),0)</f>
        <v>0</v>
      </c>
      <c r="BH40" s="46" t="n">
        <f aca="false">IF(AND(Tasks[[#This Row],[Task Name]]&lt;&gt;"",NOT(Tasks[[#This Row],[_IsSummary]])),1,0)</f>
        <v>0</v>
      </c>
      <c r="BI40" s="46" t="n">
        <f aca="false">IF(N(Tasks[[#This Row],[Pred1 UID]])=0,0,IFERROR(MATCH(Tasks[[#This Row],[Pred1 UID]],Tasks[UID],0),-1))</f>
        <v>0</v>
      </c>
      <c r="BJ40" s="46" t="n">
        <f aca="false">IF(N(Tasks[[#This Row],[Pred2 UID]])=0,0,IFERROR(MATCH(Tasks[[#This Row],[Pred2 UID]],Tasks[UID],0),-1))</f>
        <v>0</v>
      </c>
      <c r="BK4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0" s="46" t="n">
        <f aca="false">IF(NOT(Tasks[[#This Row],[_IsLeaf]]=1),0,IF(N(Tasks[[#This Row],[Actual Finish]])&gt;0,1,MIN(1,N(Tasks[[#This Row],[% Complete]]))))</f>
        <v>0</v>
      </c>
      <c r="BP4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0" s="46" t="n">
        <f aca="false">IF(Tasks[[#This Row],[_LeafWork]]=0,0,Tasks[[#This Row],[_LeafWork]]*IFERROR(INDEX(res_Rate,MATCH(Tasks[[#This Row],[Resource]],res_Name,0)),0))</f>
        <v>0</v>
      </c>
      <c r="BR4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0" s="46" t="n">
        <f aca="false">IF(NOT(Tasks[[#This Row],[_IsLeaf]]=1),0,MAX(_xlfn.MAXIFS(Tasks[_Row],Tasks[Pred1 UID],Tasks[[#This Row],[UID]]),_xlfn.MAXIFS(Tasks[_Row],Tasks[Pred2 UID],Tasks[[#This Row],[UID]])))</f>
        <v>0</v>
      </c>
      <c r="BW4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0" s="48" t="str">
        <f aca="false">IF(NOT(Tasks[[#This Row],[_IsLeaf]]=1),"",MIN(ProjectFinish,IF(N(Tasks[[#This Row],[Deadline]])&gt;0,Tasks[[#This Row],[Deadline]],2958465),Tasks[[#This Row],[_SuccessorFinishLimit]]))</f>
        <v/>
      </c>
      <c r="BY4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0" s="47" t="b">
        <f aca="false">AND(Tasks[[#This Row],[_IsLeaf]]=1,Tasks[[#This Row],[_LeafProgress]]&lt;1,N(Tasks[[#This Row],[_LeafTotalSlack]])&lt;=CriticalSlackDays)</f>
        <v>0</v>
      </c>
      <c r="CB4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0" s="46" t="n">
        <f aca="false">IF(AND(Tasks[[#This Row],[_IsLeaf]]=1,Tasks[[#This Row],[_LeafWork]]&gt;0),NETWORKDAYS.INTL(ProjectStart,Tasks[[#This Row],[_LeafFcstStart]],WorkWeek,Holidays),0)</f>
        <v>0</v>
      </c>
      <c r="CK4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0" s="46" t="n">
        <f aca="false">IF(AND(Tasks[[#This Row],[_IsLeaf]]=1,Tasks[[#This Row],[_LeafWork]]&gt;0),Tasks[[#This Row],[_LeafWork]]/(Tasks[[#This Row],[_FinishWorkday]]-Tasks[[#This Row],[_StartWorkday]]+1),0)</f>
        <v>0</v>
      </c>
      <c r="CM40" s="46" t="n">
        <f aca="false">Tasks[[#This Row],[_WorkPerWorkday]]*(Tasks[[#This Row],[_StartWorkday]]-1)</f>
        <v>-0</v>
      </c>
      <c r="CN40" s="46" t="n">
        <f aca="false">IF(Tasks[[#This Row],[_IsLeaf]]=1,MAX(N(Tasks[[#This Row],[Duration]]),0.1),0)</f>
        <v>0</v>
      </c>
      <c r="CO40" s="46" t="n">
        <f aca="false">Tasks[[#This Row],[_WeightDur]]*Tasks[[#This Row],[_LeafProgress]]</f>
        <v>0</v>
      </c>
      <c r="CP4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39"/>
      <c r="E41" s="40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1" s="31"/>
      <c r="AF4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1" s="40"/>
      <c r="AI41" s="31"/>
      <c r="AJ4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1" s="40"/>
      <c r="AO41" s="24" t="str">
        <f aca="false">IF(Tasks[[#This Row],[Task Name]]="","",Tasks[[#This Row],[Forecast Start]])</f>
        <v/>
      </c>
      <c r="AP41" s="24" t="str">
        <f aca="false">IF(Tasks[[#This Row],[Task Name]]="","",Tasks[[#This Row],[Forecast Finish]])</f>
        <v/>
      </c>
      <c r="AQ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1" s="42" t="str">
        <f aca="false">IF(Tasks[[#This Row],[Task Name]]="","",Tasks[[#This Row],[Work]])</f>
        <v/>
      </c>
      <c r="AS41" s="43" t="str">
        <f aca="false">IF(Tasks[[#This Row],[Task Name]]="","",Tasks[[#This Row],[Cost]])</f>
        <v/>
      </c>
      <c r="AT41" s="29"/>
      <c r="AU41" s="29"/>
      <c r="AV41" s="39"/>
      <c r="AW41" s="44"/>
      <c r="AX41" s="45"/>
      <c r="AY41" s="38" t="str">
        <f aca="false">IF(OR(Tasks[[#This Row],[Task Name]]="",Tasks[[#This Row],[Baseline Duration]]=""),"",Tasks[[#This Row],[BL Source Duration]]-N(Tasks[[#This Row],[Baseline Duration]]))</f>
        <v/>
      </c>
      <c r="AZ41" s="42" t="str">
        <f aca="false">IF(OR(Tasks[[#This Row],[Task Name]]="",Tasks[[#This Row],[Baseline Work]]=""),"",Tasks[[#This Row],[Work]]-N(Tasks[[#This Row],[Baseline Work]]))</f>
        <v/>
      </c>
      <c r="BA41" s="43" t="str">
        <f aca="false">IF(OR(Tasks[[#This Row],[Task Name]]="",Tasks[[#This Row],[Baseline Cost]]=""),"",Tasks[[#This Row],[Cost]]-N(Tasks[[#This Row],[Baseline Cost]]))</f>
        <v/>
      </c>
      <c r="BB41" s="46" t="str">
        <f aca="false">IF(Tasks[[#This Row],[Task Name]]="","",MAX(1,N(Tasks[[#This Row],[Level]])))</f>
        <v/>
      </c>
      <c r="BC41" s="46" t="n">
        <f aca="false">ROW()-ROW(Tasks[[#Headers],[ID]])</f>
        <v>36</v>
      </c>
      <c r="BD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1" s="46" t="n">
        <f aca="false">IFERROR(N(INDEX(Tasks[_Level],Tasks[[#This Row],[_Row]]+1)),0)</f>
        <v>0</v>
      </c>
      <c r="BF41" s="47" t="b">
        <f aca="false">AND(Tasks[[#This Row],[Task Name]]&lt;&gt;"",Tasks[[#This Row],[_NextLevel]]&gt;Tasks[[#This Row],[_Level]])</f>
        <v>0</v>
      </c>
      <c r="BG41" s="46" t="n">
        <f aca="false">IF(Tasks[[#This Row],[_IsSummary]],COUNTIF(Tasks[WBS],Tasks[[#This Row],[WBS]]&amp;".*"),0)</f>
        <v>0</v>
      </c>
      <c r="BH41" s="46" t="n">
        <f aca="false">IF(AND(Tasks[[#This Row],[Task Name]]&lt;&gt;"",NOT(Tasks[[#This Row],[_IsSummary]])),1,0)</f>
        <v>0</v>
      </c>
      <c r="BI41" s="46" t="n">
        <f aca="false">IF(N(Tasks[[#This Row],[Pred1 UID]])=0,0,IFERROR(MATCH(Tasks[[#This Row],[Pred1 UID]],Tasks[UID],0),-1))</f>
        <v>0</v>
      </c>
      <c r="BJ41" s="46" t="n">
        <f aca="false">IF(N(Tasks[[#This Row],[Pred2 UID]])=0,0,IFERROR(MATCH(Tasks[[#This Row],[Pred2 UID]],Tasks[UID],0),-1))</f>
        <v>0</v>
      </c>
      <c r="BK4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1" s="46" t="n">
        <f aca="false">IF(NOT(Tasks[[#This Row],[_IsLeaf]]=1),0,IF(N(Tasks[[#This Row],[Actual Finish]])&gt;0,1,MIN(1,N(Tasks[[#This Row],[% Complete]]))))</f>
        <v>0</v>
      </c>
      <c r="BP4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1" s="46" t="n">
        <f aca="false">IF(Tasks[[#This Row],[_LeafWork]]=0,0,Tasks[[#This Row],[_LeafWork]]*IFERROR(INDEX(res_Rate,MATCH(Tasks[[#This Row],[Resource]],res_Name,0)),0))</f>
        <v>0</v>
      </c>
      <c r="BR4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1" s="46" t="n">
        <f aca="false">IF(NOT(Tasks[[#This Row],[_IsLeaf]]=1),0,MAX(_xlfn.MAXIFS(Tasks[_Row],Tasks[Pred1 UID],Tasks[[#This Row],[UID]]),_xlfn.MAXIFS(Tasks[_Row],Tasks[Pred2 UID],Tasks[[#This Row],[UID]])))</f>
        <v>0</v>
      </c>
      <c r="BW4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1" s="48" t="str">
        <f aca="false">IF(NOT(Tasks[[#This Row],[_IsLeaf]]=1),"",MIN(ProjectFinish,IF(N(Tasks[[#This Row],[Deadline]])&gt;0,Tasks[[#This Row],[Deadline]],2958465),Tasks[[#This Row],[_SuccessorFinishLimit]]))</f>
        <v/>
      </c>
      <c r="BY4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1" s="47" t="b">
        <f aca="false">AND(Tasks[[#This Row],[_IsLeaf]]=1,Tasks[[#This Row],[_LeafProgress]]&lt;1,N(Tasks[[#This Row],[_LeafTotalSlack]])&lt;=CriticalSlackDays)</f>
        <v>0</v>
      </c>
      <c r="CB4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1" s="46" t="n">
        <f aca="false">IF(AND(Tasks[[#This Row],[_IsLeaf]]=1,Tasks[[#This Row],[_LeafWork]]&gt;0),NETWORKDAYS.INTL(ProjectStart,Tasks[[#This Row],[_LeafFcstStart]],WorkWeek,Holidays),0)</f>
        <v>0</v>
      </c>
      <c r="CK4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1" s="46" t="n">
        <f aca="false">IF(AND(Tasks[[#This Row],[_IsLeaf]]=1,Tasks[[#This Row],[_LeafWork]]&gt;0),Tasks[[#This Row],[_LeafWork]]/(Tasks[[#This Row],[_FinishWorkday]]-Tasks[[#This Row],[_StartWorkday]]+1),0)</f>
        <v>0</v>
      </c>
      <c r="CM41" s="46" t="n">
        <f aca="false">Tasks[[#This Row],[_WorkPerWorkday]]*(Tasks[[#This Row],[_StartWorkday]]-1)</f>
        <v>-0</v>
      </c>
      <c r="CN41" s="46" t="n">
        <f aca="false">IF(Tasks[[#This Row],[_IsLeaf]]=1,MAX(N(Tasks[[#This Row],[Duration]]),0.1),0)</f>
        <v>0</v>
      </c>
      <c r="CO41" s="46" t="n">
        <f aca="false">Tasks[[#This Row],[_WeightDur]]*Tasks[[#This Row],[_LeafProgress]]</f>
        <v>0</v>
      </c>
      <c r="CP4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39"/>
      <c r="E42" s="40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2" s="31"/>
      <c r="AF4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2" s="40"/>
      <c r="AI42" s="31"/>
      <c r="AJ4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2" s="40"/>
      <c r="AO42" s="24" t="str">
        <f aca="false">IF(Tasks[[#This Row],[Task Name]]="","",Tasks[[#This Row],[Forecast Start]])</f>
        <v/>
      </c>
      <c r="AP42" s="24" t="str">
        <f aca="false">IF(Tasks[[#This Row],[Task Name]]="","",Tasks[[#This Row],[Forecast Finish]])</f>
        <v/>
      </c>
      <c r="AQ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2" s="42" t="str">
        <f aca="false">IF(Tasks[[#This Row],[Task Name]]="","",Tasks[[#This Row],[Work]])</f>
        <v/>
      </c>
      <c r="AS42" s="43" t="str">
        <f aca="false">IF(Tasks[[#This Row],[Task Name]]="","",Tasks[[#This Row],[Cost]])</f>
        <v/>
      </c>
      <c r="AT42" s="29"/>
      <c r="AU42" s="29"/>
      <c r="AV42" s="39"/>
      <c r="AW42" s="44"/>
      <c r="AX42" s="45"/>
      <c r="AY42" s="38" t="str">
        <f aca="false">IF(OR(Tasks[[#This Row],[Task Name]]="",Tasks[[#This Row],[Baseline Duration]]=""),"",Tasks[[#This Row],[BL Source Duration]]-N(Tasks[[#This Row],[Baseline Duration]]))</f>
        <v/>
      </c>
      <c r="AZ42" s="42" t="str">
        <f aca="false">IF(OR(Tasks[[#This Row],[Task Name]]="",Tasks[[#This Row],[Baseline Work]]=""),"",Tasks[[#This Row],[Work]]-N(Tasks[[#This Row],[Baseline Work]]))</f>
        <v/>
      </c>
      <c r="BA42" s="43" t="str">
        <f aca="false">IF(OR(Tasks[[#This Row],[Task Name]]="",Tasks[[#This Row],[Baseline Cost]]=""),"",Tasks[[#This Row],[Cost]]-N(Tasks[[#This Row],[Baseline Cost]]))</f>
        <v/>
      </c>
      <c r="BB42" s="46" t="str">
        <f aca="false">IF(Tasks[[#This Row],[Task Name]]="","",MAX(1,N(Tasks[[#This Row],[Level]])))</f>
        <v/>
      </c>
      <c r="BC42" s="46" t="n">
        <f aca="false">ROW()-ROW(Tasks[[#Headers],[ID]])</f>
        <v>37</v>
      </c>
      <c r="BD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2" s="46" t="n">
        <f aca="false">IFERROR(N(INDEX(Tasks[_Level],Tasks[[#This Row],[_Row]]+1)),0)</f>
        <v>0</v>
      </c>
      <c r="BF42" s="47" t="b">
        <f aca="false">AND(Tasks[[#This Row],[Task Name]]&lt;&gt;"",Tasks[[#This Row],[_NextLevel]]&gt;Tasks[[#This Row],[_Level]])</f>
        <v>0</v>
      </c>
      <c r="BG42" s="46" t="n">
        <f aca="false">IF(Tasks[[#This Row],[_IsSummary]],COUNTIF(Tasks[WBS],Tasks[[#This Row],[WBS]]&amp;".*"),0)</f>
        <v>0</v>
      </c>
      <c r="BH42" s="46" t="n">
        <f aca="false">IF(AND(Tasks[[#This Row],[Task Name]]&lt;&gt;"",NOT(Tasks[[#This Row],[_IsSummary]])),1,0)</f>
        <v>0</v>
      </c>
      <c r="BI42" s="46" t="n">
        <f aca="false">IF(N(Tasks[[#This Row],[Pred1 UID]])=0,0,IFERROR(MATCH(Tasks[[#This Row],[Pred1 UID]],Tasks[UID],0),-1))</f>
        <v>0</v>
      </c>
      <c r="BJ42" s="46" t="n">
        <f aca="false">IF(N(Tasks[[#This Row],[Pred2 UID]])=0,0,IFERROR(MATCH(Tasks[[#This Row],[Pred2 UID]],Tasks[UID],0),-1))</f>
        <v>0</v>
      </c>
      <c r="BK4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2" s="46" t="n">
        <f aca="false">IF(NOT(Tasks[[#This Row],[_IsLeaf]]=1),0,IF(N(Tasks[[#This Row],[Actual Finish]])&gt;0,1,MIN(1,N(Tasks[[#This Row],[% Complete]]))))</f>
        <v>0</v>
      </c>
      <c r="BP4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2" s="46" t="n">
        <f aca="false">IF(Tasks[[#This Row],[_LeafWork]]=0,0,Tasks[[#This Row],[_LeafWork]]*IFERROR(INDEX(res_Rate,MATCH(Tasks[[#This Row],[Resource]],res_Name,0)),0))</f>
        <v>0</v>
      </c>
      <c r="BR4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2" s="46" t="n">
        <f aca="false">IF(NOT(Tasks[[#This Row],[_IsLeaf]]=1),0,MAX(_xlfn.MAXIFS(Tasks[_Row],Tasks[Pred1 UID],Tasks[[#This Row],[UID]]),_xlfn.MAXIFS(Tasks[_Row],Tasks[Pred2 UID],Tasks[[#This Row],[UID]])))</f>
        <v>0</v>
      </c>
      <c r="BW4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2" s="48" t="str">
        <f aca="false">IF(NOT(Tasks[[#This Row],[_IsLeaf]]=1),"",MIN(ProjectFinish,IF(N(Tasks[[#This Row],[Deadline]])&gt;0,Tasks[[#This Row],[Deadline]],2958465),Tasks[[#This Row],[_SuccessorFinishLimit]]))</f>
        <v/>
      </c>
      <c r="BY4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2" s="47" t="b">
        <f aca="false">AND(Tasks[[#This Row],[_IsLeaf]]=1,Tasks[[#This Row],[_LeafProgress]]&lt;1,N(Tasks[[#This Row],[_LeafTotalSlack]])&lt;=CriticalSlackDays)</f>
        <v>0</v>
      </c>
      <c r="CB4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2" s="46" t="n">
        <f aca="false">IF(AND(Tasks[[#This Row],[_IsLeaf]]=1,Tasks[[#This Row],[_LeafWork]]&gt;0),NETWORKDAYS.INTL(ProjectStart,Tasks[[#This Row],[_LeafFcstStart]],WorkWeek,Holidays),0)</f>
        <v>0</v>
      </c>
      <c r="CK4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2" s="46" t="n">
        <f aca="false">IF(AND(Tasks[[#This Row],[_IsLeaf]]=1,Tasks[[#This Row],[_LeafWork]]&gt;0),Tasks[[#This Row],[_LeafWork]]/(Tasks[[#This Row],[_FinishWorkday]]-Tasks[[#This Row],[_StartWorkday]]+1),0)</f>
        <v>0</v>
      </c>
      <c r="CM42" s="46" t="n">
        <f aca="false">Tasks[[#This Row],[_WorkPerWorkday]]*(Tasks[[#This Row],[_StartWorkday]]-1)</f>
        <v>-0</v>
      </c>
      <c r="CN42" s="46" t="n">
        <f aca="false">IF(Tasks[[#This Row],[_IsLeaf]]=1,MAX(N(Tasks[[#This Row],[Duration]]),0.1),0)</f>
        <v>0</v>
      </c>
      <c r="CO42" s="46" t="n">
        <f aca="false">Tasks[[#This Row],[_WeightDur]]*Tasks[[#This Row],[_LeafProgress]]</f>
        <v>0</v>
      </c>
      <c r="CP4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39"/>
      <c r="E43" s="40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3" s="31"/>
      <c r="AF4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3" s="40"/>
      <c r="AI43" s="31"/>
      <c r="AJ4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3" s="40"/>
      <c r="AO43" s="24" t="str">
        <f aca="false">IF(Tasks[[#This Row],[Task Name]]="","",Tasks[[#This Row],[Forecast Start]])</f>
        <v/>
      </c>
      <c r="AP43" s="24" t="str">
        <f aca="false">IF(Tasks[[#This Row],[Task Name]]="","",Tasks[[#This Row],[Forecast Finish]])</f>
        <v/>
      </c>
      <c r="AQ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3" s="42" t="str">
        <f aca="false">IF(Tasks[[#This Row],[Task Name]]="","",Tasks[[#This Row],[Work]])</f>
        <v/>
      </c>
      <c r="AS43" s="43" t="str">
        <f aca="false">IF(Tasks[[#This Row],[Task Name]]="","",Tasks[[#This Row],[Cost]])</f>
        <v/>
      </c>
      <c r="AT43" s="29"/>
      <c r="AU43" s="29"/>
      <c r="AV43" s="39"/>
      <c r="AW43" s="44"/>
      <c r="AX43" s="45"/>
      <c r="AY43" s="38" t="str">
        <f aca="false">IF(OR(Tasks[[#This Row],[Task Name]]="",Tasks[[#This Row],[Baseline Duration]]=""),"",Tasks[[#This Row],[BL Source Duration]]-N(Tasks[[#This Row],[Baseline Duration]]))</f>
        <v/>
      </c>
      <c r="AZ43" s="42" t="str">
        <f aca="false">IF(OR(Tasks[[#This Row],[Task Name]]="",Tasks[[#This Row],[Baseline Work]]=""),"",Tasks[[#This Row],[Work]]-N(Tasks[[#This Row],[Baseline Work]]))</f>
        <v/>
      </c>
      <c r="BA43" s="43" t="str">
        <f aca="false">IF(OR(Tasks[[#This Row],[Task Name]]="",Tasks[[#This Row],[Baseline Cost]]=""),"",Tasks[[#This Row],[Cost]]-N(Tasks[[#This Row],[Baseline Cost]]))</f>
        <v/>
      </c>
      <c r="BB43" s="46" t="str">
        <f aca="false">IF(Tasks[[#This Row],[Task Name]]="","",MAX(1,N(Tasks[[#This Row],[Level]])))</f>
        <v/>
      </c>
      <c r="BC43" s="46" t="n">
        <f aca="false">ROW()-ROW(Tasks[[#Headers],[ID]])</f>
        <v>38</v>
      </c>
      <c r="BD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3" s="46" t="n">
        <f aca="false">IFERROR(N(INDEX(Tasks[_Level],Tasks[[#This Row],[_Row]]+1)),0)</f>
        <v>0</v>
      </c>
      <c r="BF43" s="47" t="b">
        <f aca="false">AND(Tasks[[#This Row],[Task Name]]&lt;&gt;"",Tasks[[#This Row],[_NextLevel]]&gt;Tasks[[#This Row],[_Level]])</f>
        <v>0</v>
      </c>
      <c r="BG43" s="46" t="n">
        <f aca="false">IF(Tasks[[#This Row],[_IsSummary]],COUNTIF(Tasks[WBS],Tasks[[#This Row],[WBS]]&amp;".*"),0)</f>
        <v>0</v>
      </c>
      <c r="BH43" s="46" t="n">
        <f aca="false">IF(AND(Tasks[[#This Row],[Task Name]]&lt;&gt;"",NOT(Tasks[[#This Row],[_IsSummary]])),1,0)</f>
        <v>0</v>
      </c>
      <c r="BI43" s="46" t="n">
        <f aca="false">IF(N(Tasks[[#This Row],[Pred1 UID]])=0,0,IFERROR(MATCH(Tasks[[#This Row],[Pred1 UID]],Tasks[UID],0),-1))</f>
        <v>0</v>
      </c>
      <c r="BJ43" s="46" t="n">
        <f aca="false">IF(N(Tasks[[#This Row],[Pred2 UID]])=0,0,IFERROR(MATCH(Tasks[[#This Row],[Pred2 UID]],Tasks[UID],0),-1))</f>
        <v>0</v>
      </c>
      <c r="BK4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3" s="46" t="n">
        <f aca="false">IF(NOT(Tasks[[#This Row],[_IsLeaf]]=1),0,IF(N(Tasks[[#This Row],[Actual Finish]])&gt;0,1,MIN(1,N(Tasks[[#This Row],[% Complete]]))))</f>
        <v>0</v>
      </c>
      <c r="BP4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3" s="46" t="n">
        <f aca="false">IF(Tasks[[#This Row],[_LeafWork]]=0,0,Tasks[[#This Row],[_LeafWork]]*IFERROR(INDEX(res_Rate,MATCH(Tasks[[#This Row],[Resource]],res_Name,0)),0))</f>
        <v>0</v>
      </c>
      <c r="BR4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3" s="46" t="n">
        <f aca="false">IF(NOT(Tasks[[#This Row],[_IsLeaf]]=1),0,MAX(_xlfn.MAXIFS(Tasks[_Row],Tasks[Pred1 UID],Tasks[[#This Row],[UID]]),_xlfn.MAXIFS(Tasks[_Row],Tasks[Pred2 UID],Tasks[[#This Row],[UID]])))</f>
        <v>0</v>
      </c>
      <c r="BW4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3" s="48" t="str">
        <f aca="false">IF(NOT(Tasks[[#This Row],[_IsLeaf]]=1),"",MIN(ProjectFinish,IF(N(Tasks[[#This Row],[Deadline]])&gt;0,Tasks[[#This Row],[Deadline]],2958465),Tasks[[#This Row],[_SuccessorFinishLimit]]))</f>
        <v/>
      </c>
      <c r="BY4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3" s="47" t="b">
        <f aca="false">AND(Tasks[[#This Row],[_IsLeaf]]=1,Tasks[[#This Row],[_LeafProgress]]&lt;1,N(Tasks[[#This Row],[_LeafTotalSlack]])&lt;=CriticalSlackDays)</f>
        <v>0</v>
      </c>
      <c r="CB4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3" s="46" t="n">
        <f aca="false">IF(AND(Tasks[[#This Row],[_IsLeaf]]=1,Tasks[[#This Row],[_LeafWork]]&gt;0),NETWORKDAYS.INTL(ProjectStart,Tasks[[#This Row],[_LeafFcstStart]],WorkWeek,Holidays),0)</f>
        <v>0</v>
      </c>
      <c r="CK4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3" s="46" t="n">
        <f aca="false">IF(AND(Tasks[[#This Row],[_IsLeaf]]=1,Tasks[[#This Row],[_LeafWork]]&gt;0),Tasks[[#This Row],[_LeafWork]]/(Tasks[[#This Row],[_FinishWorkday]]-Tasks[[#This Row],[_StartWorkday]]+1),0)</f>
        <v>0</v>
      </c>
      <c r="CM43" s="46" t="n">
        <f aca="false">Tasks[[#This Row],[_WorkPerWorkday]]*(Tasks[[#This Row],[_StartWorkday]]-1)</f>
        <v>-0</v>
      </c>
      <c r="CN43" s="46" t="n">
        <f aca="false">IF(Tasks[[#This Row],[_IsLeaf]]=1,MAX(N(Tasks[[#This Row],[Duration]]),0.1),0)</f>
        <v>0</v>
      </c>
      <c r="CO43" s="46" t="n">
        <f aca="false">Tasks[[#This Row],[_WeightDur]]*Tasks[[#This Row],[_LeafProgress]]</f>
        <v>0</v>
      </c>
      <c r="CP4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39"/>
      <c r="E44" s="40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4" s="31"/>
      <c r="AF4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4" s="40"/>
      <c r="AI44" s="31"/>
      <c r="AJ4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4" s="40"/>
      <c r="AO44" s="24" t="str">
        <f aca="false">IF(Tasks[[#This Row],[Task Name]]="","",Tasks[[#This Row],[Forecast Start]])</f>
        <v/>
      </c>
      <c r="AP44" s="24" t="str">
        <f aca="false">IF(Tasks[[#This Row],[Task Name]]="","",Tasks[[#This Row],[Forecast Finish]])</f>
        <v/>
      </c>
      <c r="AQ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4" s="42" t="str">
        <f aca="false">IF(Tasks[[#This Row],[Task Name]]="","",Tasks[[#This Row],[Work]])</f>
        <v/>
      </c>
      <c r="AS44" s="43" t="str">
        <f aca="false">IF(Tasks[[#This Row],[Task Name]]="","",Tasks[[#This Row],[Cost]])</f>
        <v/>
      </c>
      <c r="AT44" s="29"/>
      <c r="AU44" s="29"/>
      <c r="AV44" s="39"/>
      <c r="AW44" s="44"/>
      <c r="AX44" s="45"/>
      <c r="AY44" s="38" t="str">
        <f aca="false">IF(OR(Tasks[[#This Row],[Task Name]]="",Tasks[[#This Row],[Baseline Duration]]=""),"",Tasks[[#This Row],[BL Source Duration]]-N(Tasks[[#This Row],[Baseline Duration]]))</f>
        <v/>
      </c>
      <c r="AZ44" s="42" t="str">
        <f aca="false">IF(OR(Tasks[[#This Row],[Task Name]]="",Tasks[[#This Row],[Baseline Work]]=""),"",Tasks[[#This Row],[Work]]-N(Tasks[[#This Row],[Baseline Work]]))</f>
        <v/>
      </c>
      <c r="BA44" s="43" t="str">
        <f aca="false">IF(OR(Tasks[[#This Row],[Task Name]]="",Tasks[[#This Row],[Baseline Cost]]=""),"",Tasks[[#This Row],[Cost]]-N(Tasks[[#This Row],[Baseline Cost]]))</f>
        <v/>
      </c>
      <c r="BB44" s="46" t="str">
        <f aca="false">IF(Tasks[[#This Row],[Task Name]]="","",MAX(1,N(Tasks[[#This Row],[Level]])))</f>
        <v/>
      </c>
      <c r="BC44" s="46" t="n">
        <f aca="false">ROW()-ROW(Tasks[[#Headers],[ID]])</f>
        <v>39</v>
      </c>
      <c r="BD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4" s="46" t="n">
        <f aca="false">IFERROR(N(INDEX(Tasks[_Level],Tasks[[#This Row],[_Row]]+1)),0)</f>
        <v>0</v>
      </c>
      <c r="BF44" s="47" t="b">
        <f aca="false">AND(Tasks[[#This Row],[Task Name]]&lt;&gt;"",Tasks[[#This Row],[_NextLevel]]&gt;Tasks[[#This Row],[_Level]])</f>
        <v>0</v>
      </c>
      <c r="BG44" s="46" t="n">
        <f aca="false">IF(Tasks[[#This Row],[_IsSummary]],COUNTIF(Tasks[WBS],Tasks[[#This Row],[WBS]]&amp;".*"),0)</f>
        <v>0</v>
      </c>
      <c r="BH44" s="46" t="n">
        <f aca="false">IF(AND(Tasks[[#This Row],[Task Name]]&lt;&gt;"",NOT(Tasks[[#This Row],[_IsSummary]])),1,0)</f>
        <v>0</v>
      </c>
      <c r="BI44" s="46" t="n">
        <f aca="false">IF(N(Tasks[[#This Row],[Pred1 UID]])=0,0,IFERROR(MATCH(Tasks[[#This Row],[Pred1 UID]],Tasks[UID],0),-1))</f>
        <v>0</v>
      </c>
      <c r="BJ44" s="46" t="n">
        <f aca="false">IF(N(Tasks[[#This Row],[Pred2 UID]])=0,0,IFERROR(MATCH(Tasks[[#This Row],[Pred2 UID]],Tasks[UID],0),-1))</f>
        <v>0</v>
      </c>
      <c r="BK4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4" s="46" t="n">
        <f aca="false">IF(NOT(Tasks[[#This Row],[_IsLeaf]]=1),0,IF(N(Tasks[[#This Row],[Actual Finish]])&gt;0,1,MIN(1,N(Tasks[[#This Row],[% Complete]]))))</f>
        <v>0</v>
      </c>
      <c r="BP4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4" s="46" t="n">
        <f aca="false">IF(Tasks[[#This Row],[_LeafWork]]=0,0,Tasks[[#This Row],[_LeafWork]]*IFERROR(INDEX(res_Rate,MATCH(Tasks[[#This Row],[Resource]],res_Name,0)),0))</f>
        <v>0</v>
      </c>
      <c r="BR4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4" s="46" t="n">
        <f aca="false">IF(NOT(Tasks[[#This Row],[_IsLeaf]]=1),0,MAX(_xlfn.MAXIFS(Tasks[_Row],Tasks[Pred1 UID],Tasks[[#This Row],[UID]]),_xlfn.MAXIFS(Tasks[_Row],Tasks[Pred2 UID],Tasks[[#This Row],[UID]])))</f>
        <v>0</v>
      </c>
      <c r="BW4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4" s="48" t="str">
        <f aca="false">IF(NOT(Tasks[[#This Row],[_IsLeaf]]=1),"",MIN(ProjectFinish,IF(N(Tasks[[#This Row],[Deadline]])&gt;0,Tasks[[#This Row],[Deadline]],2958465),Tasks[[#This Row],[_SuccessorFinishLimit]]))</f>
        <v/>
      </c>
      <c r="BY4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4" s="47" t="b">
        <f aca="false">AND(Tasks[[#This Row],[_IsLeaf]]=1,Tasks[[#This Row],[_LeafProgress]]&lt;1,N(Tasks[[#This Row],[_LeafTotalSlack]])&lt;=CriticalSlackDays)</f>
        <v>0</v>
      </c>
      <c r="CB4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4" s="46" t="n">
        <f aca="false">IF(AND(Tasks[[#This Row],[_IsLeaf]]=1,Tasks[[#This Row],[_LeafWork]]&gt;0),NETWORKDAYS.INTL(ProjectStart,Tasks[[#This Row],[_LeafFcstStart]],WorkWeek,Holidays),0)</f>
        <v>0</v>
      </c>
      <c r="CK4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4" s="46" t="n">
        <f aca="false">IF(AND(Tasks[[#This Row],[_IsLeaf]]=1,Tasks[[#This Row],[_LeafWork]]&gt;0),Tasks[[#This Row],[_LeafWork]]/(Tasks[[#This Row],[_FinishWorkday]]-Tasks[[#This Row],[_StartWorkday]]+1),0)</f>
        <v>0</v>
      </c>
      <c r="CM44" s="46" t="n">
        <f aca="false">Tasks[[#This Row],[_WorkPerWorkday]]*(Tasks[[#This Row],[_StartWorkday]]-1)</f>
        <v>-0</v>
      </c>
      <c r="CN44" s="46" t="n">
        <f aca="false">IF(Tasks[[#This Row],[_IsLeaf]]=1,MAX(N(Tasks[[#This Row],[Duration]]),0.1),0)</f>
        <v>0</v>
      </c>
      <c r="CO44" s="46" t="n">
        <f aca="false">Tasks[[#This Row],[_WeightDur]]*Tasks[[#This Row],[_LeafProgress]]</f>
        <v>0</v>
      </c>
      <c r="CP4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39"/>
      <c r="E45" s="40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5" s="31"/>
      <c r="AF4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5" s="40"/>
      <c r="AI45" s="31"/>
      <c r="AJ4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5" s="40"/>
      <c r="AO45" s="24" t="str">
        <f aca="false">IF(Tasks[[#This Row],[Task Name]]="","",Tasks[[#This Row],[Forecast Start]])</f>
        <v/>
      </c>
      <c r="AP45" s="24" t="str">
        <f aca="false">IF(Tasks[[#This Row],[Task Name]]="","",Tasks[[#This Row],[Forecast Finish]])</f>
        <v/>
      </c>
      <c r="AQ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5" s="42" t="str">
        <f aca="false">IF(Tasks[[#This Row],[Task Name]]="","",Tasks[[#This Row],[Work]])</f>
        <v/>
      </c>
      <c r="AS45" s="43" t="str">
        <f aca="false">IF(Tasks[[#This Row],[Task Name]]="","",Tasks[[#This Row],[Cost]])</f>
        <v/>
      </c>
      <c r="AT45" s="29"/>
      <c r="AU45" s="29"/>
      <c r="AV45" s="39"/>
      <c r="AW45" s="44"/>
      <c r="AX45" s="45"/>
      <c r="AY45" s="38" t="str">
        <f aca="false">IF(OR(Tasks[[#This Row],[Task Name]]="",Tasks[[#This Row],[Baseline Duration]]=""),"",Tasks[[#This Row],[BL Source Duration]]-N(Tasks[[#This Row],[Baseline Duration]]))</f>
        <v/>
      </c>
      <c r="AZ45" s="42" t="str">
        <f aca="false">IF(OR(Tasks[[#This Row],[Task Name]]="",Tasks[[#This Row],[Baseline Work]]=""),"",Tasks[[#This Row],[Work]]-N(Tasks[[#This Row],[Baseline Work]]))</f>
        <v/>
      </c>
      <c r="BA45" s="43" t="str">
        <f aca="false">IF(OR(Tasks[[#This Row],[Task Name]]="",Tasks[[#This Row],[Baseline Cost]]=""),"",Tasks[[#This Row],[Cost]]-N(Tasks[[#This Row],[Baseline Cost]]))</f>
        <v/>
      </c>
      <c r="BB45" s="46" t="str">
        <f aca="false">IF(Tasks[[#This Row],[Task Name]]="","",MAX(1,N(Tasks[[#This Row],[Level]])))</f>
        <v/>
      </c>
      <c r="BC45" s="46" t="n">
        <f aca="false">ROW()-ROW(Tasks[[#Headers],[ID]])</f>
        <v>40</v>
      </c>
      <c r="BD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5" s="46" t="n">
        <f aca="false">IFERROR(N(INDEX(Tasks[_Level],Tasks[[#This Row],[_Row]]+1)),0)</f>
        <v>0</v>
      </c>
      <c r="BF45" s="47" t="b">
        <f aca="false">AND(Tasks[[#This Row],[Task Name]]&lt;&gt;"",Tasks[[#This Row],[_NextLevel]]&gt;Tasks[[#This Row],[_Level]])</f>
        <v>0</v>
      </c>
      <c r="BG45" s="46" t="n">
        <f aca="false">IF(Tasks[[#This Row],[_IsSummary]],COUNTIF(Tasks[WBS],Tasks[[#This Row],[WBS]]&amp;".*"),0)</f>
        <v>0</v>
      </c>
      <c r="BH45" s="46" t="n">
        <f aca="false">IF(AND(Tasks[[#This Row],[Task Name]]&lt;&gt;"",NOT(Tasks[[#This Row],[_IsSummary]])),1,0)</f>
        <v>0</v>
      </c>
      <c r="BI45" s="46" t="n">
        <f aca="false">IF(N(Tasks[[#This Row],[Pred1 UID]])=0,0,IFERROR(MATCH(Tasks[[#This Row],[Pred1 UID]],Tasks[UID],0),-1))</f>
        <v>0</v>
      </c>
      <c r="BJ45" s="46" t="n">
        <f aca="false">IF(N(Tasks[[#This Row],[Pred2 UID]])=0,0,IFERROR(MATCH(Tasks[[#This Row],[Pred2 UID]],Tasks[UID],0),-1))</f>
        <v>0</v>
      </c>
      <c r="BK4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5" s="46" t="n">
        <f aca="false">IF(NOT(Tasks[[#This Row],[_IsLeaf]]=1),0,IF(N(Tasks[[#This Row],[Actual Finish]])&gt;0,1,MIN(1,N(Tasks[[#This Row],[% Complete]]))))</f>
        <v>0</v>
      </c>
      <c r="BP4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5" s="46" t="n">
        <f aca="false">IF(Tasks[[#This Row],[_LeafWork]]=0,0,Tasks[[#This Row],[_LeafWork]]*IFERROR(INDEX(res_Rate,MATCH(Tasks[[#This Row],[Resource]],res_Name,0)),0))</f>
        <v>0</v>
      </c>
      <c r="BR4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5" s="46" t="n">
        <f aca="false">IF(NOT(Tasks[[#This Row],[_IsLeaf]]=1),0,MAX(_xlfn.MAXIFS(Tasks[_Row],Tasks[Pred1 UID],Tasks[[#This Row],[UID]]),_xlfn.MAXIFS(Tasks[_Row],Tasks[Pred2 UID],Tasks[[#This Row],[UID]])))</f>
        <v>0</v>
      </c>
      <c r="BW4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5" s="48" t="str">
        <f aca="false">IF(NOT(Tasks[[#This Row],[_IsLeaf]]=1),"",MIN(ProjectFinish,IF(N(Tasks[[#This Row],[Deadline]])&gt;0,Tasks[[#This Row],[Deadline]],2958465),Tasks[[#This Row],[_SuccessorFinishLimit]]))</f>
        <v/>
      </c>
      <c r="BY4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5" s="47" t="b">
        <f aca="false">AND(Tasks[[#This Row],[_IsLeaf]]=1,Tasks[[#This Row],[_LeafProgress]]&lt;1,N(Tasks[[#This Row],[_LeafTotalSlack]])&lt;=CriticalSlackDays)</f>
        <v>0</v>
      </c>
      <c r="CB4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5" s="46" t="n">
        <f aca="false">IF(AND(Tasks[[#This Row],[_IsLeaf]]=1,Tasks[[#This Row],[_LeafWork]]&gt;0),NETWORKDAYS.INTL(ProjectStart,Tasks[[#This Row],[_LeafFcstStart]],WorkWeek,Holidays),0)</f>
        <v>0</v>
      </c>
      <c r="CK4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5" s="46" t="n">
        <f aca="false">IF(AND(Tasks[[#This Row],[_IsLeaf]]=1,Tasks[[#This Row],[_LeafWork]]&gt;0),Tasks[[#This Row],[_LeafWork]]/(Tasks[[#This Row],[_FinishWorkday]]-Tasks[[#This Row],[_StartWorkday]]+1),0)</f>
        <v>0</v>
      </c>
      <c r="CM45" s="46" t="n">
        <f aca="false">Tasks[[#This Row],[_WorkPerWorkday]]*(Tasks[[#This Row],[_StartWorkday]]-1)</f>
        <v>-0</v>
      </c>
      <c r="CN45" s="46" t="n">
        <f aca="false">IF(Tasks[[#This Row],[_IsLeaf]]=1,MAX(N(Tasks[[#This Row],[Duration]]),0.1),0)</f>
        <v>0</v>
      </c>
      <c r="CO45" s="46" t="n">
        <f aca="false">Tasks[[#This Row],[_WeightDur]]*Tasks[[#This Row],[_LeafProgress]]</f>
        <v>0</v>
      </c>
      <c r="CP4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39"/>
      <c r="E46" s="40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6" s="31"/>
      <c r="AF4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6" s="40"/>
      <c r="AI46" s="31"/>
      <c r="AJ4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6" s="40"/>
      <c r="AO46" s="24" t="str">
        <f aca="false">IF(Tasks[[#This Row],[Task Name]]="","",Tasks[[#This Row],[Forecast Start]])</f>
        <v/>
      </c>
      <c r="AP46" s="24" t="str">
        <f aca="false">IF(Tasks[[#This Row],[Task Name]]="","",Tasks[[#This Row],[Forecast Finish]])</f>
        <v/>
      </c>
      <c r="AQ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6" s="42" t="str">
        <f aca="false">IF(Tasks[[#This Row],[Task Name]]="","",Tasks[[#This Row],[Work]])</f>
        <v/>
      </c>
      <c r="AS46" s="43" t="str">
        <f aca="false">IF(Tasks[[#This Row],[Task Name]]="","",Tasks[[#This Row],[Cost]])</f>
        <v/>
      </c>
      <c r="AT46" s="29"/>
      <c r="AU46" s="29"/>
      <c r="AV46" s="39"/>
      <c r="AW46" s="44"/>
      <c r="AX46" s="45"/>
      <c r="AY46" s="38" t="str">
        <f aca="false">IF(OR(Tasks[[#This Row],[Task Name]]="",Tasks[[#This Row],[Baseline Duration]]=""),"",Tasks[[#This Row],[BL Source Duration]]-N(Tasks[[#This Row],[Baseline Duration]]))</f>
        <v/>
      </c>
      <c r="AZ46" s="42" t="str">
        <f aca="false">IF(OR(Tasks[[#This Row],[Task Name]]="",Tasks[[#This Row],[Baseline Work]]=""),"",Tasks[[#This Row],[Work]]-N(Tasks[[#This Row],[Baseline Work]]))</f>
        <v/>
      </c>
      <c r="BA46" s="43" t="str">
        <f aca="false">IF(OR(Tasks[[#This Row],[Task Name]]="",Tasks[[#This Row],[Baseline Cost]]=""),"",Tasks[[#This Row],[Cost]]-N(Tasks[[#This Row],[Baseline Cost]]))</f>
        <v/>
      </c>
      <c r="BB46" s="46" t="str">
        <f aca="false">IF(Tasks[[#This Row],[Task Name]]="","",MAX(1,N(Tasks[[#This Row],[Level]])))</f>
        <v/>
      </c>
      <c r="BC46" s="46" t="n">
        <f aca="false">ROW()-ROW(Tasks[[#Headers],[ID]])</f>
        <v>41</v>
      </c>
      <c r="BD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6" s="46" t="n">
        <f aca="false">IFERROR(N(INDEX(Tasks[_Level],Tasks[[#This Row],[_Row]]+1)),0)</f>
        <v>0</v>
      </c>
      <c r="BF46" s="47" t="b">
        <f aca="false">AND(Tasks[[#This Row],[Task Name]]&lt;&gt;"",Tasks[[#This Row],[_NextLevel]]&gt;Tasks[[#This Row],[_Level]])</f>
        <v>0</v>
      </c>
      <c r="BG46" s="46" t="n">
        <f aca="false">IF(Tasks[[#This Row],[_IsSummary]],COUNTIF(Tasks[WBS],Tasks[[#This Row],[WBS]]&amp;".*"),0)</f>
        <v>0</v>
      </c>
      <c r="BH46" s="46" t="n">
        <f aca="false">IF(AND(Tasks[[#This Row],[Task Name]]&lt;&gt;"",NOT(Tasks[[#This Row],[_IsSummary]])),1,0)</f>
        <v>0</v>
      </c>
      <c r="BI46" s="46" t="n">
        <f aca="false">IF(N(Tasks[[#This Row],[Pred1 UID]])=0,0,IFERROR(MATCH(Tasks[[#This Row],[Pred1 UID]],Tasks[UID],0),-1))</f>
        <v>0</v>
      </c>
      <c r="BJ46" s="46" t="n">
        <f aca="false">IF(N(Tasks[[#This Row],[Pred2 UID]])=0,0,IFERROR(MATCH(Tasks[[#This Row],[Pred2 UID]],Tasks[UID],0),-1))</f>
        <v>0</v>
      </c>
      <c r="BK4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6" s="46" t="n">
        <f aca="false">IF(NOT(Tasks[[#This Row],[_IsLeaf]]=1),0,IF(N(Tasks[[#This Row],[Actual Finish]])&gt;0,1,MIN(1,N(Tasks[[#This Row],[% Complete]]))))</f>
        <v>0</v>
      </c>
      <c r="BP4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6" s="46" t="n">
        <f aca="false">IF(Tasks[[#This Row],[_LeafWork]]=0,0,Tasks[[#This Row],[_LeafWork]]*IFERROR(INDEX(res_Rate,MATCH(Tasks[[#This Row],[Resource]],res_Name,0)),0))</f>
        <v>0</v>
      </c>
      <c r="BR4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6" s="46" t="n">
        <f aca="false">IF(NOT(Tasks[[#This Row],[_IsLeaf]]=1),0,MAX(_xlfn.MAXIFS(Tasks[_Row],Tasks[Pred1 UID],Tasks[[#This Row],[UID]]),_xlfn.MAXIFS(Tasks[_Row],Tasks[Pred2 UID],Tasks[[#This Row],[UID]])))</f>
        <v>0</v>
      </c>
      <c r="BW4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6" s="48" t="str">
        <f aca="false">IF(NOT(Tasks[[#This Row],[_IsLeaf]]=1),"",MIN(ProjectFinish,IF(N(Tasks[[#This Row],[Deadline]])&gt;0,Tasks[[#This Row],[Deadline]],2958465),Tasks[[#This Row],[_SuccessorFinishLimit]]))</f>
        <v/>
      </c>
      <c r="BY4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6" s="47" t="b">
        <f aca="false">AND(Tasks[[#This Row],[_IsLeaf]]=1,Tasks[[#This Row],[_LeafProgress]]&lt;1,N(Tasks[[#This Row],[_LeafTotalSlack]])&lt;=CriticalSlackDays)</f>
        <v>0</v>
      </c>
      <c r="CB4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6" s="46" t="n">
        <f aca="false">IF(AND(Tasks[[#This Row],[_IsLeaf]]=1,Tasks[[#This Row],[_LeafWork]]&gt;0),NETWORKDAYS.INTL(ProjectStart,Tasks[[#This Row],[_LeafFcstStart]],WorkWeek,Holidays),0)</f>
        <v>0</v>
      </c>
      <c r="CK4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6" s="46" t="n">
        <f aca="false">IF(AND(Tasks[[#This Row],[_IsLeaf]]=1,Tasks[[#This Row],[_LeafWork]]&gt;0),Tasks[[#This Row],[_LeafWork]]/(Tasks[[#This Row],[_FinishWorkday]]-Tasks[[#This Row],[_StartWorkday]]+1),0)</f>
        <v>0</v>
      </c>
      <c r="CM46" s="46" t="n">
        <f aca="false">Tasks[[#This Row],[_WorkPerWorkday]]*(Tasks[[#This Row],[_StartWorkday]]-1)</f>
        <v>-0</v>
      </c>
      <c r="CN46" s="46" t="n">
        <f aca="false">IF(Tasks[[#This Row],[_IsLeaf]]=1,MAX(N(Tasks[[#This Row],[Duration]]),0.1),0)</f>
        <v>0</v>
      </c>
      <c r="CO46" s="46" t="n">
        <f aca="false">Tasks[[#This Row],[_WeightDur]]*Tasks[[#This Row],[_LeafProgress]]</f>
        <v>0</v>
      </c>
      <c r="CP4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39"/>
      <c r="E47" s="40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7" s="31"/>
      <c r="AF4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7" s="40"/>
      <c r="AI47" s="31"/>
      <c r="AJ4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7" s="40"/>
      <c r="AO47" s="24" t="str">
        <f aca="false">IF(Tasks[[#This Row],[Task Name]]="","",Tasks[[#This Row],[Forecast Start]])</f>
        <v/>
      </c>
      <c r="AP47" s="24" t="str">
        <f aca="false">IF(Tasks[[#This Row],[Task Name]]="","",Tasks[[#This Row],[Forecast Finish]])</f>
        <v/>
      </c>
      <c r="AQ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7" s="42" t="str">
        <f aca="false">IF(Tasks[[#This Row],[Task Name]]="","",Tasks[[#This Row],[Work]])</f>
        <v/>
      </c>
      <c r="AS47" s="43" t="str">
        <f aca="false">IF(Tasks[[#This Row],[Task Name]]="","",Tasks[[#This Row],[Cost]])</f>
        <v/>
      </c>
      <c r="AT47" s="29"/>
      <c r="AU47" s="29"/>
      <c r="AV47" s="39"/>
      <c r="AW47" s="44"/>
      <c r="AX47" s="45"/>
      <c r="AY47" s="38" t="str">
        <f aca="false">IF(OR(Tasks[[#This Row],[Task Name]]="",Tasks[[#This Row],[Baseline Duration]]=""),"",Tasks[[#This Row],[BL Source Duration]]-N(Tasks[[#This Row],[Baseline Duration]]))</f>
        <v/>
      </c>
      <c r="AZ47" s="42" t="str">
        <f aca="false">IF(OR(Tasks[[#This Row],[Task Name]]="",Tasks[[#This Row],[Baseline Work]]=""),"",Tasks[[#This Row],[Work]]-N(Tasks[[#This Row],[Baseline Work]]))</f>
        <v/>
      </c>
      <c r="BA47" s="43" t="str">
        <f aca="false">IF(OR(Tasks[[#This Row],[Task Name]]="",Tasks[[#This Row],[Baseline Cost]]=""),"",Tasks[[#This Row],[Cost]]-N(Tasks[[#This Row],[Baseline Cost]]))</f>
        <v/>
      </c>
      <c r="BB47" s="46" t="str">
        <f aca="false">IF(Tasks[[#This Row],[Task Name]]="","",MAX(1,N(Tasks[[#This Row],[Level]])))</f>
        <v/>
      </c>
      <c r="BC47" s="46" t="n">
        <f aca="false">ROW()-ROW(Tasks[[#Headers],[ID]])</f>
        <v>42</v>
      </c>
      <c r="BD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7" s="46" t="n">
        <f aca="false">IFERROR(N(INDEX(Tasks[_Level],Tasks[[#This Row],[_Row]]+1)),0)</f>
        <v>0</v>
      </c>
      <c r="BF47" s="47" t="b">
        <f aca="false">AND(Tasks[[#This Row],[Task Name]]&lt;&gt;"",Tasks[[#This Row],[_NextLevel]]&gt;Tasks[[#This Row],[_Level]])</f>
        <v>0</v>
      </c>
      <c r="BG47" s="46" t="n">
        <f aca="false">IF(Tasks[[#This Row],[_IsSummary]],COUNTIF(Tasks[WBS],Tasks[[#This Row],[WBS]]&amp;".*"),0)</f>
        <v>0</v>
      </c>
      <c r="BH47" s="46" t="n">
        <f aca="false">IF(AND(Tasks[[#This Row],[Task Name]]&lt;&gt;"",NOT(Tasks[[#This Row],[_IsSummary]])),1,0)</f>
        <v>0</v>
      </c>
      <c r="BI47" s="46" t="n">
        <f aca="false">IF(N(Tasks[[#This Row],[Pred1 UID]])=0,0,IFERROR(MATCH(Tasks[[#This Row],[Pred1 UID]],Tasks[UID],0),-1))</f>
        <v>0</v>
      </c>
      <c r="BJ47" s="46" t="n">
        <f aca="false">IF(N(Tasks[[#This Row],[Pred2 UID]])=0,0,IFERROR(MATCH(Tasks[[#This Row],[Pred2 UID]],Tasks[UID],0),-1))</f>
        <v>0</v>
      </c>
      <c r="BK4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7" s="46" t="n">
        <f aca="false">IF(NOT(Tasks[[#This Row],[_IsLeaf]]=1),0,IF(N(Tasks[[#This Row],[Actual Finish]])&gt;0,1,MIN(1,N(Tasks[[#This Row],[% Complete]]))))</f>
        <v>0</v>
      </c>
      <c r="BP4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7" s="46" t="n">
        <f aca="false">IF(Tasks[[#This Row],[_LeafWork]]=0,0,Tasks[[#This Row],[_LeafWork]]*IFERROR(INDEX(res_Rate,MATCH(Tasks[[#This Row],[Resource]],res_Name,0)),0))</f>
        <v>0</v>
      </c>
      <c r="BR4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7" s="46" t="n">
        <f aca="false">IF(NOT(Tasks[[#This Row],[_IsLeaf]]=1),0,MAX(_xlfn.MAXIFS(Tasks[_Row],Tasks[Pred1 UID],Tasks[[#This Row],[UID]]),_xlfn.MAXIFS(Tasks[_Row],Tasks[Pred2 UID],Tasks[[#This Row],[UID]])))</f>
        <v>0</v>
      </c>
      <c r="BW4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7" s="48" t="str">
        <f aca="false">IF(NOT(Tasks[[#This Row],[_IsLeaf]]=1),"",MIN(ProjectFinish,IF(N(Tasks[[#This Row],[Deadline]])&gt;0,Tasks[[#This Row],[Deadline]],2958465),Tasks[[#This Row],[_SuccessorFinishLimit]]))</f>
        <v/>
      </c>
      <c r="BY4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7" s="47" t="b">
        <f aca="false">AND(Tasks[[#This Row],[_IsLeaf]]=1,Tasks[[#This Row],[_LeafProgress]]&lt;1,N(Tasks[[#This Row],[_LeafTotalSlack]])&lt;=CriticalSlackDays)</f>
        <v>0</v>
      </c>
      <c r="CB4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7" s="46" t="n">
        <f aca="false">IF(AND(Tasks[[#This Row],[_IsLeaf]]=1,Tasks[[#This Row],[_LeafWork]]&gt;0),NETWORKDAYS.INTL(ProjectStart,Tasks[[#This Row],[_LeafFcstStart]],WorkWeek,Holidays),0)</f>
        <v>0</v>
      </c>
      <c r="CK4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7" s="46" t="n">
        <f aca="false">IF(AND(Tasks[[#This Row],[_IsLeaf]]=1,Tasks[[#This Row],[_LeafWork]]&gt;0),Tasks[[#This Row],[_LeafWork]]/(Tasks[[#This Row],[_FinishWorkday]]-Tasks[[#This Row],[_StartWorkday]]+1),0)</f>
        <v>0</v>
      </c>
      <c r="CM47" s="46" t="n">
        <f aca="false">Tasks[[#This Row],[_WorkPerWorkday]]*(Tasks[[#This Row],[_StartWorkday]]-1)</f>
        <v>-0</v>
      </c>
      <c r="CN47" s="46" t="n">
        <f aca="false">IF(Tasks[[#This Row],[_IsLeaf]]=1,MAX(N(Tasks[[#This Row],[Duration]]),0.1),0)</f>
        <v>0</v>
      </c>
      <c r="CO47" s="46" t="n">
        <f aca="false">Tasks[[#This Row],[_WeightDur]]*Tasks[[#This Row],[_LeafProgress]]</f>
        <v>0</v>
      </c>
      <c r="CP4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39"/>
      <c r="E48" s="40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8" s="31"/>
      <c r="AF4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8" s="40"/>
      <c r="AI48" s="31"/>
      <c r="AJ4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8" s="40"/>
      <c r="AO48" s="24" t="str">
        <f aca="false">IF(Tasks[[#This Row],[Task Name]]="","",Tasks[[#This Row],[Forecast Start]])</f>
        <v/>
      </c>
      <c r="AP48" s="24" t="str">
        <f aca="false">IF(Tasks[[#This Row],[Task Name]]="","",Tasks[[#This Row],[Forecast Finish]])</f>
        <v/>
      </c>
      <c r="AQ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8" s="42" t="str">
        <f aca="false">IF(Tasks[[#This Row],[Task Name]]="","",Tasks[[#This Row],[Work]])</f>
        <v/>
      </c>
      <c r="AS48" s="43" t="str">
        <f aca="false">IF(Tasks[[#This Row],[Task Name]]="","",Tasks[[#This Row],[Cost]])</f>
        <v/>
      </c>
      <c r="AT48" s="29"/>
      <c r="AU48" s="29"/>
      <c r="AV48" s="39"/>
      <c r="AW48" s="44"/>
      <c r="AX48" s="45"/>
      <c r="AY48" s="38" t="str">
        <f aca="false">IF(OR(Tasks[[#This Row],[Task Name]]="",Tasks[[#This Row],[Baseline Duration]]=""),"",Tasks[[#This Row],[BL Source Duration]]-N(Tasks[[#This Row],[Baseline Duration]]))</f>
        <v/>
      </c>
      <c r="AZ48" s="42" t="str">
        <f aca="false">IF(OR(Tasks[[#This Row],[Task Name]]="",Tasks[[#This Row],[Baseline Work]]=""),"",Tasks[[#This Row],[Work]]-N(Tasks[[#This Row],[Baseline Work]]))</f>
        <v/>
      </c>
      <c r="BA48" s="43" t="str">
        <f aca="false">IF(OR(Tasks[[#This Row],[Task Name]]="",Tasks[[#This Row],[Baseline Cost]]=""),"",Tasks[[#This Row],[Cost]]-N(Tasks[[#This Row],[Baseline Cost]]))</f>
        <v/>
      </c>
      <c r="BB48" s="46" t="str">
        <f aca="false">IF(Tasks[[#This Row],[Task Name]]="","",MAX(1,N(Tasks[[#This Row],[Level]])))</f>
        <v/>
      </c>
      <c r="BC48" s="46" t="n">
        <f aca="false">ROW()-ROW(Tasks[[#Headers],[ID]])</f>
        <v>43</v>
      </c>
      <c r="BD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8" s="46" t="n">
        <f aca="false">IFERROR(N(INDEX(Tasks[_Level],Tasks[[#This Row],[_Row]]+1)),0)</f>
        <v>0</v>
      </c>
      <c r="BF48" s="47" t="b">
        <f aca="false">AND(Tasks[[#This Row],[Task Name]]&lt;&gt;"",Tasks[[#This Row],[_NextLevel]]&gt;Tasks[[#This Row],[_Level]])</f>
        <v>0</v>
      </c>
      <c r="BG48" s="46" t="n">
        <f aca="false">IF(Tasks[[#This Row],[_IsSummary]],COUNTIF(Tasks[WBS],Tasks[[#This Row],[WBS]]&amp;".*"),0)</f>
        <v>0</v>
      </c>
      <c r="BH48" s="46" t="n">
        <f aca="false">IF(AND(Tasks[[#This Row],[Task Name]]&lt;&gt;"",NOT(Tasks[[#This Row],[_IsSummary]])),1,0)</f>
        <v>0</v>
      </c>
      <c r="BI48" s="46" t="n">
        <f aca="false">IF(N(Tasks[[#This Row],[Pred1 UID]])=0,0,IFERROR(MATCH(Tasks[[#This Row],[Pred1 UID]],Tasks[UID],0),-1))</f>
        <v>0</v>
      </c>
      <c r="BJ48" s="46" t="n">
        <f aca="false">IF(N(Tasks[[#This Row],[Pred2 UID]])=0,0,IFERROR(MATCH(Tasks[[#This Row],[Pred2 UID]],Tasks[UID],0),-1))</f>
        <v>0</v>
      </c>
      <c r="BK4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8" s="46" t="n">
        <f aca="false">IF(NOT(Tasks[[#This Row],[_IsLeaf]]=1),0,IF(N(Tasks[[#This Row],[Actual Finish]])&gt;0,1,MIN(1,N(Tasks[[#This Row],[% Complete]]))))</f>
        <v>0</v>
      </c>
      <c r="BP4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8" s="46" t="n">
        <f aca="false">IF(Tasks[[#This Row],[_LeafWork]]=0,0,Tasks[[#This Row],[_LeafWork]]*IFERROR(INDEX(res_Rate,MATCH(Tasks[[#This Row],[Resource]],res_Name,0)),0))</f>
        <v>0</v>
      </c>
      <c r="BR4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8" s="46" t="n">
        <f aca="false">IF(NOT(Tasks[[#This Row],[_IsLeaf]]=1),0,MAX(_xlfn.MAXIFS(Tasks[_Row],Tasks[Pred1 UID],Tasks[[#This Row],[UID]]),_xlfn.MAXIFS(Tasks[_Row],Tasks[Pred2 UID],Tasks[[#This Row],[UID]])))</f>
        <v>0</v>
      </c>
      <c r="BW4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8" s="48" t="str">
        <f aca="false">IF(NOT(Tasks[[#This Row],[_IsLeaf]]=1),"",MIN(ProjectFinish,IF(N(Tasks[[#This Row],[Deadline]])&gt;0,Tasks[[#This Row],[Deadline]],2958465),Tasks[[#This Row],[_SuccessorFinishLimit]]))</f>
        <v/>
      </c>
      <c r="BY4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8" s="47" t="b">
        <f aca="false">AND(Tasks[[#This Row],[_IsLeaf]]=1,Tasks[[#This Row],[_LeafProgress]]&lt;1,N(Tasks[[#This Row],[_LeafTotalSlack]])&lt;=CriticalSlackDays)</f>
        <v>0</v>
      </c>
      <c r="CB4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8" s="46" t="n">
        <f aca="false">IF(AND(Tasks[[#This Row],[_IsLeaf]]=1,Tasks[[#This Row],[_LeafWork]]&gt;0),NETWORKDAYS.INTL(ProjectStart,Tasks[[#This Row],[_LeafFcstStart]],WorkWeek,Holidays),0)</f>
        <v>0</v>
      </c>
      <c r="CK4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8" s="46" t="n">
        <f aca="false">IF(AND(Tasks[[#This Row],[_IsLeaf]]=1,Tasks[[#This Row],[_LeafWork]]&gt;0),Tasks[[#This Row],[_LeafWork]]/(Tasks[[#This Row],[_FinishWorkday]]-Tasks[[#This Row],[_StartWorkday]]+1),0)</f>
        <v>0</v>
      </c>
      <c r="CM48" s="46" t="n">
        <f aca="false">Tasks[[#This Row],[_WorkPerWorkday]]*(Tasks[[#This Row],[_StartWorkday]]-1)</f>
        <v>-0</v>
      </c>
      <c r="CN48" s="46" t="n">
        <f aca="false">IF(Tasks[[#This Row],[_IsLeaf]]=1,MAX(N(Tasks[[#This Row],[Duration]]),0.1),0)</f>
        <v>0</v>
      </c>
      <c r="CO48" s="46" t="n">
        <f aca="false">Tasks[[#This Row],[_WeightDur]]*Tasks[[#This Row],[_LeafProgress]]</f>
        <v>0</v>
      </c>
      <c r="CP4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39"/>
      <c r="E49" s="40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9" s="31"/>
      <c r="AF4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9" s="40"/>
      <c r="AI49" s="31"/>
      <c r="AJ4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9" s="40"/>
      <c r="AO49" s="24" t="str">
        <f aca="false">IF(Tasks[[#This Row],[Task Name]]="","",Tasks[[#This Row],[Forecast Start]])</f>
        <v/>
      </c>
      <c r="AP49" s="24" t="str">
        <f aca="false">IF(Tasks[[#This Row],[Task Name]]="","",Tasks[[#This Row],[Forecast Finish]])</f>
        <v/>
      </c>
      <c r="AQ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9" s="42" t="str">
        <f aca="false">IF(Tasks[[#This Row],[Task Name]]="","",Tasks[[#This Row],[Work]])</f>
        <v/>
      </c>
      <c r="AS49" s="43" t="str">
        <f aca="false">IF(Tasks[[#This Row],[Task Name]]="","",Tasks[[#This Row],[Cost]])</f>
        <v/>
      </c>
      <c r="AT49" s="29"/>
      <c r="AU49" s="29"/>
      <c r="AV49" s="39"/>
      <c r="AW49" s="44"/>
      <c r="AX49" s="45"/>
      <c r="AY49" s="38" t="str">
        <f aca="false">IF(OR(Tasks[[#This Row],[Task Name]]="",Tasks[[#This Row],[Baseline Duration]]=""),"",Tasks[[#This Row],[BL Source Duration]]-N(Tasks[[#This Row],[Baseline Duration]]))</f>
        <v/>
      </c>
      <c r="AZ49" s="42" t="str">
        <f aca="false">IF(OR(Tasks[[#This Row],[Task Name]]="",Tasks[[#This Row],[Baseline Work]]=""),"",Tasks[[#This Row],[Work]]-N(Tasks[[#This Row],[Baseline Work]]))</f>
        <v/>
      </c>
      <c r="BA49" s="43" t="str">
        <f aca="false">IF(OR(Tasks[[#This Row],[Task Name]]="",Tasks[[#This Row],[Baseline Cost]]=""),"",Tasks[[#This Row],[Cost]]-N(Tasks[[#This Row],[Baseline Cost]]))</f>
        <v/>
      </c>
      <c r="BB49" s="46" t="str">
        <f aca="false">IF(Tasks[[#This Row],[Task Name]]="","",MAX(1,N(Tasks[[#This Row],[Level]])))</f>
        <v/>
      </c>
      <c r="BC49" s="46" t="n">
        <f aca="false">ROW()-ROW(Tasks[[#Headers],[ID]])</f>
        <v>44</v>
      </c>
      <c r="BD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9" s="46" t="n">
        <f aca="false">IFERROR(N(INDEX(Tasks[_Level],Tasks[[#This Row],[_Row]]+1)),0)</f>
        <v>0</v>
      </c>
      <c r="BF49" s="47" t="b">
        <f aca="false">AND(Tasks[[#This Row],[Task Name]]&lt;&gt;"",Tasks[[#This Row],[_NextLevel]]&gt;Tasks[[#This Row],[_Level]])</f>
        <v>0</v>
      </c>
      <c r="BG49" s="46" t="n">
        <f aca="false">IF(Tasks[[#This Row],[_IsSummary]],COUNTIF(Tasks[WBS],Tasks[[#This Row],[WBS]]&amp;".*"),0)</f>
        <v>0</v>
      </c>
      <c r="BH49" s="46" t="n">
        <f aca="false">IF(AND(Tasks[[#This Row],[Task Name]]&lt;&gt;"",NOT(Tasks[[#This Row],[_IsSummary]])),1,0)</f>
        <v>0</v>
      </c>
      <c r="BI49" s="46" t="n">
        <f aca="false">IF(N(Tasks[[#This Row],[Pred1 UID]])=0,0,IFERROR(MATCH(Tasks[[#This Row],[Pred1 UID]],Tasks[UID],0),-1))</f>
        <v>0</v>
      </c>
      <c r="BJ49" s="46" t="n">
        <f aca="false">IF(N(Tasks[[#This Row],[Pred2 UID]])=0,0,IFERROR(MATCH(Tasks[[#This Row],[Pred2 UID]],Tasks[UID],0),-1))</f>
        <v>0</v>
      </c>
      <c r="BK4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9" s="46" t="n">
        <f aca="false">IF(NOT(Tasks[[#This Row],[_IsLeaf]]=1),0,IF(N(Tasks[[#This Row],[Actual Finish]])&gt;0,1,MIN(1,N(Tasks[[#This Row],[% Complete]]))))</f>
        <v>0</v>
      </c>
      <c r="BP4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49" s="46" t="n">
        <f aca="false">IF(Tasks[[#This Row],[_LeafWork]]=0,0,Tasks[[#This Row],[_LeafWork]]*IFERROR(INDEX(res_Rate,MATCH(Tasks[[#This Row],[Resource]],res_Name,0)),0))</f>
        <v>0</v>
      </c>
      <c r="BR4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9" s="46" t="n">
        <f aca="false">IF(NOT(Tasks[[#This Row],[_IsLeaf]]=1),0,MAX(_xlfn.MAXIFS(Tasks[_Row],Tasks[Pred1 UID],Tasks[[#This Row],[UID]]),_xlfn.MAXIFS(Tasks[_Row],Tasks[Pred2 UID],Tasks[[#This Row],[UID]])))</f>
        <v>0</v>
      </c>
      <c r="BW4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9" s="48" t="str">
        <f aca="false">IF(NOT(Tasks[[#This Row],[_IsLeaf]]=1),"",MIN(ProjectFinish,IF(N(Tasks[[#This Row],[Deadline]])&gt;0,Tasks[[#This Row],[Deadline]],2958465),Tasks[[#This Row],[_SuccessorFinishLimit]]))</f>
        <v/>
      </c>
      <c r="BY4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9" s="47" t="b">
        <f aca="false">AND(Tasks[[#This Row],[_IsLeaf]]=1,Tasks[[#This Row],[_LeafProgress]]&lt;1,N(Tasks[[#This Row],[_LeafTotalSlack]])&lt;=CriticalSlackDays)</f>
        <v>0</v>
      </c>
      <c r="CB4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9" s="46" t="n">
        <f aca="false">IF(AND(Tasks[[#This Row],[_IsLeaf]]=1,Tasks[[#This Row],[_LeafWork]]&gt;0),NETWORKDAYS.INTL(ProjectStart,Tasks[[#This Row],[_LeafFcstStart]],WorkWeek,Holidays),0)</f>
        <v>0</v>
      </c>
      <c r="CK4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9" s="46" t="n">
        <f aca="false">IF(AND(Tasks[[#This Row],[_IsLeaf]]=1,Tasks[[#This Row],[_LeafWork]]&gt;0),Tasks[[#This Row],[_LeafWork]]/(Tasks[[#This Row],[_FinishWorkday]]-Tasks[[#This Row],[_StartWorkday]]+1),0)</f>
        <v>0</v>
      </c>
      <c r="CM49" s="46" t="n">
        <f aca="false">Tasks[[#This Row],[_WorkPerWorkday]]*(Tasks[[#This Row],[_StartWorkday]]-1)</f>
        <v>-0</v>
      </c>
      <c r="CN49" s="46" t="n">
        <f aca="false">IF(Tasks[[#This Row],[_IsLeaf]]=1,MAX(N(Tasks[[#This Row],[Duration]]),0.1),0)</f>
        <v>0</v>
      </c>
      <c r="CO49" s="46" t="n">
        <f aca="false">Tasks[[#This Row],[_WeightDur]]*Tasks[[#This Row],[_LeafProgress]]</f>
        <v>0</v>
      </c>
      <c r="CP4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39"/>
      <c r="E50" s="40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0" s="31"/>
      <c r="AF5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0" s="40"/>
      <c r="AI50" s="31"/>
      <c r="AJ5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0" s="40"/>
      <c r="AO50" s="24" t="str">
        <f aca="false">IF(Tasks[[#This Row],[Task Name]]="","",Tasks[[#This Row],[Forecast Start]])</f>
        <v/>
      </c>
      <c r="AP50" s="24" t="str">
        <f aca="false">IF(Tasks[[#This Row],[Task Name]]="","",Tasks[[#This Row],[Forecast Finish]])</f>
        <v/>
      </c>
      <c r="AQ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0" s="42" t="str">
        <f aca="false">IF(Tasks[[#This Row],[Task Name]]="","",Tasks[[#This Row],[Work]])</f>
        <v/>
      </c>
      <c r="AS50" s="43" t="str">
        <f aca="false">IF(Tasks[[#This Row],[Task Name]]="","",Tasks[[#This Row],[Cost]])</f>
        <v/>
      </c>
      <c r="AT50" s="29"/>
      <c r="AU50" s="29"/>
      <c r="AV50" s="39"/>
      <c r="AW50" s="44"/>
      <c r="AX50" s="45"/>
      <c r="AY50" s="38" t="str">
        <f aca="false">IF(OR(Tasks[[#This Row],[Task Name]]="",Tasks[[#This Row],[Baseline Duration]]=""),"",Tasks[[#This Row],[BL Source Duration]]-N(Tasks[[#This Row],[Baseline Duration]]))</f>
        <v/>
      </c>
      <c r="AZ50" s="42" t="str">
        <f aca="false">IF(OR(Tasks[[#This Row],[Task Name]]="",Tasks[[#This Row],[Baseline Work]]=""),"",Tasks[[#This Row],[Work]]-N(Tasks[[#This Row],[Baseline Work]]))</f>
        <v/>
      </c>
      <c r="BA50" s="43" t="str">
        <f aca="false">IF(OR(Tasks[[#This Row],[Task Name]]="",Tasks[[#This Row],[Baseline Cost]]=""),"",Tasks[[#This Row],[Cost]]-N(Tasks[[#This Row],[Baseline Cost]]))</f>
        <v/>
      </c>
      <c r="BB50" s="46" t="str">
        <f aca="false">IF(Tasks[[#This Row],[Task Name]]="","",MAX(1,N(Tasks[[#This Row],[Level]])))</f>
        <v/>
      </c>
      <c r="BC50" s="46" t="n">
        <f aca="false">ROW()-ROW(Tasks[[#Headers],[ID]])</f>
        <v>45</v>
      </c>
      <c r="BD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0" s="46" t="n">
        <f aca="false">IFERROR(N(INDEX(Tasks[_Level],Tasks[[#This Row],[_Row]]+1)),0)</f>
        <v>0</v>
      </c>
      <c r="BF50" s="47" t="b">
        <f aca="false">AND(Tasks[[#This Row],[Task Name]]&lt;&gt;"",Tasks[[#This Row],[_NextLevel]]&gt;Tasks[[#This Row],[_Level]])</f>
        <v>0</v>
      </c>
      <c r="BG50" s="46" t="n">
        <f aca="false">IF(Tasks[[#This Row],[_IsSummary]],COUNTIF(Tasks[WBS],Tasks[[#This Row],[WBS]]&amp;".*"),0)</f>
        <v>0</v>
      </c>
      <c r="BH50" s="46" t="n">
        <f aca="false">IF(AND(Tasks[[#This Row],[Task Name]]&lt;&gt;"",NOT(Tasks[[#This Row],[_IsSummary]])),1,0)</f>
        <v>0</v>
      </c>
      <c r="BI50" s="46" t="n">
        <f aca="false">IF(N(Tasks[[#This Row],[Pred1 UID]])=0,0,IFERROR(MATCH(Tasks[[#This Row],[Pred1 UID]],Tasks[UID],0),-1))</f>
        <v>0</v>
      </c>
      <c r="BJ50" s="46" t="n">
        <f aca="false">IF(N(Tasks[[#This Row],[Pred2 UID]])=0,0,IFERROR(MATCH(Tasks[[#This Row],[Pred2 UID]],Tasks[UID],0),-1))</f>
        <v>0</v>
      </c>
      <c r="BK5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0" s="46" t="n">
        <f aca="false">IF(NOT(Tasks[[#This Row],[_IsLeaf]]=1),0,IF(N(Tasks[[#This Row],[Actual Finish]])&gt;0,1,MIN(1,N(Tasks[[#This Row],[% Complete]]))))</f>
        <v>0</v>
      </c>
      <c r="BP5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0" s="46" t="n">
        <f aca="false">IF(Tasks[[#This Row],[_LeafWork]]=0,0,Tasks[[#This Row],[_LeafWork]]*IFERROR(INDEX(res_Rate,MATCH(Tasks[[#This Row],[Resource]],res_Name,0)),0))</f>
        <v>0</v>
      </c>
      <c r="BR5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0" s="46" t="n">
        <f aca="false">IF(NOT(Tasks[[#This Row],[_IsLeaf]]=1),0,MAX(_xlfn.MAXIFS(Tasks[_Row],Tasks[Pred1 UID],Tasks[[#This Row],[UID]]),_xlfn.MAXIFS(Tasks[_Row],Tasks[Pred2 UID],Tasks[[#This Row],[UID]])))</f>
        <v>0</v>
      </c>
      <c r="BW5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0" s="48" t="str">
        <f aca="false">IF(NOT(Tasks[[#This Row],[_IsLeaf]]=1),"",MIN(ProjectFinish,IF(N(Tasks[[#This Row],[Deadline]])&gt;0,Tasks[[#This Row],[Deadline]],2958465),Tasks[[#This Row],[_SuccessorFinishLimit]]))</f>
        <v/>
      </c>
      <c r="BY5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0" s="47" t="b">
        <f aca="false">AND(Tasks[[#This Row],[_IsLeaf]]=1,Tasks[[#This Row],[_LeafProgress]]&lt;1,N(Tasks[[#This Row],[_LeafTotalSlack]])&lt;=CriticalSlackDays)</f>
        <v>0</v>
      </c>
      <c r="CB5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0" s="46" t="n">
        <f aca="false">IF(AND(Tasks[[#This Row],[_IsLeaf]]=1,Tasks[[#This Row],[_LeafWork]]&gt;0),NETWORKDAYS.INTL(ProjectStart,Tasks[[#This Row],[_LeafFcstStart]],WorkWeek,Holidays),0)</f>
        <v>0</v>
      </c>
      <c r="CK5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0" s="46" t="n">
        <f aca="false">IF(AND(Tasks[[#This Row],[_IsLeaf]]=1,Tasks[[#This Row],[_LeafWork]]&gt;0),Tasks[[#This Row],[_LeafWork]]/(Tasks[[#This Row],[_FinishWorkday]]-Tasks[[#This Row],[_StartWorkday]]+1),0)</f>
        <v>0</v>
      </c>
      <c r="CM50" s="46" t="n">
        <f aca="false">Tasks[[#This Row],[_WorkPerWorkday]]*(Tasks[[#This Row],[_StartWorkday]]-1)</f>
        <v>-0</v>
      </c>
      <c r="CN50" s="46" t="n">
        <f aca="false">IF(Tasks[[#This Row],[_IsLeaf]]=1,MAX(N(Tasks[[#This Row],[Duration]]),0.1),0)</f>
        <v>0</v>
      </c>
      <c r="CO50" s="46" t="n">
        <f aca="false">Tasks[[#This Row],[_WeightDur]]*Tasks[[#This Row],[_LeafProgress]]</f>
        <v>0</v>
      </c>
      <c r="CP5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39"/>
      <c r="E51" s="40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1" s="31"/>
      <c r="AF5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1" s="40"/>
      <c r="AI51" s="31"/>
      <c r="AJ5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1" s="40"/>
      <c r="AO51" s="24" t="str">
        <f aca="false">IF(Tasks[[#This Row],[Task Name]]="","",Tasks[[#This Row],[Forecast Start]])</f>
        <v/>
      </c>
      <c r="AP51" s="24" t="str">
        <f aca="false">IF(Tasks[[#This Row],[Task Name]]="","",Tasks[[#This Row],[Forecast Finish]])</f>
        <v/>
      </c>
      <c r="AQ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1" s="42" t="str">
        <f aca="false">IF(Tasks[[#This Row],[Task Name]]="","",Tasks[[#This Row],[Work]])</f>
        <v/>
      </c>
      <c r="AS51" s="43" t="str">
        <f aca="false">IF(Tasks[[#This Row],[Task Name]]="","",Tasks[[#This Row],[Cost]])</f>
        <v/>
      </c>
      <c r="AT51" s="29"/>
      <c r="AU51" s="29"/>
      <c r="AV51" s="39"/>
      <c r="AW51" s="44"/>
      <c r="AX51" s="45"/>
      <c r="AY51" s="38" t="str">
        <f aca="false">IF(OR(Tasks[[#This Row],[Task Name]]="",Tasks[[#This Row],[Baseline Duration]]=""),"",Tasks[[#This Row],[BL Source Duration]]-N(Tasks[[#This Row],[Baseline Duration]]))</f>
        <v/>
      </c>
      <c r="AZ51" s="42" t="str">
        <f aca="false">IF(OR(Tasks[[#This Row],[Task Name]]="",Tasks[[#This Row],[Baseline Work]]=""),"",Tasks[[#This Row],[Work]]-N(Tasks[[#This Row],[Baseline Work]]))</f>
        <v/>
      </c>
      <c r="BA51" s="43" t="str">
        <f aca="false">IF(OR(Tasks[[#This Row],[Task Name]]="",Tasks[[#This Row],[Baseline Cost]]=""),"",Tasks[[#This Row],[Cost]]-N(Tasks[[#This Row],[Baseline Cost]]))</f>
        <v/>
      </c>
      <c r="BB51" s="46" t="str">
        <f aca="false">IF(Tasks[[#This Row],[Task Name]]="","",MAX(1,N(Tasks[[#This Row],[Level]])))</f>
        <v/>
      </c>
      <c r="BC51" s="46" t="n">
        <f aca="false">ROW()-ROW(Tasks[[#Headers],[ID]])</f>
        <v>46</v>
      </c>
      <c r="BD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1" s="46" t="n">
        <f aca="false">IFERROR(N(INDEX(Tasks[_Level],Tasks[[#This Row],[_Row]]+1)),0)</f>
        <v>0</v>
      </c>
      <c r="BF51" s="47" t="b">
        <f aca="false">AND(Tasks[[#This Row],[Task Name]]&lt;&gt;"",Tasks[[#This Row],[_NextLevel]]&gt;Tasks[[#This Row],[_Level]])</f>
        <v>0</v>
      </c>
      <c r="BG51" s="46" t="n">
        <f aca="false">IF(Tasks[[#This Row],[_IsSummary]],COUNTIF(Tasks[WBS],Tasks[[#This Row],[WBS]]&amp;".*"),0)</f>
        <v>0</v>
      </c>
      <c r="BH51" s="46" t="n">
        <f aca="false">IF(AND(Tasks[[#This Row],[Task Name]]&lt;&gt;"",NOT(Tasks[[#This Row],[_IsSummary]])),1,0)</f>
        <v>0</v>
      </c>
      <c r="BI51" s="46" t="n">
        <f aca="false">IF(N(Tasks[[#This Row],[Pred1 UID]])=0,0,IFERROR(MATCH(Tasks[[#This Row],[Pred1 UID]],Tasks[UID],0),-1))</f>
        <v>0</v>
      </c>
      <c r="BJ51" s="46" t="n">
        <f aca="false">IF(N(Tasks[[#This Row],[Pred2 UID]])=0,0,IFERROR(MATCH(Tasks[[#This Row],[Pred2 UID]],Tasks[UID],0),-1))</f>
        <v>0</v>
      </c>
      <c r="BK5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1" s="46" t="n">
        <f aca="false">IF(NOT(Tasks[[#This Row],[_IsLeaf]]=1),0,IF(N(Tasks[[#This Row],[Actual Finish]])&gt;0,1,MIN(1,N(Tasks[[#This Row],[% Complete]]))))</f>
        <v>0</v>
      </c>
      <c r="BP5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1" s="46" t="n">
        <f aca="false">IF(Tasks[[#This Row],[_LeafWork]]=0,0,Tasks[[#This Row],[_LeafWork]]*IFERROR(INDEX(res_Rate,MATCH(Tasks[[#This Row],[Resource]],res_Name,0)),0))</f>
        <v>0</v>
      </c>
      <c r="BR5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1" s="46" t="n">
        <f aca="false">IF(NOT(Tasks[[#This Row],[_IsLeaf]]=1),0,MAX(_xlfn.MAXIFS(Tasks[_Row],Tasks[Pred1 UID],Tasks[[#This Row],[UID]]),_xlfn.MAXIFS(Tasks[_Row],Tasks[Pred2 UID],Tasks[[#This Row],[UID]])))</f>
        <v>0</v>
      </c>
      <c r="BW5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1" s="48" t="str">
        <f aca="false">IF(NOT(Tasks[[#This Row],[_IsLeaf]]=1),"",MIN(ProjectFinish,IF(N(Tasks[[#This Row],[Deadline]])&gt;0,Tasks[[#This Row],[Deadline]],2958465),Tasks[[#This Row],[_SuccessorFinishLimit]]))</f>
        <v/>
      </c>
      <c r="BY5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1" s="47" t="b">
        <f aca="false">AND(Tasks[[#This Row],[_IsLeaf]]=1,Tasks[[#This Row],[_LeafProgress]]&lt;1,N(Tasks[[#This Row],[_LeafTotalSlack]])&lt;=CriticalSlackDays)</f>
        <v>0</v>
      </c>
      <c r="CB5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1" s="46" t="n">
        <f aca="false">IF(AND(Tasks[[#This Row],[_IsLeaf]]=1,Tasks[[#This Row],[_LeafWork]]&gt;0),NETWORKDAYS.INTL(ProjectStart,Tasks[[#This Row],[_LeafFcstStart]],WorkWeek,Holidays),0)</f>
        <v>0</v>
      </c>
      <c r="CK5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1" s="46" t="n">
        <f aca="false">IF(AND(Tasks[[#This Row],[_IsLeaf]]=1,Tasks[[#This Row],[_LeafWork]]&gt;0),Tasks[[#This Row],[_LeafWork]]/(Tasks[[#This Row],[_FinishWorkday]]-Tasks[[#This Row],[_StartWorkday]]+1),0)</f>
        <v>0</v>
      </c>
      <c r="CM51" s="46" t="n">
        <f aca="false">Tasks[[#This Row],[_WorkPerWorkday]]*(Tasks[[#This Row],[_StartWorkday]]-1)</f>
        <v>-0</v>
      </c>
      <c r="CN51" s="46" t="n">
        <f aca="false">IF(Tasks[[#This Row],[_IsLeaf]]=1,MAX(N(Tasks[[#This Row],[Duration]]),0.1),0)</f>
        <v>0</v>
      </c>
      <c r="CO51" s="46" t="n">
        <f aca="false">Tasks[[#This Row],[_WeightDur]]*Tasks[[#This Row],[_LeafProgress]]</f>
        <v>0</v>
      </c>
      <c r="CP5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39"/>
      <c r="E52" s="40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2" s="31"/>
      <c r="AF5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2" s="40"/>
      <c r="AI52" s="31"/>
      <c r="AJ5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2" s="40"/>
      <c r="AO52" s="24" t="str">
        <f aca="false">IF(Tasks[[#This Row],[Task Name]]="","",Tasks[[#This Row],[Forecast Start]])</f>
        <v/>
      </c>
      <c r="AP52" s="24" t="str">
        <f aca="false">IF(Tasks[[#This Row],[Task Name]]="","",Tasks[[#This Row],[Forecast Finish]])</f>
        <v/>
      </c>
      <c r="AQ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2" s="42" t="str">
        <f aca="false">IF(Tasks[[#This Row],[Task Name]]="","",Tasks[[#This Row],[Work]])</f>
        <v/>
      </c>
      <c r="AS52" s="43" t="str">
        <f aca="false">IF(Tasks[[#This Row],[Task Name]]="","",Tasks[[#This Row],[Cost]])</f>
        <v/>
      </c>
      <c r="AT52" s="29"/>
      <c r="AU52" s="29"/>
      <c r="AV52" s="39"/>
      <c r="AW52" s="44"/>
      <c r="AX52" s="45"/>
      <c r="AY52" s="38" t="str">
        <f aca="false">IF(OR(Tasks[[#This Row],[Task Name]]="",Tasks[[#This Row],[Baseline Duration]]=""),"",Tasks[[#This Row],[BL Source Duration]]-N(Tasks[[#This Row],[Baseline Duration]]))</f>
        <v/>
      </c>
      <c r="AZ52" s="42" t="str">
        <f aca="false">IF(OR(Tasks[[#This Row],[Task Name]]="",Tasks[[#This Row],[Baseline Work]]=""),"",Tasks[[#This Row],[Work]]-N(Tasks[[#This Row],[Baseline Work]]))</f>
        <v/>
      </c>
      <c r="BA52" s="43" t="str">
        <f aca="false">IF(OR(Tasks[[#This Row],[Task Name]]="",Tasks[[#This Row],[Baseline Cost]]=""),"",Tasks[[#This Row],[Cost]]-N(Tasks[[#This Row],[Baseline Cost]]))</f>
        <v/>
      </c>
      <c r="BB52" s="46" t="str">
        <f aca="false">IF(Tasks[[#This Row],[Task Name]]="","",MAX(1,N(Tasks[[#This Row],[Level]])))</f>
        <v/>
      </c>
      <c r="BC52" s="46" t="n">
        <f aca="false">ROW()-ROW(Tasks[[#Headers],[ID]])</f>
        <v>47</v>
      </c>
      <c r="BD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2" s="46" t="n">
        <f aca="false">IFERROR(N(INDEX(Tasks[_Level],Tasks[[#This Row],[_Row]]+1)),0)</f>
        <v>0</v>
      </c>
      <c r="BF52" s="47" t="b">
        <f aca="false">AND(Tasks[[#This Row],[Task Name]]&lt;&gt;"",Tasks[[#This Row],[_NextLevel]]&gt;Tasks[[#This Row],[_Level]])</f>
        <v>0</v>
      </c>
      <c r="BG52" s="46" t="n">
        <f aca="false">IF(Tasks[[#This Row],[_IsSummary]],COUNTIF(Tasks[WBS],Tasks[[#This Row],[WBS]]&amp;".*"),0)</f>
        <v>0</v>
      </c>
      <c r="BH52" s="46" t="n">
        <f aca="false">IF(AND(Tasks[[#This Row],[Task Name]]&lt;&gt;"",NOT(Tasks[[#This Row],[_IsSummary]])),1,0)</f>
        <v>0</v>
      </c>
      <c r="BI52" s="46" t="n">
        <f aca="false">IF(N(Tasks[[#This Row],[Pred1 UID]])=0,0,IFERROR(MATCH(Tasks[[#This Row],[Pred1 UID]],Tasks[UID],0),-1))</f>
        <v>0</v>
      </c>
      <c r="BJ52" s="46" t="n">
        <f aca="false">IF(N(Tasks[[#This Row],[Pred2 UID]])=0,0,IFERROR(MATCH(Tasks[[#This Row],[Pred2 UID]],Tasks[UID],0),-1))</f>
        <v>0</v>
      </c>
      <c r="BK5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2" s="46" t="n">
        <f aca="false">IF(NOT(Tasks[[#This Row],[_IsLeaf]]=1),0,IF(N(Tasks[[#This Row],[Actual Finish]])&gt;0,1,MIN(1,N(Tasks[[#This Row],[% Complete]]))))</f>
        <v>0</v>
      </c>
      <c r="BP5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2" s="46" t="n">
        <f aca="false">IF(Tasks[[#This Row],[_LeafWork]]=0,0,Tasks[[#This Row],[_LeafWork]]*IFERROR(INDEX(res_Rate,MATCH(Tasks[[#This Row],[Resource]],res_Name,0)),0))</f>
        <v>0</v>
      </c>
      <c r="BR5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2" s="46" t="n">
        <f aca="false">IF(NOT(Tasks[[#This Row],[_IsLeaf]]=1),0,MAX(_xlfn.MAXIFS(Tasks[_Row],Tasks[Pred1 UID],Tasks[[#This Row],[UID]]),_xlfn.MAXIFS(Tasks[_Row],Tasks[Pred2 UID],Tasks[[#This Row],[UID]])))</f>
        <v>0</v>
      </c>
      <c r="BW5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2" s="48" t="str">
        <f aca="false">IF(NOT(Tasks[[#This Row],[_IsLeaf]]=1),"",MIN(ProjectFinish,IF(N(Tasks[[#This Row],[Deadline]])&gt;0,Tasks[[#This Row],[Deadline]],2958465),Tasks[[#This Row],[_SuccessorFinishLimit]]))</f>
        <v/>
      </c>
      <c r="BY5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2" s="47" t="b">
        <f aca="false">AND(Tasks[[#This Row],[_IsLeaf]]=1,Tasks[[#This Row],[_LeafProgress]]&lt;1,N(Tasks[[#This Row],[_LeafTotalSlack]])&lt;=CriticalSlackDays)</f>
        <v>0</v>
      </c>
      <c r="CB5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2" s="46" t="n">
        <f aca="false">IF(AND(Tasks[[#This Row],[_IsLeaf]]=1,Tasks[[#This Row],[_LeafWork]]&gt;0),NETWORKDAYS.INTL(ProjectStart,Tasks[[#This Row],[_LeafFcstStart]],WorkWeek,Holidays),0)</f>
        <v>0</v>
      </c>
      <c r="CK5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2" s="46" t="n">
        <f aca="false">IF(AND(Tasks[[#This Row],[_IsLeaf]]=1,Tasks[[#This Row],[_LeafWork]]&gt;0),Tasks[[#This Row],[_LeafWork]]/(Tasks[[#This Row],[_FinishWorkday]]-Tasks[[#This Row],[_StartWorkday]]+1),0)</f>
        <v>0</v>
      </c>
      <c r="CM52" s="46" t="n">
        <f aca="false">Tasks[[#This Row],[_WorkPerWorkday]]*(Tasks[[#This Row],[_StartWorkday]]-1)</f>
        <v>-0</v>
      </c>
      <c r="CN52" s="46" t="n">
        <f aca="false">IF(Tasks[[#This Row],[_IsLeaf]]=1,MAX(N(Tasks[[#This Row],[Duration]]),0.1),0)</f>
        <v>0</v>
      </c>
      <c r="CO52" s="46" t="n">
        <f aca="false">Tasks[[#This Row],[_WeightDur]]*Tasks[[#This Row],[_LeafProgress]]</f>
        <v>0</v>
      </c>
      <c r="CP5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39"/>
      <c r="E53" s="40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3" s="31"/>
      <c r="AF5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3" s="40"/>
      <c r="AI53" s="31"/>
      <c r="AJ5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3" s="40"/>
      <c r="AO53" s="24" t="str">
        <f aca="false">IF(Tasks[[#This Row],[Task Name]]="","",Tasks[[#This Row],[Forecast Start]])</f>
        <v/>
      </c>
      <c r="AP53" s="24" t="str">
        <f aca="false">IF(Tasks[[#This Row],[Task Name]]="","",Tasks[[#This Row],[Forecast Finish]])</f>
        <v/>
      </c>
      <c r="AQ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3" s="42" t="str">
        <f aca="false">IF(Tasks[[#This Row],[Task Name]]="","",Tasks[[#This Row],[Work]])</f>
        <v/>
      </c>
      <c r="AS53" s="43" t="str">
        <f aca="false">IF(Tasks[[#This Row],[Task Name]]="","",Tasks[[#This Row],[Cost]])</f>
        <v/>
      </c>
      <c r="AT53" s="29"/>
      <c r="AU53" s="29"/>
      <c r="AV53" s="39"/>
      <c r="AW53" s="44"/>
      <c r="AX53" s="45"/>
      <c r="AY53" s="38" t="str">
        <f aca="false">IF(OR(Tasks[[#This Row],[Task Name]]="",Tasks[[#This Row],[Baseline Duration]]=""),"",Tasks[[#This Row],[BL Source Duration]]-N(Tasks[[#This Row],[Baseline Duration]]))</f>
        <v/>
      </c>
      <c r="AZ53" s="42" t="str">
        <f aca="false">IF(OR(Tasks[[#This Row],[Task Name]]="",Tasks[[#This Row],[Baseline Work]]=""),"",Tasks[[#This Row],[Work]]-N(Tasks[[#This Row],[Baseline Work]]))</f>
        <v/>
      </c>
      <c r="BA53" s="43" t="str">
        <f aca="false">IF(OR(Tasks[[#This Row],[Task Name]]="",Tasks[[#This Row],[Baseline Cost]]=""),"",Tasks[[#This Row],[Cost]]-N(Tasks[[#This Row],[Baseline Cost]]))</f>
        <v/>
      </c>
      <c r="BB53" s="46" t="str">
        <f aca="false">IF(Tasks[[#This Row],[Task Name]]="","",MAX(1,N(Tasks[[#This Row],[Level]])))</f>
        <v/>
      </c>
      <c r="BC53" s="46" t="n">
        <f aca="false">ROW()-ROW(Tasks[[#Headers],[ID]])</f>
        <v>48</v>
      </c>
      <c r="BD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3" s="46" t="n">
        <f aca="false">IFERROR(N(INDEX(Tasks[_Level],Tasks[[#This Row],[_Row]]+1)),0)</f>
        <v>0</v>
      </c>
      <c r="BF53" s="47" t="b">
        <f aca="false">AND(Tasks[[#This Row],[Task Name]]&lt;&gt;"",Tasks[[#This Row],[_NextLevel]]&gt;Tasks[[#This Row],[_Level]])</f>
        <v>0</v>
      </c>
      <c r="BG53" s="46" t="n">
        <f aca="false">IF(Tasks[[#This Row],[_IsSummary]],COUNTIF(Tasks[WBS],Tasks[[#This Row],[WBS]]&amp;".*"),0)</f>
        <v>0</v>
      </c>
      <c r="BH53" s="46" t="n">
        <f aca="false">IF(AND(Tasks[[#This Row],[Task Name]]&lt;&gt;"",NOT(Tasks[[#This Row],[_IsSummary]])),1,0)</f>
        <v>0</v>
      </c>
      <c r="BI53" s="46" t="n">
        <f aca="false">IF(N(Tasks[[#This Row],[Pred1 UID]])=0,0,IFERROR(MATCH(Tasks[[#This Row],[Pred1 UID]],Tasks[UID],0),-1))</f>
        <v>0</v>
      </c>
      <c r="BJ53" s="46" t="n">
        <f aca="false">IF(N(Tasks[[#This Row],[Pred2 UID]])=0,0,IFERROR(MATCH(Tasks[[#This Row],[Pred2 UID]],Tasks[UID],0),-1))</f>
        <v>0</v>
      </c>
      <c r="BK5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3" s="46" t="n">
        <f aca="false">IF(NOT(Tasks[[#This Row],[_IsLeaf]]=1),0,IF(N(Tasks[[#This Row],[Actual Finish]])&gt;0,1,MIN(1,N(Tasks[[#This Row],[% Complete]]))))</f>
        <v>0</v>
      </c>
      <c r="BP5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3" s="46" t="n">
        <f aca="false">IF(Tasks[[#This Row],[_LeafWork]]=0,0,Tasks[[#This Row],[_LeafWork]]*IFERROR(INDEX(res_Rate,MATCH(Tasks[[#This Row],[Resource]],res_Name,0)),0))</f>
        <v>0</v>
      </c>
      <c r="BR5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3" s="46" t="n">
        <f aca="false">IF(NOT(Tasks[[#This Row],[_IsLeaf]]=1),0,MAX(_xlfn.MAXIFS(Tasks[_Row],Tasks[Pred1 UID],Tasks[[#This Row],[UID]]),_xlfn.MAXIFS(Tasks[_Row],Tasks[Pred2 UID],Tasks[[#This Row],[UID]])))</f>
        <v>0</v>
      </c>
      <c r="BW5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3" s="48" t="str">
        <f aca="false">IF(NOT(Tasks[[#This Row],[_IsLeaf]]=1),"",MIN(ProjectFinish,IF(N(Tasks[[#This Row],[Deadline]])&gt;0,Tasks[[#This Row],[Deadline]],2958465),Tasks[[#This Row],[_SuccessorFinishLimit]]))</f>
        <v/>
      </c>
      <c r="BY5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3" s="47" t="b">
        <f aca="false">AND(Tasks[[#This Row],[_IsLeaf]]=1,Tasks[[#This Row],[_LeafProgress]]&lt;1,N(Tasks[[#This Row],[_LeafTotalSlack]])&lt;=CriticalSlackDays)</f>
        <v>0</v>
      </c>
      <c r="CB5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3" s="46" t="n">
        <f aca="false">IF(AND(Tasks[[#This Row],[_IsLeaf]]=1,Tasks[[#This Row],[_LeafWork]]&gt;0),NETWORKDAYS.INTL(ProjectStart,Tasks[[#This Row],[_LeafFcstStart]],WorkWeek,Holidays),0)</f>
        <v>0</v>
      </c>
      <c r="CK5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3" s="46" t="n">
        <f aca="false">IF(AND(Tasks[[#This Row],[_IsLeaf]]=1,Tasks[[#This Row],[_LeafWork]]&gt;0),Tasks[[#This Row],[_LeafWork]]/(Tasks[[#This Row],[_FinishWorkday]]-Tasks[[#This Row],[_StartWorkday]]+1),0)</f>
        <v>0</v>
      </c>
      <c r="CM53" s="46" t="n">
        <f aca="false">Tasks[[#This Row],[_WorkPerWorkday]]*(Tasks[[#This Row],[_StartWorkday]]-1)</f>
        <v>-0</v>
      </c>
      <c r="CN53" s="46" t="n">
        <f aca="false">IF(Tasks[[#This Row],[_IsLeaf]]=1,MAX(N(Tasks[[#This Row],[Duration]]),0.1),0)</f>
        <v>0</v>
      </c>
      <c r="CO53" s="46" t="n">
        <f aca="false">Tasks[[#This Row],[_WeightDur]]*Tasks[[#This Row],[_LeafProgress]]</f>
        <v>0</v>
      </c>
      <c r="CP5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39"/>
      <c r="E54" s="40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4" s="31"/>
      <c r="AF5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4" s="40"/>
      <c r="AI54" s="31"/>
      <c r="AJ5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4" s="40"/>
      <c r="AO54" s="24" t="str">
        <f aca="false">IF(Tasks[[#This Row],[Task Name]]="","",Tasks[[#This Row],[Forecast Start]])</f>
        <v/>
      </c>
      <c r="AP54" s="24" t="str">
        <f aca="false">IF(Tasks[[#This Row],[Task Name]]="","",Tasks[[#This Row],[Forecast Finish]])</f>
        <v/>
      </c>
      <c r="AQ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4" s="42" t="str">
        <f aca="false">IF(Tasks[[#This Row],[Task Name]]="","",Tasks[[#This Row],[Work]])</f>
        <v/>
      </c>
      <c r="AS54" s="43" t="str">
        <f aca="false">IF(Tasks[[#This Row],[Task Name]]="","",Tasks[[#This Row],[Cost]])</f>
        <v/>
      </c>
      <c r="AT54" s="29"/>
      <c r="AU54" s="29"/>
      <c r="AV54" s="39"/>
      <c r="AW54" s="44"/>
      <c r="AX54" s="45"/>
      <c r="AY54" s="38" t="str">
        <f aca="false">IF(OR(Tasks[[#This Row],[Task Name]]="",Tasks[[#This Row],[Baseline Duration]]=""),"",Tasks[[#This Row],[BL Source Duration]]-N(Tasks[[#This Row],[Baseline Duration]]))</f>
        <v/>
      </c>
      <c r="AZ54" s="42" t="str">
        <f aca="false">IF(OR(Tasks[[#This Row],[Task Name]]="",Tasks[[#This Row],[Baseline Work]]=""),"",Tasks[[#This Row],[Work]]-N(Tasks[[#This Row],[Baseline Work]]))</f>
        <v/>
      </c>
      <c r="BA54" s="43" t="str">
        <f aca="false">IF(OR(Tasks[[#This Row],[Task Name]]="",Tasks[[#This Row],[Baseline Cost]]=""),"",Tasks[[#This Row],[Cost]]-N(Tasks[[#This Row],[Baseline Cost]]))</f>
        <v/>
      </c>
      <c r="BB54" s="46" t="str">
        <f aca="false">IF(Tasks[[#This Row],[Task Name]]="","",MAX(1,N(Tasks[[#This Row],[Level]])))</f>
        <v/>
      </c>
      <c r="BC54" s="46" t="n">
        <f aca="false">ROW()-ROW(Tasks[[#Headers],[ID]])</f>
        <v>49</v>
      </c>
      <c r="BD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4" s="46" t="n">
        <f aca="false">IFERROR(N(INDEX(Tasks[_Level],Tasks[[#This Row],[_Row]]+1)),0)</f>
        <v>0</v>
      </c>
      <c r="BF54" s="47" t="b">
        <f aca="false">AND(Tasks[[#This Row],[Task Name]]&lt;&gt;"",Tasks[[#This Row],[_NextLevel]]&gt;Tasks[[#This Row],[_Level]])</f>
        <v>0</v>
      </c>
      <c r="BG54" s="46" t="n">
        <f aca="false">IF(Tasks[[#This Row],[_IsSummary]],COUNTIF(Tasks[WBS],Tasks[[#This Row],[WBS]]&amp;".*"),0)</f>
        <v>0</v>
      </c>
      <c r="BH54" s="46" t="n">
        <f aca="false">IF(AND(Tasks[[#This Row],[Task Name]]&lt;&gt;"",NOT(Tasks[[#This Row],[_IsSummary]])),1,0)</f>
        <v>0</v>
      </c>
      <c r="BI54" s="46" t="n">
        <f aca="false">IF(N(Tasks[[#This Row],[Pred1 UID]])=0,0,IFERROR(MATCH(Tasks[[#This Row],[Pred1 UID]],Tasks[UID],0),-1))</f>
        <v>0</v>
      </c>
      <c r="BJ54" s="46" t="n">
        <f aca="false">IF(N(Tasks[[#This Row],[Pred2 UID]])=0,0,IFERROR(MATCH(Tasks[[#This Row],[Pred2 UID]],Tasks[UID],0),-1))</f>
        <v>0</v>
      </c>
      <c r="BK5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4" s="46" t="n">
        <f aca="false">IF(NOT(Tasks[[#This Row],[_IsLeaf]]=1),0,IF(N(Tasks[[#This Row],[Actual Finish]])&gt;0,1,MIN(1,N(Tasks[[#This Row],[% Complete]]))))</f>
        <v>0</v>
      </c>
      <c r="BP5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4" s="46" t="n">
        <f aca="false">IF(Tasks[[#This Row],[_LeafWork]]=0,0,Tasks[[#This Row],[_LeafWork]]*IFERROR(INDEX(res_Rate,MATCH(Tasks[[#This Row],[Resource]],res_Name,0)),0))</f>
        <v>0</v>
      </c>
      <c r="BR5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4" s="46" t="n">
        <f aca="false">IF(NOT(Tasks[[#This Row],[_IsLeaf]]=1),0,MAX(_xlfn.MAXIFS(Tasks[_Row],Tasks[Pred1 UID],Tasks[[#This Row],[UID]]),_xlfn.MAXIFS(Tasks[_Row],Tasks[Pred2 UID],Tasks[[#This Row],[UID]])))</f>
        <v>0</v>
      </c>
      <c r="BW5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4" s="48" t="str">
        <f aca="false">IF(NOT(Tasks[[#This Row],[_IsLeaf]]=1),"",MIN(ProjectFinish,IF(N(Tasks[[#This Row],[Deadline]])&gt;0,Tasks[[#This Row],[Deadline]],2958465),Tasks[[#This Row],[_SuccessorFinishLimit]]))</f>
        <v/>
      </c>
      <c r="BY5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4" s="47" t="b">
        <f aca="false">AND(Tasks[[#This Row],[_IsLeaf]]=1,Tasks[[#This Row],[_LeafProgress]]&lt;1,N(Tasks[[#This Row],[_LeafTotalSlack]])&lt;=CriticalSlackDays)</f>
        <v>0</v>
      </c>
      <c r="CB5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4" s="46" t="n">
        <f aca="false">IF(AND(Tasks[[#This Row],[_IsLeaf]]=1,Tasks[[#This Row],[_LeafWork]]&gt;0),NETWORKDAYS.INTL(ProjectStart,Tasks[[#This Row],[_LeafFcstStart]],WorkWeek,Holidays),0)</f>
        <v>0</v>
      </c>
      <c r="CK5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4" s="46" t="n">
        <f aca="false">IF(AND(Tasks[[#This Row],[_IsLeaf]]=1,Tasks[[#This Row],[_LeafWork]]&gt;0),Tasks[[#This Row],[_LeafWork]]/(Tasks[[#This Row],[_FinishWorkday]]-Tasks[[#This Row],[_StartWorkday]]+1),0)</f>
        <v>0</v>
      </c>
      <c r="CM54" s="46" t="n">
        <f aca="false">Tasks[[#This Row],[_WorkPerWorkday]]*(Tasks[[#This Row],[_StartWorkday]]-1)</f>
        <v>-0</v>
      </c>
      <c r="CN54" s="46" t="n">
        <f aca="false">IF(Tasks[[#This Row],[_IsLeaf]]=1,MAX(N(Tasks[[#This Row],[Duration]]),0.1),0)</f>
        <v>0</v>
      </c>
      <c r="CO54" s="46" t="n">
        <f aca="false">Tasks[[#This Row],[_WeightDur]]*Tasks[[#This Row],[_LeafProgress]]</f>
        <v>0</v>
      </c>
      <c r="CP5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39"/>
      <c r="E55" s="40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5" s="31"/>
      <c r="AF5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5" s="40"/>
      <c r="AI55" s="31"/>
      <c r="AJ5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5" s="40"/>
      <c r="AO55" s="24" t="str">
        <f aca="false">IF(Tasks[[#This Row],[Task Name]]="","",Tasks[[#This Row],[Forecast Start]])</f>
        <v/>
      </c>
      <c r="AP55" s="24" t="str">
        <f aca="false">IF(Tasks[[#This Row],[Task Name]]="","",Tasks[[#This Row],[Forecast Finish]])</f>
        <v/>
      </c>
      <c r="AQ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5" s="42" t="str">
        <f aca="false">IF(Tasks[[#This Row],[Task Name]]="","",Tasks[[#This Row],[Work]])</f>
        <v/>
      </c>
      <c r="AS55" s="43" t="str">
        <f aca="false">IF(Tasks[[#This Row],[Task Name]]="","",Tasks[[#This Row],[Cost]])</f>
        <v/>
      </c>
      <c r="AT55" s="29"/>
      <c r="AU55" s="29"/>
      <c r="AV55" s="39"/>
      <c r="AW55" s="44"/>
      <c r="AX55" s="45"/>
      <c r="AY55" s="38" t="str">
        <f aca="false">IF(OR(Tasks[[#This Row],[Task Name]]="",Tasks[[#This Row],[Baseline Duration]]=""),"",Tasks[[#This Row],[BL Source Duration]]-N(Tasks[[#This Row],[Baseline Duration]]))</f>
        <v/>
      </c>
      <c r="AZ55" s="42" t="str">
        <f aca="false">IF(OR(Tasks[[#This Row],[Task Name]]="",Tasks[[#This Row],[Baseline Work]]=""),"",Tasks[[#This Row],[Work]]-N(Tasks[[#This Row],[Baseline Work]]))</f>
        <v/>
      </c>
      <c r="BA55" s="43" t="str">
        <f aca="false">IF(OR(Tasks[[#This Row],[Task Name]]="",Tasks[[#This Row],[Baseline Cost]]=""),"",Tasks[[#This Row],[Cost]]-N(Tasks[[#This Row],[Baseline Cost]]))</f>
        <v/>
      </c>
      <c r="BB55" s="46" t="str">
        <f aca="false">IF(Tasks[[#This Row],[Task Name]]="","",MAX(1,N(Tasks[[#This Row],[Level]])))</f>
        <v/>
      </c>
      <c r="BC55" s="46" t="n">
        <f aca="false">ROW()-ROW(Tasks[[#Headers],[ID]])</f>
        <v>50</v>
      </c>
      <c r="BD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5" s="46" t="n">
        <f aca="false">IFERROR(N(INDEX(Tasks[_Level],Tasks[[#This Row],[_Row]]+1)),0)</f>
        <v>0</v>
      </c>
      <c r="BF55" s="47" t="b">
        <f aca="false">AND(Tasks[[#This Row],[Task Name]]&lt;&gt;"",Tasks[[#This Row],[_NextLevel]]&gt;Tasks[[#This Row],[_Level]])</f>
        <v>0</v>
      </c>
      <c r="BG55" s="46" t="n">
        <f aca="false">IF(Tasks[[#This Row],[_IsSummary]],COUNTIF(Tasks[WBS],Tasks[[#This Row],[WBS]]&amp;".*"),0)</f>
        <v>0</v>
      </c>
      <c r="BH55" s="46" t="n">
        <f aca="false">IF(AND(Tasks[[#This Row],[Task Name]]&lt;&gt;"",NOT(Tasks[[#This Row],[_IsSummary]])),1,0)</f>
        <v>0</v>
      </c>
      <c r="BI55" s="46" t="n">
        <f aca="false">IF(N(Tasks[[#This Row],[Pred1 UID]])=0,0,IFERROR(MATCH(Tasks[[#This Row],[Pred1 UID]],Tasks[UID],0),-1))</f>
        <v>0</v>
      </c>
      <c r="BJ55" s="46" t="n">
        <f aca="false">IF(N(Tasks[[#This Row],[Pred2 UID]])=0,0,IFERROR(MATCH(Tasks[[#This Row],[Pred2 UID]],Tasks[UID],0),-1))</f>
        <v>0</v>
      </c>
      <c r="BK5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5" s="46" t="n">
        <f aca="false">IF(NOT(Tasks[[#This Row],[_IsLeaf]]=1),0,IF(N(Tasks[[#This Row],[Actual Finish]])&gt;0,1,MIN(1,N(Tasks[[#This Row],[% Complete]]))))</f>
        <v>0</v>
      </c>
      <c r="BP5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5" s="46" t="n">
        <f aca="false">IF(Tasks[[#This Row],[_LeafWork]]=0,0,Tasks[[#This Row],[_LeafWork]]*IFERROR(INDEX(res_Rate,MATCH(Tasks[[#This Row],[Resource]],res_Name,0)),0))</f>
        <v>0</v>
      </c>
      <c r="BR5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5" s="46" t="n">
        <f aca="false">IF(NOT(Tasks[[#This Row],[_IsLeaf]]=1),0,MAX(_xlfn.MAXIFS(Tasks[_Row],Tasks[Pred1 UID],Tasks[[#This Row],[UID]]),_xlfn.MAXIFS(Tasks[_Row],Tasks[Pred2 UID],Tasks[[#This Row],[UID]])))</f>
        <v>0</v>
      </c>
      <c r="BW5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5" s="48" t="str">
        <f aca="false">IF(NOT(Tasks[[#This Row],[_IsLeaf]]=1),"",MIN(ProjectFinish,IF(N(Tasks[[#This Row],[Deadline]])&gt;0,Tasks[[#This Row],[Deadline]],2958465),Tasks[[#This Row],[_SuccessorFinishLimit]]))</f>
        <v/>
      </c>
      <c r="BY5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5" s="47" t="b">
        <f aca="false">AND(Tasks[[#This Row],[_IsLeaf]]=1,Tasks[[#This Row],[_LeafProgress]]&lt;1,N(Tasks[[#This Row],[_LeafTotalSlack]])&lt;=CriticalSlackDays)</f>
        <v>0</v>
      </c>
      <c r="CB5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5" s="46" t="n">
        <f aca="false">IF(AND(Tasks[[#This Row],[_IsLeaf]]=1,Tasks[[#This Row],[_LeafWork]]&gt;0),NETWORKDAYS.INTL(ProjectStart,Tasks[[#This Row],[_LeafFcstStart]],WorkWeek,Holidays),0)</f>
        <v>0</v>
      </c>
      <c r="CK5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5" s="46" t="n">
        <f aca="false">IF(AND(Tasks[[#This Row],[_IsLeaf]]=1,Tasks[[#This Row],[_LeafWork]]&gt;0),Tasks[[#This Row],[_LeafWork]]/(Tasks[[#This Row],[_FinishWorkday]]-Tasks[[#This Row],[_StartWorkday]]+1),0)</f>
        <v>0</v>
      </c>
      <c r="CM55" s="46" t="n">
        <f aca="false">Tasks[[#This Row],[_WorkPerWorkday]]*(Tasks[[#This Row],[_StartWorkday]]-1)</f>
        <v>-0</v>
      </c>
      <c r="CN55" s="46" t="n">
        <f aca="false">IF(Tasks[[#This Row],[_IsLeaf]]=1,MAX(N(Tasks[[#This Row],[Duration]]),0.1),0)</f>
        <v>0</v>
      </c>
      <c r="CO55" s="46" t="n">
        <f aca="false">Tasks[[#This Row],[_WeightDur]]*Tasks[[#This Row],[_LeafProgress]]</f>
        <v>0</v>
      </c>
      <c r="CP5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39"/>
      <c r="E56" s="40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6" s="31"/>
      <c r="AF5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6" s="40"/>
      <c r="AI56" s="31"/>
      <c r="AJ5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6" s="40"/>
      <c r="AO56" s="24" t="str">
        <f aca="false">IF(Tasks[[#This Row],[Task Name]]="","",Tasks[[#This Row],[Forecast Start]])</f>
        <v/>
      </c>
      <c r="AP56" s="24" t="str">
        <f aca="false">IF(Tasks[[#This Row],[Task Name]]="","",Tasks[[#This Row],[Forecast Finish]])</f>
        <v/>
      </c>
      <c r="AQ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6" s="42" t="str">
        <f aca="false">IF(Tasks[[#This Row],[Task Name]]="","",Tasks[[#This Row],[Work]])</f>
        <v/>
      </c>
      <c r="AS56" s="43" t="str">
        <f aca="false">IF(Tasks[[#This Row],[Task Name]]="","",Tasks[[#This Row],[Cost]])</f>
        <v/>
      </c>
      <c r="AT56" s="29"/>
      <c r="AU56" s="29"/>
      <c r="AV56" s="39"/>
      <c r="AW56" s="44"/>
      <c r="AX56" s="45"/>
      <c r="AY56" s="38" t="str">
        <f aca="false">IF(OR(Tasks[[#This Row],[Task Name]]="",Tasks[[#This Row],[Baseline Duration]]=""),"",Tasks[[#This Row],[BL Source Duration]]-N(Tasks[[#This Row],[Baseline Duration]]))</f>
        <v/>
      </c>
      <c r="AZ56" s="42" t="str">
        <f aca="false">IF(OR(Tasks[[#This Row],[Task Name]]="",Tasks[[#This Row],[Baseline Work]]=""),"",Tasks[[#This Row],[Work]]-N(Tasks[[#This Row],[Baseline Work]]))</f>
        <v/>
      </c>
      <c r="BA56" s="43" t="str">
        <f aca="false">IF(OR(Tasks[[#This Row],[Task Name]]="",Tasks[[#This Row],[Baseline Cost]]=""),"",Tasks[[#This Row],[Cost]]-N(Tasks[[#This Row],[Baseline Cost]]))</f>
        <v/>
      </c>
      <c r="BB56" s="46" t="str">
        <f aca="false">IF(Tasks[[#This Row],[Task Name]]="","",MAX(1,N(Tasks[[#This Row],[Level]])))</f>
        <v/>
      </c>
      <c r="BC56" s="46" t="n">
        <f aca="false">ROW()-ROW(Tasks[[#Headers],[ID]])</f>
        <v>51</v>
      </c>
      <c r="BD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6" s="46" t="n">
        <f aca="false">IFERROR(N(INDEX(Tasks[_Level],Tasks[[#This Row],[_Row]]+1)),0)</f>
        <v>0</v>
      </c>
      <c r="BF56" s="47" t="b">
        <f aca="false">AND(Tasks[[#This Row],[Task Name]]&lt;&gt;"",Tasks[[#This Row],[_NextLevel]]&gt;Tasks[[#This Row],[_Level]])</f>
        <v>0</v>
      </c>
      <c r="BG56" s="46" t="n">
        <f aca="false">IF(Tasks[[#This Row],[_IsSummary]],COUNTIF(Tasks[WBS],Tasks[[#This Row],[WBS]]&amp;".*"),0)</f>
        <v>0</v>
      </c>
      <c r="BH56" s="46" t="n">
        <f aca="false">IF(AND(Tasks[[#This Row],[Task Name]]&lt;&gt;"",NOT(Tasks[[#This Row],[_IsSummary]])),1,0)</f>
        <v>0</v>
      </c>
      <c r="BI56" s="46" t="n">
        <f aca="false">IF(N(Tasks[[#This Row],[Pred1 UID]])=0,0,IFERROR(MATCH(Tasks[[#This Row],[Pred1 UID]],Tasks[UID],0),-1))</f>
        <v>0</v>
      </c>
      <c r="BJ56" s="46" t="n">
        <f aca="false">IF(N(Tasks[[#This Row],[Pred2 UID]])=0,0,IFERROR(MATCH(Tasks[[#This Row],[Pred2 UID]],Tasks[UID],0),-1))</f>
        <v>0</v>
      </c>
      <c r="BK5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6" s="46" t="n">
        <f aca="false">IF(NOT(Tasks[[#This Row],[_IsLeaf]]=1),0,IF(N(Tasks[[#This Row],[Actual Finish]])&gt;0,1,MIN(1,N(Tasks[[#This Row],[% Complete]]))))</f>
        <v>0</v>
      </c>
      <c r="BP5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6" s="46" t="n">
        <f aca="false">IF(Tasks[[#This Row],[_LeafWork]]=0,0,Tasks[[#This Row],[_LeafWork]]*IFERROR(INDEX(res_Rate,MATCH(Tasks[[#This Row],[Resource]],res_Name,0)),0))</f>
        <v>0</v>
      </c>
      <c r="BR5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6" s="46" t="n">
        <f aca="false">IF(NOT(Tasks[[#This Row],[_IsLeaf]]=1),0,MAX(_xlfn.MAXIFS(Tasks[_Row],Tasks[Pred1 UID],Tasks[[#This Row],[UID]]),_xlfn.MAXIFS(Tasks[_Row],Tasks[Pred2 UID],Tasks[[#This Row],[UID]])))</f>
        <v>0</v>
      </c>
      <c r="BW5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6" s="48" t="str">
        <f aca="false">IF(NOT(Tasks[[#This Row],[_IsLeaf]]=1),"",MIN(ProjectFinish,IF(N(Tasks[[#This Row],[Deadline]])&gt;0,Tasks[[#This Row],[Deadline]],2958465),Tasks[[#This Row],[_SuccessorFinishLimit]]))</f>
        <v/>
      </c>
      <c r="BY5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6" s="47" t="b">
        <f aca="false">AND(Tasks[[#This Row],[_IsLeaf]]=1,Tasks[[#This Row],[_LeafProgress]]&lt;1,N(Tasks[[#This Row],[_LeafTotalSlack]])&lt;=CriticalSlackDays)</f>
        <v>0</v>
      </c>
      <c r="CB5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6" s="46" t="n">
        <f aca="false">IF(AND(Tasks[[#This Row],[_IsLeaf]]=1,Tasks[[#This Row],[_LeafWork]]&gt;0),NETWORKDAYS.INTL(ProjectStart,Tasks[[#This Row],[_LeafFcstStart]],WorkWeek,Holidays),0)</f>
        <v>0</v>
      </c>
      <c r="CK5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6" s="46" t="n">
        <f aca="false">IF(AND(Tasks[[#This Row],[_IsLeaf]]=1,Tasks[[#This Row],[_LeafWork]]&gt;0),Tasks[[#This Row],[_LeafWork]]/(Tasks[[#This Row],[_FinishWorkday]]-Tasks[[#This Row],[_StartWorkday]]+1),0)</f>
        <v>0</v>
      </c>
      <c r="CM56" s="46" t="n">
        <f aca="false">Tasks[[#This Row],[_WorkPerWorkday]]*(Tasks[[#This Row],[_StartWorkday]]-1)</f>
        <v>-0</v>
      </c>
      <c r="CN56" s="46" t="n">
        <f aca="false">IF(Tasks[[#This Row],[_IsLeaf]]=1,MAX(N(Tasks[[#This Row],[Duration]]),0.1),0)</f>
        <v>0</v>
      </c>
      <c r="CO56" s="46" t="n">
        <f aca="false">Tasks[[#This Row],[_WeightDur]]*Tasks[[#This Row],[_LeafProgress]]</f>
        <v>0</v>
      </c>
      <c r="CP5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39"/>
      <c r="E57" s="40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7" s="31"/>
      <c r="AF5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7" s="40"/>
      <c r="AI57" s="31"/>
      <c r="AJ5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7" s="40"/>
      <c r="AO57" s="24" t="str">
        <f aca="false">IF(Tasks[[#This Row],[Task Name]]="","",Tasks[[#This Row],[Forecast Start]])</f>
        <v/>
      </c>
      <c r="AP57" s="24" t="str">
        <f aca="false">IF(Tasks[[#This Row],[Task Name]]="","",Tasks[[#This Row],[Forecast Finish]])</f>
        <v/>
      </c>
      <c r="AQ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7" s="42" t="str">
        <f aca="false">IF(Tasks[[#This Row],[Task Name]]="","",Tasks[[#This Row],[Work]])</f>
        <v/>
      </c>
      <c r="AS57" s="43" t="str">
        <f aca="false">IF(Tasks[[#This Row],[Task Name]]="","",Tasks[[#This Row],[Cost]])</f>
        <v/>
      </c>
      <c r="AT57" s="29"/>
      <c r="AU57" s="29"/>
      <c r="AV57" s="39"/>
      <c r="AW57" s="44"/>
      <c r="AX57" s="45"/>
      <c r="AY57" s="38" t="str">
        <f aca="false">IF(OR(Tasks[[#This Row],[Task Name]]="",Tasks[[#This Row],[Baseline Duration]]=""),"",Tasks[[#This Row],[BL Source Duration]]-N(Tasks[[#This Row],[Baseline Duration]]))</f>
        <v/>
      </c>
      <c r="AZ57" s="42" t="str">
        <f aca="false">IF(OR(Tasks[[#This Row],[Task Name]]="",Tasks[[#This Row],[Baseline Work]]=""),"",Tasks[[#This Row],[Work]]-N(Tasks[[#This Row],[Baseline Work]]))</f>
        <v/>
      </c>
      <c r="BA57" s="43" t="str">
        <f aca="false">IF(OR(Tasks[[#This Row],[Task Name]]="",Tasks[[#This Row],[Baseline Cost]]=""),"",Tasks[[#This Row],[Cost]]-N(Tasks[[#This Row],[Baseline Cost]]))</f>
        <v/>
      </c>
      <c r="BB57" s="46" t="str">
        <f aca="false">IF(Tasks[[#This Row],[Task Name]]="","",MAX(1,N(Tasks[[#This Row],[Level]])))</f>
        <v/>
      </c>
      <c r="BC57" s="46" t="n">
        <f aca="false">ROW()-ROW(Tasks[[#Headers],[ID]])</f>
        <v>52</v>
      </c>
      <c r="BD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7" s="46" t="n">
        <f aca="false">IFERROR(N(INDEX(Tasks[_Level],Tasks[[#This Row],[_Row]]+1)),0)</f>
        <v>0</v>
      </c>
      <c r="BF57" s="47" t="b">
        <f aca="false">AND(Tasks[[#This Row],[Task Name]]&lt;&gt;"",Tasks[[#This Row],[_NextLevel]]&gt;Tasks[[#This Row],[_Level]])</f>
        <v>0</v>
      </c>
      <c r="BG57" s="46" t="n">
        <f aca="false">IF(Tasks[[#This Row],[_IsSummary]],COUNTIF(Tasks[WBS],Tasks[[#This Row],[WBS]]&amp;".*"),0)</f>
        <v>0</v>
      </c>
      <c r="BH57" s="46" t="n">
        <f aca="false">IF(AND(Tasks[[#This Row],[Task Name]]&lt;&gt;"",NOT(Tasks[[#This Row],[_IsSummary]])),1,0)</f>
        <v>0</v>
      </c>
      <c r="BI57" s="46" t="n">
        <f aca="false">IF(N(Tasks[[#This Row],[Pred1 UID]])=0,0,IFERROR(MATCH(Tasks[[#This Row],[Pred1 UID]],Tasks[UID],0),-1))</f>
        <v>0</v>
      </c>
      <c r="BJ57" s="46" t="n">
        <f aca="false">IF(N(Tasks[[#This Row],[Pred2 UID]])=0,0,IFERROR(MATCH(Tasks[[#This Row],[Pred2 UID]],Tasks[UID],0),-1))</f>
        <v>0</v>
      </c>
      <c r="BK5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7" s="46" t="n">
        <f aca="false">IF(NOT(Tasks[[#This Row],[_IsLeaf]]=1),0,IF(N(Tasks[[#This Row],[Actual Finish]])&gt;0,1,MIN(1,N(Tasks[[#This Row],[% Complete]]))))</f>
        <v>0</v>
      </c>
      <c r="BP5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7" s="46" t="n">
        <f aca="false">IF(Tasks[[#This Row],[_LeafWork]]=0,0,Tasks[[#This Row],[_LeafWork]]*IFERROR(INDEX(res_Rate,MATCH(Tasks[[#This Row],[Resource]],res_Name,0)),0))</f>
        <v>0</v>
      </c>
      <c r="BR5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7" s="46" t="n">
        <f aca="false">IF(NOT(Tasks[[#This Row],[_IsLeaf]]=1),0,MAX(_xlfn.MAXIFS(Tasks[_Row],Tasks[Pred1 UID],Tasks[[#This Row],[UID]]),_xlfn.MAXIFS(Tasks[_Row],Tasks[Pred2 UID],Tasks[[#This Row],[UID]])))</f>
        <v>0</v>
      </c>
      <c r="BW5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7" s="48" t="str">
        <f aca="false">IF(NOT(Tasks[[#This Row],[_IsLeaf]]=1),"",MIN(ProjectFinish,IF(N(Tasks[[#This Row],[Deadline]])&gt;0,Tasks[[#This Row],[Deadline]],2958465),Tasks[[#This Row],[_SuccessorFinishLimit]]))</f>
        <v/>
      </c>
      <c r="BY5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7" s="47" t="b">
        <f aca="false">AND(Tasks[[#This Row],[_IsLeaf]]=1,Tasks[[#This Row],[_LeafProgress]]&lt;1,N(Tasks[[#This Row],[_LeafTotalSlack]])&lt;=CriticalSlackDays)</f>
        <v>0</v>
      </c>
      <c r="CB5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7" s="46" t="n">
        <f aca="false">IF(AND(Tasks[[#This Row],[_IsLeaf]]=1,Tasks[[#This Row],[_LeafWork]]&gt;0),NETWORKDAYS.INTL(ProjectStart,Tasks[[#This Row],[_LeafFcstStart]],WorkWeek,Holidays),0)</f>
        <v>0</v>
      </c>
      <c r="CK5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7" s="46" t="n">
        <f aca="false">IF(AND(Tasks[[#This Row],[_IsLeaf]]=1,Tasks[[#This Row],[_LeafWork]]&gt;0),Tasks[[#This Row],[_LeafWork]]/(Tasks[[#This Row],[_FinishWorkday]]-Tasks[[#This Row],[_StartWorkday]]+1),0)</f>
        <v>0</v>
      </c>
      <c r="CM57" s="46" t="n">
        <f aca="false">Tasks[[#This Row],[_WorkPerWorkday]]*(Tasks[[#This Row],[_StartWorkday]]-1)</f>
        <v>-0</v>
      </c>
      <c r="CN57" s="46" t="n">
        <f aca="false">IF(Tasks[[#This Row],[_IsLeaf]]=1,MAX(N(Tasks[[#This Row],[Duration]]),0.1),0)</f>
        <v>0</v>
      </c>
      <c r="CO57" s="46" t="n">
        <f aca="false">Tasks[[#This Row],[_WeightDur]]*Tasks[[#This Row],[_LeafProgress]]</f>
        <v>0</v>
      </c>
      <c r="CP5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39"/>
      <c r="E58" s="40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8" s="31"/>
      <c r="AF5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8" s="40"/>
      <c r="AI58" s="31"/>
      <c r="AJ5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8" s="40"/>
      <c r="AO58" s="24" t="str">
        <f aca="false">IF(Tasks[[#This Row],[Task Name]]="","",Tasks[[#This Row],[Forecast Start]])</f>
        <v/>
      </c>
      <c r="AP58" s="24" t="str">
        <f aca="false">IF(Tasks[[#This Row],[Task Name]]="","",Tasks[[#This Row],[Forecast Finish]])</f>
        <v/>
      </c>
      <c r="AQ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8" s="42" t="str">
        <f aca="false">IF(Tasks[[#This Row],[Task Name]]="","",Tasks[[#This Row],[Work]])</f>
        <v/>
      </c>
      <c r="AS58" s="43" t="str">
        <f aca="false">IF(Tasks[[#This Row],[Task Name]]="","",Tasks[[#This Row],[Cost]])</f>
        <v/>
      </c>
      <c r="AT58" s="29"/>
      <c r="AU58" s="29"/>
      <c r="AV58" s="39"/>
      <c r="AW58" s="44"/>
      <c r="AX58" s="45"/>
      <c r="AY58" s="38" t="str">
        <f aca="false">IF(OR(Tasks[[#This Row],[Task Name]]="",Tasks[[#This Row],[Baseline Duration]]=""),"",Tasks[[#This Row],[BL Source Duration]]-N(Tasks[[#This Row],[Baseline Duration]]))</f>
        <v/>
      </c>
      <c r="AZ58" s="42" t="str">
        <f aca="false">IF(OR(Tasks[[#This Row],[Task Name]]="",Tasks[[#This Row],[Baseline Work]]=""),"",Tasks[[#This Row],[Work]]-N(Tasks[[#This Row],[Baseline Work]]))</f>
        <v/>
      </c>
      <c r="BA58" s="43" t="str">
        <f aca="false">IF(OR(Tasks[[#This Row],[Task Name]]="",Tasks[[#This Row],[Baseline Cost]]=""),"",Tasks[[#This Row],[Cost]]-N(Tasks[[#This Row],[Baseline Cost]]))</f>
        <v/>
      </c>
      <c r="BB58" s="46" t="str">
        <f aca="false">IF(Tasks[[#This Row],[Task Name]]="","",MAX(1,N(Tasks[[#This Row],[Level]])))</f>
        <v/>
      </c>
      <c r="BC58" s="46" t="n">
        <f aca="false">ROW()-ROW(Tasks[[#Headers],[ID]])</f>
        <v>53</v>
      </c>
      <c r="BD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8" s="46" t="n">
        <f aca="false">IFERROR(N(INDEX(Tasks[_Level],Tasks[[#This Row],[_Row]]+1)),0)</f>
        <v>0</v>
      </c>
      <c r="BF58" s="47" t="b">
        <f aca="false">AND(Tasks[[#This Row],[Task Name]]&lt;&gt;"",Tasks[[#This Row],[_NextLevel]]&gt;Tasks[[#This Row],[_Level]])</f>
        <v>0</v>
      </c>
      <c r="BG58" s="46" t="n">
        <f aca="false">IF(Tasks[[#This Row],[_IsSummary]],COUNTIF(Tasks[WBS],Tasks[[#This Row],[WBS]]&amp;".*"),0)</f>
        <v>0</v>
      </c>
      <c r="BH58" s="46" t="n">
        <f aca="false">IF(AND(Tasks[[#This Row],[Task Name]]&lt;&gt;"",NOT(Tasks[[#This Row],[_IsSummary]])),1,0)</f>
        <v>0</v>
      </c>
      <c r="BI58" s="46" t="n">
        <f aca="false">IF(N(Tasks[[#This Row],[Pred1 UID]])=0,0,IFERROR(MATCH(Tasks[[#This Row],[Pred1 UID]],Tasks[UID],0),-1))</f>
        <v>0</v>
      </c>
      <c r="BJ58" s="46" t="n">
        <f aca="false">IF(N(Tasks[[#This Row],[Pred2 UID]])=0,0,IFERROR(MATCH(Tasks[[#This Row],[Pred2 UID]],Tasks[UID],0),-1))</f>
        <v>0</v>
      </c>
      <c r="BK5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8" s="46" t="n">
        <f aca="false">IF(NOT(Tasks[[#This Row],[_IsLeaf]]=1),0,IF(N(Tasks[[#This Row],[Actual Finish]])&gt;0,1,MIN(1,N(Tasks[[#This Row],[% Complete]]))))</f>
        <v>0</v>
      </c>
      <c r="BP5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8" s="46" t="n">
        <f aca="false">IF(Tasks[[#This Row],[_LeafWork]]=0,0,Tasks[[#This Row],[_LeafWork]]*IFERROR(INDEX(res_Rate,MATCH(Tasks[[#This Row],[Resource]],res_Name,0)),0))</f>
        <v>0</v>
      </c>
      <c r="BR5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8" s="46" t="n">
        <f aca="false">IF(NOT(Tasks[[#This Row],[_IsLeaf]]=1),0,MAX(_xlfn.MAXIFS(Tasks[_Row],Tasks[Pred1 UID],Tasks[[#This Row],[UID]]),_xlfn.MAXIFS(Tasks[_Row],Tasks[Pred2 UID],Tasks[[#This Row],[UID]])))</f>
        <v>0</v>
      </c>
      <c r="BW5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8" s="48" t="str">
        <f aca="false">IF(NOT(Tasks[[#This Row],[_IsLeaf]]=1),"",MIN(ProjectFinish,IF(N(Tasks[[#This Row],[Deadline]])&gt;0,Tasks[[#This Row],[Deadline]],2958465),Tasks[[#This Row],[_SuccessorFinishLimit]]))</f>
        <v/>
      </c>
      <c r="BY5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8" s="47" t="b">
        <f aca="false">AND(Tasks[[#This Row],[_IsLeaf]]=1,Tasks[[#This Row],[_LeafProgress]]&lt;1,N(Tasks[[#This Row],[_LeafTotalSlack]])&lt;=CriticalSlackDays)</f>
        <v>0</v>
      </c>
      <c r="CB5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8" s="46" t="n">
        <f aca="false">IF(AND(Tasks[[#This Row],[_IsLeaf]]=1,Tasks[[#This Row],[_LeafWork]]&gt;0),NETWORKDAYS.INTL(ProjectStart,Tasks[[#This Row],[_LeafFcstStart]],WorkWeek,Holidays),0)</f>
        <v>0</v>
      </c>
      <c r="CK5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8" s="46" t="n">
        <f aca="false">IF(AND(Tasks[[#This Row],[_IsLeaf]]=1,Tasks[[#This Row],[_LeafWork]]&gt;0),Tasks[[#This Row],[_LeafWork]]/(Tasks[[#This Row],[_FinishWorkday]]-Tasks[[#This Row],[_StartWorkday]]+1),0)</f>
        <v>0</v>
      </c>
      <c r="CM58" s="46" t="n">
        <f aca="false">Tasks[[#This Row],[_WorkPerWorkday]]*(Tasks[[#This Row],[_StartWorkday]]-1)</f>
        <v>-0</v>
      </c>
      <c r="CN58" s="46" t="n">
        <f aca="false">IF(Tasks[[#This Row],[_IsLeaf]]=1,MAX(N(Tasks[[#This Row],[Duration]]),0.1),0)</f>
        <v>0</v>
      </c>
      <c r="CO58" s="46" t="n">
        <f aca="false">Tasks[[#This Row],[_WeightDur]]*Tasks[[#This Row],[_LeafProgress]]</f>
        <v>0</v>
      </c>
      <c r="CP5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39"/>
      <c r="E59" s="40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9" s="31"/>
      <c r="AF5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9" s="40"/>
      <c r="AI59" s="31"/>
      <c r="AJ5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9" s="40"/>
      <c r="AO59" s="24" t="str">
        <f aca="false">IF(Tasks[[#This Row],[Task Name]]="","",Tasks[[#This Row],[Forecast Start]])</f>
        <v/>
      </c>
      <c r="AP59" s="24" t="str">
        <f aca="false">IF(Tasks[[#This Row],[Task Name]]="","",Tasks[[#This Row],[Forecast Finish]])</f>
        <v/>
      </c>
      <c r="AQ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9" s="42" t="str">
        <f aca="false">IF(Tasks[[#This Row],[Task Name]]="","",Tasks[[#This Row],[Work]])</f>
        <v/>
      </c>
      <c r="AS59" s="43" t="str">
        <f aca="false">IF(Tasks[[#This Row],[Task Name]]="","",Tasks[[#This Row],[Cost]])</f>
        <v/>
      </c>
      <c r="AT59" s="29"/>
      <c r="AU59" s="29"/>
      <c r="AV59" s="39"/>
      <c r="AW59" s="44"/>
      <c r="AX59" s="45"/>
      <c r="AY59" s="38" t="str">
        <f aca="false">IF(OR(Tasks[[#This Row],[Task Name]]="",Tasks[[#This Row],[Baseline Duration]]=""),"",Tasks[[#This Row],[BL Source Duration]]-N(Tasks[[#This Row],[Baseline Duration]]))</f>
        <v/>
      </c>
      <c r="AZ59" s="42" t="str">
        <f aca="false">IF(OR(Tasks[[#This Row],[Task Name]]="",Tasks[[#This Row],[Baseline Work]]=""),"",Tasks[[#This Row],[Work]]-N(Tasks[[#This Row],[Baseline Work]]))</f>
        <v/>
      </c>
      <c r="BA59" s="43" t="str">
        <f aca="false">IF(OR(Tasks[[#This Row],[Task Name]]="",Tasks[[#This Row],[Baseline Cost]]=""),"",Tasks[[#This Row],[Cost]]-N(Tasks[[#This Row],[Baseline Cost]]))</f>
        <v/>
      </c>
      <c r="BB59" s="46" t="str">
        <f aca="false">IF(Tasks[[#This Row],[Task Name]]="","",MAX(1,N(Tasks[[#This Row],[Level]])))</f>
        <v/>
      </c>
      <c r="BC59" s="46" t="n">
        <f aca="false">ROW()-ROW(Tasks[[#Headers],[ID]])</f>
        <v>54</v>
      </c>
      <c r="BD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9" s="46" t="n">
        <f aca="false">IFERROR(N(INDEX(Tasks[_Level],Tasks[[#This Row],[_Row]]+1)),0)</f>
        <v>0</v>
      </c>
      <c r="BF59" s="47" t="b">
        <f aca="false">AND(Tasks[[#This Row],[Task Name]]&lt;&gt;"",Tasks[[#This Row],[_NextLevel]]&gt;Tasks[[#This Row],[_Level]])</f>
        <v>0</v>
      </c>
      <c r="BG59" s="46" t="n">
        <f aca="false">IF(Tasks[[#This Row],[_IsSummary]],COUNTIF(Tasks[WBS],Tasks[[#This Row],[WBS]]&amp;".*"),0)</f>
        <v>0</v>
      </c>
      <c r="BH59" s="46" t="n">
        <f aca="false">IF(AND(Tasks[[#This Row],[Task Name]]&lt;&gt;"",NOT(Tasks[[#This Row],[_IsSummary]])),1,0)</f>
        <v>0</v>
      </c>
      <c r="BI59" s="46" t="n">
        <f aca="false">IF(N(Tasks[[#This Row],[Pred1 UID]])=0,0,IFERROR(MATCH(Tasks[[#This Row],[Pred1 UID]],Tasks[UID],0),-1))</f>
        <v>0</v>
      </c>
      <c r="BJ59" s="46" t="n">
        <f aca="false">IF(N(Tasks[[#This Row],[Pred2 UID]])=0,0,IFERROR(MATCH(Tasks[[#This Row],[Pred2 UID]],Tasks[UID],0),-1))</f>
        <v>0</v>
      </c>
      <c r="BK5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9" s="46" t="n">
        <f aca="false">IF(NOT(Tasks[[#This Row],[_IsLeaf]]=1),0,IF(N(Tasks[[#This Row],[Actual Finish]])&gt;0,1,MIN(1,N(Tasks[[#This Row],[% Complete]]))))</f>
        <v>0</v>
      </c>
      <c r="BP5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59" s="46" t="n">
        <f aca="false">IF(Tasks[[#This Row],[_LeafWork]]=0,0,Tasks[[#This Row],[_LeafWork]]*IFERROR(INDEX(res_Rate,MATCH(Tasks[[#This Row],[Resource]],res_Name,0)),0))</f>
        <v>0</v>
      </c>
      <c r="BR5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9" s="46" t="n">
        <f aca="false">IF(NOT(Tasks[[#This Row],[_IsLeaf]]=1),0,MAX(_xlfn.MAXIFS(Tasks[_Row],Tasks[Pred1 UID],Tasks[[#This Row],[UID]]),_xlfn.MAXIFS(Tasks[_Row],Tasks[Pred2 UID],Tasks[[#This Row],[UID]])))</f>
        <v>0</v>
      </c>
      <c r="BW5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9" s="48" t="str">
        <f aca="false">IF(NOT(Tasks[[#This Row],[_IsLeaf]]=1),"",MIN(ProjectFinish,IF(N(Tasks[[#This Row],[Deadline]])&gt;0,Tasks[[#This Row],[Deadline]],2958465),Tasks[[#This Row],[_SuccessorFinishLimit]]))</f>
        <v/>
      </c>
      <c r="BY5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9" s="47" t="b">
        <f aca="false">AND(Tasks[[#This Row],[_IsLeaf]]=1,Tasks[[#This Row],[_LeafProgress]]&lt;1,N(Tasks[[#This Row],[_LeafTotalSlack]])&lt;=CriticalSlackDays)</f>
        <v>0</v>
      </c>
      <c r="CB5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9" s="46" t="n">
        <f aca="false">IF(AND(Tasks[[#This Row],[_IsLeaf]]=1,Tasks[[#This Row],[_LeafWork]]&gt;0),NETWORKDAYS.INTL(ProjectStart,Tasks[[#This Row],[_LeafFcstStart]],WorkWeek,Holidays),0)</f>
        <v>0</v>
      </c>
      <c r="CK5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9" s="46" t="n">
        <f aca="false">IF(AND(Tasks[[#This Row],[_IsLeaf]]=1,Tasks[[#This Row],[_LeafWork]]&gt;0),Tasks[[#This Row],[_LeafWork]]/(Tasks[[#This Row],[_FinishWorkday]]-Tasks[[#This Row],[_StartWorkday]]+1),0)</f>
        <v>0</v>
      </c>
      <c r="CM59" s="46" t="n">
        <f aca="false">Tasks[[#This Row],[_WorkPerWorkday]]*(Tasks[[#This Row],[_StartWorkday]]-1)</f>
        <v>-0</v>
      </c>
      <c r="CN59" s="46" t="n">
        <f aca="false">IF(Tasks[[#This Row],[_IsLeaf]]=1,MAX(N(Tasks[[#This Row],[Duration]]),0.1),0)</f>
        <v>0</v>
      </c>
      <c r="CO59" s="46" t="n">
        <f aca="false">Tasks[[#This Row],[_WeightDur]]*Tasks[[#This Row],[_LeafProgress]]</f>
        <v>0</v>
      </c>
      <c r="CP5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39"/>
      <c r="E60" s="40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0" s="31"/>
      <c r="AF6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0" s="40"/>
      <c r="AI60" s="31"/>
      <c r="AJ6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0" s="40"/>
      <c r="AO60" s="24" t="str">
        <f aca="false">IF(Tasks[[#This Row],[Task Name]]="","",Tasks[[#This Row],[Forecast Start]])</f>
        <v/>
      </c>
      <c r="AP60" s="24" t="str">
        <f aca="false">IF(Tasks[[#This Row],[Task Name]]="","",Tasks[[#This Row],[Forecast Finish]])</f>
        <v/>
      </c>
      <c r="AQ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0" s="42" t="str">
        <f aca="false">IF(Tasks[[#This Row],[Task Name]]="","",Tasks[[#This Row],[Work]])</f>
        <v/>
      </c>
      <c r="AS60" s="43" t="str">
        <f aca="false">IF(Tasks[[#This Row],[Task Name]]="","",Tasks[[#This Row],[Cost]])</f>
        <v/>
      </c>
      <c r="AT60" s="29"/>
      <c r="AU60" s="29"/>
      <c r="AV60" s="39"/>
      <c r="AW60" s="44"/>
      <c r="AX60" s="45"/>
      <c r="AY60" s="38" t="str">
        <f aca="false">IF(OR(Tasks[[#This Row],[Task Name]]="",Tasks[[#This Row],[Baseline Duration]]=""),"",Tasks[[#This Row],[BL Source Duration]]-N(Tasks[[#This Row],[Baseline Duration]]))</f>
        <v/>
      </c>
      <c r="AZ60" s="42" t="str">
        <f aca="false">IF(OR(Tasks[[#This Row],[Task Name]]="",Tasks[[#This Row],[Baseline Work]]=""),"",Tasks[[#This Row],[Work]]-N(Tasks[[#This Row],[Baseline Work]]))</f>
        <v/>
      </c>
      <c r="BA60" s="43" t="str">
        <f aca="false">IF(OR(Tasks[[#This Row],[Task Name]]="",Tasks[[#This Row],[Baseline Cost]]=""),"",Tasks[[#This Row],[Cost]]-N(Tasks[[#This Row],[Baseline Cost]]))</f>
        <v/>
      </c>
      <c r="BB60" s="46" t="str">
        <f aca="false">IF(Tasks[[#This Row],[Task Name]]="","",MAX(1,N(Tasks[[#This Row],[Level]])))</f>
        <v/>
      </c>
      <c r="BC60" s="46" t="n">
        <f aca="false">ROW()-ROW(Tasks[[#Headers],[ID]])</f>
        <v>55</v>
      </c>
      <c r="BD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0" s="46" t="n">
        <f aca="false">IFERROR(N(INDEX(Tasks[_Level],Tasks[[#This Row],[_Row]]+1)),0)</f>
        <v>0</v>
      </c>
      <c r="BF60" s="47" t="b">
        <f aca="false">AND(Tasks[[#This Row],[Task Name]]&lt;&gt;"",Tasks[[#This Row],[_NextLevel]]&gt;Tasks[[#This Row],[_Level]])</f>
        <v>0</v>
      </c>
      <c r="BG60" s="46" t="n">
        <f aca="false">IF(Tasks[[#This Row],[_IsSummary]],COUNTIF(Tasks[WBS],Tasks[[#This Row],[WBS]]&amp;".*"),0)</f>
        <v>0</v>
      </c>
      <c r="BH60" s="46" t="n">
        <f aca="false">IF(AND(Tasks[[#This Row],[Task Name]]&lt;&gt;"",NOT(Tasks[[#This Row],[_IsSummary]])),1,0)</f>
        <v>0</v>
      </c>
      <c r="BI60" s="46" t="n">
        <f aca="false">IF(N(Tasks[[#This Row],[Pred1 UID]])=0,0,IFERROR(MATCH(Tasks[[#This Row],[Pred1 UID]],Tasks[UID],0),-1))</f>
        <v>0</v>
      </c>
      <c r="BJ60" s="46" t="n">
        <f aca="false">IF(N(Tasks[[#This Row],[Pred2 UID]])=0,0,IFERROR(MATCH(Tasks[[#This Row],[Pred2 UID]],Tasks[UID],0),-1))</f>
        <v>0</v>
      </c>
      <c r="BK6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0" s="46" t="n">
        <f aca="false">IF(NOT(Tasks[[#This Row],[_IsLeaf]]=1),0,IF(N(Tasks[[#This Row],[Actual Finish]])&gt;0,1,MIN(1,N(Tasks[[#This Row],[% Complete]]))))</f>
        <v>0</v>
      </c>
      <c r="BP6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0" s="46" t="n">
        <f aca="false">IF(Tasks[[#This Row],[_LeafWork]]=0,0,Tasks[[#This Row],[_LeafWork]]*IFERROR(INDEX(res_Rate,MATCH(Tasks[[#This Row],[Resource]],res_Name,0)),0))</f>
        <v>0</v>
      </c>
      <c r="BR6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0" s="46" t="n">
        <f aca="false">IF(NOT(Tasks[[#This Row],[_IsLeaf]]=1),0,MAX(_xlfn.MAXIFS(Tasks[_Row],Tasks[Pred1 UID],Tasks[[#This Row],[UID]]),_xlfn.MAXIFS(Tasks[_Row],Tasks[Pred2 UID],Tasks[[#This Row],[UID]])))</f>
        <v>0</v>
      </c>
      <c r="BW6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0" s="48" t="str">
        <f aca="false">IF(NOT(Tasks[[#This Row],[_IsLeaf]]=1),"",MIN(ProjectFinish,IF(N(Tasks[[#This Row],[Deadline]])&gt;0,Tasks[[#This Row],[Deadline]],2958465),Tasks[[#This Row],[_SuccessorFinishLimit]]))</f>
        <v/>
      </c>
      <c r="BY6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0" s="47" t="b">
        <f aca="false">AND(Tasks[[#This Row],[_IsLeaf]]=1,Tasks[[#This Row],[_LeafProgress]]&lt;1,N(Tasks[[#This Row],[_LeafTotalSlack]])&lt;=CriticalSlackDays)</f>
        <v>0</v>
      </c>
      <c r="CB6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0" s="46" t="n">
        <f aca="false">IF(AND(Tasks[[#This Row],[_IsLeaf]]=1,Tasks[[#This Row],[_LeafWork]]&gt;0),NETWORKDAYS.INTL(ProjectStart,Tasks[[#This Row],[_LeafFcstStart]],WorkWeek,Holidays),0)</f>
        <v>0</v>
      </c>
      <c r="CK6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0" s="46" t="n">
        <f aca="false">IF(AND(Tasks[[#This Row],[_IsLeaf]]=1,Tasks[[#This Row],[_LeafWork]]&gt;0),Tasks[[#This Row],[_LeafWork]]/(Tasks[[#This Row],[_FinishWorkday]]-Tasks[[#This Row],[_StartWorkday]]+1),0)</f>
        <v>0</v>
      </c>
      <c r="CM60" s="46" t="n">
        <f aca="false">Tasks[[#This Row],[_WorkPerWorkday]]*(Tasks[[#This Row],[_StartWorkday]]-1)</f>
        <v>-0</v>
      </c>
      <c r="CN60" s="46" t="n">
        <f aca="false">IF(Tasks[[#This Row],[_IsLeaf]]=1,MAX(N(Tasks[[#This Row],[Duration]]),0.1),0)</f>
        <v>0</v>
      </c>
      <c r="CO60" s="46" t="n">
        <f aca="false">Tasks[[#This Row],[_WeightDur]]*Tasks[[#This Row],[_LeafProgress]]</f>
        <v>0</v>
      </c>
      <c r="CP6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39"/>
      <c r="E61" s="40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1" s="31"/>
      <c r="AF6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1" s="40"/>
      <c r="AI61" s="31"/>
      <c r="AJ6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1" s="40"/>
      <c r="AO61" s="24" t="str">
        <f aca="false">IF(Tasks[[#This Row],[Task Name]]="","",Tasks[[#This Row],[Forecast Start]])</f>
        <v/>
      </c>
      <c r="AP61" s="24" t="str">
        <f aca="false">IF(Tasks[[#This Row],[Task Name]]="","",Tasks[[#This Row],[Forecast Finish]])</f>
        <v/>
      </c>
      <c r="AQ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1" s="42" t="str">
        <f aca="false">IF(Tasks[[#This Row],[Task Name]]="","",Tasks[[#This Row],[Work]])</f>
        <v/>
      </c>
      <c r="AS61" s="43" t="str">
        <f aca="false">IF(Tasks[[#This Row],[Task Name]]="","",Tasks[[#This Row],[Cost]])</f>
        <v/>
      </c>
      <c r="AT61" s="29"/>
      <c r="AU61" s="29"/>
      <c r="AV61" s="39"/>
      <c r="AW61" s="44"/>
      <c r="AX61" s="45"/>
      <c r="AY61" s="38" t="str">
        <f aca="false">IF(OR(Tasks[[#This Row],[Task Name]]="",Tasks[[#This Row],[Baseline Duration]]=""),"",Tasks[[#This Row],[BL Source Duration]]-N(Tasks[[#This Row],[Baseline Duration]]))</f>
        <v/>
      </c>
      <c r="AZ61" s="42" t="str">
        <f aca="false">IF(OR(Tasks[[#This Row],[Task Name]]="",Tasks[[#This Row],[Baseline Work]]=""),"",Tasks[[#This Row],[Work]]-N(Tasks[[#This Row],[Baseline Work]]))</f>
        <v/>
      </c>
      <c r="BA61" s="43" t="str">
        <f aca="false">IF(OR(Tasks[[#This Row],[Task Name]]="",Tasks[[#This Row],[Baseline Cost]]=""),"",Tasks[[#This Row],[Cost]]-N(Tasks[[#This Row],[Baseline Cost]]))</f>
        <v/>
      </c>
      <c r="BB61" s="46" t="str">
        <f aca="false">IF(Tasks[[#This Row],[Task Name]]="","",MAX(1,N(Tasks[[#This Row],[Level]])))</f>
        <v/>
      </c>
      <c r="BC61" s="46" t="n">
        <f aca="false">ROW()-ROW(Tasks[[#Headers],[ID]])</f>
        <v>56</v>
      </c>
      <c r="BD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1" s="46" t="n">
        <f aca="false">IFERROR(N(INDEX(Tasks[_Level],Tasks[[#This Row],[_Row]]+1)),0)</f>
        <v>0</v>
      </c>
      <c r="BF61" s="47" t="b">
        <f aca="false">AND(Tasks[[#This Row],[Task Name]]&lt;&gt;"",Tasks[[#This Row],[_NextLevel]]&gt;Tasks[[#This Row],[_Level]])</f>
        <v>0</v>
      </c>
      <c r="BG61" s="46" t="n">
        <f aca="false">IF(Tasks[[#This Row],[_IsSummary]],COUNTIF(Tasks[WBS],Tasks[[#This Row],[WBS]]&amp;".*"),0)</f>
        <v>0</v>
      </c>
      <c r="BH61" s="46" t="n">
        <f aca="false">IF(AND(Tasks[[#This Row],[Task Name]]&lt;&gt;"",NOT(Tasks[[#This Row],[_IsSummary]])),1,0)</f>
        <v>0</v>
      </c>
      <c r="BI61" s="46" t="n">
        <f aca="false">IF(N(Tasks[[#This Row],[Pred1 UID]])=0,0,IFERROR(MATCH(Tasks[[#This Row],[Pred1 UID]],Tasks[UID],0),-1))</f>
        <v>0</v>
      </c>
      <c r="BJ61" s="46" t="n">
        <f aca="false">IF(N(Tasks[[#This Row],[Pred2 UID]])=0,0,IFERROR(MATCH(Tasks[[#This Row],[Pred2 UID]],Tasks[UID],0),-1))</f>
        <v>0</v>
      </c>
      <c r="BK6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1" s="46" t="n">
        <f aca="false">IF(NOT(Tasks[[#This Row],[_IsLeaf]]=1),0,IF(N(Tasks[[#This Row],[Actual Finish]])&gt;0,1,MIN(1,N(Tasks[[#This Row],[% Complete]]))))</f>
        <v>0</v>
      </c>
      <c r="BP6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1" s="46" t="n">
        <f aca="false">IF(Tasks[[#This Row],[_LeafWork]]=0,0,Tasks[[#This Row],[_LeafWork]]*IFERROR(INDEX(res_Rate,MATCH(Tasks[[#This Row],[Resource]],res_Name,0)),0))</f>
        <v>0</v>
      </c>
      <c r="BR6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1" s="46" t="n">
        <f aca="false">IF(NOT(Tasks[[#This Row],[_IsLeaf]]=1),0,MAX(_xlfn.MAXIFS(Tasks[_Row],Tasks[Pred1 UID],Tasks[[#This Row],[UID]]),_xlfn.MAXIFS(Tasks[_Row],Tasks[Pred2 UID],Tasks[[#This Row],[UID]])))</f>
        <v>0</v>
      </c>
      <c r="BW6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1" s="48" t="str">
        <f aca="false">IF(NOT(Tasks[[#This Row],[_IsLeaf]]=1),"",MIN(ProjectFinish,IF(N(Tasks[[#This Row],[Deadline]])&gt;0,Tasks[[#This Row],[Deadline]],2958465),Tasks[[#This Row],[_SuccessorFinishLimit]]))</f>
        <v/>
      </c>
      <c r="BY6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1" s="47" t="b">
        <f aca="false">AND(Tasks[[#This Row],[_IsLeaf]]=1,Tasks[[#This Row],[_LeafProgress]]&lt;1,N(Tasks[[#This Row],[_LeafTotalSlack]])&lt;=CriticalSlackDays)</f>
        <v>0</v>
      </c>
      <c r="CB6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1" s="46" t="n">
        <f aca="false">IF(AND(Tasks[[#This Row],[_IsLeaf]]=1,Tasks[[#This Row],[_LeafWork]]&gt;0),NETWORKDAYS.INTL(ProjectStart,Tasks[[#This Row],[_LeafFcstStart]],WorkWeek,Holidays),0)</f>
        <v>0</v>
      </c>
      <c r="CK6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1" s="46" t="n">
        <f aca="false">IF(AND(Tasks[[#This Row],[_IsLeaf]]=1,Tasks[[#This Row],[_LeafWork]]&gt;0),Tasks[[#This Row],[_LeafWork]]/(Tasks[[#This Row],[_FinishWorkday]]-Tasks[[#This Row],[_StartWorkday]]+1),0)</f>
        <v>0</v>
      </c>
      <c r="CM61" s="46" t="n">
        <f aca="false">Tasks[[#This Row],[_WorkPerWorkday]]*(Tasks[[#This Row],[_StartWorkday]]-1)</f>
        <v>-0</v>
      </c>
      <c r="CN61" s="46" t="n">
        <f aca="false">IF(Tasks[[#This Row],[_IsLeaf]]=1,MAX(N(Tasks[[#This Row],[Duration]]),0.1),0)</f>
        <v>0</v>
      </c>
      <c r="CO61" s="46" t="n">
        <f aca="false">Tasks[[#This Row],[_WeightDur]]*Tasks[[#This Row],[_LeafProgress]]</f>
        <v>0</v>
      </c>
      <c r="CP6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39"/>
      <c r="E62" s="40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2" s="31"/>
      <c r="AF6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2" s="40"/>
      <c r="AI62" s="31"/>
      <c r="AJ6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2" s="40"/>
      <c r="AO62" s="24" t="str">
        <f aca="false">IF(Tasks[[#This Row],[Task Name]]="","",Tasks[[#This Row],[Forecast Start]])</f>
        <v/>
      </c>
      <c r="AP62" s="24" t="str">
        <f aca="false">IF(Tasks[[#This Row],[Task Name]]="","",Tasks[[#This Row],[Forecast Finish]])</f>
        <v/>
      </c>
      <c r="AQ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2" s="42" t="str">
        <f aca="false">IF(Tasks[[#This Row],[Task Name]]="","",Tasks[[#This Row],[Work]])</f>
        <v/>
      </c>
      <c r="AS62" s="43" t="str">
        <f aca="false">IF(Tasks[[#This Row],[Task Name]]="","",Tasks[[#This Row],[Cost]])</f>
        <v/>
      </c>
      <c r="AT62" s="29"/>
      <c r="AU62" s="29"/>
      <c r="AV62" s="39"/>
      <c r="AW62" s="44"/>
      <c r="AX62" s="45"/>
      <c r="AY62" s="38" t="str">
        <f aca="false">IF(OR(Tasks[[#This Row],[Task Name]]="",Tasks[[#This Row],[Baseline Duration]]=""),"",Tasks[[#This Row],[BL Source Duration]]-N(Tasks[[#This Row],[Baseline Duration]]))</f>
        <v/>
      </c>
      <c r="AZ62" s="42" t="str">
        <f aca="false">IF(OR(Tasks[[#This Row],[Task Name]]="",Tasks[[#This Row],[Baseline Work]]=""),"",Tasks[[#This Row],[Work]]-N(Tasks[[#This Row],[Baseline Work]]))</f>
        <v/>
      </c>
      <c r="BA62" s="43" t="str">
        <f aca="false">IF(OR(Tasks[[#This Row],[Task Name]]="",Tasks[[#This Row],[Baseline Cost]]=""),"",Tasks[[#This Row],[Cost]]-N(Tasks[[#This Row],[Baseline Cost]]))</f>
        <v/>
      </c>
      <c r="BB62" s="46" t="str">
        <f aca="false">IF(Tasks[[#This Row],[Task Name]]="","",MAX(1,N(Tasks[[#This Row],[Level]])))</f>
        <v/>
      </c>
      <c r="BC62" s="46" t="n">
        <f aca="false">ROW()-ROW(Tasks[[#Headers],[ID]])</f>
        <v>57</v>
      </c>
      <c r="BD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2" s="46" t="n">
        <f aca="false">IFERROR(N(INDEX(Tasks[_Level],Tasks[[#This Row],[_Row]]+1)),0)</f>
        <v>0</v>
      </c>
      <c r="BF62" s="47" t="b">
        <f aca="false">AND(Tasks[[#This Row],[Task Name]]&lt;&gt;"",Tasks[[#This Row],[_NextLevel]]&gt;Tasks[[#This Row],[_Level]])</f>
        <v>0</v>
      </c>
      <c r="BG62" s="46" t="n">
        <f aca="false">IF(Tasks[[#This Row],[_IsSummary]],COUNTIF(Tasks[WBS],Tasks[[#This Row],[WBS]]&amp;".*"),0)</f>
        <v>0</v>
      </c>
      <c r="BH62" s="46" t="n">
        <f aca="false">IF(AND(Tasks[[#This Row],[Task Name]]&lt;&gt;"",NOT(Tasks[[#This Row],[_IsSummary]])),1,0)</f>
        <v>0</v>
      </c>
      <c r="BI62" s="46" t="n">
        <f aca="false">IF(N(Tasks[[#This Row],[Pred1 UID]])=0,0,IFERROR(MATCH(Tasks[[#This Row],[Pred1 UID]],Tasks[UID],0),-1))</f>
        <v>0</v>
      </c>
      <c r="BJ62" s="46" t="n">
        <f aca="false">IF(N(Tasks[[#This Row],[Pred2 UID]])=0,0,IFERROR(MATCH(Tasks[[#This Row],[Pred2 UID]],Tasks[UID],0),-1))</f>
        <v>0</v>
      </c>
      <c r="BK6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2" s="46" t="n">
        <f aca="false">IF(NOT(Tasks[[#This Row],[_IsLeaf]]=1),0,IF(N(Tasks[[#This Row],[Actual Finish]])&gt;0,1,MIN(1,N(Tasks[[#This Row],[% Complete]]))))</f>
        <v>0</v>
      </c>
      <c r="BP6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2" s="46" t="n">
        <f aca="false">IF(Tasks[[#This Row],[_LeafWork]]=0,0,Tasks[[#This Row],[_LeafWork]]*IFERROR(INDEX(res_Rate,MATCH(Tasks[[#This Row],[Resource]],res_Name,0)),0))</f>
        <v>0</v>
      </c>
      <c r="BR6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2" s="46" t="n">
        <f aca="false">IF(NOT(Tasks[[#This Row],[_IsLeaf]]=1),0,MAX(_xlfn.MAXIFS(Tasks[_Row],Tasks[Pred1 UID],Tasks[[#This Row],[UID]]),_xlfn.MAXIFS(Tasks[_Row],Tasks[Pred2 UID],Tasks[[#This Row],[UID]])))</f>
        <v>0</v>
      </c>
      <c r="BW6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2" s="48" t="str">
        <f aca="false">IF(NOT(Tasks[[#This Row],[_IsLeaf]]=1),"",MIN(ProjectFinish,IF(N(Tasks[[#This Row],[Deadline]])&gt;0,Tasks[[#This Row],[Deadline]],2958465),Tasks[[#This Row],[_SuccessorFinishLimit]]))</f>
        <v/>
      </c>
      <c r="BY6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2" s="47" t="b">
        <f aca="false">AND(Tasks[[#This Row],[_IsLeaf]]=1,Tasks[[#This Row],[_LeafProgress]]&lt;1,N(Tasks[[#This Row],[_LeafTotalSlack]])&lt;=CriticalSlackDays)</f>
        <v>0</v>
      </c>
      <c r="CB6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2" s="46" t="n">
        <f aca="false">IF(AND(Tasks[[#This Row],[_IsLeaf]]=1,Tasks[[#This Row],[_LeafWork]]&gt;0),NETWORKDAYS.INTL(ProjectStart,Tasks[[#This Row],[_LeafFcstStart]],WorkWeek,Holidays),0)</f>
        <v>0</v>
      </c>
      <c r="CK6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2" s="46" t="n">
        <f aca="false">IF(AND(Tasks[[#This Row],[_IsLeaf]]=1,Tasks[[#This Row],[_LeafWork]]&gt;0),Tasks[[#This Row],[_LeafWork]]/(Tasks[[#This Row],[_FinishWorkday]]-Tasks[[#This Row],[_StartWorkday]]+1),0)</f>
        <v>0</v>
      </c>
      <c r="CM62" s="46" t="n">
        <f aca="false">Tasks[[#This Row],[_WorkPerWorkday]]*(Tasks[[#This Row],[_StartWorkday]]-1)</f>
        <v>-0</v>
      </c>
      <c r="CN62" s="46" t="n">
        <f aca="false">IF(Tasks[[#This Row],[_IsLeaf]]=1,MAX(N(Tasks[[#This Row],[Duration]]),0.1),0)</f>
        <v>0</v>
      </c>
      <c r="CO62" s="46" t="n">
        <f aca="false">Tasks[[#This Row],[_WeightDur]]*Tasks[[#This Row],[_LeafProgress]]</f>
        <v>0</v>
      </c>
      <c r="CP6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39"/>
      <c r="E63" s="40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3" s="31"/>
      <c r="AF6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3" s="40"/>
      <c r="AI63" s="31"/>
      <c r="AJ6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3" s="40"/>
      <c r="AO63" s="24" t="str">
        <f aca="false">IF(Tasks[[#This Row],[Task Name]]="","",Tasks[[#This Row],[Forecast Start]])</f>
        <v/>
      </c>
      <c r="AP63" s="24" t="str">
        <f aca="false">IF(Tasks[[#This Row],[Task Name]]="","",Tasks[[#This Row],[Forecast Finish]])</f>
        <v/>
      </c>
      <c r="AQ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3" s="42" t="str">
        <f aca="false">IF(Tasks[[#This Row],[Task Name]]="","",Tasks[[#This Row],[Work]])</f>
        <v/>
      </c>
      <c r="AS63" s="43" t="str">
        <f aca="false">IF(Tasks[[#This Row],[Task Name]]="","",Tasks[[#This Row],[Cost]])</f>
        <v/>
      </c>
      <c r="AT63" s="29"/>
      <c r="AU63" s="29"/>
      <c r="AV63" s="39"/>
      <c r="AW63" s="44"/>
      <c r="AX63" s="45"/>
      <c r="AY63" s="38" t="str">
        <f aca="false">IF(OR(Tasks[[#This Row],[Task Name]]="",Tasks[[#This Row],[Baseline Duration]]=""),"",Tasks[[#This Row],[BL Source Duration]]-N(Tasks[[#This Row],[Baseline Duration]]))</f>
        <v/>
      </c>
      <c r="AZ63" s="42" t="str">
        <f aca="false">IF(OR(Tasks[[#This Row],[Task Name]]="",Tasks[[#This Row],[Baseline Work]]=""),"",Tasks[[#This Row],[Work]]-N(Tasks[[#This Row],[Baseline Work]]))</f>
        <v/>
      </c>
      <c r="BA63" s="43" t="str">
        <f aca="false">IF(OR(Tasks[[#This Row],[Task Name]]="",Tasks[[#This Row],[Baseline Cost]]=""),"",Tasks[[#This Row],[Cost]]-N(Tasks[[#This Row],[Baseline Cost]]))</f>
        <v/>
      </c>
      <c r="BB63" s="46" t="str">
        <f aca="false">IF(Tasks[[#This Row],[Task Name]]="","",MAX(1,N(Tasks[[#This Row],[Level]])))</f>
        <v/>
      </c>
      <c r="BC63" s="46" t="n">
        <f aca="false">ROW()-ROW(Tasks[[#Headers],[ID]])</f>
        <v>58</v>
      </c>
      <c r="BD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3" s="46" t="n">
        <f aca="false">IFERROR(N(INDEX(Tasks[_Level],Tasks[[#This Row],[_Row]]+1)),0)</f>
        <v>0</v>
      </c>
      <c r="BF63" s="47" t="b">
        <f aca="false">AND(Tasks[[#This Row],[Task Name]]&lt;&gt;"",Tasks[[#This Row],[_NextLevel]]&gt;Tasks[[#This Row],[_Level]])</f>
        <v>0</v>
      </c>
      <c r="BG63" s="46" t="n">
        <f aca="false">IF(Tasks[[#This Row],[_IsSummary]],COUNTIF(Tasks[WBS],Tasks[[#This Row],[WBS]]&amp;".*"),0)</f>
        <v>0</v>
      </c>
      <c r="BH63" s="46" t="n">
        <f aca="false">IF(AND(Tasks[[#This Row],[Task Name]]&lt;&gt;"",NOT(Tasks[[#This Row],[_IsSummary]])),1,0)</f>
        <v>0</v>
      </c>
      <c r="BI63" s="46" t="n">
        <f aca="false">IF(N(Tasks[[#This Row],[Pred1 UID]])=0,0,IFERROR(MATCH(Tasks[[#This Row],[Pred1 UID]],Tasks[UID],0),-1))</f>
        <v>0</v>
      </c>
      <c r="BJ63" s="46" t="n">
        <f aca="false">IF(N(Tasks[[#This Row],[Pred2 UID]])=0,0,IFERROR(MATCH(Tasks[[#This Row],[Pred2 UID]],Tasks[UID],0),-1))</f>
        <v>0</v>
      </c>
      <c r="BK6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3" s="46" t="n">
        <f aca="false">IF(NOT(Tasks[[#This Row],[_IsLeaf]]=1),0,IF(N(Tasks[[#This Row],[Actual Finish]])&gt;0,1,MIN(1,N(Tasks[[#This Row],[% Complete]]))))</f>
        <v>0</v>
      </c>
      <c r="BP6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3" s="46" t="n">
        <f aca="false">IF(Tasks[[#This Row],[_LeafWork]]=0,0,Tasks[[#This Row],[_LeafWork]]*IFERROR(INDEX(res_Rate,MATCH(Tasks[[#This Row],[Resource]],res_Name,0)),0))</f>
        <v>0</v>
      </c>
      <c r="BR6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3" s="46" t="n">
        <f aca="false">IF(NOT(Tasks[[#This Row],[_IsLeaf]]=1),0,MAX(_xlfn.MAXIFS(Tasks[_Row],Tasks[Pred1 UID],Tasks[[#This Row],[UID]]),_xlfn.MAXIFS(Tasks[_Row],Tasks[Pred2 UID],Tasks[[#This Row],[UID]])))</f>
        <v>0</v>
      </c>
      <c r="BW6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3" s="48" t="str">
        <f aca="false">IF(NOT(Tasks[[#This Row],[_IsLeaf]]=1),"",MIN(ProjectFinish,IF(N(Tasks[[#This Row],[Deadline]])&gt;0,Tasks[[#This Row],[Deadline]],2958465),Tasks[[#This Row],[_SuccessorFinishLimit]]))</f>
        <v/>
      </c>
      <c r="BY6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3" s="47" t="b">
        <f aca="false">AND(Tasks[[#This Row],[_IsLeaf]]=1,Tasks[[#This Row],[_LeafProgress]]&lt;1,N(Tasks[[#This Row],[_LeafTotalSlack]])&lt;=CriticalSlackDays)</f>
        <v>0</v>
      </c>
      <c r="CB6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3" s="46" t="n">
        <f aca="false">IF(AND(Tasks[[#This Row],[_IsLeaf]]=1,Tasks[[#This Row],[_LeafWork]]&gt;0),NETWORKDAYS.INTL(ProjectStart,Tasks[[#This Row],[_LeafFcstStart]],WorkWeek,Holidays),0)</f>
        <v>0</v>
      </c>
      <c r="CK6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3" s="46" t="n">
        <f aca="false">IF(AND(Tasks[[#This Row],[_IsLeaf]]=1,Tasks[[#This Row],[_LeafWork]]&gt;0),Tasks[[#This Row],[_LeafWork]]/(Tasks[[#This Row],[_FinishWorkday]]-Tasks[[#This Row],[_StartWorkday]]+1),0)</f>
        <v>0</v>
      </c>
      <c r="CM63" s="46" t="n">
        <f aca="false">Tasks[[#This Row],[_WorkPerWorkday]]*(Tasks[[#This Row],[_StartWorkday]]-1)</f>
        <v>-0</v>
      </c>
      <c r="CN63" s="46" t="n">
        <f aca="false">IF(Tasks[[#This Row],[_IsLeaf]]=1,MAX(N(Tasks[[#This Row],[Duration]]),0.1),0)</f>
        <v>0</v>
      </c>
      <c r="CO63" s="46" t="n">
        <f aca="false">Tasks[[#This Row],[_WeightDur]]*Tasks[[#This Row],[_LeafProgress]]</f>
        <v>0</v>
      </c>
      <c r="CP6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39"/>
      <c r="E64" s="40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4" s="31"/>
      <c r="AF6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4" s="40"/>
      <c r="AI64" s="31"/>
      <c r="AJ6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4" s="40"/>
      <c r="AO64" s="24" t="str">
        <f aca="false">IF(Tasks[[#This Row],[Task Name]]="","",Tasks[[#This Row],[Forecast Start]])</f>
        <v/>
      </c>
      <c r="AP64" s="24" t="str">
        <f aca="false">IF(Tasks[[#This Row],[Task Name]]="","",Tasks[[#This Row],[Forecast Finish]])</f>
        <v/>
      </c>
      <c r="AQ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4" s="42" t="str">
        <f aca="false">IF(Tasks[[#This Row],[Task Name]]="","",Tasks[[#This Row],[Work]])</f>
        <v/>
      </c>
      <c r="AS64" s="43" t="str">
        <f aca="false">IF(Tasks[[#This Row],[Task Name]]="","",Tasks[[#This Row],[Cost]])</f>
        <v/>
      </c>
      <c r="AT64" s="29"/>
      <c r="AU64" s="29"/>
      <c r="AV64" s="39"/>
      <c r="AW64" s="44"/>
      <c r="AX64" s="45"/>
      <c r="AY64" s="38" t="str">
        <f aca="false">IF(OR(Tasks[[#This Row],[Task Name]]="",Tasks[[#This Row],[Baseline Duration]]=""),"",Tasks[[#This Row],[BL Source Duration]]-N(Tasks[[#This Row],[Baseline Duration]]))</f>
        <v/>
      </c>
      <c r="AZ64" s="42" t="str">
        <f aca="false">IF(OR(Tasks[[#This Row],[Task Name]]="",Tasks[[#This Row],[Baseline Work]]=""),"",Tasks[[#This Row],[Work]]-N(Tasks[[#This Row],[Baseline Work]]))</f>
        <v/>
      </c>
      <c r="BA64" s="43" t="str">
        <f aca="false">IF(OR(Tasks[[#This Row],[Task Name]]="",Tasks[[#This Row],[Baseline Cost]]=""),"",Tasks[[#This Row],[Cost]]-N(Tasks[[#This Row],[Baseline Cost]]))</f>
        <v/>
      </c>
      <c r="BB64" s="46" t="str">
        <f aca="false">IF(Tasks[[#This Row],[Task Name]]="","",MAX(1,N(Tasks[[#This Row],[Level]])))</f>
        <v/>
      </c>
      <c r="BC64" s="46" t="n">
        <f aca="false">ROW()-ROW(Tasks[[#Headers],[ID]])</f>
        <v>59</v>
      </c>
      <c r="BD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4" s="46" t="n">
        <f aca="false">IFERROR(N(INDEX(Tasks[_Level],Tasks[[#This Row],[_Row]]+1)),0)</f>
        <v>0</v>
      </c>
      <c r="BF64" s="47" t="b">
        <f aca="false">AND(Tasks[[#This Row],[Task Name]]&lt;&gt;"",Tasks[[#This Row],[_NextLevel]]&gt;Tasks[[#This Row],[_Level]])</f>
        <v>0</v>
      </c>
      <c r="BG64" s="46" t="n">
        <f aca="false">IF(Tasks[[#This Row],[_IsSummary]],COUNTIF(Tasks[WBS],Tasks[[#This Row],[WBS]]&amp;".*"),0)</f>
        <v>0</v>
      </c>
      <c r="BH64" s="46" t="n">
        <f aca="false">IF(AND(Tasks[[#This Row],[Task Name]]&lt;&gt;"",NOT(Tasks[[#This Row],[_IsSummary]])),1,0)</f>
        <v>0</v>
      </c>
      <c r="BI64" s="46" t="n">
        <f aca="false">IF(N(Tasks[[#This Row],[Pred1 UID]])=0,0,IFERROR(MATCH(Tasks[[#This Row],[Pred1 UID]],Tasks[UID],0),-1))</f>
        <v>0</v>
      </c>
      <c r="BJ64" s="46" t="n">
        <f aca="false">IF(N(Tasks[[#This Row],[Pred2 UID]])=0,0,IFERROR(MATCH(Tasks[[#This Row],[Pred2 UID]],Tasks[UID],0),-1))</f>
        <v>0</v>
      </c>
      <c r="BK6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4" s="46" t="n">
        <f aca="false">IF(NOT(Tasks[[#This Row],[_IsLeaf]]=1),0,IF(N(Tasks[[#This Row],[Actual Finish]])&gt;0,1,MIN(1,N(Tasks[[#This Row],[% Complete]]))))</f>
        <v>0</v>
      </c>
      <c r="BP6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4" s="46" t="n">
        <f aca="false">IF(Tasks[[#This Row],[_LeafWork]]=0,0,Tasks[[#This Row],[_LeafWork]]*IFERROR(INDEX(res_Rate,MATCH(Tasks[[#This Row],[Resource]],res_Name,0)),0))</f>
        <v>0</v>
      </c>
      <c r="BR6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4" s="46" t="n">
        <f aca="false">IF(NOT(Tasks[[#This Row],[_IsLeaf]]=1),0,MAX(_xlfn.MAXIFS(Tasks[_Row],Tasks[Pred1 UID],Tasks[[#This Row],[UID]]),_xlfn.MAXIFS(Tasks[_Row],Tasks[Pred2 UID],Tasks[[#This Row],[UID]])))</f>
        <v>0</v>
      </c>
      <c r="BW6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4" s="48" t="str">
        <f aca="false">IF(NOT(Tasks[[#This Row],[_IsLeaf]]=1),"",MIN(ProjectFinish,IF(N(Tasks[[#This Row],[Deadline]])&gt;0,Tasks[[#This Row],[Deadline]],2958465),Tasks[[#This Row],[_SuccessorFinishLimit]]))</f>
        <v/>
      </c>
      <c r="BY6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4" s="47" t="b">
        <f aca="false">AND(Tasks[[#This Row],[_IsLeaf]]=1,Tasks[[#This Row],[_LeafProgress]]&lt;1,N(Tasks[[#This Row],[_LeafTotalSlack]])&lt;=CriticalSlackDays)</f>
        <v>0</v>
      </c>
      <c r="CB6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4" s="46" t="n">
        <f aca="false">IF(AND(Tasks[[#This Row],[_IsLeaf]]=1,Tasks[[#This Row],[_LeafWork]]&gt;0),NETWORKDAYS.INTL(ProjectStart,Tasks[[#This Row],[_LeafFcstStart]],WorkWeek,Holidays),0)</f>
        <v>0</v>
      </c>
      <c r="CK6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4" s="46" t="n">
        <f aca="false">IF(AND(Tasks[[#This Row],[_IsLeaf]]=1,Tasks[[#This Row],[_LeafWork]]&gt;0),Tasks[[#This Row],[_LeafWork]]/(Tasks[[#This Row],[_FinishWorkday]]-Tasks[[#This Row],[_StartWorkday]]+1),0)</f>
        <v>0</v>
      </c>
      <c r="CM64" s="46" t="n">
        <f aca="false">Tasks[[#This Row],[_WorkPerWorkday]]*(Tasks[[#This Row],[_StartWorkday]]-1)</f>
        <v>-0</v>
      </c>
      <c r="CN64" s="46" t="n">
        <f aca="false">IF(Tasks[[#This Row],[_IsLeaf]]=1,MAX(N(Tasks[[#This Row],[Duration]]),0.1),0)</f>
        <v>0</v>
      </c>
      <c r="CO64" s="46" t="n">
        <f aca="false">Tasks[[#This Row],[_WeightDur]]*Tasks[[#This Row],[_LeafProgress]]</f>
        <v>0</v>
      </c>
      <c r="CP6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39"/>
      <c r="E65" s="40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5" s="31"/>
      <c r="AF6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5" s="40"/>
      <c r="AI65" s="31"/>
      <c r="AJ6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5" s="40"/>
      <c r="AO65" s="24" t="str">
        <f aca="false">IF(Tasks[[#This Row],[Task Name]]="","",Tasks[[#This Row],[Forecast Start]])</f>
        <v/>
      </c>
      <c r="AP65" s="24" t="str">
        <f aca="false">IF(Tasks[[#This Row],[Task Name]]="","",Tasks[[#This Row],[Forecast Finish]])</f>
        <v/>
      </c>
      <c r="AQ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5" s="42" t="str">
        <f aca="false">IF(Tasks[[#This Row],[Task Name]]="","",Tasks[[#This Row],[Work]])</f>
        <v/>
      </c>
      <c r="AS65" s="43" t="str">
        <f aca="false">IF(Tasks[[#This Row],[Task Name]]="","",Tasks[[#This Row],[Cost]])</f>
        <v/>
      </c>
      <c r="AT65" s="29"/>
      <c r="AU65" s="29"/>
      <c r="AV65" s="39"/>
      <c r="AW65" s="44"/>
      <c r="AX65" s="45"/>
      <c r="AY65" s="38" t="str">
        <f aca="false">IF(OR(Tasks[[#This Row],[Task Name]]="",Tasks[[#This Row],[Baseline Duration]]=""),"",Tasks[[#This Row],[BL Source Duration]]-N(Tasks[[#This Row],[Baseline Duration]]))</f>
        <v/>
      </c>
      <c r="AZ65" s="42" t="str">
        <f aca="false">IF(OR(Tasks[[#This Row],[Task Name]]="",Tasks[[#This Row],[Baseline Work]]=""),"",Tasks[[#This Row],[Work]]-N(Tasks[[#This Row],[Baseline Work]]))</f>
        <v/>
      </c>
      <c r="BA65" s="43" t="str">
        <f aca="false">IF(OR(Tasks[[#This Row],[Task Name]]="",Tasks[[#This Row],[Baseline Cost]]=""),"",Tasks[[#This Row],[Cost]]-N(Tasks[[#This Row],[Baseline Cost]]))</f>
        <v/>
      </c>
      <c r="BB65" s="46" t="str">
        <f aca="false">IF(Tasks[[#This Row],[Task Name]]="","",MAX(1,N(Tasks[[#This Row],[Level]])))</f>
        <v/>
      </c>
      <c r="BC65" s="46" t="n">
        <f aca="false">ROW()-ROW(Tasks[[#Headers],[ID]])</f>
        <v>60</v>
      </c>
      <c r="BD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5" s="46" t="n">
        <f aca="false">IFERROR(N(INDEX(Tasks[_Level],Tasks[[#This Row],[_Row]]+1)),0)</f>
        <v>0</v>
      </c>
      <c r="BF65" s="47" t="b">
        <f aca="false">AND(Tasks[[#This Row],[Task Name]]&lt;&gt;"",Tasks[[#This Row],[_NextLevel]]&gt;Tasks[[#This Row],[_Level]])</f>
        <v>0</v>
      </c>
      <c r="BG65" s="46" t="n">
        <f aca="false">IF(Tasks[[#This Row],[_IsSummary]],COUNTIF(Tasks[WBS],Tasks[[#This Row],[WBS]]&amp;".*"),0)</f>
        <v>0</v>
      </c>
      <c r="BH65" s="46" t="n">
        <f aca="false">IF(AND(Tasks[[#This Row],[Task Name]]&lt;&gt;"",NOT(Tasks[[#This Row],[_IsSummary]])),1,0)</f>
        <v>0</v>
      </c>
      <c r="BI65" s="46" t="n">
        <f aca="false">IF(N(Tasks[[#This Row],[Pred1 UID]])=0,0,IFERROR(MATCH(Tasks[[#This Row],[Pred1 UID]],Tasks[UID],0),-1))</f>
        <v>0</v>
      </c>
      <c r="BJ65" s="46" t="n">
        <f aca="false">IF(N(Tasks[[#This Row],[Pred2 UID]])=0,0,IFERROR(MATCH(Tasks[[#This Row],[Pred2 UID]],Tasks[UID],0),-1))</f>
        <v>0</v>
      </c>
      <c r="BK6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5" s="46" t="n">
        <f aca="false">IF(NOT(Tasks[[#This Row],[_IsLeaf]]=1),0,IF(N(Tasks[[#This Row],[Actual Finish]])&gt;0,1,MIN(1,N(Tasks[[#This Row],[% Complete]]))))</f>
        <v>0</v>
      </c>
      <c r="BP6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5" s="46" t="n">
        <f aca="false">IF(Tasks[[#This Row],[_LeafWork]]=0,0,Tasks[[#This Row],[_LeafWork]]*IFERROR(INDEX(res_Rate,MATCH(Tasks[[#This Row],[Resource]],res_Name,0)),0))</f>
        <v>0</v>
      </c>
      <c r="BR6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5" s="46" t="n">
        <f aca="false">IF(NOT(Tasks[[#This Row],[_IsLeaf]]=1),0,MAX(_xlfn.MAXIFS(Tasks[_Row],Tasks[Pred1 UID],Tasks[[#This Row],[UID]]),_xlfn.MAXIFS(Tasks[_Row],Tasks[Pred2 UID],Tasks[[#This Row],[UID]])))</f>
        <v>0</v>
      </c>
      <c r="BW6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5" s="48" t="str">
        <f aca="false">IF(NOT(Tasks[[#This Row],[_IsLeaf]]=1),"",MIN(ProjectFinish,IF(N(Tasks[[#This Row],[Deadline]])&gt;0,Tasks[[#This Row],[Deadline]],2958465),Tasks[[#This Row],[_SuccessorFinishLimit]]))</f>
        <v/>
      </c>
      <c r="BY6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5" s="47" t="b">
        <f aca="false">AND(Tasks[[#This Row],[_IsLeaf]]=1,Tasks[[#This Row],[_LeafProgress]]&lt;1,N(Tasks[[#This Row],[_LeafTotalSlack]])&lt;=CriticalSlackDays)</f>
        <v>0</v>
      </c>
      <c r="CB6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5" s="46" t="n">
        <f aca="false">IF(AND(Tasks[[#This Row],[_IsLeaf]]=1,Tasks[[#This Row],[_LeafWork]]&gt;0),NETWORKDAYS.INTL(ProjectStart,Tasks[[#This Row],[_LeafFcstStart]],WorkWeek,Holidays),0)</f>
        <v>0</v>
      </c>
      <c r="CK6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5" s="46" t="n">
        <f aca="false">IF(AND(Tasks[[#This Row],[_IsLeaf]]=1,Tasks[[#This Row],[_LeafWork]]&gt;0),Tasks[[#This Row],[_LeafWork]]/(Tasks[[#This Row],[_FinishWorkday]]-Tasks[[#This Row],[_StartWorkday]]+1),0)</f>
        <v>0</v>
      </c>
      <c r="CM65" s="46" t="n">
        <f aca="false">Tasks[[#This Row],[_WorkPerWorkday]]*(Tasks[[#This Row],[_StartWorkday]]-1)</f>
        <v>-0</v>
      </c>
      <c r="CN65" s="46" t="n">
        <f aca="false">IF(Tasks[[#This Row],[_IsLeaf]]=1,MAX(N(Tasks[[#This Row],[Duration]]),0.1),0)</f>
        <v>0</v>
      </c>
      <c r="CO65" s="46" t="n">
        <f aca="false">Tasks[[#This Row],[_WeightDur]]*Tasks[[#This Row],[_LeafProgress]]</f>
        <v>0</v>
      </c>
      <c r="CP6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39"/>
      <c r="E66" s="40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6" s="31"/>
      <c r="AF6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6" s="40"/>
      <c r="AI66" s="31"/>
      <c r="AJ6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6" s="40"/>
      <c r="AO66" s="24" t="str">
        <f aca="false">IF(Tasks[[#This Row],[Task Name]]="","",Tasks[[#This Row],[Forecast Start]])</f>
        <v/>
      </c>
      <c r="AP66" s="24" t="str">
        <f aca="false">IF(Tasks[[#This Row],[Task Name]]="","",Tasks[[#This Row],[Forecast Finish]])</f>
        <v/>
      </c>
      <c r="AQ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6" s="42" t="str">
        <f aca="false">IF(Tasks[[#This Row],[Task Name]]="","",Tasks[[#This Row],[Work]])</f>
        <v/>
      </c>
      <c r="AS66" s="43" t="str">
        <f aca="false">IF(Tasks[[#This Row],[Task Name]]="","",Tasks[[#This Row],[Cost]])</f>
        <v/>
      </c>
      <c r="AT66" s="29"/>
      <c r="AU66" s="29"/>
      <c r="AV66" s="39"/>
      <c r="AW66" s="44"/>
      <c r="AX66" s="45"/>
      <c r="AY66" s="38" t="str">
        <f aca="false">IF(OR(Tasks[[#This Row],[Task Name]]="",Tasks[[#This Row],[Baseline Duration]]=""),"",Tasks[[#This Row],[BL Source Duration]]-N(Tasks[[#This Row],[Baseline Duration]]))</f>
        <v/>
      </c>
      <c r="AZ66" s="42" t="str">
        <f aca="false">IF(OR(Tasks[[#This Row],[Task Name]]="",Tasks[[#This Row],[Baseline Work]]=""),"",Tasks[[#This Row],[Work]]-N(Tasks[[#This Row],[Baseline Work]]))</f>
        <v/>
      </c>
      <c r="BA66" s="43" t="str">
        <f aca="false">IF(OR(Tasks[[#This Row],[Task Name]]="",Tasks[[#This Row],[Baseline Cost]]=""),"",Tasks[[#This Row],[Cost]]-N(Tasks[[#This Row],[Baseline Cost]]))</f>
        <v/>
      </c>
      <c r="BB66" s="46" t="str">
        <f aca="false">IF(Tasks[[#This Row],[Task Name]]="","",MAX(1,N(Tasks[[#This Row],[Level]])))</f>
        <v/>
      </c>
      <c r="BC66" s="46" t="n">
        <f aca="false">ROW()-ROW(Tasks[[#Headers],[ID]])</f>
        <v>61</v>
      </c>
      <c r="BD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6" s="46" t="n">
        <f aca="false">IFERROR(N(INDEX(Tasks[_Level],Tasks[[#This Row],[_Row]]+1)),0)</f>
        <v>0</v>
      </c>
      <c r="BF66" s="47" t="b">
        <f aca="false">AND(Tasks[[#This Row],[Task Name]]&lt;&gt;"",Tasks[[#This Row],[_NextLevel]]&gt;Tasks[[#This Row],[_Level]])</f>
        <v>0</v>
      </c>
      <c r="BG66" s="46" t="n">
        <f aca="false">IF(Tasks[[#This Row],[_IsSummary]],COUNTIF(Tasks[WBS],Tasks[[#This Row],[WBS]]&amp;".*"),0)</f>
        <v>0</v>
      </c>
      <c r="BH66" s="46" t="n">
        <f aca="false">IF(AND(Tasks[[#This Row],[Task Name]]&lt;&gt;"",NOT(Tasks[[#This Row],[_IsSummary]])),1,0)</f>
        <v>0</v>
      </c>
      <c r="BI66" s="46" t="n">
        <f aca="false">IF(N(Tasks[[#This Row],[Pred1 UID]])=0,0,IFERROR(MATCH(Tasks[[#This Row],[Pred1 UID]],Tasks[UID],0),-1))</f>
        <v>0</v>
      </c>
      <c r="BJ66" s="46" t="n">
        <f aca="false">IF(N(Tasks[[#This Row],[Pred2 UID]])=0,0,IFERROR(MATCH(Tasks[[#This Row],[Pred2 UID]],Tasks[UID],0),-1))</f>
        <v>0</v>
      </c>
      <c r="BK6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6" s="46" t="n">
        <f aca="false">IF(NOT(Tasks[[#This Row],[_IsLeaf]]=1),0,IF(N(Tasks[[#This Row],[Actual Finish]])&gt;0,1,MIN(1,N(Tasks[[#This Row],[% Complete]]))))</f>
        <v>0</v>
      </c>
      <c r="BP6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6" s="46" t="n">
        <f aca="false">IF(Tasks[[#This Row],[_LeafWork]]=0,0,Tasks[[#This Row],[_LeafWork]]*IFERROR(INDEX(res_Rate,MATCH(Tasks[[#This Row],[Resource]],res_Name,0)),0))</f>
        <v>0</v>
      </c>
      <c r="BR6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6" s="46" t="n">
        <f aca="false">IF(NOT(Tasks[[#This Row],[_IsLeaf]]=1),0,MAX(_xlfn.MAXIFS(Tasks[_Row],Tasks[Pred1 UID],Tasks[[#This Row],[UID]]),_xlfn.MAXIFS(Tasks[_Row],Tasks[Pred2 UID],Tasks[[#This Row],[UID]])))</f>
        <v>0</v>
      </c>
      <c r="BW6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6" s="48" t="str">
        <f aca="false">IF(NOT(Tasks[[#This Row],[_IsLeaf]]=1),"",MIN(ProjectFinish,IF(N(Tasks[[#This Row],[Deadline]])&gt;0,Tasks[[#This Row],[Deadline]],2958465),Tasks[[#This Row],[_SuccessorFinishLimit]]))</f>
        <v/>
      </c>
      <c r="BY6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6" s="47" t="b">
        <f aca="false">AND(Tasks[[#This Row],[_IsLeaf]]=1,Tasks[[#This Row],[_LeafProgress]]&lt;1,N(Tasks[[#This Row],[_LeafTotalSlack]])&lt;=CriticalSlackDays)</f>
        <v>0</v>
      </c>
      <c r="CB6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6" s="46" t="n">
        <f aca="false">IF(AND(Tasks[[#This Row],[_IsLeaf]]=1,Tasks[[#This Row],[_LeafWork]]&gt;0),NETWORKDAYS.INTL(ProjectStart,Tasks[[#This Row],[_LeafFcstStart]],WorkWeek,Holidays),0)</f>
        <v>0</v>
      </c>
      <c r="CK6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6" s="46" t="n">
        <f aca="false">IF(AND(Tasks[[#This Row],[_IsLeaf]]=1,Tasks[[#This Row],[_LeafWork]]&gt;0),Tasks[[#This Row],[_LeafWork]]/(Tasks[[#This Row],[_FinishWorkday]]-Tasks[[#This Row],[_StartWorkday]]+1),0)</f>
        <v>0</v>
      </c>
      <c r="CM66" s="46" t="n">
        <f aca="false">Tasks[[#This Row],[_WorkPerWorkday]]*(Tasks[[#This Row],[_StartWorkday]]-1)</f>
        <v>-0</v>
      </c>
      <c r="CN66" s="46" t="n">
        <f aca="false">IF(Tasks[[#This Row],[_IsLeaf]]=1,MAX(N(Tasks[[#This Row],[Duration]]),0.1),0)</f>
        <v>0</v>
      </c>
      <c r="CO66" s="46" t="n">
        <f aca="false">Tasks[[#This Row],[_WeightDur]]*Tasks[[#This Row],[_LeafProgress]]</f>
        <v>0</v>
      </c>
      <c r="CP6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39"/>
      <c r="E67" s="40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7" s="31"/>
      <c r="AF6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7" s="40"/>
      <c r="AI67" s="31"/>
      <c r="AJ6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7" s="40"/>
      <c r="AO67" s="24" t="str">
        <f aca="false">IF(Tasks[[#This Row],[Task Name]]="","",Tasks[[#This Row],[Forecast Start]])</f>
        <v/>
      </c>
      <c r="AP67" s="24" t="str">
        <f aca="false">IF(Tasks[[#This Row],[Task Name]]="","",Tasks[[#This Row],[Forecast Finish]])</f>
        <v/>
      </c>
      <c r="AQ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7" s="42" t="str">
        <f aca="false">IF(Tasks[[#This Row],[Task Name]]="","",Tasks[[#This Row],[Work]])</f>
        <v/>
      </c>
      <c r="AS67" s="43" t="str">
        <f aca="false">IF(Tasks[[#This Row],[Task Name]]="","",Tasks[[#This Row],[Cost]])</f>
        <v/>
      </c>
      <c r="AT67" s="29"/>
      <c r="AU67" s="29"/>
      <c r="AV67" s="39"/>
      <c r="AW67" s="44"/>
      <c r="AX67" s="45"/>
      <c r="AY67" s="38" t="str">
        <f aca="false">IF(OR(Tasks[[#This Row],[Task Name]]="",Tasks[[#This Row],[Baseline Duration]]=""),"",Tasks[[#This Row],[BL Source Duration]]-N(Tasks[[#This Row],[Baseline Duration]]))</f>
        <v/>
      </c>
      <c r="AZ67" s="42" t="str">
        <f aca="false">IF(OR(Tasks[[#This Row],[Task Name]]="",Tasks[[#This Row],[Baseline Work]]=""),"",Tasks[[#This Row],[Work]]-N(Tasks[[#This Row],[Baseline Work]]))</f>
        <v/>
      </c>
      <c r="BA67" s="43" t="str">
        <f aca="false">IF(OR(Tasks[[#This Row],[Task Name]]="",Tasks[[#This Row],[Baseline Cost]]=""),"",Tasks[[#This Row],[Cost]]-N(Tasks[[#This Row],[Baseline Cost]]))</f>
        <v/>
      </c>
      <c r="BB67" s="46" t="str">
        <f aca="false">IF(Tasks[[#This Row],[Task Name]]="","",MAX(1,N(Tasks[[#This Row],[Level]])))</f>
        <v/>
      </c>
      <c r="BC67" s="46" t="n">
        <f aca="false">ROW()-ROW(Tasks[[#Headers],[ID]])</f>
        <v>62</v>
      </c>
      <c r="BD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7" s="46" t="n">
        <f aca="false">IFERROR(N(INDEX(Tasks[_Level],Tasks[[#This Row],[_Row]]+1)),0)</f>
        <v>0</v>
      </c>
      <c r="BF67" s="47" t="b">
        <f aca="false">AND(Tasks[[#This Row],[Task Name]]&lt;&gt;"",Tasks[[#This Row],[_NextLevel]]&gt;Tasks[[#This Row],[_Level]])</f>
        <v>0</v>
      </c>
      <c r="BG67" s="46" t="n">
        <f aca="false">IF(Tasks[[#This Row],[_IsSummary]],COUNTIF(Tasks[WBS],Tasks[[#This Row],[WBS]]&amp;".*"),0)</f>
        <v>0</v>
      </c>
      <c r="BH67" s="46" t="n">
        <f aca="false">IF(AND(Tasks[[#This Row],[Task Name]]&lt;&gt;"",NOT(Tasks[[#This Row],[_IsSummary]])),1,0)</f>
        <v>0</v>
      </c>
      <c r="BI67" s="46" t="n">
        <f aca="false">IF(N(Tasks[[#This Row],[Pred1 UID]])=0,0,IFERROR(MATCH(Tasks[[#This Row],[Pred1 UID]],Tasks[UID],0),-1))</f>
        <v>0</v>
      </c>
      <c r="BJ67" s="46" t="n">
        <f aca="false">IF(N(Tasks[[#This Row],[Pred2 UID]])=0,0,IFERROR(MATCH(Tasks[[#This Row],[Pred2 UID]],Tasks[UID],0),-1))</f>
        <v>0</v>
      </c>
      <c r="BK6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7" s="46" t="n">
        <f aca="false">IF(NOT(Tasks[[#This Row],[_IsLeaf]]=1),0,IF(N(Tasks[[#This Row],[Actual Finish]])&gt;0,1,MIN(1,N(Tasks[[#This Row],[% Complete]]))))</f>
        <v>0</v>
      </c>
      <c r="BP6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7" s="46" t="n">
        <f aca="false">IF(Tasks[[#This Row],[_LeafWork]]=0,0,Tasks[[#This Row],[_LeafWork]]*IFERROR(INDEX(res_Rate,MATCH(Tasks[[#This Row],[Resource]],res_Name,0)),0))</f>
        <v>0</v>
      </c>
      <c r="BR6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7" s="46" t="n">
        <f aca="false">IF(NOT(Tasks[[#This Row],[_IsLeaf]]=1),0,MAX(_xlfn.MAXIFS(Tasks[_Row],Tasks[Pred1 UID],Tasks[[#This Row],[UID]]),_xlfn.MAXIFS(Tasks[_Row],Tasks[Pred2 UID],Tasks[[#This Row],[UID]])))</f>
        <v>0</v>
      </c>
      <c r="BW6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7" s="48" t="str">
        <f aca="false">IF(NOT(Tasks[[#This Row],[_IsLeaf]]=1),"",MIN(ProjectFinish,IF(N(Tasks[[#This Row],[Deadline]])&gt;0,Tasks[[#This Row],[Deadline]],2958465),Tasks[[#This Row],[_SuccessorFinishLimit]]))</f>
        <v/>
      </c>
      <c r="BY6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7" s="47" t="b">
        <f aca="false">AND(Tasks[[#This Row],[_IsLeaf]]=1,Tasks[[#This Row],[_LeafProgress]]&lt;1,N(Tasks[[#This Row],[_LeafTotalSlack]])&lt;=CriticalSlackDays)</f>
        <v>0</v>
      </c>
      <c r="CB6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7" s="46" t="n">
        <f aca="false">IF(AND(Tasks[[#This Row],[_IsLeaf]]=1,Tasks[[#This Row],[_LeafWork]]&gt;0),NETWORKDAYS.INTL(ProjectStart,Tasks[[#This Row],[_LeafFcstStart]],WorkWeek,Holidays),0)</f>
        <v>0</v>
      </c>
      <c r="CK6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7" s="46" t="n">
        <f aca="false">IF(AND(Tasks[[#This Row],[_IsLeaf]]=1,Tasks[[#This Row],[_LeafWork]]&gt;0),Tasks[[#This Row],[_LeafWork]]/(Tasks[[#This Row],[_FinishWorkday]]-Tasks[[#This Row],[_StartWorkday]]+1),0)</f>
        <v>0</v>
      </c>
      <c r="CM67" s="46" t="n">
        <f aca="false">Tasks[[#This Row],[_WorkPerWorkday]]*(Tasks[[#This Row],[_StartWorkday]]-1)</f>
        <v>-0</v>
      </c>
      <c r="CN67" s="46" t="n">
        <f aca="false">IF(Tasks[[#This Row],[_IsLeaf]]=1,MAX(N(Tasks[[#This Row],[Duration]]),0.1),0)</f>
        <v>0</v>
      </c>
      <c r="CO67" s="46" t="n">
        <f aca="false">Tasks[[#This Row],[_WeightDur]]*Tasks[[#This Row],[_LeafProgress]]</f>
        <v>0</v>
      </c>
      <c r="CP6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39"/>
      <c r="E68" s="40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8" s="31"/>
      <c r="AF6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8" s="40"/>
      <c r="AI68" s="31"/>
      <c r="AJ6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8" s="40"/>
      <c r="AO68" s="24" t="str">
        <f aca="false">IF(Tasks[[#This Row],[Task Name]]="","",Tasks[[#This Row],[Forecast Start]])</f>
        <v/>
      </c>
      <c r="AP68" s="24" t="str">
        <f aca="false">IF(Tasks[[#This Row],[Task Name]]="","",Tasks[[#This Row],[Forecast Finish]])</f>
        <v/>
      </c>
      <c r="AQ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8" s="42" t="str">
        <f aca="false">IF(Tasks[[#This Row],[Task Name]]="","",Tasks[[#This Row],[Work]])</f>
        <v/>
      </c>
      <c r="AS68" s="43" t="str">
        <f aca="false">IF(Tasks[[#This Row],[Task Name]]="","",Tasks[[#This Row],[Cost]])</f>
        <v/>
      </c>
      <c r="AT68" s="29"/>
      <c r="AU68" s="29"/>
      <c r="AV68" s="39"/>
      <c r="AW68" s="44"/>
      <c r="AX68" s="45"/>
      <c r="AY68" s="38" t="str">
        <f aca="false">IF(OR(Tasks[[#This Row],[Task Name]]="",Tasks[[#This Row],[Baseline Duration]]=""),"",Tasks[[#This Row],[BL Source Duration]]-N(Tasks[[#This Row],[Baseline Duration]]))</f>
        <v/>
      </c>
      <c r="AZ68" s="42" t="str">
        <f aca="false">IF(OR(Tasks[[#This Row],[Task Name]]="",Tasks[[#This Row],[Baseline Work]]=""),"",Tasks[[#This Row],[Work]]-N(Tasks[[#This Row],[Baseline Work]]))</f>
        <v/>
      </c>
      <c r="BA68" s="43" t="str">
        <f aca="false">IF(OR(Tasks[[#This Row],[Task Name]]="",Tasks[[#This Row],[Baseline Cost]]=""),"",Tasks[[#This Row],[Cost]]-N(Tasks[[#This Row],[Baseline Cost]]))</f>
        <v/>
      </c>
      <c r="BB68" s="46" t="str">
        <f aca="false">IF(Tasks[[#This Row],[Task Name]]="","",MAX(1,N(Tasks[[#This Row],[Level]])))</f>
        <v/>
      </c>
      <c r="BC68" s="46" t="n">
        <f aca="false">ROW()-ROW(Tasks[[#Headers],[ID]])</f>
        <v>63</v>
      </c>
      <c r="BD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8" s="46" t="n">
        <f aca="false">IFERROR(N(INDEX(Tasks[_Level],Tasks[[#This Row],[_Row]]+1)),0)</f>
        <v>0</v>
      </c>
      <c r="BF68" s="47" t="b">
        <f aca="false">AND(Tasks[[#This Row],[Task Name]]&lt;&gt;"",Tasks[[#This Row],[_NextLevel]]&gt;Tasks[[#This Row],[_Level]])</f>
        <v>0</v>
      </c>
      <c r="BG68" s="46" t="n">
        <f aca="false">IF(Tasks[[#This Row],[_IsSummary]],COUNTIF(Tasks[WBS],Tasks[[#This Row],[WBS]]&amp;".*"),0)</f>
        <v>0</v>
      </c>
      <c r="BH68" s="46" t="n">
        <f aca="false">IF(AND(Tasks[[#This Row],[Task Name]]&lt;&gt;"",NOT(Tasks[[#This Row],[_IsSummary]])),1,0)</f>
        <v>0</v>
      </c>
      <c r="BI68" s="46" t="n">
        <f aca="false">IF(N(Tasks[[#This Row],[Pred1 UID]])=0,0,IFERROR(MATCH(Tasks[[#This Row],[Pred1 UID]],Tasks[UID],0),-1))</f>
        <v>0</v>
      </c>
      <c r="BJ68" s="46" t="n">
        <f aca="false">IF(N(Tasks[[#This Row],[Pred2 UID]])=0,0,IFERROR(MATCH(Tasks[[#This Row],[Pred2 UID]],Tasks[UID],0),-1))</f>
        <v>0</v>
      </c>
      <c r="BK6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8" s="46" t="n">
        <f aca="false">IF(NOT(Tasks[[#This Row],[_IsLeaf]]=1),0,IF(N(Tasks[[#This Row],[Actual Finish]])&gt;0,1,MIN(1,N(Tasks[[#This Row],[% Complete]]))))</f>
        <v>0</v>
      </c>
      <c r="BP6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8" s="46" t="n">
        <f aca="false">IF(Tasks[[#This Row],[_LeafWork]]=0,0,Tasks[[#This Row],[_LeafWork]]*IFERROR(INDEX(res_Rate,MATCH(Tasks[[#This Row],[Resource]],res_Name,0)),0))</f>
        <v>0</v>
      </c>
      <c r="BR6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8" s="46" t="n">
        <f aca="false">IF(NOT(Tasks[[#This Row],[_IsLeaf]]=1),0,MAX(_xlfn.MAXIFS(Tasks[_Row],Tasks[Pred1 UID],Tasks[[#This Row],[UID]]),_xlfn.MAXIFS(Tasks[_Row],Tasks[Pred2 UID],Tasks[[#This Row],[UID]])))</f>
        <v>0</v>
      </c>
      <c r="BW6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8" s="48" t="str">
        <f aca="false">IF(NOT(Tasks[[#This Row],[_IsLeaf]]=1),"",MIN(ProjectFinish,IF(N(Tasks[[#This Row],[Deadline]])&gt;0,Tasks[[#This Row],[Deadline]],2958465),Tasks[[#This Row],[_SuccessorFinishLimit]]))</f>
        <v/>
      </c>
      <c r="BY6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8" s="47" t="b">
        <f aca="false">AND(Tasks[[#This Row],[_IsLeaf]]=1,Tasks[[#This Row],[_LeafProgress]]&lt;1,N(Tasks[[#This Row],[_LeafTotalSlack]])&lt;=CriticalSlackDays)</f>
        <v>0</v>
      </c>
      <c r="CB6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8" s="46" t="n">
        <f aca="false">IF(AND(Tasks[[#This Row],[_IsLeaf]]=1,Tasks[[#This Row],[_LeafWork]]&gt;0),NETWORKDAYS.INTL(ProjectStart,Tasks[[#This Row],[_LeafFcstStart]],WorkWeek,Holidays),0)</f>
        <v>0</v>
      </c>
      <c r="CK6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8" s="46" t="n">
        <f aca="false">IF(AND(Tasks[[#This Row],[_IsLeaf]]=1,Tasks[[#This Row],[_LeafWork]]&gt;0),Tasks[[#This Row],[_LeafWork]]/(Tasks[[#This Row],[_FinishWorkday]]-Tasks[[#This Row],[_StartWorkday]]+1),0)</f>
        <v>0</v>
      </c>
      <c r="CM68" s="46" t="n">
        <f aca="false">Tasks[[#This Row],[_WorkPerWorkday]]*(Tasks[[#This Row],[_StartWorkday]]-1)</f>
        <v>-0</v>
      </c>
      <c r="CN68" s="46" t="n">
        <f aca="false">IF(Tasks[[#This Row],[_IsLeaf]]=1,MAX(N(Tasks[[#This Row],[Duration]]),0.1),0)</f>
        <v>0</v>
      </c>
      <c r="CO68" s="46" t="n">
        <f aca="false">Tasks[[#This Row],[_WeightDur]]*Tasks[[#This Row],[_LeafProgress]]</f>
        <v>0</v>
      </c>
      <c r="CP6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39"/>
      <c r="E69" s="40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9" s="31"/>
      <c r="AF6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9" s="40"/>
      <c r="AI69" s="31"/>
      <c r="AJ6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9" s="40"/>
      <c r="AO69" s="24" t="str">
        <f aca="false">IF(Tasks[[#This Row],[Task Name]]="","",Tasks[[#This Row],[Forecast Start]])</f>
        <v/>
      </c>
      <c r="AP69" s="24" t="str">
        <f aca="false">IF(Tasks[[#This Row],[Task Name]]="","",Tasks[[#This Row],[Forecast Finish]])</f>
        <v/>
      </c>
      <c r="AQ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9" s="42" t="str">
        <f aca="false">IF(Tasks[[#This Row],[Task Name]]="","",Tasks[[#This Row],[Work]])</f>
        <v/>
      </c>
      <c r="AS69" s="43" t="str">
        <f aca="false">IF(Tasks[[#This Row],[Task Name]]="","",Tasks[[#This Row],[Cost]])</f>
        <v/>
      </c>
      <c r="AT69" s="29"/>
      <c r="AU69" s="29"/>
      <c r="AV69" s="39"/>
      <c r="AW69" s="44"/>
      <c r="AX69" s="45"/>
      <c r="AY69" s="38" t="str">
        <f aca="false">IF(OR(Tasks[[#This Row],[Task Name]]="",Tasks[[#This Row],[Baseline Duration]]=""),"",Tasks[[#This Row],[BL Source Duration]]-N(Tasks[[#This Row],[Baseline Duration]]))</f>
        <v/>
      </c>
      <c r="AZ69" s="42" t="str">
        <f aca="false">IF(OR(Tasks[[#This Row],[Task Name]]="",Tasks[[#This Row],[Baseline Work]]=""),"",Tasks[[#This Row],[Work]]-N(Tasks[[#This Row],[Baseline Work]]))</f>
        <v/>
      </c>
      <c r="BA69" s="43" t="str">
        <f aca="false">IF(OR(Tasks[[#This Row],[Task Name]]="",Tasks[[#This Row],[Baseline Cost]]=""),"",Tasks[[#This Row],[Cost]]-N(Tasks[[#This Row],[Baseline Cost]]))</f>
        <v/>
      </c>
      <c r="BB69" s="46" t="str">
        <f aca="false">IF(Tasks[[#This Row],[Task Name]]="","",MAX(1,N(Tasks[[#This Row],[Level]])))</f>
        <v/>
      </c>
      <c r="BC69" s="46" t="n">
        <f aca="false">ROW()-ROW(Tasks[[#Headers],[ID]])</f>
        <v>64</v>
      </c>
      <c r="BD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9" s="46" t="n">
        <f aca="false">IFERROR(N(INDEX(Tasks[_Level],Tasks[[#This Row],[_Row]]+1)),0)</f>
        <v>0</v>
      </c>
      <c r="BF69" s="47" t="b">
        <f aca="false">AND(Tasks[[#This Row],[Task Name]]&lt;&gt;"",Tasks[[#This Row],[_NextLevel]]&gt;Tasks[[#This Row],[_Level]])</f>
        <v>0</v>
      </c>
      <c r="BG69" s="46" t="n">
        <f aca="false">IF(Tasks[[#This Row],[_IsSummary]],COUNTIF(Tasks[WBS],Tasks[[#This Row],[WBS]]&amp;".*"),0)</f>
        <v>0</v>
      </c>
      <c r="BH69" s="46" t="n">
        <f aca="false">IF(AND(Tasks[[#This Row],[Task Name]]&lt;&gt;"",NOT(Tasks[[#This Row],[_IsSummary]])),1,0)</f>
        <v>0</v>
      </c>
      <c r="BI69" s="46" t="n">
        <f aca="false">IF(N(Tasks[[#This Row],[Pred1 UID]])=0,0,IFERROR(MATCH(Tasks[[#This Row],[Pred1 UID]],Tasks[UID],0),-1))</f>
        <v>0</v>
      </c>
      <c r="BJ69" s="46" t="n">
        <f aca="false">IF(N(Tasks[[#This Row],[Pred2 UID]])=0,0,IFERROR(MATCH(Tasks[[#This Row],[Pred2 UID]],Tasks[UID],0),-1))</f>
        <v>0</v>
      </c>
      <c r="BK6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9" s="46" t="n">
        <f aca="false">IF(NOT(Tasks[[#This Row],[_IsLeaf]]=1),0,IF(N(Tasks[[#This Row],[Actual Finish]])&gt;0,1,MIN(1,N(Tasks[[#This Row],[% Complete]]))))</f>
        <v>0</v>
      </c>
      <c r="BP6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69" s="46" t="n">
        <f aca="false">IF(Tasks[[#This Row],[_LeafWork]]=0,0,Tasks[[#This Row],[_LeafWork]]*IFERROR(INDEX(res_Rate,MATCH(Tasks[[#This Row],[Resource]],res_Name,0)),0))</f>
        <v>0</v>
      </c>
      <c r="BR6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9" s="46" t="n">
        <f aca="false">IF(NOT(Tasks[[#This Row],[_IsLeaf]]=1),0,MAX(_xlfn.MAXIFS(Tasks[_Row],Tasks[Pred1 UID],Tasks[[#This Row],[UID]]),_xlfn.MAXIFS(Tasks[_Row],Tasks[Pred2 UID],Tasks[[#This Row],[UID]])))</f>
        <v>0</v>
      </c>
      <c r="BW6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9" s="48" t="str">
        <f aca="false">IF(NOT(Tasks[[#This Row],[_IsLeaf]]=1),"",MIN(ProjectFinish,IF(N(Tasks[[#This Row],[Deadline]])&gt;0,Tasks[[#This Row],[Deadline]],2958465),Tasks[[#This Row],[_SuccessorFinishLimit]]))</f>
        <v/>
      </c>
      <c r="BY6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9" s="47" t="b">
        <f aca="false">AND(Tasks[[#This Row],[_IsLeaf]]=1,Tasks[[#This Row],[_LeafProgress]]&lt;1,N(Tasks[[#This Row],[_LeafTotalSlack]])&lt;=CriticalSlackDays)</f>
        <v>0</v>
      </c>
      <c r="CB6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9" s="46" t="n">
        <f aca="false">IF(AND(Tasks[[#This Row],[_IsLeaf]]=1,Tasks[[#This Row],[_LeafWork]]&gt;0),NETWORKDAYS.INTL(ProjectStart,Tasks[[#This Row],[_LeafFcstStart]],WorkWeek,Holidays),0)</f>
        <v>0</v>
      </c>
      <c r="CK6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9" s="46" t="n">
        <f aca="false">IF(AND(Tasks[[#This Row],[_IsLeaf]]=1,Tasks[[#This Row],[_LeafWork]]&gt;0),Tasks[[#This Row],[_LeafWork]]/(Tasks[[#This Row],[_FinishWorkday]]-Tasks[[#This Row],[_StartWorkday]]+1),0)</f>
        <v>0</v>
      </c>
      <c r="CM69" s="46" t="n">
        <f aca="false">Tasks[[#This Row],[_WorkPerWorkday]]*(Tasks[[#This Row],[_StartWorkday]]-1)</f>
        <v>-0</v>
      </c>
      <c r="CN69" s="46" t="n">
        <f aca="false">IF(Tasks[[#This Row],[_IsLeaf]]=1,MAX(N(Tasks[[#This Row],[Duration]]),0.1),0)</f>
        <v>0</v>
      </c>
      <c r="CO69" s="46" t="n">
        <f aca="false">Tasks[[#This Row],[_WeightDur]]*Tasks[[#This Row],[_LeafProgress]]</f>
        <v>0</v>
      </c>
      <c r="CP6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39"/>
      <c r="E70" s="40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0" s="31"/>
      <c r="AF7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0" s="40"/>
      <c r="AI70" s="31"/>
      <c r="AJ7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0" s="40"/>
      <c r="AO70" s="24" t="str">
        <f aca="false">IF(Tasks[[#This Row],[Task Name]]="","",Tasks[[#This Row],[Forecast Start]])</f>
        <v/>
      </c>
      <c r="AP70" s="24" t="str">
        <f aca="false">IF(Tasks[[#This Row],[Task Name]]="","",Tasks[[#This Row],[Forecast Finish]])</f>
        <v/>
      </c>
      <c r="AQ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0" s="42" t="str">
        <f aca="false">IF(Tasks[[#This Row],[Task Name]]="","",Tasks[[#This Row],[Work]])</f>
        <v/>
      </c>
      <c r="AS70" s="43" t="str">
        <f aca="false">IF(Tasks[[#This Row],[Task Name]]="","",Tasks[[#This Row],[Cost]])</f>
        <v/>
      </c>
      <c r="AT70" s="29"/>
      <c r="AU70" s="29"/>
      <c r="AV70" s="39"/>
      <c r="AW70" s="44"/>
      <c r="AX70" s="45"/>
      <c r="AY70" s="38" t="str">
        <f aca="false">IF(OR(Tasks[[#This Row],[Task Name]]="",Tasks[[#This Row],[Baseline Duration]]=""),"",Tasks[[#This Row],[BL Source Duration]]-N(Tasks[[#This Row],[Baseline Duration]]))</f>
        <v/>
      </c>
      <c r="AZ70" s="42" t="str">
        <f aca="false">IF(OR(Tasks[[#This Row],[Task Name]]="",Tasks[[#This Row],[Baseline Work]]=""),"",Tasks[[#This Row],[Work]]-N(Tasks[[#This Row],[Baseline Work]]))</f>
        <v/>
      </c>
      <c r="BA70" s="43" t="str">
        <f aca="false">IF(OR(Tasks[[#This Row],[Task Name]]="",Tasks[[#This Row],[Baseline Cost]]=""),"",Tasks[[#This Row],[Cost]]-N(Tasks[[#This Row],[Baseline Cost]]))</f>
        <v/>
      </c>
      <c r="BB70" s="46" t="str">
        <f aca="false">IF(Tasks[[#This Row],[Task Name]]="","",MAX(1,N(Tasks[[#This Row],[Level]])))</f>
        <v/>
      </c>
      <c r="BC70" s="46" t="n">
        <f aca="false">ROW()-ROW(Tasks[[#Headers],[ID]])</f>
        <v>65</v>
      </c>
      <c r="BD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0" s="46" t="n">
        <f aca="false">IFERROR(N(INDEX(Tasks[_Level],Tasks[[#This Row],[_Row]]+1)),0)</f>
        <v>0</v>
      </c>
      <c r="BF70" s="47" t="b">
        <f aca="false">AND(Tasks[[#This Row],[Task Name]]&lt;&gt;"",Tasks[[#This Row],[_NextLevel]]&gt;Tasks[[#This Row],[_Level]])</f>
        <v>0</v>
      </c>
      <c r="BG70" s="46" t="n">
        <f aca="false">IF(Tasks[[#This Row],[_IsSummary]],COUNTIF(Tasks[WBS],Tasks[[#This Row],[WBS]]&amp;".*"),0)</f>
        <v>0</v>
      </c>
      <c r="BH70" s="46" t="n">
        <f aca="false">IF(AND(Tasks[[#This Row],[Task Name]]&lt;&gt;"",NOT(Tasks[[#This Row],[_IsSummary]])),1,0)</f>
        <v>0</v>
      </c>
      <c r="BI70" s="46" t="n">
        <f aca="false">IF(N(Tasks[[#This Row],[Pred1 UID]])=0,0,IFERROR(MATCH(Tasks[[#This Row],[Pred1 UID]],Tasks[UID],0),-1))</f>
        <v>0</v>
      </c>
      <c r="BJ70" s="46" t="n">
        <f aca="false">IF(N(Tasks[[#This Row],[Pred2 UID]])=0,0,IFERROR(MATCH(Tasks[[#This Row],[Pred2 UID]],Tasks[UID],0),-1))</f>
        <v>0</v>
      </c>
      <c r="BK7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0" s="46" t="n">
        <f aca="false">IF(NOT(Tasks[[#This Row],[_IsLeaf]]=1),0,IF(N(Tasks[[#This Row],[Actual Finish]])&gt;0,1,MIN(1,N(Tasks[[#This Row],[% Complete]]))))</f>
        <v>0</v>
      </c>
      <c r="BP7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0" s="46" t="n">
        <f aca="false">IF(Tasks[[#This Row],[_LeafWork]]=0,0,Tasks[[#This Row],[_LeafWork]]*IFERROR(INDEX(res_Rate,MATCH(Tasks[[#This Row],[Resource]],res_Name,0)),0))</f>
        <v>0</v>
      </c>
      <c r="BR7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0" s="46" t="n">
        <f aca="false">IF(NOT(Tasks[[#This Row],[_IsLeaf]]=1),0,MAX(_xlfn.MAXIFS(Tasks[_Row],Tasks[Pred1 UID],Tasks[[#This Row],[UID]]),_xlfn.MAXIFS(Tasks[_Row],Tasks[Pred2 UID],Tasks[[#This Row],[UID]])))</f>
        <v>0</v>
      </c>
      <c r="BW7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0" s="48" t="str">
        <f aca="false">IF(NOT(Tasks[[#This Row],[_IsLeaf]]=1),"",MIN(ProjectFinish,IF(N(Tasks[[#This Row],[Deadline]])&gt;0,Tasks[[#This Row],[Deadline]],2958465),Tasks[[#This Row],[_SuccessorFinishLimit]]))</f>
        <v/>
      </c>
      <c r="BY7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0" s="47" t="b">
        <f aca="false">AND(Tasks[[#This Row],[_IsLeaf]]=1,Tasks[[#This Row],[_LeafProgress]]&lt;1,N(Tasks[[#This Row],[_LeafTotalSlack]])&lt;=CriticalSlackDays)</f>
        <v>0</v>
      </c>
      <c r="CB7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0" s="46" t="n">
        <f aca="false">IF(AND(Tasks[[#This Row],[_IsLeaf]]=1,Tasks[[#This Row],[_LeafWork]]&gt;0),NETWORKDAYS.INTL(ProjectStart,Tasks[[#This Row],[_LeafFcstStart]],WorkWeek,Holidays),0)</f>
        <v>0</v>
      </c>
      <c r="CK7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0" s="46" t="n">
        <f aca="false">IF(AND(Tasks[[#This Row],[_IsLeaf]]=1,Tasks[[#This Row],[_LeafWork]]&gt;0),Tasks[[#This Row],[_LeafWork]]/(Tasks[[#This Row],[_FinishWorkday]]-Tasks[[#This Row],[_StartWorkday]]+1),0)</f>
        <v>0</v>
      </c>
      <c r="CM70" s="46" t="n">
        <f aca="false">Tasks[[#This Row],[_WorkPerWorkday]]*(Tasks[[#This Row],[_StartWorkday]]-1)</f>
        <v>-0</v>
      </c>
      <c r="CN70" s="46" t="n">
        <f aca="false">IF(Tasks[[#This Row],[_IsLeaf]]=1,MAX(N(Tasks[[#This Row],[Duration]]),0.1),0)</f>
        <v>0</v>
      </c>
      <c r="CO70" s="46" t="n">
        <f aca="false">Tasks[[#This Row],[_WeightDur]]*Tasks[[#This Row],[_LeafProgress]]</f>
        <v>0</v>
      </c>
      <c r="CP7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39"/>
      <c r="E71" s="40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1" s="31"/>
      <c r="AF7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1" s="40"/>
      <c r="AI71" s="31"/>
      <c r="AJ7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1" s="40"/>
      <c r="AO71" s="24" t="str">
        <f aca="false">IF(Tasks[[#This Row],[Task Name]]="","",Tasks[[#This Row],[Forecast Start]])</f>
        <v/>
      </c>
      <c r="AP71" s="24" t="str">
        <f aca="false">IF(Tasks[[#This Row],[Task Name]]="","",Tasks[[#This Row],[Forecast Finish]])</f>
        <v/>
      </c>
      <c r="AQ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1" s="42" t="str">
        <f aca="false">IF(Tasks[[#This Row],[Task Name]]="","",Tasks[[#This Row],[Work]])</f>
        <v/>
      </c>
      <c r="AS71" s="43" t="str">
        <f aca="false">IF(Tasks[[#This Row],[Task Name]]="","",Tasks[[#This Row],[Cost]])</f>
        <v/>
      </c>
      <c r="AT71" s="29"/>
      <c r="AU71" s="29"/>
      <c r="AV71" s="39"/>
      <c r="AW71" s="44"/>
      <c r="AX71" s="45"/>
      <c r="AY71" s="38" t="str">
        <f aca="false">IF(OR(Tasks[[#This Row],[Task Name]]="",Tasks[[#This Row],[Baseline Duration]]=""),"",Tasks[[#This Row],[BL Source Duration]]-N(Tasks[[#This Row],[Baseline Duration]]))</f>
        <v/>
      </c>
      <c r="AZ71" s="42" t="str">
        <f aca="false">IF(OR(Tasks[[#This Row],[Task Name]]="",Tasks[[#This Row],[Baseline Work]]=""),"",Tasks[[#This Row],[Work]]-N(Tasks[[#This Row],[Baseline Work]]))</f>
        <v/>
      </c>
      <c r="BA71" s="43" t="str">
        <f aca="false">IF(OR(Tasks[[#This Row],[Task Name]]="",Tasks[[#This Row],[Baseline Cost]]=""),"",Tasks[[#This Row],[Cost]]-N(Tasks[[#This Row],[Baseline Cost]]))</f>
        <v/>
      </c>
      <c r="BB71" s="46" t="str">
        <f aca="false">IF(Tasks[[#This Row],[Task Name]]="","",MAX(1,N(Tasks[[#This Row],[Level]])))</f>
        <v/>
      </c>
      <c r="BC71" s="46" t="n">
        <f aca="false">ROW()-ROW(Tasks[[#Headers],[ID]])</f>
        <v>66</v>
      </c>
      <c r="BD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1" s="46" t="n">
        <f aca="false">IFERROR(N(INDEX(Tasks[_Level],Tasks[[#This Row],[_Row]]+1)),0)</f>
        <v>0</v>
      </c>
      <c r="BF71" s="47" t="b">
        <f aca="false">AND(Tasks[[#This Row],[Task Name]]&lt;&gt;"",Tasks[[#This Row],[_NextLevel]]&gt;Tasks[[#This Row],[_Level]])</f>
        <v>0</v>
      </c>
      <c r="BG71" s="46" t="n">
        <f aca="false">IF(Tasks[[#This Row],[_IsSummary]],COUNTIF(Tasks[WBS],Tasks[[#This Row],[WBS]]&amp;".*"),0)</f>
        <v>0</v>
      </c>
      <c r="BH71" s="46" t="n">
        <f aca="false">IF(AND(Tasks[[#This Row],[Task Name]]&lt;&gt;"",NOT(Tasks[[#This Row],[_IsSummary]])),1,0)</f>
        <v>0</v>
      </c>
      <c r="BI71" s="46" t="n">
        <f aca="false">IF(N(Tasks[[#This Row],[Pred1 UID]])=0,0,IFERROR(MATCH(Tasks[[#This Row],[Pred1 UID]],Tasks[UID],0),-1))</f>
        <v>0</v>
      </c>
      <c r="BJ71" s="46" t="n">
        <f aca="false">IF(N(Tasks[[#This Row],[Pred2 UID]])=0,0,IFERROR(MATCH(Tasks[[#This Row],[Pred2 UID]],Tasks[UID],0),-1))</f>
        <v>0</v>
      </c>
      <c r="BK7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1" s="46" t="n">
        <f aca="false">IF(NOT(Tasks[[#This Row],[_IsLeaf]]=1),0,IF(N(Tasks[[#This Row],[Actual Finish]])&gt;0,1,MIN(1,N(Tasks[[#This Row],[% Complete]]))))</f>
        <v>0</v>
      </c>
      <c r="BP7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1" s="46" t="n">
        <f aca="false">IF(Tasks[[#This Row],[_LeafWork]]=0,0,Tasks[[#This Row],[_LeafWork]]*IFERROR(INDEX(res_Rate,MATCH(Tasks[[#This Row],[Resource]],res_Name,0)),0))</f>
        <v>0</v>
      </c>
      <c r="BR7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1" s="46" t="n">
        <f aca="false">IF(NOT(Tasks[[#This Row],[_IsLeaf]]=1),0,MAX(_xlfn.MAXIFS(Tasks[_Row],Tasks[Pred1 UID],Tasks[[#This Row],[UID]]),_xlfn.MAXIFS(Tasks[_Row],Tasks[Pred2 UID],Tasks[[#This Row],[UID]])))</f>
        <v>0</v>
      </c>
      <c r="BW7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1" s="48" t="str">
        <f aca="false">IF(NOT(Tasks[[#This Row],[_IsLeaf]]=1),"",MIN(ProjectFinish,IF(N(Tasks[[#This Row],[Deadline]])&gt;0,Tasks[[#This Row],[Deadline]],2958465),Tasks[[#This Row],[_SuccessorFinishLimit]]))</f>
        <v/>
      </c>
      <c r="BY7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1" s="47" t="b">
        <f aca="false">AND(Tasks[[#This Row],[_IsLeaf]]=1,Tasks[[#This Row],[_LeafProgress]]&lt;1,N(Tasks[[#This Row],[_LeafTotalSlack]])&lt;=CriticalSlackDays)</f>
        <v>0</v>
      </c>
      <c r="CB7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1" s="46" t="n">
        <f aca="false">IF(AND(Tasks[[#This Row],[_IsLeaf]]=1,Tasks[[#This Row],[_LeafWork]]&gt;0),NETWORKDAYS.INTL(ProjectStart,Tasks[[#This Row],[_LeafFcstStart]],WorkWeek,Holidays),0)</f>
        <v>0</v>
      </c>
      <c r="CK7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1" s="46" t="n">
        <f aca="false">IF(AND(Tasks[[#This Row],[_IsLeaf]]=1,Tasks[[#This Row],[_LeafWork]]&gt;0),Tasks[[#This Row],[_LeafWork]]/(Tasks[[#This Row],[_FinishWorkday]]-Tasks[[#This Row],[_StartWorkday]]+1),0)</f>
        <v>0</v>
      </c>
      <c r="CM71" s="46" t="n">
        <f aca="false">Tasks[[#This Row],[_WorkPerWorkday]]*(Tasks[[#This Row],[_StartWorkday]]-1)</f>
        <v>-0</v>
      </c>
      <c r="CN71" s="46" t="n">
        <f aca="false">IF(Tasks[[#This Row],[_IsLeaf]]=1,MAX(N(Tasks[[#This Row],[Duration]]),0.1),0)</f>
        <v>0</v>
      </c>
      <c r="CO71" s="46" t="n">
        <f aca="false">Tasks[[#This Row],[_WeightDur]]*Tasks[[#This Row],[_LeafProgress]]</f>
        <v>0</v>
      </c>
      <c r="CP7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39"/>
      <c r="E72" s="40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2" s="31"/>
      <c r="AF7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2" s="40"/>
      <c r="AI72" s="31"/>
      <c r="AJ7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2" s="40"/>
      <c r="AO72" s="24" t="str">
        <f aca="false">IF(Tasks[[#This Row],[Task Name]]="","",Tasks[[#This Row],[Forecast Start]])</f>
        <v/>
      </c>
      <c r="AP72" s="24" t="str">
        <f aca="false">IF(Tasks[[#This Row],[Task Name]]="","",Tasks[[#This Row],[Forecast Finish]])</f>
        <v/>
      </c>
      <c r="AQ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2" s="42" t="str">
        <f aca="false">IF(Tasks[[#This Row],[Task Name]]="","",Tasks[[#This Row],[Work]])</f>
        <v/>
      </c>
      <c r="AS72" s="43" t="str">
        <f aca="false">IF(Tasks[[#This Row],[Task Name]]="","",Tasks[[#This Row],[Cost]])</f>
        <v/>
      </c>
      <c r="AT72" s="29"/>
      <c r="AU72" s="29"/>
      <c r="AV72" s="39"/>
      <c r="AW72" s="44"/>
      <c r="AX72" s="45"/>
      <c r="AY72" s="38" t="str">
        <f aca="false">IF(OR(Tasks[[#This Row],[Task Name]]="",Tasks[[#This Row],[Baseline Duration]]=""),"",Tasks[[#This Row],[BL Source Duration]]-N(Tasks[[#This Row],[Baseline Duration]]))</f>
        <v/>
      </c>
      <c r="AZ72" s="42" t="str">
        <f aca="false">IF(OR(Tasks[[#This Row],[Task Name]]="",Tasks[[#This Row],[Baseline Work]]=""),"",Tasks[[#This Row],[Work]]-N(Tasks[[#This Row],[Baseline Work]]))</f>
        <v/>
      </c>
      <c r="BA72" s="43" t="str">
        <f aca="false">IF(OR(Tasks[[#This Row],[Task Name]]="",Tasks[[#This Row],[Baseline Cost]]=""),"",Tasks[[#This Row],[Cost]]-N(Tasks[[#This Row],[Baseline Cost]]))</f>
        <v/>
      </c>
      <c r="BB72" s="46" t="str">
        <f aca="false">IF(Tasks[[#This Row],[Task Name]]="","",MAX(1,N(Tasks[[#This Row],[Level]])))</f>
        <v/>
      </c>
      <c r="BC72" s="46" t="n">
        <f aca="false">ROW()-ROW(Tasks[[#Headers],[ID]])</f>
        <v>67</v>
      </c>
      <c r="BD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2" s="46" t="n">
        <f aca="false">IFERROR(N(INDEX(Tasks[_Level],Tasks[[#This Row],[_Row]]+1)),0)</f>
        <v>0</v>
      </c>
      <c r="BF72" s="47" t="b">
        <f aca="false">AND(Tasks[[#This Row],[Task Name]]&lt;&gt;"",Tasks[[#This Row],[_NextLevel]]&gt;Tasks[[#This Row],[_Level]])</f>
        <v>0</v>
      </c>
      <c r="BG72" s="46" t="n">
        <f aca="false">IF(Tasks[[#This Row],[_IsSummary]],COUNTIF(Tasks[WBS],Tasks[[#This Row],[WBS]]&amp;".*"),0)</f>
        <v>0</v>
      </c>
      <c r="BH72" s="46" t="n">
        <f aca="false">IF(AND(Tasks[[#This Row],[Task Name]]&lt;&gt;"",NOT(Tasks[[#This Row],[_IsSummary]])),1,0)</f>
        <v>0</v>
      </c>
      <c r="BI72" s="46" t="n">
        <f aca="false">IF(N(Tasks[[#This Row],[Pred1 UID]])=0,0,IFERROR(MATCH(Tasks[[#This Row],[Pred1 UID]],Tasks[UID],0),-1))</f>
        <v>0</v>
      </c>
      <c r="BJ72" s="46" t="n">
        <f aca="false">IF(N(Tasks[[#This Row],[Pred2 UID]])=0,0,IFERROR(MATCH(Tasks[[#This Row],[Pred2 UID]],Tasks[UID],0),-1))</f>
        <v>0</v>
      </c>
      <c r="BK7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2" s="46" t="n">
        <f aca="false">IF(NOT(Tasks[[#This Row],[_IsLeaf]]=1),0,IF(N(Tasks[[#This Row],[Actual Finish]])&gt;0,1,MIN(1,N(Tasks[[#This Row],[% Complete]]))))</f>
        <v>0</v>
      </c>
      <c r="BP7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2" s="46" t="n">
        <f aca="false">IF(Tasks[[#This Row],[_LeafWork]]=0,0,Tasks[[#This Row],[_LeafWork]]*IFERROR(INDEX(res_Rate,MATCH(Tasks[[#This Row],[Resource]],res_Name,0)),0))</f>
        <v>0</v>
      </c>
      <c r="BR7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2" s="46" t="n">
        <f aca="false">IF(NOT(Tasks[[#This Row],[_IsLeaf]]=1),0,MAX(_xlfn.MAXIFS(Tasks[_Row],Tasks[Pred1 UID],Tasks[[#This Row],[UID]]),_xlfn.MAXIFS(Tasks[_Row],Tasks[Pred2 UID],Tasks[[#This Row],[UID]])))</f>
        <v>0</v>
      </c>
      <c r="BW7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2" s="48" t="str">
        <f aca="false">IF(NOT(Tasks[[#This Row],[_IsLeaf]]=1),"",MIN(ProjectFinish,IF(N(Tasks[[#This Row],[Deadline]])&gt;0,Tasks[[#This Row],[Deadline]],2958465),Tasks[[#This Row],[_SuccessorFinishLimit]]))</f>
        <v/>
      </c>
      <c r="BY7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2" s="47" t="b">
        <f aca="false">AND(Tasks[[#This Row],[_IsLeaf]]=1,Tasks[[#This Row],[_LeafProgress]]&lt;1,N(Tasks[[#This Row],[_LeafTotalSlack]])&lt;=CriticalSlackDays)</f>
        <v>0</v>
      </c>
      <c r="CB7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2" s="46" t="n">
        <f aca="false">IF(AND(Tasks[[#This Row],[_IsLeaf]]=1,Tasks[[#This Row],[_LeafWork]]&gt;0),NETWORKDAYS.INTL(ProjectStart,Tasks[[#This Row],[_LeafFcstStart]],WorkWeek,Holidays),0)</f>
        <v>0</v>
      </c>
      <c r="CK7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2" s="46" t="n">
        <f aca="false">IF(AND(Tasks[[#This Row],[_IsLeaf]]=1,Tasks[[#This Row],[_LeafWork]]&gt;0),Tasks[[#This Row],[_LeafWork]]/(Tasks[[#This Row],[_FinishWorkday]]-Tasks[[#This Row],[_StartWorkday]]+1),0)</f>
        <v>0</v>
      </c>
      <c r="CM72" s="46" t="n">
        <f aca="false">Tasks[[#This Row],[_WorkPerWorkday]]*(Tasks[[#This Row],[_StartWorkday]]-1)</f>
        <v>-0</v>
      </c>
      <c r="CN72" s="46" t="n">
        <f aca="false">IF(Tasks[[#This Row],[_IsLeaf]]=1,MAX(N(Tasks[[#This Row],[Duration]]),0.1),0)</f>
        <v>0</v>
      </c>
      <c r="CO72" s="46" t="n">
        <f aca="false">Tasks[[#This Row],[_WeightDur]]*Tasks[[#This Row],[_LeafProgress]]</f>
        <v>0</v>
      </c>
      <c r="CP7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39"/>
      <c r="E73" s="40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3" s="31"/>
      <c r="AF7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3" s="40"/>
      <c r="AI73" s="31"/>
      <c r="AJ7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3" s="40"/>
      <c r="AO73" s="24" t="str">
        <f aca="false">IF(Tasks[[#This Row],[Task Name]]="","",Tasks[[#This Row],[Forecast Start]])</f>
        <v/>
      </c>
      <c r="AP73" s="24" t="str">
        <f aca="false">IF(Tasks[[#This Row],[Task Name]]="","",Tasks[[#This Row],[Forecast Finish]])</f>
        <v/>
      </c>
      <c r="AQ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3" s="42" t="str">
        <f aca="false">IF(Tasks[[#This Row],[Task Name]]="","",Tasks[[#This Row],[Work]])</f>
        <v/>
      </c>
      <c r="AS73" s="43" t="str">
        <f aca="false">IF(Tasks[[#This Row],[Task Name]]="","",Tasks[[#This Row],[Cost]])</f>
        <v/>
      </c>
      <c r="AT73" s="29"/>
      <c r="AU73" s="29"/>
      <c r="AV73" s="39"/>
      <c r="AW73" s="44"/>
      <c r="AX73" s="45"/>
      <c r="AY73" s="38" t="str">
        <f aca="false">IF(OR(Tasks[[#This Row],[Task Name]]="",Tasks[[#This Row],[Baseline Duration]]=""),"",Tasks[[#This Row],[BL Source Duration]]-N(Tasks[[#This Row],[Baseline Duration]]))</f>
        <v/>
      </c>
      <c r="AZ73" s="42" t="str">
        <f aca="false">IF(OR(Tasks[[#This Row],[Task Name]]="",Tasks[[#This Row],[Baseline Work]]=""),"",Tasks[[#This Row],[Work]]-N(Tasks[[#This Row],[Baseline Work]]))</f>
        <v/>
      </c>
      <c r="BA73" s="43" t="str">
        <f aca="false">IF(OR(Tasks[[#This Row],[Task Name]]="",Tasks[[#This Row],[Baseline Cost]]=""),"",Tasks[[#This Row],[Cost]]-N(Tasks[[#This Row],[Baseline Cost]]))</f>
        <v/>
      </c>
      <c r="BB73" s="46" t="str">
        <f aca="false">IF(Tasks[[#This Row],[Task Name]]="","",MAX(1,N(Tasks[[#This Row],[Level]])))</f>
        <v/>
      </c>
      <c r="BC73" s="46" t="n">
        <f aca="false">ROW()-ROW(Tasks[[#Headers],[ID]])</f>
        <v>68</v>
      </c>
      <c r="BD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3" s="46" t="n">
        <f aca="false">IFERROR(N(INDEX(Tasks[_Level],Tasks[[#This Row],[_Row]]+1)),0)</f>
        <v>0</v>
      </c>
      <c r="BF73" s="47" t="b">
        <f aca="false">AND(Tasks[[#This Row],[Task Name]]&lt;&gt;"",Tasks[[#This Row],[_NextLevel]]&gt;Tasks[[#This Row],[_Level]])</f>
        <v>0</v>
      </c>
      <c r="BG73" s="46" t="n">
        <f aca="false">IF(Tasks[[#This Row],[_IsSummary]],COUNTIF(Tasks[WBS],Tasks[[#This Row],[WBS]]&amp;".*"),0)</f>
        <v>0</v>
      </c>
      <c r="BH73" s="46" t="n">
        <f aca="false">IF(AND(Tasks[[#This Row],[Task Name]]&lt;&gt;"",NOT(Tasks[[#This Row],[_IsSummary]])),1,0)</f>
        <v>0</v>
      </c>
      <c r="BI73" s="46" t="n">
        <f aca="false">IF(N(Tasks[[#This Row],[Pred1 UID]])=0,0,IFERROR(MATCH(Tasks[[#This Row],[Pred1 UID]],Tasks[UID],0),-1))</f>
        <v>0</v>
      </c>
      <c r="BJ73" s="46" t="n">
        <f aca="false">IF(N(Tasks[[#This Row],[Pred2 UID]])=0,0,IFERROR(MATCH(Tasks[[#This Row],[Pred2 UID]],Tasks[UID],0),-1))</f>
        <v>0</v>
      </c>
      <c r="BK7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3" s="46" t="n">
        <f aca="false">IF(NOT(Tasks[[#This Row],[_IsLeaf]]=1),0,IF(N(Tasks[[#This Row],[Actual Finish]])&gt;0,1,MIN(1,N(Tasks[[#This Row],[% Complete]]))))</f>
        <v>0</v>
      </c>
      <c r="BP7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3" s="46" t="n">
        <f aca="false">IF(Tasks[[#This Row],[_LeafWork]]=0,0,Tasks[[#This Row],[_LeafWork]]*IFERROR(INDEX(res_Rate,MATCH(Tasks[[#This Row],[Resource]],res_Name,0)),0))</f>
        <v>0</v>
      </c>
      <c r="BR7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3" s="46" t="n">
        <f aca="false">IF(NOT(Tasks[[#This Row],[_IsLeaf]]=1),0,MAX(_xlfn.MAXIFS(Tasks[_Row],Tasks[Pred1 UID],Tasks[[#This Row],[UID]]),_xlfn.MAXIFS(Tasks[_Row],Tasks[Pred2 UID],Tasks[[#This Row],[UID]])))</f>
        <v>0</v>
      </c>
      <c r="BW7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3" s="48" t="str">
        <f aca="false">IF(NOT(Tasks[[#This Row],[_IsLeaf]]=1),"",MIN(ProjectFinish,IF(N(Tasks[[#This Row],[Deadline]])&gt;0,Tasks[[#This Row],[Deadline]],2958465),Tasks[[#This Row],[_SuccessorFinishLimit]]))</f>
        <v/>
      </c>
      <c r="BY7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3" s="47" t="b">
        <f aca="false">AND(Tasks[[#This Row],[_IsLeaf]]=1,Tasks[[#This Row],[_LeafProgress]]&lt;1,N(Tasks[[#This Row],[_LeafTotalSlack]])&lt;=CriticalSlackDays)</f>
        <v>0</v>
      </c>
      <c r="CB7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3" s="46" t="n">
        <f aca="false">IF(AND(Tasks[[#This Row],[_IsLeaf]]=1,Tasks[[#This Row],[_LeafWork]]&gt;0),NETWORKDAYS.INTL(ProjectStart,Tasks[[#This Row],[_LeafFcstStart]],WorkWeek,Holidays),0)</f>
        <v>0</v>
      </c>
      <c r="CK7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3" s="46" t="n">
        <f aca="false">IF(AND(Tasks[[#This Row],[_IsLeaf]]=1,Tasks[[#This Row],[_LeafWork]]&gt;0),Tasks[[#This Row],[_LeafWork]]/(Tasks[[#This Row],[_FinishWorkday]]-Tasks[[#This Row],[_StartWorkday]]+1),0)</f>
        <v>0</v>
      </c>
      <c r="CM73" s="46" t="n">
        <f aca="false">Tasks[[#This Row],[_WorkPerWorkday]]*(Tasks[[#This Row],[_StartWorkday]]-1)</f>
        <v>-0</v>
      </c>
      <c r="CN73" s="46" t="n">
        <f aca="false">IF(Tasks[[#This Row],[_IsLeaf]]=1,MAX(N(Tasks[[#This Row],[Duration]]),0.1),0)</f>
        <v>0</v>
      </c>
      <c r="CO73" s="46" t="n">
        <f aca="false">Tasks[[#This Row],[_WeightDur]]*Tasks[[#This Row],[_LeafProgress]]</f>
        <v>0</v>
      </c>
      <c r="CP7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39"/>
      <c r="E74" s="40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4" s="31"/>
      <c r="AF7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4" s="40"/>
      <c r="AI74" s="31"/>
      <c r="AJ7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4" s="40"/>
      <c r="AO74" s="24" t="str">
        <f aca="false">IF(Tasks[[#This Row],[Task Name]]="","",Tasks[[#This Row],[Forecast Start]])</f>
        <v/>
      </c>
      <c r="AP74" s="24" t="str">
        <f aca="false">IF(Tasks[[#This Row],[Task Name]]="","",Tasks[[#This Row],[Forecast Finish]])</f>
        <v/>
      </c>
      <c r="AQ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4" s="42" t="str">
        <f aca="false">IF(Tasks[[#This Row],[Task Name]]="","",Tasks[[#This Row],[Work]])</f>
        <v/>
      </c>
      <c r="AS74" s="43" t="str">
        <f aca="false">IF(Tasks[[#This Row],[Task Name]]="","",Tasks[[#This Row],[Cost]])</f>
        <v/>
      </c>
      <c r="AT74" s="29"/>
      <c r="AU74" s="29"/>
      <c r="AV74" s="39"/>
      <c r="AW74" s="44"/>
      <c r="AX74" s="45"/>
      <c r="AY74" s="38" t="str">
        <f aca="false">IF(OR(Tasks[[#This Row],[Task Name]]="",Tasks[[#This Row],[Baseline Duration]]=""),"",Tasks[[#This Row],[BL Source Duration]]-N(Tasks[[#This Row],[Baseline Duration]]))</f>
        <v/>
      </c>
      <c r="AZ74" s="42" t="str">
        <f aca="false">IF(OR(Tasks[[#This Row],[Task Name]]="",Tasks[[#This Row],[Baseline Work]]=""),"",Tasks[[#This Row],[Work]]-N(Tasks[[#This Row],[Baseline Work]]))</f>
        <v/>
      </c>
      <c r="BA74" s="43" t="str">
        <f aca="false">IF(OR(Tasks[[#This Row],[Task Name]]="",Tasks[[#This Row],[Baseline Cost]]=""),"",Tasks[[#This Row],[Cost]]-N(Tasks[[#This Row],[Baseline Cost]]))</f>
        <v/>
      </c>
      <c r="BB74" s="46" t="str">
        <f aca="false">IF(Tasks[[#This Row],[Task Name]]="","",MAX(1,N(Tasks[[#This Row],[Level]])))</f>
        <v/>
      </c>
      <c r="BC74" s="46" t="n">
        <f aca="false">ROW()-ROW(Tasks[[#Headers],[ID]])</f>
        <v>69</v>
      </c>
      <c r="BD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4" s="46" t="n">
        <f aca="false">IFERROR(N(INDEX(Tasks[_Level],Tasks[[#This Row],[_Row]]+1)),0)</f>
        <v>0</v>
      </c>
      <c r="BF74" s="47" t="b">
        <f aca="false">AND(Tasks[[#This Row],[Task Name]]&lt;&gt;"",Tasks[[#This Row],[_NextLevel]]&gt;Tasks[[#This Row],[_Level]])</f>
        <v>0</v>
      </c>
      <c r="BG74" s="46" t="n">
        <f aca="false">IF(Tasks[[#This Row],[_IsSummary]],COUNTIF(Tasks[WBS],Tasks[[#This Row],[WBS]]&amp;".*"),0)</f>
        <v>0</v>
      </c>
      <c r="BH74" s="46" t="n">
        <f aca="false">IF(AND(Tasks[[#This Row],[Task Name]]&lt;&gt;"",NOT(Tasks[[#This Row],[_IsSummary]])),1,0)</f>
        <v>0</v>
      </c>
      <c r="BI74" s="46" t="n">
        <f aca="false">IF(N(Tasks[[#This Row],[Pred1 UID]])=0,0,IFERROR(MATCH(Tasks[[#This Row],[Pred1 UID]],Tasks[UID],0),-1))</f>
        <v>0</v>
      </c>
      <c r="BJ74" s="46" t="n">
        <f aca="false">IF(N(Tasks[[#This Row],[Pred2 UID]])=0,0,IFERROR(MATCH(Tasks[[#This Row],[Pred2 UID]],Tasks[UID],0),-1))</f>
        <v>0</v>
      </c>
      <c r="BK7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4" s="46" t="n">
        <f aca="false">IF(NOT(Tasks[[#This Row],[_IsLeaf]]=1),0,IF(N(Tasks[[#This Row],[Actual Finish]])&gt;0,1,MIN(1,N(Tasks[[#This Row],[% Complete]]))))</f>
        <v>0</v>
      </c>
      <c r="BP7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4" s="46" t="n">
        <f aca="false">IF(Tasks[[#This Row],[_LeafWork]]=0,0,Tasks[[#This Row],[_LeafWork]]*IFERROR(INDEX(res_Rate,MATCH(Tasks[[#This Row],[Resource]],res_Name,0)),0))</f>
        <v>0</v>
      </c>
      <c r="BR7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4" s="46" t="n">
        <f aca="false">IF(NOT(Tasks[[#This Row],[_IsLeaf]]=1),0,MAX(_xlfn.MAXIFS(Tasks[_Row],Tasks[Pred1 UID],Tasks[[#This Row],[UID]]),_xlfn.MAXIFS(Tasks[_Row],Tasks[Pred2 UID],Tasks[[#This Row],[UID]])))</f>
        <v>0</v>
      </c>
      <c r="BW7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4" s="48" t="str">
        <f aca="false">IF(NOT(Tasks[[#This Row],[_IsLeaf]]=1),"",MIN(ProjectFinish,IF(N(Tasks[[#This Row],[Deadline]])&gt;0,Tasks[[#This Row],[Deadline]],2958465),Tasks[[#This Row],[_SuccessorFinishLimit]]))</f>
        <v/>
      </c>
      <c r="BY7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4" s="47" t="b">
        <f aca="false">AND(Tasks[[#This Row],[_IsLeaf]]=1,Tasks[[#This Row],[_LeafProgress]]&lt;1,N(Tasks[[#This Row],[_LeafTotalSlack]])&lt;=CriticalSlackDays)</f>
        <v>0</v>
      </c>
      <c r="CB7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4" s="46" t="n">
        <f aca="false">IF(AND(Tasks[[#This Row],[_IsLeaf]]=1,Tasks[[#This Row],[_LeafWork]]&gt;0),NETWORKDAYS.INTL(ProjectStart,Tasks[[#This Row],[_LeafFcstStart]],WorkWeek,Holidays),0)</f>
        <v>0</v>
      </c>
      <c r="CK7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4" s="46" t="n">
        <f aca="false">IF(AND(Tasks[[#This Row],[_IsLeaf]]=1,Tasks[[#This Row],[_LeafWork]]&gt;0),Tasks[[#This Row],[_LeafWork]]/(Tasks[[#This Row],[_FinishWorkday]]-Tasks[[#This Row],[_StartWorkday]]+1),0)</f>
        <v>0</v>
      </c>
      <c r="CM74" s="46" t="n">
        <f aca="false">Tasks[[#This Row],[_WorkPerWorkday]]*(Tasks[[#This Row],[_StartWorkday]]-1)</f>
        <v>-0</v>
      </c>
      <c r="CN74" s="46" t="n">
        <f aca="false">IF(Tasks[[#This Row],[_IsLeaf]]=1,MAX(N(Tasks[[#This Row],[Duration]]),0.1),0)</f>
        <v>0</v>
      </c>
      <c r="CO74" s="46" t="n">
        <f aca="false">Tasks[[#This Row],[_WeightDur]]*Tasks[[#This Row],[_LeafProgress]]</f>
        <v>0</v>
      </c>
      <c r="CP7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39"/>
      <c r="E75" s="40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5" s="31"/>
      <c r="AF7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5" s="40"/>
      <c r="AI75" s="31"/>
      <c r="AJ7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5" s="40"/>
      <c r="AO75" s="24" t="str">
        <f aca="false">IF(Tasks[[#This Row],[Task Name]]="","",Tasks[[#This Row],[Forecast Start]])</f>
        <v/>
      </c>
      <c r="AP75" s="24" t="str">
        <f aca="false">IF(Tasks[[#This Row],[Task Name]]="","",Tasks[[#This Row],[Forecast Finish]])</f>
        <v/>
      </c>
      <c r="AQ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5" s="42" t="str">
        <f aca="false">IF(Tasks[[#This Row],[Task Name]]="","",Tasks[[#This Row],[Work]])</f>
        <v/>
      </c>
      <c r="AS75" s="43" t="str">
        <f aca="false">IF(Tasks[[#This Row],[Task Name]]="","",Tasks[[#This Row],[Cost]])</f>
        <v/>
      </c>
      <c r="AT75" s="29"/>
      <c r="AU75" s="29"/>
      <c r="AV75" s="39"/>
      <c r="AW75" s="44"/>
      <c r="AX75" s="45"/>
      <c r="AY75" s="38" t="str">
        <f aca="false">IF(OR(Tasks[[#This Row],[Task Name]]="",Tasks[[#This Row],[Baseline Duration]]=""),"",Tasks[[#This Row],[BL Source Duration]]-N(Tasks[[#This Row],[Baseline Duration]]))</f>
        <v/>
      </c>
      <c r="AZ75" s="42" t="str">
        <f aca="false">IF(OR(Tasks[[#This Row],[Task Name]]="",Tasks[[#This Row],[Baseline Work]]=""),"",Tasks[[#This Row],[Work]]-N(Tasks[[#This Row],[Baseline Work]]))</f>
        <v/>
      </c>
      <c r="BA75" s="43" t="str">
        <f aca="false">IF(OR(Tasks[[#This Row],[Task Name]]="",Tasks[[#This Row],[Baseline Cost]]=""),"",Tasks[[#This Row],[Cost]]-N(Tasks[[#This Row],[Baseline Cost]]))</f>
        <v/>
      </c>
      <c r="BB75" s="46" t="str">
        <f aca="false">IF(Tasks[[#This Row],[Task Name]]="","",MAX(1,N(Tasks[[#This Row],[Level]])))</f>
        <v/>
      </c>
      <c r="BC75" s="46" t="n">
        <f aca="false">ROW()-ROW(Tasks[[#Headers],[ID]])</f>
        <v>70</v>
      </c>
      <c r="BD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5" s="46" t="n">
        <f aca="false">IFERROR(N(INDEX(Tasks[_Level],Tasks[[#This Row],[_Row]]+1)),0)</f>
        <v>0</v>
      </c>
      <c r="BF75" s="47" t="b">
        <f aca="false">AND(Tasks[[#This Row],[Task Name]]&lt;&gt;"",Tasks[[#This Row],[_NextLevel]]&gt;Tasks[[#This Row],[_Level]])</f>
        <v>0</v>
      </c>
      <c r="BG75" s="46" t="n">
        <f aca="false">IF(Tasks[[#This Row],[_IsSummary]],COUNTIF(Tasks[WBS],Tasks[[#This Row],[WBS]]&amp;".*"),0)</f>
        <v>0</v>
      </c>
      <c r="BH75" s="46" t="n">
        <f aca="false">IF(AND(Tasks[[#This Row],[Task Name]]&lt;&gt;"",NOT(Tasks[[#This Row],[_IsSummary]])),1,0)</f>
        <v>0</v>
      </c>
      <c r="BI75" s="46" t="n">
        <f aca="false">IF(N(Tasks[[#This Row],[Pred1 UID]])=0,0,IFERROR(MATCH(Tasks[[#This Row],[Pred1 UID]],Tasks[UID],0),-1))</f>
        <v>0</v>
      </c>
      <c r="BJ75" s="46" t="n">
        <f aca="false">IF(N(Tasks[[#This Row],[Pred2 UID]])=0,0,IFERROR(MATCH(Tasks[[#This Row],[Pred2 UID]],Tasks[UID],0),-1))</f>
        <v>0</v>
      </c>
      <c r="BK7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5" s="46" t="n">
        <f aca="false">IF(NOT(Tasks[[#This Row],[_IsLeaf]]=1),0,IF(N(Tasks[[#This Row],[Actual Finish]])&gt;0,1,MIN(1,N(Tasks[[#This Row],[% Complete]]))))</f>
        <v>0</v>
      </c>
      <c r="BP7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5" s="46" t="n">
        <f aca="false">IF(Tasks[[#This Row],[_LeafWork]]=0,0,Tasks[[#This Row],[_LeafWork]]*IFERROR(INDEX(res_Rate,MATCH(Tasks[[#This Row],[Resource]],res_Name,0)),0))</f>
        <v>0</v>
      </c>
      <c r="BR7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5" s="46" t="n">
        <f aca="false">IF(NOT(Tasks[[#This Row],[_IsLeaf]]=1),0,MAX(_xlfn.MAXIFS(Tasks[_Row],Tasks[Pred1 UID],Tasks[[#This Row],[UID]]),_xlfn.MAXIFS(Tasks[_Row],Tasks[Pred2 UID],Tasks[[#This Row],[UID]])))</f>
        <v>0</v>
      </c>
      <c r="BW7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5" s="48" t="str">
        <f aca="false">IF(NOT(Tasks[[#This Row],[_IsLeaf]]=1),"",MIN(ProjectFinish,IF(N(Tasks[[#This Row],[Deadline]])&gt;0,Tasks[[#This Row],[Deadline]],2958465),Tasks[[#This Row],[_SuccessorFinishLimit]]))</f>
        <v/>
      </c>
      <c r="BY7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5" s="47" t="b">
        <f aca="false">AND(Tasks[[#This Row],[_IsLeaf]]=1,Tasks[[#This Row],[_LeafProgress]]&lt;1,N(Tasks[[#This Row],[_LeafTotalSlack]])&lt;=CriticalSlackDays)</f>
        <v>0</v>
      </c>
      <c r="CB7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5" s="46" t="n">
        <f aca="false">IF(AND(Tasks[[#This Row],[_IsLeaf]]=1,Tasks[[#This Row],[_LeafWork]]&gt;0),NETWORKDAYS.INTL(ProjectStart,Tasks[[#This Row],[_LeafFcstStart]],WorkWeek,Holidays),0)</f>
        <v>0</v>
      </c>
      <c r="CK7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5" s="46" t="n">
        <f aca="false">IF(AND(Tasks[[#This Row],[_IsLeaf]]=1,Tasks[[#This Row],[_LeafWork]]&gt;0),Tasks[[#This Row],[_LeafWork]]/(Tasks[[#This Row],[_FinishWorkday]]-Tasks[[#This Row],[_StartWorkday]]+1),0)</f>
        <v>0</v>
      </c>
      <c r="CM75" s="46" t="n">
        <f aca="false">Tasks[[#This Row],[_WorkPerWorkday]]*(Tasks[[#This Row],[_StartWorkday]]-1)</f>
        <v>-0</v>
      </c>
      <c r="CN75" s="46" t="n">
        <f aca="false">IF(Tasks[[#This Row],[_IsLeaf]]=1,MAX(N(Tasks[[#This Row],[Duration]]),0.1),0)</f>
        <v>0</v>
      </c>
      <c r="CO75" s="46" t="n">
        <f aca="false">Tasks[[#This Row],[_WeightDur]]*Tasks[[#This Row],[_LeafProgress]]</f>
        <v>0</v>
      </c>
      <c r="CP7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39"/>
      <c r="E76" s="40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6" s="31"/>
      <c r="AF7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6" s="40"/>
      <c r="AI76" s="31"/>
      <c r="AJ7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6" s="40"/>
      <c r="AO76" s="24" t="str">
        <f aca="false">IF(Tasks[[#This Row],[Task Name]]="","",Tasks[[#This Row],[Forecast Start]])</f>
        <v/>
      </c>
      <c r="AP76" s="24" t="str">
        <f aca="false">IF(Tasks[[#This Row],[Task Name]]="","",Tasks[[#This Row],[Forecast Finish]])</f>
        <v/>
      </c>
      <c r="AQ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6" s="42" t="str">
        <f aca="false">IF(Tasks[[#This Row],[Task Name]]="","",Tasks[[#This Row],[Work]])</f>
        <v/>
      </c>
      <c r="AS76" s="43" t="str">
        <f aca="false">IF(Tasks[[#This Row],[Task Name]]="","",Tasks[[#This Row],[Cost]])</f>
        <v/>
      </c>
      <c r="AT76" s="29"/>
      <c r="AU76" s="29"/>
      <c r="AV76" s="39"/>
      <c r="AW76" s="44"/>
      <c r="AX76" s="45"/>
      <c r="AY76" s="38" t="str">
        <f aca="false">IF(OR(Tasks[[#This Row],[Task Name]]="",Tasks[[#This Row],[Baseline Duration]]=""),"",Tasks[[#This Row],[BL Source Duration]]-N(Tasks[[#This Row],[Baseline Duration]]))</f>
        <v/>
      </c>
      <c r="AZ76" s="42" t="str">
        <f aca="false">IF(OR(Tasks[[#This Row],[Task Name]]="",Tasks[[#This Row],[Baseline Work]]=""),"",Tasks[[#This Row],[Work]]-N(Tasks[[#This Row],[Baseline Work]]))</f>
        <v/>
      </c>
      <c r="BA76" s="43" t="str">
        <f aca="false">IF(OR(Tasks[[#This Row],[Task Name]]="",Tasks[[#This Row],[Baseline Cost]]=""),"",Tasks[[#This Row],[Cost]]-N(Tasks[[#This Row],[Baseline Cost]]))</f>
        <v/>
      </c>
      <c r="BB76" s="46" t="str">
        <f aca="false">IF(Tasks[[#This Row],[Task Name]]="","",MAX(1,N(Tasks[[#This Row],[Level]])))</f>
        <v/>
      </c>
      <c r="BC76" s="46" t="n">
        <f aca="false">ROW()-ROW(Tasks[[#Headers],[ID]])</f>
        <v>71</v>
      </c>
      <c r="BD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6" s="46" t="n">
        <f aca="false">IFERROR(N(INDEX(Tasks[_Level],Tasks[[#This Row],[_Row]]+1)),0)</f>
        <v>0</v>
      </c>
      <c r="BF76" s="47" t="b">
        <f aca="false">AND(Tasks[[#This Row],[Task Name]]&lt;&gt;"",Tasks[[#This Row],[_NextLevel]]&gt;Tasks[[#This Row],[_Level]])</f>
        <v>0</v>
      </c>
      <c r="BG76" s="46" t="n">
        <f aca="false">IF(Tasks[[#This Row],[_IsSummary]],COUNTIF(Tasks[WBS],Tasks[[#This Row],[WBS]]&amp;".*"),0)</f>
        <v>0</v>
      </c>
      <c r="BH76" s="46" t="n">
        <f aca="false">IF(AND(Tasks[[#This Row],[Task Name]]&lt;&gt;"",NOT(Tasks[[#This Row],[_IsSummary]])),1,0)</f>
        <v>0</v>
      </c>
      <c r="BI76" s="46" t="n">
        <f aca="false">IF(N(Tasks[[#This Row],[Pred1 UID]])=0,0,IFERROR(MATCH(Tasks[[#This Row],[Pred1 UID]],Tasks[UID],0),-1))</f>
        <v>0</v>
      </c>
      <c r="BJ76" s="46" t="n">
        <f aca="false">IF(N(Tasks[[#This Row],[Pred2 UID]])=0,0,IFERROR(MATCH(Tasks[[#This Row],[Pred2 UID]],Tasks[UID],0),-1))</f>
        <v>0</v>
      </c>
      <c r="BK7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6" s="46" t="n">
        <f aca="false">IF(NOT(Tasks[[#This Row],[_IsLeaf]]=1),0,IF(N(Tasks[[#This Row],[Actual Finish]])&gt;0,1,MIN(1,N(Tasks[[#This Row],[% Complete]]))))</f>
        <v>0</v>
      </c>
      <c r="BP7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6" s="46" t="n">
        <f aca="false">IF(Tasks[[#This Row],[_LeafWork]]=0,0,Tasks[[#This Row],[_LeafWork]]*IFERROR(INDEX(res_Rate,MATCH(Tasks[[#This Row],[Resource]],res_Name,0)),0))</f>
        <v>0</v>
      </c>
      <c r="BR7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6" s="46" t="n">
        <f aca="false">IF(NOT(Tasks[[#This Row],[_IsLeaf]]=1),0,MAX(_xlfn.MAXIFS(Tasks[_Row],Tasks[Pred1 UID],Tasks[[#This Row],[UID]]),_xlfn.MAXIFS(Tasks[_Row],Tasks[Pred2 UID],Tasks[[#This Row],[UID]])))</f>
        <v>0</v>
      </c>
      <c r="BW7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6" s="48" t="str">
        <f aca="false">IF(NOT(Tasks[[#This Row],[_IsLeaf]]=1),"",MIN(ProjectFinish,IF(N(Tasks[[#This Row],[Deadline]])&gt;0,Tasks[[#This Row],[Deadline]],2958465),Tasks[[#This Row],[_SuccessorFinishLimit]]))</f>
        <v/>
      </c>
      <c r="BY7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6" s="47" t="b">
        <f aca="false">AND(Tasks[[#This Row],[_IsLeaf]]=1,Tasks[[#This Row],[_LeafProgress]]&lt;1,N(Tasks[[#This Row],[_LeafTotalSlack]])&lt;=CriticalSlackDays)</f>
        <v>0</v>
      </c>
      <c r="CB7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6" s="46" t="n">
        <f aca="false">IF(AND(Tasks[[#This Row],[_IsLeaf]]=1,Tasks[[#This Row],[_LeafWork]]&gt;0),NETWORKDAYS.INTL(ProjectStart,Tasks[[#This Row],[_LeafFcstStart]],WorkWeek,Holidays),0)</f>
        <v>0</v>
      </c>
      <c r="CK7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6" s="46" t="n">
        <f aca="false">IF(AND(Tasks[[#This Row],[_IsLeaf]]=1,Tasks[[#This Row],[_LeafWork]]&gt;0),Tasks[[#This Row],[_LeafWork]]/(Tasks[[#This Row],[_FinishWorkday]]-Tasks[[#This Row],[_StartWorkday]]+1),0)</f>
        <v>0</v>
      </c>
      <c r="CM76" s="46" t="n">
        <f aca="false">Tasks[[#This Row],[_WorkPerWorkday]]*(Tasks[[#This Row],[_StartWorkday]]-1)</f>
        <v>-0</v>
      </c>
      <c r="CN76" s="46" t="n">
        <f aca="false">IF(Tasks[[#This Row],[_IsLeaf]]=1,MAX(N(Tasks[[#This Row],[Duration]]),0.1),0)</f>
        <v>0</v>
      </c>
      <c r="CO76" s="46" t="n">
        <f aca="false">Tasks[[#This Row],[_WeightDur]]*Tasks[[#This Row],[_LeafProgress]]</f>
        <v>0</v>
      </c>
      <c r="CP7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39"/>
      <c r="E77" s="40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7" s="31"/>
      <c r="AF7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7" s="40"/>
      <c r="AI77" s="31"/>
      <c r="AJ7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7" s="40"/>
      <c r="AO77" s="24" t="str">
        <f aca="false">IF(Tasks[[#This Row],[Task Name]]="","",Tasks[[#This Row],[Forecast Start]])</f>
        <v/>
      </c>
      <c r="AP77" s="24" t="str">
        <f aca="false">IF(Tasks[[#This Row],[Task Name]]="","",Tasks[[#This Row],[Forecast Finish]])</f>
        <v/>
      </c>
      <c r="AQ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7" s="42" t="str">
        <f aca="false">IF(Tasks[[#This Row],[Task Name]]="","",Tasks[[#This Row],[Work]])</f>
        <v/>
      </c>
      <c r="AS77" s="43" t="str">
        <f aca="false">IF(Tasks[[#This Row],[Task Name]]="","",Tasks[[#This Row],[Cost]])</f>
        <v/>
      </c>
      <c r="AT77" s="29"/>
      <c r="AU77" s="29"/>
      <c r="AV77" s="39"/>
      <c r="AW77" s="44"/>
      <c r="AX77" s="45"/>
      <c r="AY77" s="38" t="str">
        <f aca="false">IF(OR(Tasks[[#This Row],[Task Name]]="",Tasks[[#This Row],[Baseline Duration]]=""),"",Tasks[[#This Row],[BL Source Duration]]-N(Tasks[[#This Row],[Baseline Duration]]))</f>
        <v/>
      </c>
      <c r="AZ77" s="42" t="str">
        <f aca="false">IF(OR(Tasks[[#This Row],[Task Name]]="",Tasks[[#This Row],[Baseline Work]]=""),"",Tasks[[#This Row],[Work]]-N(Tasks[[#This Row],[Baseline Work]]))</f>
        <v/>
      </c>
      <c r="BA77" s="43" t="str">
        <f aca="false">IF(OR(Tasks[[#This Row],[Task Name]]="",Tasks[[#This Row],[Baseline Cost]]=""),"",Tasks[[#This Row],[Cost]]-N(Tasks[[#This Row],[Baseline Cost]]))</f>
        <v/>
      </c>
      <c r="BB77" s="46" t="str">
        <f aca="false">IF(Tasks[[#This Row],[Task Name]]="","",MAX(1,N(Tasks[[#This Row],[Level]])))</f>
        <v/>
      </c>
      <c r="BC77" s="46" t="n">
        <f aca="false">ROW()-ROW(Tasks[[#Headers],[ID]])</f>
        <v>72</v>
      </c>
      <c r="BD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7" s="46" t="n">
        <f aca="false">IFERROR(N(INDEX(Tasks[_Level],Tasks[[#This Row],[_Row]]+1)),0)</f>
        <v>0</v>
      </c>
      <c r="BF77" s="47" t="b">
        <f aca="false">AND(Tasks[[#This Row],[Task Name]]&lt;&gt;"",Tasks[[#This Row],[_NextLevel]]&gt;Tasks[[#This Row],[_Level]])</f>
        <v>0</v>
      </c>
      <c r="BG77" s="46" t="n">
        <f aca="false">IF(Tasks[[#This Row],[_IsSummary]],COUNTIF(Tasks[WBS],Tasks[[#This Row],[WBS]]&amp;".*"),0)</f>
        <v>0</v>
      </c>
      <c r="BH77" s="46" t="n">
        <f aca="false">IF(AND(Tasks[[#This Row],[Task Name]]&lt;&gt;"",NOT(Tasks[[#This Row],[_IsSummary]])),1,0)</f>
        <v>0</v>
      </c>
      <c r="BI77" s="46" t="n">
        <f aca="false">IF(N(Tasks[[#This Row],[Pred1 UID]])=0,0,IFERROR(MATCH(Tasks[[#This Row],[Pred1 UID]],Tasks[UID],0),-1))</f>
        <v>0</v>
      </c>
      <c r="BJ77" s="46" t="n">
        <f aca="false">IF(N(Tasks[[#This Row],[Pred2 UID]])=0,0,IFERROR(MATCH(Tasks[[#This Row],[Pred2 UID]],Tasks[UID],0),-1))</f>
        <v>0</v>
      </c>
      <c r="BK7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7" s="46" t="n">
        <f aca="false">IF(NOT(Tasks[[#This Row],[_IsLeaf]]=1),0,IF(N(Tasks[[#This Row],[Actual Finish]])&gt;0,1,MIN(1,N(Tasks[[#This Row],[% Complete]]))))</f>
        <v>0</v>
      </c>
      <c r="BP7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7" s="46" t="n">
        <f aca="false">IF(Tasks[[#This Row],[_LeafWork]]=0,0,Tasks[[#This Row],[_LeafWork]]*IFERROR(INDEX(res_Rate,MATCH(Tasks[[#This Row],[Resource]],res_Name,0)),0))</f>
        <v>0</v>
      </c>
      <c r="BR7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7" s="46" t="n">
        <f aca="false">IF(NOT(Tasks[[#This Row],[_IsLeaf]]=1),0,MAX(_xlfn.MAXIFS(Tasks[_Row],Tasks[Pred1 UID],Tasks[[#This Row],[UID]]),_xlfn.MAXIFS(Tasks[_Row],Tasks[Pred2 UID],Tasks[[#This Row],[UID]])))</f>
        <v>0</v>
      </c>
      <c r="BW7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7" s="48" t="str">
        <f aca="false">IF(NOT(Tasks[[#This Row],[_IsLeaf]]=1),"",MIN(ProjectFinish,IF(N(Tasks[[#This Row],[Deadline]])&gt;0,Tasks[[#This Row],[Deadline]],2958465),Tasks[[#This Row],[_SuccessorFinishLimit]]))</f>
        <v/>
      </c>
      <c r="BY7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7" s="47" t="b">
        <f aca="false">AND(Tasks[[#This Row],[_IsLeaf]]=1,Tasks[[#This Row],[_LeafProgress]]&lt;1,N(Tasks[[#This Row],[_LeafTotalSlack]])&lt;=CriticalSlackDays)</f>
        <v>0</v>
      </c>
      <c r="CB7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7" s="46" t="n">
        <f aca="false">IF(AND(Tasks[[#This Row],[_IsLeaf]]=1,Tasks[[#This Row],[_LeafWork]]&gt;0),NETWORKDAYS.INTL(ProjectStart,Tasks[[#This Row],[_LeafFcstStart]],WorkWeek,Holidays),0)</f>
        <v>0</v>
      </c>
      <c r="CK7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7" s="46" t="n">
        <f aca="false">IF(AND(Tasks[[#This Row],[_IsLeaf]]=1,Tasks[[#This Row],[_LeafWork]]&gt;0),Tasks[[#This Row],[_LeafWork]]/(Tasks[[#This Row],[_FinishWorkday]]-Tasks[[#This Row],[_StartWorkday]]+1),0)</f>
        <v>0</v>
      </c>
      <c r="CM77" s="46" t="n">
        <f aca="false">Tasks[[#This Row],[_WorkPerWorkday]]*(Tasks[[#This Row],[_StartWorkday]]-1)</f>
        <v>-0</v>
      </c>
      <c r="CN77" s="46" t="n">
        <f aca="false">IF(Tasks[[#This Row],[_IsLeaf]]=1,MAX(N(Tasks[[#This Row],[Duration]]),0.1),0)</f>
        <v>0</v>
      </c>
      <c r="CO77" s="46" t="n">
        <f aca="false">Tasks[[#This Row],[_WeightDur]]*Tasks[[#This Row],[_LeafProgress]]</f>
        <v>0</v>
      </c>
      <c r="CP7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39"/>
      <c r="E78" s="40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8" s="31"/>
      <c r="AF7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8" s="40"/>
      <c r="AI78" s="31"/>
      <c r="AJ7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8" s="40"/>
      <c r="AO78" s="24" t="str">
        <f aca="false">IF(Tasks[[#This Row],[Task Name]]="","",Tasks[[#This Row],[Forecast Start]])</f>
        <v/>
      </c>
      <c r="AP78" s="24" t="str">
        <f aca="false">IF(Tasks[[#This Row],[Task Name]]="","",Tasks[[#This Row],[Forecast Finish]])</f>
        <v/>
      </c>
      <c r="AQ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8" s="42" t="str">
        <f aca="false">IF(Tasks[[#This Row],[Task Name]]="","",Tasks[[#This Row],[Work]])</f>
        <v/>
      </c>
      <c r="AS78" s="43" t="str">
        <f aca="false">IF(Tasks[[#This Row],[Task Name]]="","",Tasks[[#This Row],[Cost]])</f>
        <v/>
      </c>
      <c r="AT78" s="29"/>
      <c r="AU78" s="29"/>
      <c r="AV78" s="39"/>
      <c r="AW78" s="44"/>
      <c r="AX78" s="45"/>
      <c r="AY78" s="38" t="str">
        <f aca="false">IF(OR(Tasks[[#This Row],[Task Name]]="",Tasks[[#This Row],[Baseline Duration]]=""),"",Tasks[[#This Row],[BL Source Duration]]-N(Tasks[[#This Row],[Baseline Duration]]))</f>
        <v/>
      </c>
      <c r="AZ78" s="42" t="str">
        <f aca="false">IF(OR(Tasks[[#This Row],[Task Name]]="",Tasks[[#This Row],[Baseline Work]]=""),"",Tasks[[#This Row],[Work]]-N(Tasks[[#This Row],[Baseline Work]]))</f>
        <v/>
      </c>
      <c r="BA78" s="43" t="str">
        <f aca="false">IF(OR(Tasks[[#This Row],[Task Name]]="",Tasks[[#This Row],[Baseline Cost]]=""),"",Tasks[[#This Row],[Cost]]-N(Tasks[[#This Row],[Baseline Cost]]))</f>
        <v/>
      </c>
      <c r="BB78" s="46" t="str">
        <f aca="false">IF(Tasks[[#This Row],[Task Name]]="","",MAX(1,N(Tasks[[#This Row],[Level]])))</f>
        <v/>
      </c>
      <c r="BC78" s="46" t="n">
        <f aca="false">ROW()-ROW(Tasks[[#Headers],[ID]])</f>
        <v>73</v>
      </c>
      <c r="BD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8" s="46" t="n">
        <f aca="false">IFERROR(N(INDEX(Tasks[_Level],Tasks[[#This Row],[_Row]]+1)),0)</f>
        <v>0</v>
      </c>
      <c r="BF78" s="47" t="b">
        <f aca="false">AND(Tasks[[#This Row],[Task Name]]&lt;&gt;"",Tasks[[#This Row],[_NextLevel]]&gt;Tasks[[#This Row],[_Level]])</f>
        <v>0</v>
      </c>
      <c r="BG78" s="46" t="n">
        <f aca="false">IF(Tasks[[#This Row],[_IsSummary]],COUNTIF(Tasks[WBS],Tasks[[#This Row],[WBS]]&amp;".*"),0)</f>
        <v>0</v>
      </c>
      <c r="BH78" s="46" t="n">
        <f aca="false">IF(AND(Tasks[[#This Row],[Task Name]]&lt;&gt;"",NOT(Tasks[[#This Row],[_IsSummary]])),1,0)</f>
        <v>0</v>
      </c>
      <c r="BI78" s="46" t="n">
        <f aca="false">IF(N(Tasks[[#This Row],[Pred1 UID]])=0,0,IFERROR(MATCH(Tasks[[#This Row],[Pred1 UID]],Tasks[UID],0),-1))</f>
        <v>0</v>
      </c>
      <c r="BJ78" s="46" t="n">
        <f aca="false">IF(N(Tasks[[#This Row],[Pred2 UID]])=0,0,IFERROR(MATCH(Tasks[[#This Row],[Pred2 UID]],Tasks[UID],0),-1))</f>
        <v>0</v>
      </c>
      <c r="BK7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8" s="46" t="n">
        <f aca="false">IF(NOT(Tasks[[#This Row],[_IsLeaf]]=1),0,IF(N(Tasks[[#This Row],[Actual Finish]])&gt;0,1,MIN(1,N(Tasks[[#This Row],[% Complete]]))))</f>
        <v>0</v>
      </c>
      <c r="BP7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8" s="46" t="n">
        <f aca="false">IF(Tasks[[#This Row],[_LeafWork]]=0,0,Tasks[[#This Row],[_LeafWork]]*IFERROR(INDEX(res_Rate,MATCH(Tasks[[#This Row],[Resource]],res_Name,0)),0))</f>
        <v>0</v>
      </c>
      <c r="BR7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8" s="46" t="n">
        <f aca="false">IF(NOT(Tasks[[#This Row],[_IsLeaf]]=1),0,MAX(_xlfn.MAXIFS(Tasks[_Row],Tasks[Pred1 UID],Tasks[[#This Row],[UID]]),_xlfn.MAXIFS(Tasks[_Row],Tasks[Pred2 UID],Tasks[[#This Row],[UID]])))</f>
        <v>0</v>
      </c>
      <c r="BW7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8" s="48" t="str">
        <f aca="false">IF(NOT(Tasks[[#This Row],[_IsLeaf]]=1),"",MIN(ProjectFinish,IF(N(Tasks[[#This Row],[Deadline]])&gt;0,Tasks[[#This Row],[Deadline]],2958465),Tasks[[#This Row],[_SuccessorFinishLimit]]))</f>
        <v/>
      </c>
      <c r="BY7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8" s="47" t="b">
        <f aca="false">AND(Tasks[[#This Row],[_IsLeaf]]=1,Tasks[[#This Row],[_LeafProgress]]&lt;1,N(Tasks[[#This Row],[_LeafTotalSlack]])&lt;=CriticalSlackDays)</f>
        <v>0</v>
      </c>
      <c r="CB7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8" s="46" t="n">
        <f aca="false">IF(AND(Tasks[[#This Row],[_IsLeaf]]=1,Tasks[[#This Row],[_LeafWork]]&gt;0),NETWORKDAYS.INTL(ProjectStart,Tasks[[#This Row],[_LeafFcstStart]],WorkWeek,Holidays),0)</f>
        <v>0</v>
      </c>
      <c r="CK7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8" s="46" t="n">
        <f aca="false">IF(AND(Tasks[[#This Row],[_IsLeaf]]=1,Tasks[[#This Row],[_LeafWork]]&gt;0),Tasks[[#This Row],[_LeafWork]]/(Tasks[[#This Row],[_FinishWorkday]]-Tasks[[#This Row],[_StartWorkday]]+1),0)</f>
        <v>0</v>
      </c>
      <c r="CM78" s="46" t="n">
        <f aca="false">Tasks[[#This Row],[_WorkPerWorkday]]*(Tasks[[#This Row],[_StartWorkday]]-1)</f>
        <v>-0</v>
      </c>
      <c r="CN78" s="46" t="n">
        <f aca="false">IF(Tasks[[#This Row],[_IsLeaf]]=1,MAX(N(Tasks[[#This Row],[Duration]]),0.1),0)</f>
        <v>0</v>
      </c>
      <c r="CO78" s="46" t="n">
        <f aca="false">Tasks[[#This Row],[_WeightDur]]*Tasks[[#This Row],[_LeafProgress]]</f>
        <v>0</v>
      </c>
      <c r="CP7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39"/>
      <c r="E79" s="40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9" s="31"/>
      <c r="AF7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9" s="40"/>
      <c r="AI79" s="31"/>
      <c r="AJ7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9" s="40"/>
      <c r="AO79" s="24" t="str">
        <f aca="false">IF(Tasks[[#This Row],[Task Name]]="","",Tasks[[#This Row],[Forecast Start]])</f>
        <v/>
      </c>
      <c r="AP79" s="24" t="str">
        <f aca="false">IF(Tasks[[#This Row],[Task Name]]="","",Tasks[[#This Row],[Forecast Finish]])</f>
        <v/>
      </c>
      <c r="AQ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9" s="42" t="str">
        <f aca="false">IF(Tasks[[#This Row],[Task Name]]="","",Tasks[[#This Row],[Work]])</f>
        <v/>
      </c>
      <c r="AS79" s="43" t="str">
        <f aca="false">IF(Tasks[[#This Row],[Task Name]]="","",Tasks[[#This Row],[Cost]])</f>
        <v/>
      </c>
      <c r="AT79" s="29"/>
      <c r="AU79" s="29"/>
      <c r="AV79" s="39"/>
      <c r="AW79" s="44"/>
      <c r="AX79" s="45"/>
      <c r="AY79" s="38" t="str">
        <f aca="false">IF(OR(Tasks[[#This Row],[Task Name]]="",Tasks[[#This Row],[Baseline Duration]]=""),"",Tasks[[#This Row],[BL Source Duration]]-N(Tasks[[#This Row],[Baseline Duration]]))</f>
        <v/>
      </c>
      <c r="AZ79" s="42" t="str">
        <f aca="false">IF(OR(Tasks[[#This Row],[Task Name]]="",Tasks[[#This Row],[Baseline Work]]=""),"",Tasks[[#This Row],[Work]]-N(Tasks[[#This Row],[Baseline Work]]))</f>
        <v/>
      </c>
      <c r="BA79" s="43" t="str">
        <f aca="false">IF(OR(Tasks[[#This Row],[Task Name]]="",Tasks[[#This Row],[Baseline Cost]]=""),"",Tasks[[#This Row],[Cost]]-N(Tasks[[#This Row],[Baseline Cost]]))</f>
        <v/>
      </c>
      <c r="BB79" s="46" t="str">
        <f aca="false">IF(Tasks[[#This Row],[Task Name]]="","",MAX(1,N(Tasks[[#This Row],[Level]])))</f>
        <v/>
      </c>
      <c r="BC79" s="46" t="n">
        <f aca="false">ROW()-ROW(Tasks[[#Headers],[ID]])</f>
        <v>74</v>
      </c>
      <c r="BD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9" s="46" t="n">
        <f aca="false">IFERROR(N(INDEX(Tasks[_Level],Tasks[[#This Row],[_Row]]+1)),0)</f>
        <v>0</v>
      </c>
      <c r="BF79" s="47" t="b">
        <f aca="false">AND(Tasks[[#This Row],[Task Name]]&lt;&gt;"",Tasks[[#This Row],[_NextLevel]]&gt;Tasks[[#This Row],[_Level]])</f>
        <v>0</v>
      </c>
      <c r="BG79" s="46" t="n">
        <f aca="false">IF(Tasks[[#This Row],[_IsSummary]],COUNTIF(Tasks[WBS],Tasks[[#This Row],[WBS]]&amp;".*"),0)</f>
        <v>0</v>
      </c>
      <c r="BH79" s="46" t="n">
        <f aca="false">IF(AND(Tasks[[#This Row],[Task Name]]&lt;&gt;"",NOT(Tasks[[#This Row],[_IsSummary]])),1,0)</f>
        <v>0</v>
      </c>
      <c r="BI79" s="46" t="n">
        <f aca="false">IF(N(Tasks[[#This Row],[Pred1 UID]])=0,0,IFERROR(MATCH(Tasks[[#This Row],[Pred1 UID]],Tasks[UID],0),-1))</f>
        <v>0</v>
      </c>
      <c r="BJ79" s="46" t="n">
        <f aca="false">IF(N(Tasks[[#This Row],[Pred2 UID]])=0,0,IFERROR(MATCH(Tasks[[#This Row],[Pred2 UID]],Tasks[UID],0),-1))</f>
        <v>0</v>
      </c>
      <c r="BK7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9" s="46" t="n">
        <f aca="false">IF(NOT(Tasks[[#This Row],[_IsLeaf]]=1),0,IF(N(Tasks[[#This Row],[Actual Finish]])&gt;0,1,MIN(1,N(Tasks[[#This Row],[% Complete]]))))</f>
        <v>0</v>
      </c>
      <c r="BP7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79" s="46" t="n">
        <f aca="false">IF(Tasks[[#This Row],[_LeafWork]]=0,0,Tasks[[#This Row],[_LeafWork]]*IFERROR(INDEX(res_Rate,MATCH(Tasks[[#This Row],[Resource]],res_Name,0)),0))</f>
        <v>0</v>
      </c>
      <c r="BR7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9" s="46" t="n">
        <f aca="false">IF(NOT(Tasks[[#This Row],[_IsLeaf]]=1),0,MAX(_xlfn.MAXIFS(Tasks[_Row],Tasks[Pred1 UID],Tasks[[#This Row],[UID]]),_xlfn.MAXIFS(Tasks[_Row],Tasks[Pred2 UID],Tasks[[#This Row],[UID]])))</f>
        <v>0</v>
      </c>
      <c r="BW7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9" s="48" t="str">
        <f aca="false">IF(NOT(Tasks[[#This Row],[_IsLeaf]]=1),"",MIN(ProjectFinish,IF(N(Tasks[[#This Row],[Deadline]])&gt;0,Tasks[[#This Row],[Deadline]],2958465),Tasks[[#This Row],[_SuccessorFinishLimit]]))</f>
        <v/>
      </c>
      <c r="BY7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9" s="47" t="b">
        <f aca="false">AND(Tasks[[#This Row],[_IsLeaf]]=1,Tasks[[#This Row],[_LeafProgress]]&lt;1,N(Tasks[[#This Row],[_LeafTotalSlack]])&lt;=CriticalSlackDays)</f>
        <v>0</v>
      </c>
      <c r="CB7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9" s="46" t="n">
        <f aca="false">IF(AND(Tasks[[#This Row],[_IsLeaf]]=1,Tasks[[#This Row],[_LeafWork]]&gt;0),NETWORKDAYS.INTL(ProjectStart,Tasks[[#This Row],[_LeafFcstStart]],WorkWeek,Holidays),0)</f>
        <v>0</v>
      </c>
      <c r="CK7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9" s="46" t="n">
        <f aca="false">IF(AND(Tasks[[#This Row],[_IsLeaf]]=1,Tasks[[#This Row],[_LeafWork]]&gt;0),Tasks[[#This Row],[_LeafWork]]/(Tasks[[#This Row],[_FinishWorkday]]-Tasks[[#This Row],[_StartWorkday]]+1),0)</f>
        <v>0</v>
      </c>
      <c r="CM79" s="46" t="n">
        <f aca="false">Tasks[[#This Row],[_WorkPerWorkday]]*(Tasks[[#This Row],[_StartWorkday]]-1)</f>
        <v>-0</v>
      </c>
      <c r="CN79" s="46" t="n">
        <f aca="false">IF(Tasks[[#This Row],[_IsLeaf]]=1,MAX(N(Tasks[[#This Row],[Duration]]),0.1),0)</f>
        <v>0</v>
      </c>
      <c r="CO79" s="46" t="n">
        <f aca="false">Tasks[[#This Row],[_WeightDur]]*Tasks[[#This Row],[_LeafProgress]]</f>
        <v>0</v>
      </c>
      <c r="CP7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39"/>
      <c r="E80" s="40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0" s="31"/>
      <c r="AF8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0" s="40"/>
      <c r="AI80" s="31"/>
      <c r="AJ8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0" s="40"/>
      <c r="AO80" s="24" t="str">
        <f aca="false">IF(Tasks[[#This Row],[Task Name]]="","",Tasks[[#This Row],[Forecast Start]])</f>
        <v/>
      </c>
      <c r="AP80" s="24" t="str">
        <f aca="false">IF(Tasks[[#This Row],[Task Name]]="","",Tasks[[#This Row],[Forecast Finish]])</f>
        <v/>
      </c>
      <c r="AQ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0" s="42" t="str">
        <f aca="false">IF(Tasks[[#This Row],[Task Name]]="","",Tasks[[#This Row],[Work]])</f>
        <v/>
      </c>
      <c r="AS80" s="43" t="str">
        <f aca="false">IF(Tasks[[#This Row],[Task Name]]="","",Tasks[[#This Row],[Cost]])</f>
        <v/>
      </c>
      <c r="AT80" s="29"/>
      <c r="AU80" s="29"/>
      <c r="AV80" s="39"/>
      <c r="AW80" s="44"/>
      <c r="AX80" s="45"/>
      <c r="AY80" s="38" t="str">
        <f aca="false">IF(OR(Tasks[[#This Row],[Task Name]]="",Tasks[[#This Row],[Baseline Duration]]=""),"",Tasks[[#This Row],[BL Source Duration]]-N(Tasks[[#This Row],[Baseline Duration]]))</f>
        <v/>
      </c>
      <c r="AZ80" s="42" t="str">
        <f aca="false">IF(OR(Tasks[[#This Row],[Task Name]]="",Tasks[[#This Row],[Baseline Work]]=""),"",Tasks[[#This Row],[Work]]-N(Tasks[[#This Row],[Baseline Work]]))</f>
        <v/>
      </c>
      <c r="BA80" s="43" t="str">
        <f aca="false">IF(OR(Tasks[[#This Row],[Task Name]]="",Tasks[[#This Row],[Baseline Cost]]=""),"",Tasks[[#This Row],[Cost]]-N(Tasks[[#This Row],[Baseline Cost]]))</f>
        <v/>
      </c>
      <c r="BB80" s="46" t="str">
        <f aca="false">IF(Tasks[[#This Row],[Task Name]]="","",MAX(1,N(Tasks[[#This Row],[Level]])))</f>
        <v/>
      </c>
      <c r="BC80" s="46" t="n">
        <f aca="false">ROW()-ROW(Tasks[[#Headers],[ID]])</f>
        <v>75</v>
      </c>
      <c r="BD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0" s="46" t="n">
        <f aca="false">IFERROR(N(INDEX(Tasks[_Level],Tasks[[#This Row],[_Row]]+1)),0)</f>
        <v>0</v>
      </c>
      <c r="BF80" s="47" t="b">
        <f aca="false">AND(Tasks[[#This Row],[Task Name]]&lt;&gt;"",Tasks[[#This Row],[_NextLevel]]&gt;Tasks[[#This Row],[_Level]])</f>
        <v>0</v>
      </c>
      <c r="BG80" s="46" t="n">
        <f aca="false">IF(Tasks[[#This Row],[_IsSummary]],COUNTIF(Tasks[WBS],Tasks[[#This Row],[WBS]]&amp;".*"),0)</f>
        <v>0</v>
      </c>
      <c r="BH80" s="46" t="n">
        <f aca="false">IF(AND(Tasks[[#This Row],[Task Name]]&lt;&gt;"",NOT(Tasks[[#This Row],[_IsSummary]])),1,0)</f>
        <v>0</v>
      </c>
      <c r="BI80" s="46" t="n">
        <f aca="false">IF(N(Tasks[[#This Row],[Pred1 UID]])=0,0,IFERROR(MATCH(Tasks[[#This Row],[Pred1 UID]],Tasks[UID],0),-1))</f>
        <v>0</v>
      </c>
      <c r="BJ80" s="46" t="n">
        <f aca="false">IF(N(Tasks[[#This Row],[Pred2 UID]])=0,0,IFERROR(MATCH(Tasks[[#This Row],[Pred2 UID]],Tasks[UID],0),-1))</f>
        <v>0</v>
      </c>
      <c r="BK8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0" s="46" t="n">
        <f aca="false">IF(NOT(Tasks[[#This Row],[_IsLeaf]]=1),0,IF(N(Tasks[[#This Row],[Actual Finish]])&gt;0,1,MIN(1,N(Tasks[[#This Row],[% Complete]]))))</f>
        <v>0</v>
      </c>
      <c r="BP8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0" s="46" t="n">
        <f aca="false">IF(Tasks[[#This Row],[_LeafWork]]=0,0,Tasks[[#This Row],[_LeafWork]]*IFERROR(INDEX(res_Rate,MATCH(Tasks[[#This Row],[Resource]],res_Name,0)),0))</f>
        <v>0</v>
      </c>
      <c r="BR8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0" s="46" t="n">
        <f aca="false">IF(NOT(Tasks[[#This Row],[_IsLeaf]]=1),0,MAX(_xlfn.MAXIFS(Tasks[_Row],Tasks[Pred1 UID],Tasks[[#This Row],[UID]]),_xlfn.MAXIFS(Tasks[_Row],Tasks[Pred2 UID],Tasks[[#This Row],[UID]])))</f>
        <v>0</v>
      </c>
      <c r="BW8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0" s="48" t="str">
        <f aca="false">IF(NOT(Tasks[[#This Row],[_IsLeaf]]=1),"",MIN(ProjectFinish,IF(N(Tasks[[#This Row],[Deadline]])&gt;0,Tasks[[#This Row],[Deadline]],2958465),Tasks[[#This Row],[_SuccessorFinishLimit]]))</f>
        <v/>
      </c>
      <c r="BY8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0" s="47" t="b">
        <f aca="false">AND(Tasks[[#This Row],[_IsLeaf]]=1,Tasks[[#This Row],[_LeafProgress]]&lt;1,N(Tasks[[#This Row],[_LeafTotalSlack]])&lt;=CriticalSlackDays)</f>
        <v>0</v>
      </c>
      <c r="CB8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0" s="46" t="n">
        <f aca="false">IF(AND(Tasks[[#This Row],[_IsLeaf]]=1,Tasks[[#This Row],[_LeafWork]]&gt;0),NETWORKDAYS.INTL(ProjectStart,Tasks[[#This Row],[_LeafFcstStart]],WorkWeek,Holidays),0)</f>
        <v>0</v>
      </c>
      <c r="CK8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0" s="46" t="n">
        <f aca="false">IF(AND(Tasks[[#This Row],[_IsLeaf]]=1,Tasks[[#This Row],[_LeafWork]]&gt;0),Tasks[[#This Row],[_LeafWork]]/(Tasks[[#This Row],[_FinishWorkday]]-Tasks[[#This Row],[_StartWorkday]]+1),0)</f>
        <v>0</v>
      </c>
      <c r="CM80" s="46" t="n">
        <f aca="false">Tasks[[#This Row],[_WorkPerWorkday]]*(Tasks[[#This Row],[_StartWorkday]]-1)</f>
        <v>-0</v>
      </c>
      <c r="CN80" s="46" t="n">
        <f aca="false">IF(Tasks[[#This Row],[_IsLeaf]]=1,MAX(N(Tasks[[#This Row],[Duration]]),0.1),0)</f>
        <v>0</v>
      </c>
      <c r="CO80" s="46" t="n">
        <f aca="false">Tasks[[#This Row],[_WeightDur]]*Tasks[[#This Row],[_LeafProgress]]</f>
        <v>0</v>
      </c>
      <c r="CP8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39"/>
      <c r="E81" s="40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1" s="31"/>
      <c r="AF8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1" s="40"/>
      <c r="AI81" s="31"/>
      <c r="AJ8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1" s="40"/>
      <c r="AO81" s="24" t="str">
        <f aca="false">IF(Tasks[[#This Row],[Task Name]]="","",Tasks[[#This Row],[Forecast Start]])</f>
        <v/>
      </c>
      <c r="AP81" s="24" t="str">
        <f aca="false">IF(Tasks[[#This Row],[Task Name]]="","",Tasks[[#This Row],[Forecast Finish]])</f>
        <v/>
      </c>
      <c r="AQ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1" s="42" t="str">
        <f aca="false">IF(Tasks[[#This Row],[Task Name]]="","",Tasks[[#This Row],[Work]])</f>
        <v/>
      </c>
      <c r="AS81" s="43" t="str">
        <f aca="false">IF(Tasks[[#This Row],[Task Name]]="","",Tasks[[#This Row],[Cost]])</f>
        <v/>
      </c>
      <c r="AT81" s="29"/>
      <c r="AU81" s="29"/>
      <c r="AV81" s="39"/>
      <c r="AW81" s="44"/>
      <c r="AX81" s="45"/>
      <c r="AY81" s="38" t="str">
        <f aca="false">IF(OR(Tasks[[#This Row],[Task Name]]="",Tasks[[#This Row],[Baseline Duration]]=""),"",Tasks[[#This Row],[BL Source Duration]]-N(Tasks[[#This Row],[Baseline Duration]]))</f>
        <v/>
      </c>
      <c r="AZ81" s="42" t="str">
        <f aca="false">IF(OR(Tasks[[#This Row],[Task Name]]="",Tasks[[#This Row],[Baseline Work]]=""),"",Tasks[[#This Row],[Work]]-N(Tasks[[#This Row],[Baseline Work]]))</f>
        <v/>
      </c>
      <c r="BA81" s="43" t="str">
        <f aca="false">IF(OR(Tasks[[#This Row],[Task Name]]="",Tasks[[#This Row],[Baseline Cost]]=""),"",Tasks[[#This Row],[Cost]]-N(Tasks[[#This Row],[Baseline Cost]]))</f>
        <v/>
      </c>
      <c r="BB81" s="46" t="str">
        <f aca="false">IF(Tasks[[#This Row],[Task Name]]="","",MAX(1,N(Tasks[[#This Row],[Level]])))</f>
        <v/>
      </c>
      <c r="BC81" s="46" t="n">
        <f aca="false">ROW()-ROW(Tasks[[#Headers],[ID]])</f>
        <v>76</v>
      </c>
      <c r="BD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1" s="46" t="n">
        <f aca="false">IFERROR(N(INDEX(Tasks[_Level],Tasks[[#This Row],[_Row]]+1)),0)</f>
        <v>0</v>
      </c>
      <c r="BF81" s="47" t="b">
        <f aca="false">AND(Tasks[[#This Row],[Task Name]]&lt;&gt;"",Tasks[[#This Row],[_NextLevel]]&gt;Tasks[[#This Row],[_Level]])</f>
        <v>0</v>
      </c>
      <c r="BG81" s="46" t="n">
        <f aca="false">IF(Tasks[[#This Row],[_IsSummary]],COUNTIF(Tasks[WBS],Tasks[[#This Row],[WBS]]&amp;".*"),0)</f>
        <v>0</v>
      </c>
      <c r="BH81" s="46" t="n">
        <f aca="false">IF(AND(Tasks[[#This Row],[Task Name]]&lt;&gt;"",NOT(Tasks[[#This Row],[_IsSummary]])),1,0)</f>
        <v>0</v>
      </c>
      <c r="BI81" s="46" t="n">
        <f aca="false">IF(N(Tasks[[#This Row],[Pred1 UID]])=0,0,IFERROR(MATCH(Tasks[[#This Row],[Pred1 UID]],Tasks[UID],0),-1))</f>
        <v>0</v>
      </c>
      <c r="BJ81" s="46" t="n">
        <f aca="false">IF(N(Tasks[[#This Row],[Pred2 UID]])=0,0,IFERROR(MATCH(Tasks[[#This Row],[Pred2 UID]],Tasks[UID],0),-1))</f>
        <v>0</v>
      </c>
      <c r="BK8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1" s="46" t="n">
        <f aca="false">IF(NOT(Tasks[[#This Row],[_IsLeaf]]=1),0,IF(N(Tasks[[#This Row],[Actual Finish]])&gt;0,1,MIN(1,N(Tasks[[#This Row],[% Complete]]))))</f>
        <v>0</v>
      </c>
      <c r="BP8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1" s="46" t="n">
        <f aca="false">IF(Tasks[[#This Row],[_LeafWork]]=0,0,Tasks[[#This Row],[_LeafWork]]*IFERROR(INDEX(res_Rate,MATCH(Tasks[[#This Row],[Resource]],res_Name,0)),0))</f>
        <v>0</v>
      </c>
      <c r="BR8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1" s="46" t="n">
        <f aca="false">IF(NOT(Tasks[[#This Row],[_IsLeaf]]=1),0,MAX(_xlfn.MAXIFS(Tasks[_Row],Tasks[Pred1 UID],Tasks[[#This Row],[UID]]),_xlfn.MAXIFS(Tasks[_Row],Tasks[Pred2 UID],Tasks[[#This Row],[UID]])))</f>
        <v>0</v>
      </c>
      <c r="BW8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1" s="48" t="str">
        <f aca="false">IF(NOT(Tasks[[#This Row],[_IsLeaf]]=1),"",MIN(ProjectFinish,IF(N(Tasks[[#This Row],[Deadline]])&gt;0,Tasks[[#This Row],[Deadline]],2958465),Tasks[[#This Row],[_SuccessorFinishLimit]]))</f>
        <v/>
      </c>
      <c r="BY8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1" s="47" t="b">
        <f aca="false">AND(Tasks[[#This Row],[_IsLeaf]]=1,Tasks[[#This Row],[_LeafProgress]]&lt;1,N(Tasks[[#This Row],[_LeafTotalSlack]])&lt;=CriticalSlackDays)</f>
        <v>0</v>
      </c>
      <c r="CB8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1" s="46" t="n">
        <f aca="false">IF(AND(Tasks[[#This Row],[_IsLeaf]]=1,Tasks[[#This Row],[_LeafWork]]&gt;0),NETWORKDAYS.INTL(ProjectStart,Tasks[[#This Row],[_LeafFcstStart]],WorkWeek,Holidays),0)</f>
        <v>0</v>
      </c>
      <c r="CK8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1" s="46" t="n">
        <f aca="false">IF(AND(Tasks[[#This Row],[_IsLeaf]]=1,Tasks[[#This Row],[_LeafWork]]&gt;0),Tasks[[#This Row],[_LeafWork]]/(Tasks[[#This Row],[_FinishWorkday]]-Tasks[[#This Row],[_StartWorkday]]+1),0)</f>
        <v>0</v>
      </c>
      <c r="CM81" s="46" t="n">
        <f aca="false">Tasks[[#This Row],[_WorkPerWorkday]]*(Tasks[[#This Row],[_StartWorkday]]-1)</f>
        <v>-0</v>
      </c>
      <c r="CN81" s="46" t="n">
        <f aca="false">IF(Tasks[[#This Row],[_IsLeaf]]=1,MAX(N(Tasks[[#This Row],[Duration]]),0.1),0)</f>
        <v>0</v>
      </c>
      <c r="CO81" s="46" t="n">
        <f aca="false">Tasks[[#This Row],[_WeightDur]]*Tasks[[#This Row],[_LeafProgress]]</f>
        <v>0</v>
      </c>
      <c r="CP8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39"/>
      <c r="E82" s="40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2" s="31"/>
      <c r="AF8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2" s="40"/>
      <c r="AI82" s="31"/>
      <c r="AJ8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2" s="40"/>
      <c r="AO82" s="24" t="str">
        <f aca="false">IF(Tasks[[#This Row],[Task Name]]="","",Tasks[[#This Row],[Forecast Start]])</f>
        <v/>
      </c>
      <c r="AP82" s="24" t="str">
        <f aca="false">IF(Tasks[[#This Row],[Task Name]]="","",Tasks[[#This Row],[Forecast Finish]])</f>
        <v/>
      </c>
      <c r="AQ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2" s="42" t="str">
        <f aca="false">IF(Tasks[[#This Row],[Task Name]]="","",Tasks[[#This Row],[Work]])</f>
        <v/>
      </c>
      <c r="AS82" s="43" t="str">
        <f aca="false">IF(Tasks[[#This Row],[Task Name]]="","",Tasks[[#This Row],[Cost]])</f>
        <v/>
      </c>
      <c r="AT82" s="29"/>
      <c r="AU82" s="29"/>
      <c r="AV82" s="39"/>
      <c r="AW82" s="44"/>
      <c r="AX82" s="45"/>
      <c r="AY82" s="38" t="str">
        <f aca="false">IF(OR(Tasks[[#This Row],[Task Name]]="",Tasks[[#This Row],[Baseline Duration]]=""),"",Tasks[[#This Row],[BL Source Duration]]-N(Tasks[[#This Row],[Baseline Duration]]))</f>
        <v/>
      </c>
      <c r="AZ82" s="42" t="str">
        <f aca="false">IF(OR(Tasks[[#This Row],[Task Name]]="",Tasks[[#This Row],[Baseline Work]]=""),"",Tasks[[#This Row],[Work]]-N(Tasks[[#This Row],[Baseline Work]]))</f>
        <v/>
      </c>
      <c r="BA82" s="43" t="str">
        <f aca="false">IF(OR(Tasks[[#This Row],[Task Name]]="",Tasks[[#This Row],[Baseline Cost]]=""),"",Tasks[[#This Row],[Cost]]-N(Tasks[[#This Row],[Baseline Cost]]))</f>
        <v/>
      </c>
      <c r="BB82" s="46" t="str">
        <f aca="false">IF(Tasks[[#This Row],[Task Name]]="","",MAX(1,N(Tasks[[#This Row],[Level]])))</f>
        <v/>
      </c>
      <c r="BC82" s="46" t="n">
        <f aca="false">ROW()-ROW(Tasks[[#Headers],[ID]])</f>
        <v>77</v>
      </c>
      <c r="BD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2" s="46" t="n">
        <f aca="false">IFERROR(N(INDEX(Tasks[_Level],Tasks[[#This Row],[_Row]]+1)),0)</f>
        <v>0</v>
      </c>
      <c r="BF82" s="47" t="b">
        <f aca="false">AND(Tasks[[#This Row],[Task Name]]&lt;&gt;"",Tasks[[#This Row],[_NextLevel]]&gt;Tasks[[#This Row],[_Level]])</f>
        <v>0</v>
      </c>
      <c r="BG82" s="46" t="n">
        <f aca="false">IF(Tasks[[#This Row],[_IsSummary]],COUNTIF(Tasks[WBS],Tasks[[#This Row],[WBS]]&amp;".*"),0)</f>
        <v>0</v>
      </c>
      <c r="BH82" s="46" t="n">
        <f aca="false">IF(AND(Tasks[[#This Row],[Task Name]]&lt;&gt;"",NOT(Tasks[[#This Row],[_IsSummary]])),1,0)</f>
        <v>0</v>
      </c>
      <c r="BI82" s="46" t="n">
        <f aca="false">IF(N(Tasks[[#This Row],[Pred1 UID]])=0,0,IFERROR(MATCH(Tasks[[#This Row],[Pred1 UID]],Tasks[UID],0),-1))</f>
        <v>0</v>
      </c>
      <c r="BJ82" s="46" t="n">
        <f aca="false">IF(N(Tasks[[#This Row],[Pred2 UID]])=0,0,IFERROR(MATCH(Tasks[[#This Row],[Pred2 UID]],Tasks[UID],0),-1))</f>
        <v>0</v>
      </c>
      <c r="BK8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2" s="46" t="n">
        <f aca="false">IF(NOT(Tasks[[#This Row],[_IsLeaf]]=1),0,IF(N(Tasks[[#This Row],[Actual Finish]])&gt;0,1,MIN(1,N(Tasks[[#This Row],[% Complete]]))))</f>
        <v>0</v>
      </c>
      <c r="BP8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2" s="46" t="n">
        <f aca="false">IF(Tasks[[#This Row],[_LeafWork]]=0,0,Tasks[[#This Row],[_LeafWork]]*IFERROR(INDEX(res_Rate,MATCH(Tasks[[#This Row],[Resource]],res_Name,0)),0))</f>
        <v>0</v>
      </c>
      <c r="BR8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2" s="46" t="n">
        <f aca="false">IF(NOT(Tasks[[#This Row],[_IsLeaf]]=1),0,MAX(_xlfn.MAXIFS(Tasks[_Row],Tasks[Pred1 UID],Tasks[[#This Row],[UID]]),_xlfn.MAXIFS(Tasks[_Row],Tasks[Pred2 UID],Tasks[[#This Row],[UID]])))</f>
        <v>0</v>
      </c>
      <c r="BW8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2" s="48" t="str">
        <f aca="false">IF(NOT(Tasks[[#This Row],[_IsLeaf]]=1),"",MIN(ProjectFinish,IF(N(Tasks[[#This Row],[Deadline]])&gt;0,Tasks[[#This Row],[Deadline]],2958465),Tasks[[#This Row],[_SuccessorFinishLimit]]))</f>
        <v/>
      </c>
      <c r="BY8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2" s="47" t="b">
        <f aca="false">AND(Tasks[[#This Row],[_IsLeaf]]=1,Tasks[[#This Row],[_LeafProgress]]&lt;1,N(Tasks[[#This Row],[_LeafTotalSlack]])&lt;=CriticalSlackDays)</f>
        <v>0</v>
      </c>
      <c r="CB8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2" s="46" t="n">
        <f aca="false">IF(AND(Tasks[[#This Row],[_IsLeaf]]=1,Tasks[[#This Row],[_LeafWork]]&gt;0),NETWORKDAYS.INTL(ProjectStart,Tasks[[#This Row],[_LeafFcstStart]],WorkWeek,Holidays),0)</f>
        <v>0</v>
      </c>
      <c r="CK8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2" s="46" t="n">
        <f aca="false">IF(AND(Tasks[[#This Row],[_IsLeaf]]=1,Tasks[[#This Row],[_LeafWork]]&gt;0),Tasks[[#This Row],[_LeafWork]]/(Tasks[[#This Row],[_FinishWorkday]]-Tasks[[#This Row],[_StartWorkday]]+1),0)</f>
        <v>0</v>
      </c>
      <c r="CM82" s="46" t="n">
        <f aca="false">Tasks[[#This Row],[_WorkPerWorkday]]*(Tasks[[#This Row],[_StartWorkday]]-1)</f>
        <v>-0</v>
      </c>
      <c r="CN82" s="46" t="n">
        <f aca="false">IF(Tasks[[#This Row],[_IsLeaf]]=1,MAX(N(Tasks[[#This Row],[Duration]]),0.1),0)</f>
        <v>0</v>
      </c>
      <c r="CO82" s="46" t="n">
        <f aca="false">Tasks[[#This Row],[_WeightDur]]*Tasks[[#This Row],[_LeafProgress]]</f>
        <v>0</v>
      </c>
      <c r="CP8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39"/>
      <c r="E83" s="40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3" s="31"/>
      <c r="AF8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3" s="40"/>
      <c r="AI83" s="31"/>
      <c r="AJ8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3" s="40"/>
      <c r="AO83" s="24" t="str">
        <f aca="false">IF(Tasks[[#This Row],[Task Name]]="","",Tasks[[#This Row],[Forecast Start]])</f>
        <v/>
      </c>
      <c r="AP83" s="24" t="str">
        <f aca="false">IF(Tasks[[#This Row],[Task Name]]="","",Tasks[[#This Row],[Forecast Finish]])</f>
        <v/>
      </c>
      <c r="AQ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3" s="42" t="str">
        <f aca="false">IF(Tasks[[#This Row],[Task Name]]="","",Tasks[[#This Row],[Work]])</f>
        <v/>
      </c>
      <c r="AS83" s="43" t="str">
        <f aca="false">IF(Tasks[[#This Row],[Task Name]]="","",Tasks[[#This Row],[Cost]])</f>
        <v/>
      </c>
      <c r="AT83" s="29"/>
      <c r="AU83" s="29"/>
      <c r="AV83" s="39"/>
      <c r="AW83" s="44"/>
      <c r="AX83" s="45"/>
      <c r="AY83" s="38" t="str">
        <f aca="false">IF(OR(Tasks[[#This Row],[Task Name]]="",Tasks[[#This Row],[Baseline Duration]]=""),"",Tasks[[#This Row],[BL Source Duration]]-N(Tasks[[#This Row],[Baseline Duration]]))</f>
        <v/>
      </c>
      <c r="AZ83" s="42" t="str">
        <f aca="false">IF(OR(Tasks[[#This Row],[Task Name]]="",Tasks[[#This Row],[Baseline Work]]=""),"",Tasks[[#This Row],[Work]]-N(Tasks[[#This Row],[Baseline Work]]))</f>
        <v/>
      </c>
      <c r="BA83" s="43" t="str">
        <f aca="false">IF(OR(Tasks[[#This Row],[Task Name]]="",Tasks[[#This Row],[Baseline Cost]]=""),"",Tasks[[#This Row],[Cost]]-N(Tasks[[#This Row],[Baseline Cost]]))</f>
        <v/>
      </c>
      <c r="BB83" s="46" t="str">
        <f aca="false">IF(Tasks[[#This Row],[Task Name]]="","",MAX(1,N(Tasks[[#This Row],[Level]])))</f>
        <v/>
      </c>
      <c r="BC83" s="46" t="n">
        <f aca="false">ROW()-ROW(Tasks[[#Headers],[ID]])</f>
        <v>78</v>
      </c>
      <c r="BD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3" s="46" t="n">
        <f aca="false">IFERROR(N(INDEX(Tasks[_Level],Tasks[[#This Row],[_Row]]+1)),0)</f>
        <v>0</v>
      </c>
      <c r="BF83" s="47" t="b">
        <f aca="false">AND(Tasks[[#This Row],[Task Name]]&lt;&gt;"",Tasks[[#This Row],[_NextLevel]]&gt;Tasks[[#This Row],[_Level]])</f>
        <v>0</v>
      </c>
      <c r="BG83" s="46" t="n">
        <f aca="false">IF(Tasks[[#This Row],[_IsSummary]],COUNTIF(Tasks[WBS],Tasks[[#This Row],[WBS]]&amp;".*"),0)</f>
        <v>0</v>
      </c>
      <c r="BH83" s="46" t="n">
        <f aca="false">IF(AND(Tasks[[#This Row],[Task Name]]&lt;&gt;"",NOT(Tasks[[#This Row],[_IsSummary]])),1,0)</f>
        <v>0</v>
      </c>
      <c r="BI83" s="46" t="n">
        <f aca="false">IF(N(Tasks[[#This Row],[Pred1 UID]])=0,0,IFERROR(MATCH(Tasks[[#This Row],[Pred1 UID]],Tasks[UID],0),-1))</f>
        <v>0</v>
      </c>
      <c r="BJ83" s="46" t="n">
        <f aca="false">IF(N(Tasks[[#This Row],[Pred2 UID]])=0,0,IFERROR(MATCH(Tasks[[#This Row],[Pred2 UID]],Tasks[UID],0),-1))</f>
        <v>0</v>
      </c>
      <c r="BK8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3" s="46" t="n">
        <f aca="false">IF(NOT(Tasks[[#This Row],[_IsLeaf]]=1),0,IF(N(Tasks[[#This Row],[Actual Finish]])&gt;0,1,MIN(1,N(Tasks[[#This Row],[% Complete]]))))</f>
        <v>0</v>
      </c>
      <c r="BP8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3" s="46" t="n">
        <f aca="false">IF(Tasks[[#This Row],[_LeafWork]]=0,0,Tasks[[#This Row],[_LeafWork]]*IFERROR(INDEX(res_Rate,MATCH(Tasks[[#This Row],[Resource]],res_Name,0)),0))</f>
        <v>0</v>
      </c>
      <c r="BR8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3" s="46" t="n">
        <f aca="false">IF(NOT(Tasks[[#This Row],[_IsLeaf]]=1),0,MAX(_xlfn.MAXIFS(Tasks[_Row],Tasks[Pred1 UID],Tasks[[#This Row],[UID]]),_xlfn.MAXIFS(Tasks[_Row],Tasks[Pred2 UID],Tasks[[#This Row],[UID]])))</f>
        <v>0</v>
      </c>
      <c r="BW8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3" s="48" t="str">
        <f aca="false">IF(NOT(Tasks[[#This Row],[_IsLeaf]]=1),"",MIN(ProjectFinish,IF(N(Tasks[[#This Row],[Deadline]])&gt;0,Tasks[[#This Row],[Deadline]],2958465),Tasks[[#This Row],[_SuccessorFinishLimit]]))</f>
        <v/>
      </c>
      <c r="BY8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3" s="47" t="b">
        <f aca="false">AND(Tasks[[#This Row],[_IsLeaf]]=1,Tasks[[#This Row],[_LeafProgress]]&lt;1,N(Tasks[[#This Row],[_LeafTotalSlack]])&lt;=CriticalSlackDays)</f>
        <v>0</v>
      </c>
      <c r="CB8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3" s="46" t="n">
        <f aca="false">IF(AND(Tasks[[#This Row],[_IsLeaf]]=1,Tasks[[#This Row],[_LeafWork]]&gt;0),NETWORKDAYS.INTL(ProjectStart,Tasks[[#This Row],[_LeafFcstStart]],WorkWeek,Holidays),0)</f>
        <v>0</v>
      </c>
      <c r="CK8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3" s="46" t="n">
        <f aca="false">IF(AND(Tasks[[#This Row],[_IsLeaf]]=1,Tasks[[#This Row],[_LeafWork]]&gt;0),Tasks[[#This Row],[_LeafWork]]/(Tasks[[#This Row],[_FinishWorkday]]-Tasks[[#This Row],[_StartWorkday]]+1),0)</f>
        <v>0</v>
      </c>
      <c r="CM83" s="46" t="n">
        <f aca="false">Tasks[[#This Row],[_WorkPerWorkday]]*(Tasks[[#This Row],[_StartWorkday]]-1)</f>
        <v>-0</v>
      </c>
      <c r="CN83" s="46" t="n">
        <f aca="false">IF(Tasks[[#This Row],[_IsLeaf]]=1,MAX(N(Tasks[[#This Row],[Duration]]),0.1),0)</f>
        <v>0</v>
      </c>
      <c r="CO83" s="46" t="n">
        <f aca="false">Tasks[[#This Row],[_WeightDur]]*Tasks[[#This Row],[_LeafProgress]]</f>
        <v>0</v>
      </c>
      <c r="CP8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39"/>
      <c r="E84" s="40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4" s="31"/>
      <c r="AF8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4" s="40"/>
      <c r="AI84" s="31"/>
      <c r="AJ8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4" s="40"/>
      <c r="AO84" s="24" t="str">
        <f aca="false">IF(Tasks[[#This Row],[Task Name]]="","",Tasks[[#This Row],[Forecast Start]])</f>
        <v/>
      </c>
      <c r="AP84" s="24" t="str">
        <f aca="false">IF(Tasks[[#This Row],[Task Name]]="","",Tasks[[#This Row],[Forecast Finish]])</f>
        <v/>
      </c>
      <c r="AQ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4" s="42" t="str">
        <f aca="false">IF(Tasks[[#This Row],[Task Name]]="","",Tasks[[#This Row],[Work]])</f>
        <v/>
      </c>
      <c r="AS84" s="43" t="str">
        <f aca="false">IF(Tasks[[#This Row],[Task Name]]="","",Tasks[[#This Row],[Cost]])</f>
        <v/>
      </c>
      <c r="AT84" s="29"/>
      <c r="AU84" s="29"/>
      <c r="AV84" s="39"/>
      <c r="AW84" s="44"/>
      <c r="AX84" s="45"/>
      <c r="AY84" s="38" t="str">
        <f aca="false">IF(OR(Tasks[[#This Row],[Task Name]]="",Tasks[[#This Row],[Baseline Duration]]=""),"",Tasks[[#This Row],[BL Source Duration]]-N(Tasks[[#This Row],[Baseline Duration]]))</f>
        <v/>
      </c>
      <c r="AZ84" s="42" t="str">
        <f aca="false">IF(OR(Tasks[[#This Row],[Task Name]]="",Tasks[[#This Row],[Baseline Work]]=""),"",Tasks[[#This Row],[Work]]-N(Tasks[[#This Row],[Baseline Work]]))</f>
        <v/>
      </c>
      <c r="BA84" s="43" t="str">
        <f aca="false">IF(OR(Tasks[[#This Row],[Task Name]]="",Tasks[[#This Row],[Baseline Cost]]=""),"",Tasks[[#This Row],[Cost]]-N(Tasks[[#This Row],[Baseline Cost]]))</f>
        <v/>
      </c>
      <c r="BB84" s="46" t="str">
        <f aca="false">IF(Tasks[[#This Row],[Task Name]]="","",MAX(1,N(Tasks[[#This Row],[Level]])))</f>
        <v/>
      </c>
      <c r="BC84" s="46" t="n">
        <f aca="false">ROW()-ROW(Tasks[[#Headers],[ID]])</f>
        <v>79</v>
      </c>
      <c r="BD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4" s="46" t="n">
        <f aca="false">IFERROR(N(INDEX(Tasks[_Level],Tasks[[#This Row],[_Row]]+1)),0)</f>
        <v>0</v>
      </c>
      <c r="BF84" s="47" t="b">
        <f aca="false">AND(Tasks[[#This Row],[Task Name]]&lt;&gt;"",Tasks[[#This Row],[_NextLevel]]&gt;Tasks[[#This Row],[_Level]])</f>
        <v>0</v>
      </c>
      <c r="BG84" s="46" t="n">
        <f aca="false">IF(Tasks[[#This Row],[_IsSummary]],COUNTIF(Tasks[WBS],Tasks[[#This Row],[WBS]]&amp;".*"),0)</f>
        <v>0</v>
      </c>
      <c r="BH84" s="46" t="n">
        <f aca="false">IF(AND(Tasks[[#This Row],[Task Name]]&lt;&gt;"",NOT(Tasks[[#This Row],[_IsSummary]])),1,0)</f>
        <v>0</v>
      </c>
      <c r="BI84" s="46" t="n">
        <f aca="false">IF(N(Tasks[[#This Row],[Pred1 UID]])=0,0,IFERROR(MATCH(Tasks[[#This Row],[Pred1 UID]],Tasks[UID],0),-1))</f>
        <v>0</v>
      </c>
      <c r="BJ84" s="46" t="n">
        <f aca="false">IF(N(Tasks[[#This Row],[Pred2 UID]])=0,0,IFERROR(MATCH(Tasks[[#This Row],[Pred2 UID]],Tasks[UID],0),-1))</f>
        <v>0</v>
      </c>
      <c r="BK8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4" s="46" t="n">
        <f aca="false">IF(NOT(Tasks[[#This Row],[_IsLeaf]]=1),0,IF(N(Tasks[[#This Row],[Actual Finish]])&gt;0,1,MIN(1,N(Tasks[[#This Row],[% Complete]]))))</f>
        <v>0</v>
      </c>
      <c r="BP8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4" s="46" t="n">
        <f aca="false">IF(Tasks[[#This Row],[_LeafWork]]=0,0,Tasks[[#This Row],[_LeafWork]]*IFERROR(INDEX(res_Rate,MATCH(Tasks[[#This Row],[Resource]],res_Name,0)),0))</f>
        <v>0</v>
      </c>
      <c r="BR8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4" s="46" t="n">
        <f aca="false">IF(NOT(Tasks[[#This Row],[_IsLeaf]]=1),0,MAX(_xlfn.MAXIFS(Tasks[_Row],Tasks[Pred1 UID],Tasks[[#This Row],[UID]]),_xlfn.MAXIFS(Tasks[_Row],Tasks[Pred2 UID],Tasks[[#This Row],[UID]])))</f>
        <v>0</v>
      </c>
      <c r="BW8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4" s="48" t="str">
        <f aca="false">IF(NOT(Tasks[[#This Row],[_IsLeaf]]=1),"",MIN(ProjectFinish,IF(N(Tasks[[#This Row],[Deadline]])&gt;0,Tasks[[#This Row],[Deadline]],2958465),Tasks[[#This Row],[_SuccessorFinishLimit]]))</f>
        <v/>
      </c>
      <c r="BY8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4" s="47" t="b">
        <f aca="false">AND(Tasks[[#This Row],[_IsLeaf]]=1,Tasks[[#This Row],[_LeafProgress]]&lt;1,N(Tasks[[#This Row],[_LeafTotalSlack]])&lt;=CriticalSlackDays)</f>
        <v>0</v>
      </c>
      <c r="CB8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4" s="46" t="n">
        <f aca="false">IF(AND(Tasks[[#This Row],[_IsLeaf]]=1,Tasks[[#This Row],[_LeafWork]]&gt;0),NETWORKDAYS.INTL(ProjectStart,Tasks[[#This Row],[_LeafFcstStart]],WorkWeek,Holidays),0)</f>
        <v>0</v>
      </c>
      <c r="CK8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4" s="46" t="n">
        <f aca="false">IF(AND(Tasks[[#This Row],[_IsLeaf]]=1,Tasks[[#This Row],[_LeafWork]]&gt;0),Tasks[[#This Row],[_LeafWork]]/(Tasks[[#This Row],[_FinishWorkday]]-Tasks[[#This Row],[_StartWorkday]]+1),0)</f>
        <v>0</v>
      </c>
      <c r="CM84" s="46" t="n">
        <f aca="false">Tasks[[#This Row],[_WorkPerWorkday]]*(Tasks[[#This Row],[_StartWorkday]]-1)</f>
        <v>-0</v>
      </c>
      <c r="CN84" s="46" t="n">
        <f aca="false">IF(Tasks[[#This Row],[_IsLeaf]]=1,MAX(N(Tasks[[#This Row],[Duration]]),0.1),0)</f>
        <v>0</v>
      </c>
      <c r="CO84" s="46" t="n">
        <f aca="false">Tasks[[#This Row],[_WeightDur]]*Tasks[[#This Row],[_LeafProgress]]</f>
        <v>0</v>
      </c>
      <c r="CP8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39"/>
      <c r="E85" s="40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5" s="31"/>
      <c r="AF8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5" s="40"/>
      <c r="AI85" s="31"/>
      <c r="AJ8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5" s="40"/>
      <c r="AO85" s="24" t="str">
        <f aca="false">IF(Tasks[[#This Row],[Task Name]]="","",Tasks[[#This Row],[Forecast Start]])</f>
        <v/>
      </c>
      <c r="AP85" s="24" t="str">
        <f aca="false">IF(Tasks[[#This Row],[Task Name]]="","",Tasks[[#This Row],[Forecast Finish]])</f>
        <v/>
      </c>
      <c r="AQ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5" s="42" t="str">
        <f aca="false">IF(Tasks[[#This Row],[Task Name]]="","",Tasks[[#This Row],[Work]])</f>
        <v/>
      </c>
      <c r="AS85" s="43" t="str">
        <f aca="false">IF(Tasks[[#This Row],[Task Name]]="","",Tasks[[#This Row],[Cost]])</f>
        <v/>
      </c>
      <c r="AT85" s="29"/>
      <c r="AU85" s="29"/>
      <c r="AV85" s="39"/>
      <c r="AW85" s="44"/>
      <c r="AX85" s="45"/>
      <c r="AY85" s="38" t="str">
        <f aca="false">IF(OR(Tasks[[#This Row],[Task Name]]="",Tasks[[#This Row],[Baseline Duration]]=""),"",Tasks[[#This Row],[BL Source Duration]]-N(Tasks[[#This Row],[Baseline Duration]]))</f>
        <v/>
      </c>
      <c r="AZ85" s="42" t="str">
        <f aca="false">IF(OR(Tasks[[#This Row],[Task Name]]="",Tasks[[#This Row],[Baseline Work]]=""),"",Tasks[[#This Row],[Work]]-N(Tasks[[#This Row],[Baseline Work]]))</f>
        <v/>
      </c>
      <c r="BA85" s="43" t="str">
        <f aca="false">IF(OR(Tasks[[#This Row],[Task Name]]="",Tasks[[#This Row],[Baseline Cost]]=""),"",Tasks[[#This Row],[Cost]]-N(Tasks[[#This Row],[Baseline Cost]]))</f>
        <v/>
      </c>
      <c r="BB85" s="46" t="str">
        <f aca="false">IF(Tasks[[#This Row],[Task Name]]="","",MAX(1,N(Tasks[[#This Row],[Level]])))</f>
        <v/>
      </c>
      <c r="BC85" s="46" t="n">
        <f aca="false">ROW()-ROW(Tasks[[#Headers],[ID]])</f>
        <v>80</v>
      </c>
      <c r="BD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5" s="46" t="n">
        <f aca="false">IFERROR(N(INDEX(Tasks[_Level],Tasks[[#This Row],[_Row]]+1)),0)</f>
        <v>0</v>
      </c>
      <c r="BF85" s="47" t="b">
        <f aca="false">AND(Tasks[[#This Row],[Task Name]]&lt;&gt;"",Tasks[[#This Row],[_NextLevel]]&gt;Tasks[[#This Row],[_Level]])</f>
        <v>0</v>
      </c>
      <c r="BG85" s="46" t="n">
        <f aca="false">IF(Tasks[[#This Row],[_IsSummary]],COUNTIF(Tasks[WBS],Tasks[[#This Row],[WBS]]&amp;".*"),0)</f>
        <v>0</v>
      </c>
      <c r="BH85" s="46" t="n">
        <f aca="false">IF(AND(Tasks[[#This Row],[Task Name]]&lt;&gt;"",NOT(Tasks[[#This Row],[_IsSummary]])),1,0)</f>
        <v>0</v>
      </c>
      <c r="BI85" s="46" t="n">
        <f aca="false">IF(N(Tasks[[#This Row],[Pred1 UID]])=0,0,IFERROR(MATCH(Tasks[[#This Row],[Pred1 UID]],Tasks[UID],0),-1))</f>
        <v>0</v>
      </c>
      <c r="BJ85" s="46" t="n">
        <f aca="false">IF(N(Tasks[[#This Row],[Pred2 UID]])=0,0,IFERROR(MATCH(Tasks[[#This Row],[Pred2 UID]],Tasks[UID],0),-1))</f>
        <v>0</v>
      </c>
      <c r="BK8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5" s="46" t="n">
        <f aca="false">IF(NOT(Tasks[[#This Row],[_IsLeaf]]=1),0,IF(N(Tasks[[#This Row],[Actual Finish]])&gt;0,1,MIN(1,N(Tasks[[#This Row],[% Complete]]))))</f>
        <v>0</v>
      </c>
      <c r="BP8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5" s="46" t="n">
        <f aca="false">IF(Tasks[[#This Row],[_LeafWork]]=0,0,Tasks[[#This Row],[_LeafWork]]*IFERROR(INDEX(res_Rate,MATCH(Tasks[[#This Row],[Resource]],res_Name,0)),0))</f>
        <v>0</v>
      </c>
      <c r="BR8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5" s="46" t="n">
        <f aca="false">IF(NOT(Tasks[[#This Row],[_IsLeaf]]=1),0,MAX(_xlfn.MAXIFS(Tasks[_Row],Tasks[Pred1 UID],Tasks[[#This Row],[UID]]),_xlfn.MAXIFS(Tasks[_Row],Tasks[Pred2 UID],Tasks[[#This Row],[UID]])))</f>
        <v>0</v>
      </c>
      <c r="BW8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5" s="48" t="str">
        <f aca="false">IF(NOT(Tasks[[#This Row],[_IsLeaf]]=1),"",MIN(ProjectFinish,IF(N(Tasks[[#This Row],[Deadline]])&gt;0,Tasks[[#This Row],[Deadline]],2958465),Tasks[[#This Row],[_SuccessorFinishLimit]]))</f>
        <v/>
      </c>
      <c r="BY8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5" s="47" t="b">
        <f aca="false">AND(Tasks[[#This Row],[_IsLeaf]]=1,Tasks[[#This Row],[_LeafProgress]]&lt;1,N(Tasks[[#This Row],[_LeafTotalSlack]])&lt;=CriticalSlackDays)</f>
        <v>0</v>
      </c>
      <c r="CB8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5" s="46" t="n">
        <f aca="false">IF(AND(Tasks[[#This Row],[_IsLeaf]]=1,Tasks[[#This Row],[_LeafWork]]&gt;0),NETWORKDAYS.INTL(ProjectStart,Tasks[[#This Row],[_LeafFcstStart]],WorkWeek,Holidays),0)</f>
        <v>0</v>
      </c>
      <c r="CK8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5" s="46" t="n">
        <f aca="false">IF(AND(Tasks[[#This Row],[_IsLeaf]]=1,Tasks[[#This Row],[_LeafWork]]&gt;0),Tasks[[#This Row],[_LeafWork]]/(Tasks[[#This Row],[_FinishWorkday]]-Tasks[[#This Row],[_StartWorkday]]+1),0)</f>
        <v>0</v>
      </c>
      <c r="CM85" s="46" t="n">
        <f aca="false">Tasks[[#This Row],[_WorkPerWorkday]]*(Tasks[[#This Row],[_StartWorkday]]-1)</f>
        <v>-0</v>
      </c>
      <c r="CN85" s="46" t="n">
        <f aca="false">IF(Tasks[[#This Row],[_IsLeaf]]=1,MAX(N(Tasks[[#This Row],[Duration]]),0.1),0)</f>
        <v>0</v>
      </c>
      <c r="CO85" s="46" t="n">
        <f aca="false">Tasks[[#This Row],[_WeightDur]]*Tasks[[#This Row],[_LeafProgress]]</f>
        <v>0</v>
      </c>
      <c r="CP8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39"/>
      <c r="E86" s="40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6" s="31"/>
      <c r="AF8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6" s="40"/>
      <c r="AI86" s="31"/>
      <c r="AJ8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6" s="40"/>
      <c r="AO86" s="24" t="str">
        <f aca="false">IF(Tasks[[#This Row],[Task Name]]="","",Tasks[[#This Row],[Forecast Start]])</f>
        <v/>
      </c>
      <c r="AP86" s="24" t="str">
        <f aca="false">IF(Tasks[[#This Row],[Task Name]]="","",Tasks[[#This Row],[Forecast Finish]])</f>
        <v/>
      </c>
      <c r="AQ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6" s="42" t="str">
        <f aca="false">IF(Tasks[[#This Row],[Task Name]]="","",Tasks[[#This Row],[Work]])</f>
        <v/>
      </c>
      <c r="AS86" s="43" t="str">
        <f aca="false">IF(Tasks[[#This Row],[Task Name]]="","",Tasks[[#This Row],[Cost]])</f>
        <v/>
      </c>
      <c r="AT86" s="29"/>
      <c r="AU86" s="29"/>
      <c r="AV86" s="39"/>
      <c r="AW86" s="44"/>
      <c r="AX86" s="45"/>
      <c r="AY86" s="38" t="str">
        <f aca="false">IF(OR(Tasks[[#This Row],[Task Name]]="",Tasks[[#This Row],[Baseline Duration]]=""),"",Tasks[[#This Row],[BL Source Duration]]-N(Tasks[[#This Row],[Baseline Duration]]))</f>
        <v/>
      </c>
      <c r="AZ86" s="42" t="str">
        <f aca="false">IF(OR(Tasks[[#This Row],[Task Name]]="",Tasks[[#This Row],[Baseline Work]]=""),"",Tasks[[#This Row],[Work]]-N(Tasks[[#This Row],[Baseline Work]]))</f>
        <v/>
      </c>
      <c r="BA86" s="43" t="str">
        <f aca="false">IF(OR(Tasks[[#This Row],[Task Name]]="",Tasks[[#This Row],[Baseline Cost]]=""),"",Tasks[[#This Row],[Cost]]-N(Tasks[[#This Row],[Baseline Cost]]))</f>
        <v/>
      </c>
      <c r="BB86" s="46" t="str">
        <f aca="false">IF(Tasks[[#This Row],[Task Name]]="","",MAX(1,N(Tasks[[#This Row],[Level]])))</f>
        <v/>
      </c>
      <c r="BC86" s="46" t="n">
        <f aca="false">ROW()-ROW(Tasks[[#Headers],[ID]])</f>
        <v>81</v>
      </c>
      <c r="BD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6" s="46" t="n">
        <f aca="false">IFERROR(N(INDEX(Tasks[_Level],Tasks[[#This Row],[_Row]]+1)),0)</f>
        <v>0</v>
      </c>
      <c r="BF86" s="47" t="b">
        <f aca="false">AND(Tasks[[#This Row],[Task Name]]&lt;&gt;"",Tasks[[#This Row],[_NextLevel]]&gt;Tasks[[#This Row],[_Level]])</f>
        <v>0</v>
      </c>
      <c r="BG86" s="46" t="n">
        <f aca="false">IF(Tasks[[#This Row],[_IsSummary]],COUNTIF(Tasks[WBS],Tasks[[#This Row],[WBS]]&amp;".*"),0)</f>
        <v>0</v>
      </c>
      <c r="BH86" s="46" t="n">
        <f aca="false">IF(AND(Tasks[[#This Row],[Task Name]]&lt;&gt;"",NOT(Tasks[[#This Row],[_IsSummary]])),1,0)</f>
        <v>0</v>
      </c>
      <c r="BI86" s="46" t="n">
        <f aca="false">IF(N(Tasks[[#This Row],[Pred1 UID]])=0,0,IFERROR(MATCH(Tasks[[#This Row],[Pred1 UID]],Tasks[UID],0),-1))</f>
        <v>0</v>
      </c>
      <c r="BJ86" s="46" t="n">
        <f aca="false">IF(N(Tasks[[#This Row],[Pred2 UID]])=0,0,IFERROR(MATCH(Tasks[[#This Row],[Pred2 UID]],Tasks[UID],0),-1))</f>
        <v>0</v>
      </c>
      <c r="BK8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6" s="46" t="n">
        <f aca="false">IF(NOT(Tasks[[#This Row],[_IsLeaf]]=1),0,IF(N(Tasks[[#This Row],[Actual Finish]])&gt;0,1,MIN(1,N(Tasks[[#This Row],[% Complete]]))))</f>
        <v>0</v>
      </c>
      <c r="BP8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6" s="46" t="n">
        <f aca="false">IF(Tasks[[#This Row],[_LeafWork]]=0,0,Tasks[[#This Row],[_LeafWork]]*IFERROR(INDEX(res_Rate,MATCH(Tasks[[#This Row],[Resource]],res_Name,0)),0))</f>
        <v>0</v>
      </c>
      <c r="BR8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6" s="46" t="n">
        <f aca="false">IF(NOT(Tasks[[#This Row],[_IsLeaf]]=1),0,MAX(_xlfn.MAXIFS(Tasks[_Row],Tasks[Pred1 UID],Tasks[[#This Row],[UID]]),_xlfn.MAXIFS(Tasks[_Row],Tasks[Pred2 UID],Tasks[[#This Row],[UID]])))</f>
        <v>0</v>
      </c>
      <c r="BW8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6" s="48" t="str">
        <f aca="false">IF(NOT(Tasks[[#This Row],[_IsLeaf]]=1),"",MIN(ProjectFinish,IF(N(Tasks[[#This Row],[Deadline]])&gt;0,Tasks[[#This Row],[Deadline]],2958465),Tasks[[#This Row],[_SuccessorFinishLimit]]))</f>
        <v/>
      </c>
      <c r="BY8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6" s="47" t="b">
        <f aca="false">AND(Tasks[[#This Row],[_IsLeaf]]=1,Tasks[[#This Row],[_LeafProgress]]&lt;1,N(Tasks[[#This Row],[_LeafTotalSlack]])&lt;=CriticalSlackDays)</f>
        <v>0</v>
      </c>
      <c r="CB8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6" s="46" t="n">
        <f aca="false">IF(AND(Tasks[[#This Row],[_IsLeaf]]=1,Tasks[[#This Row],[_LeafWork]]&gt;0),NETWORKDAYS.INTL(ProjectStart,Tasks[[#This Row],[_LeafFcstStart]],WorkWeek,Holidays),0)</f>
        <v>0</v>
      </c>
      <c r="CK8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6" s="46" t="n">
        <f aca="false">IF(AND(Tasks[[#This Row],[_IsLeaf]]=1,Tasks[[#This Row],[_LeafWork]]&gt;0),Tasks[[#This Row],[_LeafWork]]/(Tasks[[#This Row],[_FinishWorkday]]-Tasks[[#This Row],[_StartWorkday]]+1),0)</f>
        <v>0</v>
      </c>
      <c r="CM86" s="46" t="n">
        <f aca="false">Tasks[[#This Row],[_WorkPerWorkday]]*(Tasks[[#This Row],[_StartWorkday]]-1)</f>
        <v>-0</v>
      </c>
      <c r="CN86" s="46" t="n">
        <f aca="false">IF(Tasks[[#This Row],[_IsLeaf]]=1,MAX(N(Tasks[[#This Row],[Duration]]),0.1),0)</f>
        <v>0</v>
      </c>
      <c r="CO86" s="46" t="n">
        <f aca="false">Tasks[[#This Row],[_WeightDur]]*Tasks[[#This Row],[_LeafProgress]]</f>
        <v>0</v>
      </c>
      <c r="CP8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39"/>
      <c r="E87" s="40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7" s="31"/>
      <c r="AF8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7" s="40"/>
      <c r="AI87" s="31"/>
      <c r="AJ8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7" s="40"/>
      <c r="AO87" s="24" t="str">
        <f aca="false">IF(Tasks[[#This Row],[Task Name]]="","",Tasks[[#This Row],[Forecast Start]])</f>
        <v/>
      </c>
      <c r="AP87" s="24" t="str">
        <f aca="false">IF(Tasks[[#This Row],[Task Name]]="","",Tasks[[#This Row],[Forecast Finish]])</f>
        <v/>
      </c>
      <c r="AQ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7" s="42" t="str">
        <f aca="false">IF(Tasks[[#This Row],[Task Name]]="","",Tasks[[#This Row],[Work]])</f>
        <v/>
      </c>
      <c r="AS87" s="43" t="str">
        <f aca="false">IF(Tasks[[#This Row],[Task Name]]="","",Tasks[[#This Row],[Cost]])</f>
        <v/>
      </c>
      <c r="AT87" s="29"/>
      <c r="AU87" s="29"/>
      <c r="AV87" s="39"/>
      <c r="AW87" s="44"/>
      <c r="AX87" s="45"/>
      <c r="AY87" s="38" t="str">
        <f aca="false">IF(OR(Tasks[[#This Row],[Task Name]]="",Tasks[[#This Row],[Baseline Duration]]=""),"",Tasks[[#This Row],[BL Source Duration]]-N(Tasks[[#This Row],[Baseline Duration]]))</f>
        <v/>
      </c>
      <c r="AZ87" s="42" t="str">
        <f aca="false">IF(OR(Tasks[[#This Row],[Task Name]]="",Tasks[[#This Row],[Baseline Work]]=""),"",Tasks[[#This Row],[Work]]-N(Tasks[[#This Row],[Baseline Work]]))</f>
        <v/>
      </c>
      <c r="BA87" s="43" t="str">
        <f aca="false">IF(OR(Tasks[[#This Row],[Task Name]]="",Tasks[[#This Row],[Baseline Cost]]=""),"",Tasks[[#This Row],[Cost]]-N(Tasks[[#This Row],[Baseline Cost]]))</f>
        <v/>
      </c>
      <c r="BB87" s="46" t="str">
        <f aca="false">IF(Tasks[[#This Row],[Task Name]]="","",MAX(1,N(Tasks[[#This Row],[Level]])))</f>
        <v/>
      </c>
      <c r="BC87" s="46" t="n">
        <f aca="false">ROW()-ROW(Tasks[[#Headers],[ID]])</f>
        <v>82</v>
      </c>
      <c r="BD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7" s="46" t="n">
        <f aca="false">IFERROR(N(INDEX(Tasks[_Level],Tasks[[#This Row],[_Row]]+1)),0)</f>
        <v>0</v>
      </c>
      <c r="BF87" s="47" t="b">
        <f aca="false">AND(Tasks[[#This Row],[Task Name]]&lt;&gt;"",Tasks[[#This Row],[_NextLevel]]&gt;Tasks[[#This Row],[_Level]])</f>
        <v>0</v>
      </c>
      <c r="BG87" s="46" t="n">
        <f aca="false">IF(Tasks[[#This Row],[_IsSummary]],COUNTIF(Tasks[WBS],Tasks[[#This Row],[WBS]]&amp;".*"),0)</f>
        <v>0</v>
      </c>
      <c r="BH87" s="46" t="n">
        <f aca="false">IF(AND(Tasks[[#This Row],[Task Name]]&lt;&gt;"",NOT(Tasks[[#This Row],[_IsSummary]])),1,0)</f>
        <v>0</v>
      </c>
      <c r="BI87" s="46" t="n">
        <f aca="false">IF(N(Tasks[[#This Row],[Pred1 UID]])=0,0,IFERROR(MATCH(Tasks[[#This Row],[Pred1 UID]],Tasks[UID],0),-1))</f>
        <v>0</v>
      </c>
      <c r="BJ87" s="46" t="n">
        <f aca="false">IF(N(Tasks[[#This Row],[Pred2 UID]])=0,0,IFERROR(MATCH(Tasks[[#This Row],[Pred2 UID]],Tasks[UID],0),-1))</f>
        <v>0</v>
      </c>
      <c r="BK8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7" s="46" t="n">
        <f aca="false">IF(NOT(Tasks[[#This Row],[_IsLeaf]]=1),0,IF(N(Tasks[[#This Row],[Actual Finish]])&gt;0,1,MIN(1,N(Tasks[[#This Row],[% Complete]]))))</f>
        <v>0</v>
      </c>
      <c r="BP8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7" s="46" t="n">
        <f aca="false">IF(Tasks[[#This Row],[_LeafWork]]=0,0,Tasks[[#This Row],[_LeafWork]]*IFERROR(INDEX(res_Rate,MATCH(Tasks[[#This Row],[Resource]],res_Name,0)),0))</f>
        <v>0</v>
      </c>
      <c r="BR8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7" s="46" t="n">
        <f aca="false">IF(NOT(Tasks[[#This Row],[_IsLeaf]]=1),0,MAX(_xlfn.MAXIFS(Tasks[_Row],Tasks[Pred1 UID],Tasks[[#This Row],[UID]]),_xlfn.MAXIFS(Tasks[_Row],Tasks[Pred2 UID],Tasks[[#This Row],[UID]])))</f>
        <v>0</v>
      </c>
      <c r="BW8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7" s="48" t="str">
        <f aca="false">IF(NOT(Tasks[[#This Row],[_IsLeaf]]=1),"",MIN(ProjectFinish,IF(N(Tasks[[#This Row],[Deadline]])&gt;0,Tasks[[#This Row],[Deadline]],2958465),Tasks[[#This Row],[_SuccessorFinishLimit]]))</f>
        <v/>
      </c>
      <c r="BY8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7" s="47" t="b">
        <f aca="false">AND(Tasks[[#This Row],[_IsLeaf]]=1,Tasks[[#This Row],[_LeafProgress]]&lt;1,N(Tasks[[#This Row],[_LeafTotalSlack]])&lt;=CriticalSlackDays)</f>
        <v>0</v>
      </c>
      <c r="CB8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7" s="46" t="n">
        <f aca="false">IF(AND(Tasks[[#This Row],[_IsLeaf]]=1,Tasks[[#This Row],[_LeafWork]]&gt;0),NETWORKDAYS.INTL(ProjectStart,Tasks[[#This Row],[_LeafFcstStart]],WorkWeek,Holidays),0)</f>
        <v>0</v>
      </c>
      <c r="CK8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7" s="46" t="n">
        <f aca="false">IF(AND(Tasks[[#This Row],[_IsLeaf]]=1,Tasks[[#This Row],[_LeafWork]]&gt;0),Tasks[[#This Row],[_LeafWork]]/(Tasks[[#This Row],[_FinishWorkday]]-Tasks[[#This Row],[_StartWorkday]]+1),0)</f>
        <v>0</v>
      </c>
      <c r="CM87" s="46" t="n">
        <f aca="false">Tasks[[#This Row],[_WorkPerWorkday]]*(Tasks[[#This Row],[_StartWorkday]]-1)</f>
        <v>-0</v>
      </c>
      <c r="CN87" s="46" t="n">
        <f aca="false">IF(Tasks[[#This Row],[_IsLeaf]]=1,MAX(N(Tasks[[#This Row],[Duration]]),0.1),0)</f>
        <v>0</v>
      </c>
      <c r="CO87" s="46" t="n">
        <f aca="false">Tasks[[#This Row],[_WeightDur]]*Tasks[[#This Row],[_LeafProgress]]</f>
        <v>0</v>
      </c>
      <c r="CP8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39"/>
      <c r="E88" s="40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8" s="31"/>
      <c r="AF8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8" s="40"/>
      <c r="AI88" s="31"/>
      <c r="AJ8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8" s="40"/>
      <c r="AO88" s="24" t="str">
        <f aca="false">IF(Tasks[[#This Row],[Task Name]]="","",Tasks[[#This Row],[Forecast Start]])</f>
        <v/>
      </c>
      <c r="AP88" s="24" t="str">
        <f aca="false">IF(Tasks[[#This Row],[Task Name]]="","",Tasks[[#This Row],[Forecast Finish]])</f>
        <v/>
      </c>
      <c r="AQ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8" s="42" t="str">
        <f aca="false">IF(Tasks[[#This Row],[Task Name]]="","",Tasks[[#This Row],[Work]])</f>
        <v/>
      </c>
      <c r="AS88" s="43" t="str">
        <f aca="false">IF(Tasks[[#This Row],[Task Name]]="","",Tasks[[#This Row],[Cost]])</f>
        <v/>
      </c>
      <c r="AT88" s="29"/>
      <c r="AU88" s="29"/>
      <c r="AV88" s="39"/>
      <c r="AW88" s="44"/>
      <c r="AX88" s="45"/>
      <c r="AY88" s="38" t="str">
        <f aca="false">IF(OR(Tasks[[#This Row],[Task Name]]="",Tasks[[#This Row],[Baseline Duration]]=""),"",Tasks[[#This Row],[BL Source Duration]]-N(Tasks[[#This Row],[Baseline Duration]]))</f>
        <v/>
      </c>
      <c r="AZ88" s="42" t="str">
        <f aca="false">IF(OR(Tasks[[#This Row],[Task Name]]="",Tasks[[#This Row],[Baseline Work]]=""),"",Tasks[[#This Row],[Work]]-N(Tasks[[#This Row],[Baseline Work]]))</f>
        <v/>
      </c>
      <c r="BA88" s="43" t="str">
        <f aca="false">IF(OR(Tasks[[#This Row],[Task Name]]="",Tasks[[#This Row],[Baseline Cost]]=""),"",Tasks[[#This Row],[Cost]]-N(Tasks[[#This Row],[Baseline Cost]]))</f>
        <v/>
      </c>
      <c r="BB88" s="46" t="str">
        <f aca="false">IF(Tasks[[#This Row],[Task Name]]="","",MAX(1,N(Tasks[[#This Row],[Level]])))</f>
        <v/>
      </c>
      <c r="BC88" s="46" t="n">
        <f aca="false">ROW()-ROW(Tasks[[#Headers],[ID]])</f>
        <v>83</v>
      </c>
      <c r="BD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8" s="46" t="n">
        <f aca="false">IFERROR(N(INDEX(Tasks[_Level],Tasks[[#This Row],[_Row]]+1)),0)</f>
        <v>0</v>
      </c>
      <c r="BF88" s="47" t="b">
        <f aca="false">AND(Tasks[[#This Row],[Task Name]]&lt;&gt;"",Tasks[[#This Row],[_NextLevel]]&gt;Tasks[[#This Row],[_Level]])</f>
        <v>0</v>
      </c>
      <c r="BG88" s="46" t="n">
        <f aca="false">IF(Tasks[[#This Row],[_IsSummary]],COUNTIF(Tasks[WBS],Tasks[[#This Row],[WBS]]&amp;".*"),0)</f>
        <v>0</v>
      </c>
      <c r="BH88" s="46" t="n">
        <f aca="false">IF(AND(Tasks[[#This Row],[Task Name]]&lt;&gt;"",NOT(Tasks[[#This Row],[_IsSummary]])),1,0)</f>
        <v>0</v>
      </c>
      <c r="BI88" s="46" t="n">
        <f aca="false">IF(N(Tasks[[#This Row],[Pred1 UID]])=0,0,IFERROR(MATCH(Tasks[[#This Row],[Pred1 UID]],Tasks[UID],0),-1))</f>
        <v>0</v>
      </c>
      <c r="BJ88" s="46" t="n">
        <f aca="false">IF(N(Tasks[[#This Row],[Pred2 UID]])=0,0,IFERROR(MATCH(Tasks[[#This Row],[Pred2 UID]],Tasks[UID],0),-1))</f>
        <v>0</v>
      </c>
      <c r="BK8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8" s="46" t="n">
        <f aca="false">IF(NOT(Tasks[[#This Row],[_IsLeaf]]=1),0,IF(N(Tasks[[#This Row],[Actual Finish]])&gt;0,1,MIN(1,N(Tasks[[#This Row],[% Complete]]))))</f>
        <v>0</v>
      </c>
      <c r="BP8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8" s="46" t="n">
        <f aca="false">IF(Tasks[[#This Row],[_LeafWork]]=0,0,Tasks[[#This Row],[_LeafWork]]*IFERROR(INDEX(res_Rate,MATCH(Tasks[[#This Row],[Resource]],res_Name,0)),0))</f>
        <v>0</v>
      </c>
      <c r="BR8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8" s="46" t="n">
        <f aca="false">IF(NOT(Tasks[[#This Row],[_IsLeaf]]=1),0,MAX(_xlfn.MAXIFS(Tasks[_Row],Tasks[Pred1 UID],Tasks[[#This Row],[UID]]),_xlfn.MAXIFS(Tasks[_Row],Tasks[Pred2 UID],Tasks[[#This Row],[UID]])))</f>
        <v>0</v>
      </c>
      <c r="BW8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8" s="48" t="str">
        <f aca="false">IF(NOT(Tasks[[#This Row],[_IsLeaf]]=1),"",MIN(ProjectFinish,IF(N(Tasks[[#This Row],[Deadline]])&gt;0,Tasks[[#This Row],[Deadline]],2958465),Tasks[[#This Row],[_SuccessorFinishLimit]]))</f>
        <v/>
      </c>
      <c r="BY8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8" s="47" t="b">
        <f aca="false">AND(Tasks[[#This Row],[_IsLeaf]]=1,Tasks[[#This Row],[_LeafProgress]]&lt;1,N(Tasks[[#This Row],[_LeafTotalSlack]])&lt;=CriticalSlackDays)</f>
        <v>0</v>
      </c>
      <c r="CB8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8" s="46" t="n">
        <f aca="false">IF(AND(Tasks[[#This Row],[_IsLeaf]]=1,Tasks[[#This Row],[_LeafWork]]&gt;0),NETWORKDAYS.INTL(ProjectStart,Tasks[[#This Row],[_LeafFcstStart]],WorkWeek,Holidays),0)</f>
        <v>0</v>
      </c>
      <c r="CK8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8" s="46" t="n">
        <f aca="false">IF(AND(Tasks[[#This Row],[_IsLeaf]]=1,Tasks[[#This Row],[_LeafWork]]&gt;0),Tasks[[#This Row],[_LeafWork]]/(Tasks[[#This Row],[_FinishWorkday]]-Tasks[[#This Row],[_StartWorkday]]+1),0)</f>
        <v>0</v>
      </c>
      <c r="CM88" s="46" t="n">
        <f aca="false">Tasks[[#This Row],[_WorkPerWorkday]]*(Tasks[[#This Row],[_StartWorkday]]-1)</f>
        <v>-0</v>
      </c>
      <c r="CN88" s="46" t="n">
        <f aca="false">IF(Tasks[[#This Row],[_IsLeaf]]=1,MAX(N(Tasks[[#This Row],[Duration]]),0.1),0)</f>
        <v>0</v>
      </c>
      <c r="CO88" s="46" t="n">
        <f aca="false">Tasks[[#This Row],[_WeightDur]]*Tasks[[#This Row],[_LeafProgress]]</f>
        <v>0</v>
      </c>
      <c r="CP8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39"/>
      <c r="E89" s="40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9" s="31"/>
      <c r="AF8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9" s="40"/>
      <c r="AI89" s="31"/>
      <c r="AJ8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9" s="40"/>
      <c r="AO89" s="24" t="str">
        <f aca="false">IF(Tasks[[#This Row],[Task Name]]="","",Tasks[[#This Row],[Forecast Start]])</f>
        <v/>
      </c>
      <c r="AP89" s="24" t="str">
        <f aca="false">IF(Tasks[[#This Row],[Task Name]]="","",Tasks[[#This Row],[Forecast Finish]])</f>
        <v/>
      </c>
      <c r="AQ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9" s="42" t="str">
        <f aca="false">IF(Tasks[[#This Row],[Task Name]]="","",Tasks[[#This Row],[Work]])</f>
        <v/>
      </c>
      <c r="AS89" s="43" t="str">
        <f aca="false">IF(Tasks[[#This Row],[Task Name]]="","",Tasks[[#This Row],[Cost]])</f>
        <v/>
      </c>
      <c r="AT89" s="29"/>
      <c r="AU89" s="29"/>
      <c r="AV89" s="39"/>
      <c r="AW89" s="44"/>
      <c r="AX89" s="45"/>
      <c r="AY89" s="38" t="str">
        <f aca="false">IF(OR(Tasks[[#This Row],[Task Name]]="",Tasks[[#This Row],[Baseline Duration]]=""),"",Tasks[[#This Row],[BL Source Duration]]-N(Tasks[[#This Row],[Baseline Duration]]))</f>
        <v/>
      </c>
      <c r="AZ89" s="42" t="str">
        <f aca="false">IF(OR(Tasks[[#This Row],[Task Name]]="",Tasks[[#This Row],[Baseline Work]]=""),"",Tasks[[#This Row],[Work]]-N(Tasks[[#This Row],[Baseline Work]]))</f>
        <v/>
      </c>
      <c r="BA89" s="43" t="str">
        <f aca="false">IF(OR(Tasks[[#This Row],[Task Name]]="",Tasks[[#This Row],[Baseline Cost]]=""),"",Tasks[[#This Row],[Cost]]-N(Tasks[[#This Row],[Baseline Cost]]))</f>
        <v/>
      </c>
      <c r="BB89" s="46" t="str">
        <f aca="false">IF(Tasks[[#This Row],[Task Name]]="","",MAX(1,N(Tasks[[#This Row],[Level]])))</f>
        <v/>
      </c>
      <c r="BC89" s="46" t="n">
        <f aca="false">ROW()-ROW(Tasks[[#Headers],[ID]])</f>
        <v>84</v>
      </c>
      <c r="BD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9" s="46" t="n">
        <f aca="false">IFERROR(N(INDEX(Tasks[_Level],Tasks[[#This Row],[_Row]]+1)),0)</f>
        <v>0</v>
      </c>
      <c r="BF89" s="47" t="b">
        <f aca="false">AND(Tasks[[#This Row],[Task Name]]&lt;&gt;"",Tasks[[#This Row],[_NextLevel]]&gt;Tasks[[#This Row],[_Level]])</f>
        <v>0</v>
      </c>
      <c r="BG89" s="46" t="n">
        <f aca="false">IF(Tasks[[#This Row],[_IsSummary]],COUNTIF(Tasks[WBS],Tasks[[#This Row],[WBS]]&amp;".*"),0)</f>
        <v>0</v>
      </c>
      <c r="BH89" s="46" t="n">
        <f aca="false">IF(AND(Tasks[[#This Row],[Task Name]]&lt;&gt;"",NOT(Tasks[[#This Row],[_IsSummary]])),1,0)</f>
        <v>0</v>
      </c>
      <c r="BI89" s="46" t="n">
        <f aca="false">IF(N(Tasks[[#This Row],[Pred1 UID]])=0,0,IFERROR(MATCH(Tasks[[#This Row],[Pred1 UID]],Tasks[UID],0),-1))</f>
        <v>0</v>
      </c>
      <c r="BJ89" s="46" t="n">
        <f aca="false">IF(N(Tasks[[#This Row],[Pred2 UID]])=0,0,IFERROR(MATCH(Tasks[[#This Row],[Pred2 UID]],Tasks[UID],0),-1))</f>
        <v>0</v>
      </c>
      <c r="BK8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9" s="46" t="n">
        <f aca="false">IF(NOT(Tasks[[#This Row],[_IsLeaf]]=1),0,IF(N(Tasks[[#This Row],[Actual Finish]])&gt;0,1,MIN(1,N(Tasks[[#This Row],[% Complete]]))))</f>
        <v>0</v>
      </c>
      <c r="BP8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89" s="46" t="n">
        <f aca="false">IF(Tasks[[#This Row],[_LeafWork]]=0,0,Tasks[[#This Row],[_LeafWork]]*IFERROR(INDEX(res_Rate,MATCH(Tasks[[#This Row],[Resource]],res_Name,0)),0))</f>
        <v>0</v>
      </c>
      <c r="BR8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9" s="46" t="n">
        <f aca="false">IF(NOT(Tasks[[#This Row],[_IsLeaf]]=1),0,MAX(_xlfn.MAXIFS(Tasks[_Row],Tasks[Pred1 UID],Tasks[[#This Row],[UID]]),_xlfn.MAXIFS(Tasks[_Row],Tasks[Pred2 UID],Tasks[[#This Row],[UID]])))</f>
        <v>0</v>
      </c>
      <c r="BW8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9" s="48" t="str">
        <f aca="false">IF(NOT(Tasks[[#This Row],[_IsLeaf]]=1),"",MIN(ProjectFinish,IF(N(Tasks[[#This Row],[Deadline]])&gt;0,Tasks[[#This Row],[Deadline]],2958465),Tasks[[#This Row],[_SuccessorFinishLimit]]))</f>
        <v/>
      </c>
      <c r="BY8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9" s="47" t="b">
        <f aca="false">AND(Tasks[[#This Row],[_IsLeaf]]=1,Tasks[[#This Row],[_LeafProgress]]&lt;1,N(Tasks[[#This Row],[_LeafTotalSlack]])&lt;=CriticalSlackDays)</f>
        <v>0</v>
      </c>
      <c r="CB8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9" s="46" t="n">
        <f aca="false">IF(AND(Tasks[[#This Row],[_IsLeaf]]=1,Tasks[[#This Row],[_LeafWork]]&gt;0),NETWORKDAYS.INTL(ProjectStart,Tasks[[#This Row],[_LeafFcstStart]],WorkWeek,Holidays),0)</f>
        <v>0</v>
      </c>
      <c r="CK8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9" s="46" t="n">
        <f aca="false">IF(AND(Tasks[[#This Row],[_IsLeaf]]=1,Tasks[[#This Row],[_LeafWork]]&gt;0),Tasks[[#This Row],[_LeafWork]]/(Tasks[[#This Row],[_FinishWorkday]]-Tasks[[#This Row],[_StartWorkday]]+1),0)</f>
        <v>0</v>
      </c>
      <c r="CM89" s="46" t="n">
        <f aca="false">Tasks[[#This Row],[_WorkPerWorkday]]*(Tasks[[#This Row],[_StartWorkday]]-1)</f>
        <v>-0</v>
      </c>
      <c r="CN89" s="46" t="n">
        <f aca="false">IF(Tasks[[#This Row],[_IsLeaf]]=1,MAX(N(Tasks[[#This Row],[Duration]]),0.1),0)</f>
        <v>0</v>
      </c>
      <c r="CO89" s="46" t="n">
        <f aca="false">Tasks[[#This Row],[_WeightDur]]*Tasks[[#This Row],[_LeafProgress]]</f>
        <v>0</v>
      </c>
      <c r="CP8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39"/>
      <c r="E90" s="40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0" s="31"/>
      <c r="AF9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0" s="40"/>
      <c r="AI90" s="31"/>
      <c r="AJ9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0" s="40"/>
      <c r="AO90" s="24" t="str">
        <f aca="false">IF(Tasks[[#This Row],[Task Name]]="","",Tasks[[#This Row],[Forecast Start]])</f>
        <v/>
      </c>
      <c r="AP90" s="24" t="str">
        <f aca="false">IF(Tasks[[#This Row],[Task Name]]="","",Tasks[[#This Row],[Forecast Finish]])</f>
        <v/>
      </c>
      <c r="AQ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0" s="42" t="str">
        <f aca="false">IF(Tasks[[#This Row],[Task Name]]="","",Tasks[[#This Row],[Work]])</f>
        <v/>
      </c>
      <c r="AS90" s="43" t="str">
        <f aca="false">IF(Tasks[[#This Row],[Task Name]]="","",Tasks[[#This Row],[Cost]])</f>
        <v/>
      </c>
      <c r="AT90" s="29"/>
      <c r="AU90" s="29"/>
      <c r="AV90" s="39"/>
      <c r="AW90" s="44"/>
      <c r="AX90" s="45"/>
      <c r="AY90" s="38" t="str">
        <f aca="false">IF(OR(Tasks[[#This Row],[Task Name]]="",Tasks[[#This Row],[Baseline Duration]]=""),"",Tasks[[#This Row],[BL Source Duration]]-N(Tasks[[#This Row],[Baseline Duration]]))</f>
        <v/>
      </c>
      <c r="AZ90" s="42" t="str">
        <f aca="false">IF(OR(Tasks[[#This Row],[Task Name]]="",Tasks[[#This Row],[Baseline Work]]=""),"",Tasks[[#This Row],[Work]]-N(Tasks[[#This Row],[Baseline Work]]))</f>
        <v/>
      </c>
      <c r="BA90" s="43" t="str">
        <f aca="false">IF(OR(Tasks[[#This Row],[Task Name]]="",Tasks[[#This Row],[Baseline Cost]]=""),"",Tasks[[#This Row],[Cost]]-N(Tasks[[#This Row],[Baseline Cost]]))</f>
        <v/>
      </c>
      <c r="BB90" s="46" t="str">
        <f aca="false">IF(Tasks[[#This Row],[Task Name]]="","",MAX(1,N(Tasks[[#This Row],[Level]])))</f>
        <v/>
      </c>
      <c r="BC90" s="46" t="n">
        <f aca="false">ROW()-ROW(Tasks[[#Headers],[ID]])</f>
        <v>85</v>
      </c>
      <c r="BD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0" s="46" t="n">
        <f aca="false">IFERROR(N(INDEX(Tasks[_Level],Tasks[[#This Row],[_Row]]+1)),0)</f>
        <v>0</v>
      </c>
      <c r="BF90" s="47" t="b">
        <f aca="false">AND(Tasks[[#This Row],[Task Name]]&lt;&gt;"",Tasks[[#This Row],[_NextLevel]]&gt;Tasks[[#This Row],[_Level]])</f>
        <v>0</v>
      </c>
      <c r="BG90" s="46" t="n">
        <f aca="false">IF(Tasks[[#This Row],[_IsSummary]],COUNTIF(Tasks[WBS],Tasks[[#This Row],[WBS]]&amp;".*"),0)</f>
        <v>0</v>
      </c>
      <c r="BH90" s="46" t="n">
        <f aca="false">IF(AND(Tasks[[#This Row],[Task Name]]&lt;&gt;"",NOT(Tasks[[#This Row],[_IsSummary]])),1,0)</f>
        <v>0</v>
      </c>
      <c r="BI90" s="46" t="n">
        <f aca="false">IF(N(Tasks[[#This Row],[Pred1 UID]])=0,0,IFERROR(MATCH(Tasks[[#This Row],[Pred1 UID]],Tasks[UID],0),-1))</f>
        <v>0</v>
      </c>
      <c r="BJ90" s="46" t="n">
        <f aca="false">IF(N(Tasks[[#This Row],[Pred2 UID]])=0,0,IFERROR(MATCH(Tasks[[#This Row],[Pred2 UID]],Tasks[UID],0),-1))</f>
        <v>0</v>
      </c>
      <c r="BK9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0" s="46" t="n">
        <f aca="false">IF(NOT(Tasks[[#This Row],[_IsLeaf]]=1),0,IF(N(Tasks[[#This Row],[Actual Finish]])&gt;0,1,MIN(1,N(Tasks[[#This Row],[% Complete]]))))</f>
        <v>0</v>
      </c>
      <c r="BP9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0" s="46" t="n">
        <f aca="false">IF(Tasks[[#This Row],[_LeafWork]]=0,0,Tasks[[#This Row],[_LeafWork]]*IFERROR(INDEX(res_Rate,MATCH(Tasks[[#This Row],[Resource]],res_Name,0)),0))</f>
        <v>0</v>
      </c>
      <c r="BR9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0" s="46" t="n">
        <f aca="false">IF(NOT(Tasks[[#This Row],[_IsLeaf]]=1),0,MAX(_xlfn.MAXIFS(Tasks[_Row],Tasks[Pred1 UID],Tasks[[#This Row],[UID]]),_xlfn.MAXIFS(Tasks[_Row],Tasks[Pred2 UID],Tasks[[#This Row],[UID]])))</f>
        <v>0</v>
      </c>
      <c r="BW9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0" s="48" t="str">
        <f aca="false">IF(NOT(Tasks[[#This Row],[_IsLeaf]]=1),"",MIN(ProjectFinish,IF(N(Tasks[[#This Row],[Deadline]])&gt;0,Tasks[[#This Row],[Deadline]],2958465),Tasks[[#This Row],[_SuccessorFinishLimit]]))</f>
        <v/>
      </c>
      <c r="BY9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0" s="47" t="b">
        <f aca="false">AND(Tasks[[#This Row],[_IsLeaf]]=1,Tasks[[#This Row],[_LeafProgress]]&lt;1,N(Tasks[[#This Row],[_LeafTotalSlack]])&lt;=CriticalSlackDays)</f>
        <v>0</v>
      </c>
      <c r="CB9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0" s="46" t="n">
        <f aca="false">IF(AND(Tasks[[#This Row],[_IsLeaf]]=1,Tasks[[#This Row],[_LeafWork]]&gt;0),NETWORKDAYS.INTL(ProjectStart,Tasks[[#This Row],[_LeafFcstStart]],WorkWeek,Holidays),0)</f>
        <v>0</v>
      </c>
      <c r="CK9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0" s="46" t="n">
        <f aca="false">IF(AND(Tasks[[#This Row],[_IsLeaf]]=1,Tasks[[#This Row],[_LeafWork]]&gt;0),Tasks[[#This Row],[_LeafWork]]/(Tasks[[#This Row],[_FinishWorkday]]-Tasks[[#This Row],[_StartWorkday]]+1),0)</f>
        <v>0</v>
      </c>
      <c r="CM90" s="46" t="n">
        <f aca="false">Tasks[[#This Row],[_WorkPerWorkday]]*(Tasks[[#This Row],[_StartWorkday]]-1)</f>
        <v>-0</v>
      </c>
      <c r="CN90" s="46" t="n">
        <f aca="false">IF(Tasks[[#This Row],[_IsLeaf]]=1,MAX(N(Tasks[[#This Row],[Duration]]),0.1),0)</f>
        <v>0</v>
      </c>
      <c r="CO90" s="46" t="n">
        <f aca="false">Tasks[[#This Row],[_WeightDur]]*Tasks[[#This Row],[_LeafProgress]]</f>
        <v>0</v>
      </c>
      <c r="CP9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39"/>
      <c r="E91" s="40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1" s="31"/>
      <c r="AF9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1" s="40"/>
      <c r="AI91" s="31"/>
      <c r="AJ9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1" s="40"/>
      <c r="AO91" s="24" t="str">
        <f aca="false">IF(Tasks[[#This Row],[Task Name]]="","",Tasks[[#This Row],[Forecast Start]])</f>
        <v/>
      </c>
      <c r="AP91" s="24" t="str">
        <f aca="false">IF(Tasks[[#This Row],[Task Name]]="","",Tasks[[#This Row],[Forecast Finish]])</f>
        <v/>
      </c>
      <c r="AQ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1" s="42" t="str">
        <f aca="false">IF(Tasks[[#This Row],[Task Name]]="","",Tasks[[#This Row],[Work]])</f>
        <v/>
      </c>
      <c r="AS91" s="43" t="str">
        <f aca="false">IF(Tasks[[#This Row],[Task Name]]="","",Tasks[[#This Row],[Cost]])</f>
        <v/>
      </c>
      <c r="AT91" s="29"/>
      <c r="AU91" s="29"/>
      <c r="AV91" s="39"/>
      <c r="AW91" s="44"/>
      <c r="AX91" s="45"/>
      <c r="AY91" s="38" t="str">
        <f aca="false">IF(OR(Tasks[[#This Row],[Task Name]]="",Tasks[[#This Row],[Baseline Duration]]=""),"",Tasks[[#This Row],[BL Source Duration]]-N(Tasks[[#This Row],[Baseline Duration]]))</f>
        <v/>
      </c>
      <c r="AZ91" s="42" t="str">
        <f aca="false">IF(OR(Tasks[[#This Row],[Task Name]]="",Tasks[[#This Row],[Baseline Work]]=""),"",Tasks[[#This Row],[Work]]-N(Tasks[[#This Row],[Baseline Work]]))</f>
        <v/>
      </c>
      <c r="BA91" s="43" t="str">
        <f aca="false">IF(OR(Tasks[[#This Row],[Task Name]]="",Tasks[[#This Row],[Baseline Cost]]=""),"",Tasks[[#This Row],[Cost]]-N(Tasks[[#This Row],[Baseline Cost]]))</f>
        <v/>
      </c>
      <c r="BB91" s="46" t="str">
        <f aca="false">IF(Tasks[[#This Row],[Task Name]]="","",MAX(1,N(Tasks[[#This Row],[Level]])))</f>
        <v/>
      </c>
      <c r="BC91" s="46" t="n">
        <f aca="false">ROW()-ROW(Tasks[[#Headers],[ID]])</f>
        <v>86</v>
      </c>
      <c r="BD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1" s="46" t="n">
        <f aca="false">IFERROR(N(INDEX(Tasks[_Level],Tasks[[#This Row],[_Row]]+1)),0)</f>
        <v>0</v>
      </c>
      <c r="BF91" s="47" t="b">
        <f aca="false">AND(Tasks[[#This Row],[Task Name]]&lt;&gt;"",Tasks[[#This Row],[_NextLevel]]&gt;Tasks[[#This Row],[_Level]])</f>
        <v>0</v>
      </c>
      <c r="BG91" s="46" t="n">
        <f aca="false">IF(Tasks[[#This Row],[_IsSummary]],COUNTIF(Tasks[WBS],Tasks[[#This Row],[WBS]]&amp;".*"),0)</f>
        <v>0</v>
      </c>
      <c r="BH91" s="46" t="n">
        <f aca="false">IF(AND(Tasks[[#This Row],[Task Name]]&lt;&gt;"",NOT(Tasks[[#This Row],[_IsSummary]])),1,0)</f>
        <v>0</v>
      </c>
      <c r="BI91" s="46" t="n">
        <f aca="false">IF(N(Tasks[[#This Row],[Pred1 UID]])=0,0,IFERROR(MATCH(Tasks[[#This Row],[Pred1 UID]],Tasks[UID],0),-1))</f>
        <v>0</v>
      </c>
      <c r="BJ91" s="46" t="n">
        <f aca="false">IF(N(Tasks[[#This Row],[Pred2 UID]])=0,0,IFERROR(MATCH(Tasks[[#This Row],[Pred2 UID]],Tasks[UID],0),-1))</f>
        <v>0</v>
      </c>
      <c r="BK9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1" s="46" t="n">
        <f aca="false">IF(NOT(Tasks[[#This Row],[_IsLeaf]]=1),0,IF(N(Tasks[[#This Row],[Actual Finish]])&gt;0,1,MIN(1,N(Tasks[[#This Row],[% Complete]]))))</f>
        <v>0</v>
      </c>
      <c r="BP9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1" s="46" t="n">
        <f aca="false">IF(Tasks[[#This Row],[_LeafWork]]=0,0,Tasks[[#This Row],[_LeafWork]]*IFERROR(INDEX(res_Rate,MATCH(Tasks[[#This Row],[Resource]],res_Name,0)),0))</f>
        <v>0</v>
      </c>
      <c r="BR9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1" s="46" t="n">
        <f aca="false">IF(NOT(Tasks[[#This Row],[_IsLeaf]]=1),0,MAX(_xlfn.MAXIFS(Tasks[_Row],Tasks[Pred1 UID],Tasks[[#This Row],[UID]]),_xlfn.MAXIFS(Tasks[_Row],Tasks[Pred2 UID],Tasks[[#This Row],[UID]])))</f>
        <v>0</v>
      </c>
      <c r="BW9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1" s="48" t="str">
        <f aca="false">IF(NOT(Tasks[[#This Row],[_IsLeaf]]=1),"",MIN(ProjectFinish,IF(N(Tasks[[#This Row],[Deadline]])&gt;0,Tasks[[#This Row],[Deadline]],2958465),Tasks[[#This Row],[_SuccessorFinishLimit]]))</f>
        <v/>
      </c>
      <c r="BY9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1" s="47" t="b">
        <f aca="false">AND(Tasks[[#This Row],[_IsLeaf]]=1,Tasks[[#This Row],[_LeafProgress]]&lt;1,N(Tasks[[#This Row],[_LeafTotalSlack]])&lt;=CriticalSlackDays)</f>
        <v>0</v>
      </c>
      <c r="CB9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1" s="46" t="n">
        <f aca="false">IF(AND(Tasks[[#This Row],[_IsLeaf]]=1,Tasks[[#This Row],[_LeafWork]]&gt;0),NETWORKDAYS.INTL(ProjectStart,Tasks[[#This Row],[_LeafFcstStart]],WorkWeek,Holidays),0)</f>
        <v>0</v>
      </c>
      <c r="CK9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1" s="46" t="n">
        <f aca="false">IF(AND(Tasks[[#This Row],[_IsLeaf]]=1,Tasks[[#This Row],[_LeafWork]]&gt;0),Tasks[[#This Row],[_LeafWork]]/(Tasks[[#This Row],[_FinishWorkday]]-Tasks[[#This Row],[_StartWorkday]]+1),0)</f>
        <v>0</v>
      </c>
      <c r="CM91" s="46" t="n">
        <f aca="false">Tasks[[#This Row],[_WorkPerWorkday]]*(Tasks[[#This Row],[_StartWorkday]]-1)</f>
        <v>-0</v>
      </c>
      <c r="CN91" s="46" t="n">
        <f aca="false">IF(Tasks[[#This Row],[_IsLeaf]]=1,MAX(N(Tasks[[#This Row],[Duration]]),0.1),0)</f>
        <v>0</v>
      </c>
      <c r="CO91" s="46" t="n">
        <f aca="false">Tasks[[#This Row],[_WeightDur]]*Tasks[[#This Row],[_LeafProgress]]</f>
        <v>0</v>
      </c>
      <c r="CP9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39"/>
      <c r="E92" s="40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2" s="31"/>
      <c r="AF9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2" s="40"/>
      <c r="AI92" s="31"/>
      <c r="AJ9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2" s="40"/>
      <c r="AO92" s="24" t="str">
        <f aca="false">IF(Tasks[[#This Row],[Task Name]]="","",Tasks[[#This Row],[Forecast Start]])</f>
        <v/>
      </c>
      <c r="AP92" s="24" t="str">
        <f aca="false">IF(Tasks[[#This Row],[Task Name]]="","",Tasks[[#This Row],[Forecast Finish]])</f>
        <v/>
      </c>
      <c r="AQ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2" s="42" t="str">
        <f aca="false">IF(Tasks[[#This Row],[Task Name]]="","",Tasks[[#This Row],[Work]])</f>
        <v/>
      </c>
      <c r="AS92" s="43" t="str">
        <f aca="false">IF(Tasks[[#This Row],[Task Name]]="","",Tasks[[#This Row],[Cost]])</f>
        <v/>
      </c>
      <c r="AT92" s="29"/>
      <c r="AU92" s="29"/>
      <c r="AV92" s="39"/>
      <c r="AW92" s="44"/>
      <c r="AX92" s="45"/>
      <c r="AY92" s="38" t="str">
        <f aca="false">IF(OR(Tasks[[#This Row],[Task Name]]="",Tasks[[#This Row],[Baseline Duration]]=""),"",Tasks[[#This Row],[BL Source Duration]]-N(Tasks[[#This Row],[Baseline Duration]]))</f>
        <v/>
      </c>
      <c r="AZ92" s="42" t="str">
        <f aca="false">IF(OR(Tasks[[#This Row],[Task Name]]="",Tasks[[#This Row],[Baseline Work]]=""),"",Tasks[[#This Row],[Work]]-N(Tasks[[#This Row],[Baseline Work]]))</f>
        <v/>
      </c>
      <c r="BA92" s="43" t="str">
        <f aca="false">IF(OR(Tasks[[#This Row],[Task Name]]="",Tasks[[#This Row],[Baseline Cost]]=""),"",Tasks[[#This Row],[Cost]]-N(Tasks[[#This Row],[Baseline Cost]]))</f>
        <v/>
      </c>
      <c r="BB92" s="46" t="str">
        <f aca="false">IF(Tasks[[#This Row],[Task Name]]="","",MAX(1,N(Tasks[[#This Row],[Level]])))</f>
        <v/>
      </c>
      <c r="BC92" s="46" t="n">
        <f aca="false">ROW()-ROW(Tasks[[#Headers],[ID]])</f>
        <v>87</v>
      </c>
      <c r="BD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2" s="46" t="n">
        <f aca="false">IFERROR(N(INDEX(Tasks[_Level],Tasks[[#This Row],[_Row]]+1)),0)</f>
        <v>0</v>
      </c>
      <c r="BF92" s="47" t="b">
        <f aca="false">AND(Tasks[[#This Row],[Task Name]]&lt;&gt;"",Tasks[[#This Row],[_NextLevel]]&gt;Tasks[[#This Row],[_Level]])</f>
        <v>0</v>
      </c>
      <c r="BG92" s="46" t="n">
        <f aca="false">IF(Tasks[[#This Row],[_IsSummary]],COUNTIF(Tasks[WBS],Tasks[[#This Row],[WBS]]&amp;".*"),0)</f>
        <v>0</v>
      </c>
      <c r="BH92" s="46" t="n">
        <f aca="false">IF(AND(Tasks[[#This Row],[Task Name]]&lt;&gt;"",NOT(Tasks[[#This Row],[_IsSummary]])),1,0)</f>
        <v>0</v>
      </c>
      <c r="BI92" s="46" t="n">
        <f aca="false">IF(N(Tasks[[#This Row],[Pred1 UID]])=0,0,IFERROR(MATCH(Tasks[[#This Row],[Pred1 UID]],Tasks[UID],0),-1))</f>
        <v>0</v>
      </c>
      <c r="BJ92" s="46" t="n">
        <f aca="false">IF(N(Tasks[[#This Row],[Pred2 UID]])=0,0,IFERROR(MATCH(Tasks[[#This Row],[Pred2 UID]],Tasks[UID],0),-1))</f>
        <v>0</v>
      </c>
      <c r="BK9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2" s="46" t="n">
        <f aca="false">IF(NOT(Tasks[[#This Row],[_IsLeaf]]=1),0,IF(N(Tasks[[#This Row],[Actual Finish]])&gt;0,1,MIN(1,N(Tasks[[#This Row],[% Complete]]))))</f>
        <v>0</v>
      </c>
      <c r="BP9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2" s="46" t="n">
        <f aca="false">IF(Tasks[[#This Row],[_LeafWork]]=0,0,Tasks[[#This Row],[_LeafWork]]*IFERROR(INDEX(res_Rate,MATCH(Tasks[[#This Row],[Resource]],res_Name,0)),0))</f>
        <v>0</v>
      </c>
      <c r="BR9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2" s="46" t="n">
        <f aca="false">IF(NOT(Tasks[[#This Row],[_IsLeaf]]=1),0,MAX(_xlfn.MAXIFS(Tasks[_Row],Tasks[Pred1 UID],Tasks[[#This Row],[UID]]),_xlfn.MAXIFS(Tasks[_Row],Tasks[Pred2 UID],Tasks[[#This Row],[UID]])))</f>
        <v>0</v>
      </c>
      <c r="BW9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2" s="48" t="str">
        <f aca="false">IF(NOT(Tasks[[#This Row],[_IsLeaf]]=1),"",MIN(ProjectFinish,IF(N(Tasks[[#This Row],[Deadline]])&gt;0,Tasks[[#This Row],[Deadline]],2958465),Tasks[[#This Row],[_SuccessorFinishLimit]]))</f>
        <v/>
      </c>
      <c r="BY9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2" s="47" t="b">
        <f aca="false">AND(Tasks[[#This Row],[_IsLeaf]]=1,Tasks[[#This Row],[_LeafProgress]]&lt;1,N(Tasks[[#This Row],[_LeafTotalSlack]])&lt;=CriticalSlackDays)</f>
        <v>0</v>
      </c>
      <c r="CB9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2" s="46" t="n">
        <f aca="false">IF(AND(Tasks[[#This Row],[_IsLeaf]]=1,Tasks[[#This Row],[_LeafWork]]&gt;0),NETWORKDAYS.INTL(ProjectStart,Tasks[[#This Row],[_LeafFcstStart]],WorkWeek,Holidays),0)</f>
        <v>0</v>
      </c>
      <c r="CK9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2" s="46" t="n">
        <f aca="false">IF(AND(Tasks[[#This Row],[_IsLeaf]]=1,Tasks[[#This Row],[_LeafWork]]&gt;0),Tasks[[#This Row],[_LeafWork]]/(Tasks[[#This Row],[_FinishWorkday]]-Tasks[[#This Row],[_StartWorkday]]+1),0)</f>
        <v>0</v>
      </c>
      <c r="CM92" s="46" t="n">
        <f aca="false">Tasks[[#This Row],[_WorkPerWorkday]]*(Tasks[[#This Row],[_StartWorkday]]-1)</f>
        <v>-0</v>
      </c>
      <c r="CN92" s="46" t="n">
        <f aca="false">IF(Tasks[[#This Row],[_IsLeaf]]=1,MAX(N(Tasks[[#This Row],[Duration]]),0.1),0)</f>
        <v>0</v>
      </c>
      <c r="CO92" s="46" t="n">
        <f aca="false">Tasks[[#This Row],[_WeightDur]]*Tasks[[#This Row],[_LeafProgress]]</f>
        <v>0</v>
      </c>
      <c r="CP9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39"/>
      <c r="E93" s="40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3" s="31"/>
      <c r="AF9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3" s="40"/>
      <c r="AI93" s="31"/>
      <c r="AJ9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3" s="40"/>
      <c r="AO93" s="24" t="str">
        <f aca="false">IF(Tasks[[#This Row],[Task Name]]="","",Tasks[[#This Row],[Forecast Start]])</f>
        <v/>
      </c>
      <c r="AP93" s="24" t="str">
        <f aca="false">IF(Tasks[[#This Row],[Task Name]]="","",Tasks[[#This Row],[Forecast Finish]])</f>
        <v/>
      </c>
      <c r="AQ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3" s="42" t="str">
        <f aca="false">IF(Tasks[[#This Row],[Task Name]]="","",Tasks[[#This Row],[Work]])</f>
        <v/>
      </c>
      <c r="AS93" s="43" t="str">
        <f aca="false">IF(Tasks[[#This Row],[Task Name]]="","",Tasks[[#This Row],[Cost]])</f>
        <v/>
      </c>
      <c r="AT93" s="29"/>
      <c r="AU93" s="29"/>
      <c r="AV93" s="39"/>
      <c r="AW93" s="44"/>
      <c r="AX93" s="45"/>
      <c r="AY93" s="38" t="str">
        <f aca="false">IF(OR(Tasks[[#This Row],[Task Name]]="",Tasks[[#This Row],[Baseline Duration]]=""),"",Tasks[[#This Row],[BL Source Duration]]-N(Tasks[[#This Row],[Baseline Duration]]))</f>
        <v/>
      </c>
      <c r="AZ93" s="42" t="str">
        <f aca="false">IF(OR(Tasks[[#This Row],[Task Name]]="",Tasks[[#This Row],[Baseline Work]]=""),"",Tasks[[#This Row],[Work]]-N(Tasks[[#This Row],[Baseline Work]]))</f>
        <v/>
      </c>
      <c r="BA93" s="43" t="str">
        <f aca="false">IF(OR(Tasks[[#This Row],[Task Name]]="",Tasks[[#This Row],[Baseline Cost]]=""),"",Tasks[[#This Row],[Cost]]-N(Tasks[[#This Row],[Baseline Cost]]))</f>
        <v/>
      </c>
      <c r="BB93" s="46" t="str">
        <f aca="false">IF(Tasks[[#This Row],[Task Name]]="","",MAX(1,N(Tasks[[#This Row],[Level]])))</f>
        <v/>
      </c>
      <c r="BC93" s="46" t="n">
        <f aca="false">ROW()-ROW(Tasks[[#Headers],[ID]])</f>
        <v>88</v>
      </c>
      <c r="BD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3" s="46" t="n">
        <f aca="false">IFERROR(N(INDEX(Tasks[_Level],Tasks[[#This Row],[_Row]]+1)),0)</f>
        <v>0</v>
      </c>
      <c r="BF93" s="47" t="b">
        <f aca="false">AND(Tasks[[#This Row],[Task Name]]&lt;&gt;"",Tasks[[#This Row],[_NextLevel]]&gt;Tasks[[#This Row],[_Level]])</f>
        <v>0</v>
      </c>
      <c r="BG93" s="46" t="n">
        <f aca="false">IF(Tasks[[#This Row],[_IsSummary]],COUNTIF(Tasks[WBS],Tasks[[#This Row],[WBS]]&amp;".*"),0)</f>
        <v>0</v>
      </c>
      <c r="BH93" s="46" t="n">
        <f aca="false">IF(AND(Tasks[[#This Row],[Task Name]]&lt;&gt;"",NOT(Tasks[[#This Row],[_IsSummary]])),1,0)</f>
        <v>0</v>
      </c>
      <c r="BI93" s="46" t="n">
        <f aca="false">IF(N(Tasks[[#This Row],[Pred1 UID]])=0,0,IFERROR(MATCH(Tasks[[#This Row],[Pred1 UID]],Tasks[UID],0),-1))</f>
        <v>0</v>
      </c>
      <c r="BJ93" s="46" t="n">
        <f aca="false">IF(N(Tasks[[#This Row],[Pred2 UID]])=0,0,IFERROR(MATCH(Tasks[[#This Row],[Pred2 UID]],Tasks[UID],0),-1))</f>
        <v>0</v>
      </c>
      <c r="BK9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3" s="46" t="n">
        <f aca="false">IF(NOT(Tasks[[#This Row],[_IsLeaf]]=1),0,IF(N(Tasks[[#This Row],[Actual Finish]])&gt;0,1,MIN(1,N(Tasks[[#This Row],[% Complete]]))))</f>
        <v>0</v>
      </c>
      <c r="BP9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3" s="46" t="n">
        <f aca="false">IF(Tasks[[#This Row],[_LeafWork]]=0,0,Tasks[[#This Row],[_LeafWork]]*IFERROR(INDEX(res_Rate,MATCH(Tasks[[#This Row],[Resource]],res_Name,0)),0))</f>
        <v>0</v>
      </c>
      <c r="BR9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3" s="46" t="n">
        <f aca="false">IF(NOT(Tasks[[#This Row],[_IsLeaf]]=1),0,MAX(_xlfn.MAXIFS(Tasks[_Row],Tasks[Pred1 UID],Tasks[[#This Row],[UID]]),_xlfn.MAXIFS(Tasks[_Row],Tasks[Pred2 UID],Tasks[[#This Row],[UID]])))</f>
        <v>0</v>
      </c>
      <c r="BW9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3" s="48" t="str">
        <f aca="false">IF(NOT(Tasks[[#This Row],[_IsLeaf]]=1),"",MIN(ProjectFinish,IF(N(Tasks[[#This Row],[Deadline]])&gt;0,Tasks[[#This Row],[Deadline]],2958465),Tasks[[#This Row],[_SuccessorFinishLimit]]))</f>
        <v/>
      </c>
      <c r="BY9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3" s="47" t="b">
        <f aca="false">AND(Tasks[[#This Row],[_IsLeaf]]=1,Tasks[[#This Row],[_LeafProgress]]&lt;1,N(Tasks[[#This Row],[_LeafTotalSlack]])&lt;=CriticalSlackDays)</f>
        <v>0</v>
      </c>
      <c r="CB9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3" s="46" t="n">
        <f aca="false">IF(AND(Tasks[[#This Row],[_IsLeaf]]=1,Tasks[[#This Row],[_LeafWork]]&gt;0),NETWORKDAYS.INTL(ProjectStart,Tasks[[#This Row],[_LeafFcstStart]],WorkWeek,Holidays),0)</f>
        <v>0</v>
      </c>
      <c r="CK9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3" s="46" t="n">
        <f aca="false">IF(AND(Tasks[[#This Row],[_IsLeaf]]=1,Tasks[[#This Row],[_LeafWork]]&gt;0),Tasks[[#This Row],[_LeafWork]]/(Tasks[[#This Row],[_FinishWorkday]]-Tasks[[#This Row],[_StartWorkday]]+1),0)</f>
        <v>0</v>
      </c>
      <c r="CM93" s="46" t="n">
        <f aca="false">Tasks[[#This Row],[_WorkPerWorkday]]*(Tasks[[#This Row],[_StartWorkday]]-1)</f>
        <v>-0</v>
      </c>
      <c r="CN93" s="46" t="n">
        <f aca="false">IF(Tasks[[#This Row],[_IsLeaf]]=1,MAX(N(Tasks[[#This Row],[Duration]]),0.1),0)</f>
        <v>0</v>
      </c>
      <c r="CO93" s="46" t="n">
        <f aca="false">Tasks[[#This Row],[_WeightDur]]*Tasks[[#This Row],[_LeafProgress]]</f>
        <v>0</v>
      </c>
      <c r="CP9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39"/>
      <c r="E94" s="40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4" s="31"/>
      <c r="AF9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4" s="40"/>
      <c r="AI94" s="31"/>
      <c r="AJ9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4" s="40"/>
      <c r="AO94" s="24" t="str">
        <f aca="false">IF(Tasks[[#This Row],[Task Name]]="","",Tasks[[#This Row],[Forecast Start]])</f>
        <v/>
      </c>
      <c r="AP94" s="24" t="str">
        <f aca="false">IF(Tasks[[#This Row],[Task Name]]="","",Tasks[[#This Row],[Forecast Finish]])</f>
        <v/>
      </c>
      <c r="AQ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4" s="42" t="str">
        <f aca="false">IF(Tasks[[#This Row],[Task Name]]="","",Tasks[[#This Row],[Work]])</f>
        <v/>
      </c>
      <c r="AS94" s="43" t="str">
        <f aca="false">IF(Tasks[[#This Row],[Task Name]]="","",Tasks[[#This Row],[Cost]])</f>
        <v/>
      </c>
      <c r="AT94" s="29"/>
      <c r="AU94" s="29"/>
      <c r="AV94" s="39"/>
      <c r="AW94" s="44"/>
      <c r="AX94" s="45"/>
      <c r="AY94" s="38" t="str">
        <f aca="false">IF(OR(Tasks[[#This Row],[Task Name]]="",Tasks[[#This Row],[Baseline Duration]]=""),"",Tasks[[#This Row],[BL Source Duration]]-N(Tasks[[#This Row],[Baseline Duration]]))</f>
        <v/>
      </c>
      <c r="AZ94" s="42" t="str">
        <f aca="false">IF(OR(Tasks[[#This Row],[Task Name]]="",Tasks[[#This Row],[Baseline Work]]=""),"",Tasks[[#This Row],[Work]]-N(Tasks[[#This Row],[Baseline Work]]))</f>
        <v/>
      </c>
      <c r="BA94" s="43" t="str">
        <f aca="false">IF(OR(Tasks[[#This Row],[Task Name]]="",Tasks[[#This Row],[Baseline Cost]]=""),"",Tasks[[#This Row],[Cost]]-N(Tasks[[#This Row],[Baseline Cost]]))</f>
        <v/>
      </c>
      <c r="BB94" s="46" t="str">
        <f aca="false">IF(Tasks[[#This Row],[Task Name]]="","",MAX(1,N(Tasks[[#This Row],[Level]])))</f>
        <v/>
      </c>
      <c r="BC94" s="46" t="n">
        <f aca="false">ROW()-ROW(Tasks[[#Headers],[ID]])</f>
        <v>89</v>
      </c>
      <c r="BD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4" s="46" t="n">
        <f aca="false">IFERROR(N(INDEX(Tasks[_Level],Tasks[[#This Row],[_Row]]+1)),0)</f>
        <v>0</v>
      </c>
      <c r="BF94" s="47" t="b">
        <f aca="false">AND(Tasks[[#This Row],[Task Name]]&lt;&gt;"",Tasks[[#This Row],[_NextLevel]]&gt;Tasks[[#This Row],[_Level]])</f>
        <v>0</v>
      </c>
      <c r="BG94" s="46" t="n">
        <f aca="false">IF(Tasks[[#This Row],[_IsSummary]],COUNTIF(Tasks[WBS],Tasks[[#This Row],[WBS]]&amp;".*"),0)</f>
        <v>0</v>
      </c>
      <c r="BH94" s="46" t="n">
        <f aca="false">IF(AND(Tasks[[#This Row],[Task Name]]&lt;&gt;"",NOT(Tasks[[#This Row],[_IsSummary]])),1,0)</f>
        <v>0</v>
      </c>
      <c r="BI94" s="46" t="n">
        <f aca="false">IF(N(Tasks[[#This Row],[Pred1 UID]])=0,0,IFERROR(MATCH(Tasks[[#This Row],[Pred1 UID]],Tasks[UID],0),-1))</f>
        <v>0</v>
      </c>
      <c r="BJ94" s="46" t="n">
        <f aca="false">IF(N(Tasks[[#This Row],[Pred2 UID]])=0,0,IFERROR(MATCH(Tasks[[#This Row],[Pred2 UID]],Tasks[UID],0),-1))</f>
        <v>0</v>
      </c>
      <c r="BK9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4" s="46" t="n">
        <f aca="false">IF(NOT(Tasks[[#This Row],[_IsLeaf]]=1),0,IF(N(Tasks[[#This Row],[Actual Finish]])&gt;0,1,MIN(1,N(Tasks[[#This Row],[% Complete]]))))</f>
        <v>0</v>
      </c>
      <c r="BP9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4" s="46" t="n">
        <f aca="false">IF(Tasks[[#This Row],[_LeafWork]]=0,0,Tasks[[#This Row],[_LeafWork]]*IFERROR(INDEX(res_Rate,MATCH(Tasks[[#This Row],[Resource]],res_Name,0)),0))</f>
        <v>0</v>
      </c>
      <c r="BR9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4" s="46" t="n">
        <f aca="false">IF(NOT(Tasks[[#This Row],[_IsLeaf]]=1),0,MAX(_xlfn.MAXIFS(Tasks[_Row],Tasks[Pred1 UID],Tasks[[#This Row],[UID]]),_xlfn.MAXIFS(Tasks[_Row],Tasks[Pred2 UID],Tasks[[#This Row],[UID]])))</f>
        <v>0</v>
      </c>
      <c r="BW9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4" s="48" t="str">
        <f aca="false">IF(NOT(Tasks[[#This Row],[_IsLeaf]]=1),"",MIN(ProjectFinish,IF(N(Tasks[[#This Row],[Deadline]])&gt;0,Tasks[[#This Row],[Deadline]],2958465),Tasks[[#This Row],[_SuccessorFinishLimit]]))</f>
        <v/>
      </c>
      <c r="BY9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4" s="47" t="b">
        <f aca="false">AND(Tasks[[#This Row],[_IsLeaf]]=1,Tasks[[#This Row],[_LeafProgress]]&lt;1,N(Tasks[[#This Row],[_LeafTotalSlack]])&lt;=CriticalSlackDays)</f>
        <v>0</v>
      </c>
      <c r="CB9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4" s="46" t="n">
        <f aca="false">IF(AND(Tasks[[#This Row],[_IsLeaf]]=1,Tasks[[#This Row],[_LeafWork]]&gt;0),NETWORKDAYS.INTL(ProjectStart,Tasks[[#This Row],[_LeafFcstStart]],WorkWeek,Holidays),0)</f>
        <v>0</v>
      </c>
      <c r="CK9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4" s="46" t="n">
        <f aca="false">IF(AND(Tasks[[#This Row],[_IsLeaf]]=1,Tasks[[#This Row],[_LeafWork]]&gt;0),Tasks[[#This Row],[_LeafWork]]/(Tasks[[#This Row],[_FinishWorkday]]-Tasks[[#This Row],[_StartWorkday]]+1),0)</f>
        <v>0</v>
      </c>
      <c r="CM94" s="46" t="n">
        <f aca="false">Tasks[[#This Row],[_WorkPerWorkday]]*(Tasks[[#This Row],[_StartWorkday]]-1)</f>
        <v>-0</v>
      </c>
      <c r="CN94" s="46" t="n">
        <f aca="false">IF(Tasks[[#This Row],[_IsLeaf]]=1,MAX(N(Tasks[[#This Row],[Duration]]),0.1),0)</f>
        <v>0</v>
      </c>
      <c r="CO94" s="46" t="n">
        <f aca="false">Tasks[[#This Row],[_WeightDur]]*Tasks[[#This Row],[_LeafProgress]]</f>
        <v>0</v>
      </c>
      <c r="CP9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39"/>
      <c r="E95" s="40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5" s="31"/>
      <c r="AF9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5" s="40"/>
      <c r="AI95" s="31"/>
      <c r="AJ9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5" s="40"/>
      <c r="AO95" s="24" t="str">
        <f aca="false">IF(Tasks[[#This Row],[Task Name]]="","",Tasks[[#This Row],[Forecast Start]])</f>
        <v/>
      </c>
      <c r="AP95" s="24" t="str">
        <f aca="false">IF(Tasks[[#This Row],[Task Name]]="","",Tasks[[#This Row],[Forecast Finish]])</f>
        <v/>
      </c>
      <c r="AQ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5" s="42" t="str">
        <f aca="false">IF(Tasks[[#This Row],[Task Name]]="","",Tasks[[#This Row],[Work]])</f>
        <v/>
      </c>
      <c r="AS95" s="43" t="str">
        <f aca="false">IF(Tasks[[#This Row],[Task Name]]="","",Tasks[[#This Row],[Cost]])</f>
        <v/>
      </c>
      <c r="AT95" s="29"/>
      <c r="AU95" s="29"/>
      <c r="AV95" s="39"/>
      <c r="AW95" s="44"/>
      <c r="AX95" s="45"/>
      <c r="AY95" s="38" t="str">
        <f aca="false">IF(OR(Tasks[[#This Row],[Task Name]]="",Tasks[[#This Row],[Baseline Duration]]=""),"",Tasks[[#This Row],[BL Source Duration]]-N(Tasks[[#This Row],[Baseline Duration]]))</f>
        <v/>
      </c>
      <c r="AZ95" s="42" t="str">
        <f aca="false">IF(OR(Tasks[[#This Row],[Task Name]]="",Tasks[[#This Row],[Baseline Work]]=""),"",Tasks[[#This Row],[Work]]-N(Tasks[[#This Row],[Baseline Work]]))</f>
        <v/>
      </c>
      <c r="BA95" s="43" t="str">
        <f aca="false">IF(OR(Tasks[[#This Row],[Task Name]]="",Tasks[[#This Row],[Baseline Cost]]=""),"",Tasks[[#This Row],[Cost]]-N(Tasks[[#This Row],[Baseline Cost]]))</f>
        <v/>
      </c>
      <c r="BB95" s="46" t="str">
        <f aca="false">IF(Tasks[[#This Row],[Task Name]]="","",MAX(1,N(Tasks[[#This Row],[Level]])))</f>
        <v/>
      </c>
      <c r="BC95" s="46" t="n">
        <f aca="false">ROW()-ROW(Tasks[[#Headers],[ID]])</f>
        <v>90</v>
      </c>
      <c r="BD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5" s="46" t="n">
        <f aca="false">IFERROR(N(INDEX(Tasks[_Level],Tasks[[#This Row],[_Row]]+1)),0)</f>
        <v>0</v>
      </c>
      <c r="BF95" s="47" t="b">
        <f aca="false">AND(Tasks[[#This Row],[Task Name]]&lt;&gt;"",Tasks[[#This Row],[_NextLevel]]&gt;Tasks[[#This Row],[_Level]])</f>
        <v>0</v>
      </c>
      <c r="BG95" s="46" t="n">
        <f aca="false">IF(Tasks[[#This Row],[_IsSummary]],COUNTIF(Tasks[WBS],Tasks[[#This Row],[WBS]]&amp;".*"),0)</f>
        <v>0</v>
      </c>
      <c r="BH95" s="46" t="n">
        <f aca="false">IF(AND(Tasks[[#This Row],[Task Name]]&lt;&gt;"",NOT(Tasks[[#This Row],[_IsSummary]])),1,0)</f>
        <v>0</v>
      </c>
      <c r="BI95" s="46" t="n">
        <f aca="false">IF(N(Tasks[[#This Row],[Pred1 UID]])=0,0,IFERROR(MATCH(Tasks[[#This Row],[Pred1 UID]],Tasks[UID],0),-1))</f>
        <v>0</v>
      </c>
      <c r="BJ95" s="46" t="n">
        <f aca="false">IF(N(Tasks[[#This Row],[Pred2 UID]])=0,0,IFERROR(MATCH(Tasks[[#This Row],[Pred2 UID]],Tasks[UID],0),-1))</f>
        <v>0</v>
      </c>
      <c r="BK9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5" s="46" t="n">
        <f aca="false">IF(NOT(Tasks[[#This Row],[_IsLeaf]]=1),0,IF(N(Tasks[[#This Row],[Actual Finish]])&gt;0,1,MIN(1,N(Tasks[[#This Row],[% Complete]]))))</f>
        <v>0</v>
      </c>
      <c r="BP9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5" s="46" t="n">
        <f aca="false">IF(Tasks[[#This Row],[_LeafWork]]=0,0,Tasks[[#This Row],[_LeafWork]]*IFERROR(INDEX(res_Rate,MATCH(Tasks[[#This Row],[Resource]],res_Name,0)),0))</f>
        <v>0</v>
      </c>
      <c r="BR9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5" s="46" t="n">
        <f aca="false">IF(NOT(Tasks[[#This Row],[_IsLeaf]]=1),0,MAX(_xlfn.MAXIFS(Tasks[_Row],Tasks[Pred1 UID],Tasks[[#This Row],[UID]]),_xlfn.MAXIFS(Tasks[_Row],Tasks[Pred2 UID],Tasks[[#This Row],[UID]])))</f>
        <v>0</v>
      </c>
      <c r="BW9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5" s="48" t="str">
        <f aca="false">IF(NOT(Tasks[[#This Row],[_IsLeaf]]=1),"",MIN(ProjectFinish,IF(N(Tasks[[#This Row],[Deadline]])&gt;0,Tasks[[#This Row],[Deadline]],2958465),Tasks[[#This Row],[_SuccessorFinishLimit]]))</f>
        <v/>
      </c>
      <c r="BY9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5" s="47" t="b">
        <f aca="false">AND(Tasks[[#This Row],[_IsLeaf]]=1,Tasks[[#This Row],[_LeafProgress]]&lt;1,N(Tasks[[#This Row],[_LeafTotalSlack]])&lt;=CriticalSlackDays)</f>
        <v>0</v>
      </c>
      <c r="CB9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5" s="46" t="n">
        <f aca="false">IF(AND(Tasks[[#This Row],[_IsLeaf]]=1,Tasks[[#This Row],[_LeafWork]]&gt;0),NETWORKDAYS.INTL(ProjectStart,Tasks[[#This Row],[_LeafFcstStart]],WorkWeek,Holidays),0)</f>
        <v>0</v>
      </c>
      <c r="CK9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5" s="46" t="n">
        <f aca="false">IF(AND(Tasks[[#This Row],[_IsLeaf]]=1,Tasks[[#This Row],[_LeafWork]]&gt;0),Tasks[[#This Row],[_LeafWork]]/(Tasks[[#This Row],[_FinishWorkday]]-Tasks[[#This Row],[_StartWorkday]]+1),0)</f>
        <v>0</v>
      </c>
      <c r="CM95" s="46" t="n">
        <f aca="false">Tasks[[#This Row],[_WorkPerWorkday]]*(Tasks[[#This Row],[_StartWorkday]]-1)</f>
        <v>-0</v>
      </c>
      <c r="CN95" s="46" t="n">
        <f aca="false">IF(Tasks[[#This Row],[_IsLeaf]]=1,MAX(N(Tasks[[#This Row],[Duration]]),0.1),0)</f>
        <v>0</v>
      </c>
      <c r="CO95" s="46" t="n">
        <f aca="false">Tasks[[#This Row],[_WeightDur]]*Tasks[[#This Row],[_LeafProgress]]</f>
        <v>0</v>
      </c>
      <c r="CP9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39"/>
      <c r="E96" s="40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6" s="31"/>
      <c r="AF9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6" s="40"/>
      <c r="AI96" s="31"/>
      <c r="AJ9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6" s="40"/>
      <c r="AO96" s="24" t="str">
        <f aca="false">IF(Tasks[[#This Row],[Task Name]]="","",Tasks[[#This Row],[Forecast Start]])</f>
        <v/>
      </c>
      <c r="AP96" s="24" t="str">
        <f aca="false">IF(Tasks[[#This Row],[Task Name]]="","",Tasks[[#This Row],[Forecast Finish]])</f>
        <v/>
      </c>
      <c r="AQ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6" s="42" t="str">
        <f aca="false">IF(Tasks[[#This Row],[Task Name]]="","",Tasks[[#This Row],[Work]])</f>
        <v/>
      </c>
      <c r="AS96" s="43" t="str">
        <f aca="false">IF(Tasks[[#This Row],[Task Name]]="","",Tasks[[#This Row],[Cost]])</f>
        <v/>
      </c>
      <c r="AT96" s="29"/>
      <c r="AU96" s="29"/>
      <c r="AV96" s="39"/>
      <c r="AW96" s="44"/>
      <c r="AX96" s="45"/>
      <c r="AY96" s="38" t="str">
        <f aca="false">IF(OR(Tasks[[#This Row],[Task Name]]="",Tasks[[#This Row],[Baseline Duration]]=""),"",Tasks[[#This Row],[BL Source Duration]]-N(Tasks[[#This Row],[Baseline Duration]]))</f>
        <v/>
      </c>
      <c r="AZ96" s="42" t="str">
        <f aca="false">IF(OR(Tasks[[#This Row],[Task Name]]="",Tasks[[#This Row],[Baseline Work]]=""),"",Tasks[[#This Row],[Work]]-N(Tasks[[#This Row],[Baseline Work]]))</f>
        <v/>
      </c>
      <c r="BA96" s="43" t="str">
        <f aca="false">IF(OR(Tasks[[#This Row],[Task Name]]="",Tasks[[#This Row],[Baseline Cost]]=""),"",Tasks[[#This Row],[Cost]]-N(Tasks[[#This Row],[Baseline Cost]]))</f>
        <v/>
      </c>
      <c r="BB96" s="46" t="str">
        <f aca="false">IF(Tasks[[#This Row],[Task Name]]="","",MAX(1,N(Tasks[[#This Row],[Level]])))</f>
        <v/>
      </c>
      <c r="BC96" s="46" t="n">
        <f aca="false">ROW()-ROW(Tasks[[#Headers],[ID]])</f>
        <v>91</v>
      </c>
      <c r="BD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6" s="46" t="n">
        <f aca="false">IFERROR(N(INDEX(Tasks[_Level],Tasks[[#This Row],[_Row]]+1)),0)</f>
        <v>0</v>
      </c>
      <c r="BF96" s="47" t="b">
        <f aca="false">AND(Tasks[[#This Row],[Task Name]]&lt;&gt;"",Tasks[[#This Row],[_NextLevel]]&gt;Tasks[[#This Row],[_Level]])</f>
        <v>0</v>
      </c>
      <c r="BG96" s="46" t="n">
        <f aca="false">IF(Tasks[[#This Row],[_IsSummary]],COUNTIF(Tasks[WBS],Tasks[[#This Row],[WBS]]&amp;".*"),0)</f>
        <v>0</v>
      </c>
      <c r="BH96" s="46" t="n">
        <f aca="false">IF(AND(Tasks[[#This Row],[Task Name]]&lt;&gt;"",NOT(Tasks[[#This Row],[_IsSummary]])),1,0)</f>
        <v>0</v>
      </c>
      <c r="BI96" s="46" t="n">
        <f aca="false">IF(N(Tasks[[#This Row],[Pred1 UID]])=0,0,IFERROR(MATCH(Tasks[[#This Row],[Pred1 UID]],Tasks[UID],0),-1))</f>
        <v>0</v>
      </c>
      <c r="BJ96" s="46" t="n">
        <f aca="false">IF(N(Tasks[[#This Row],[Pred2 UID]])=0,0,IFERROR(MATCH(Tasks[[#This Row],[Pred2 UID]],Tasks[UID],0),-1))</f>
        <v>0</v>
      </c>
      <c r="BK9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6" s="46" t="n">
        <f aca="false">IF(NOT(Tasks[[#This Row],[_IsLeaf]]=1),0,IF(N(Tasks[[#This Row],[Actual Finish]])&gt;0,1,MIN(1,N(Tasks[[#This Row],[% Complete]]))))</f>
        <v>0</v>
      </c>
      <c r="BP9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6" s="46" t="n">
        <f aca="false">IF(Tasks[[#This Row],[_LeafWork]]=0,0,Tasks[[#This Row],[_LeafWork]]*IFERROR(INDEX(res_Rate,MATCH(Tasks[[#This Row],[Resource]],res_Name,0)),0))</f>
        <v>0</v>
      </c>
      <c r="BR9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6" s="46" t="n">
        <f aca="false">IF(NOT(Tasks[[#This Row],[_IsLeaf]]=1),0,MAX(_xlfn.MAXIFS(Tasks[_Row],Tasks[Pred1 UID],Tasks[[#This Row],[UID]]),_xlfn.MAXIFS(Tasks[_Row],Tasks[Pred2 UID],Tasks[[#This Row],[UID]])))</f>
        <v>0</v>
      </c>
      <c r="BW9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6" s="48" t="str">
        <f aca="false">IF(NOT(Tasks[[#This Row],[_IsLeaf]]=1),"",MIN(ProjectFinish,IF(N(Tasks[[#This Row],[Deadline]])&gt;0,Tasks[[#This Row],[Deadline]],2958465),Tasks[[#This Row],[_SuccessorFinishLimit]]))</f>
        <v/>
      </c>
      <c r="BY9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6" s="47" t="b">
        <f aca="false">AND(Tasks[[#This Row],[_IsLeaf]]=1,Tasks[[#This Row],[_LeafProgress]]&lt;1,N(Tasks[[#This Row],[_LeafTotalSlack]])&lt;=CriticalSlackDays)</f>
        <v>0</v>
      </c>
      <c r="CB9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6" s="46" t="n">
        <f aca="false">IF(AND(Tasks[[#This Row],[_IsLeaf]]=1,Tasks[[#This Row],[_LeafWork]]&gt;0),NETWORKDAYS.INTL(ProjectStart,Tasks[[#This Row],[_LeafFcstStart]],WorkWeek,Holidays),0)</f>
        <v>0</v>
      </c>
      <c r="CK9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6" s="46" t="n">
        <f aca="false">IF(AND(Tasks[[#This Row],[_IsLeaf]]=1,Tasks[[#This Row],[_LeafWork]]&gt;0),Tasks[[#This Row],[_LeafWork]]/(Tasks[[#This Row],[_FinishWorkday]]-Tasks[[#This Row],[_StartWorkday]]+1),0)</f>
        <v>0</v>
      </c>
      <c r="CM96" s="46" t="n">
        <f aca="false">Tasks[[#This Row],[_WorkPerWorkday]]*(Tasks[[#This Row],[_StartWorkday]]-1)</f>
        <v>-0</v>
      </c>
      <c r="CN96" s="46" t="n">
        <f aca="false">IF(Tasks[[#This Row],[_IsLeaf]]=1,MAX(N(Tasks[[#This Row],[Duration]]),0.1),0)</f>
        <v>0</v>
      </c>
      <c r="CO96" s="46" t="n">
        <f aca="false">Tasks[[#This Row],[_WeightDur]]*Tasks[[#This Row],[_LeafProgress]]</f>
        <v>0</v>
      </c>
      <c r="CP9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39"/>
      <c r="E97" s="40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7" s="31"/>
      <c r="AF9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7" s="40"/>
      <c r="AI97" s="31"/>
      <c r="AJ9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7" s="40"/>
      <c r="AO97" s="24" t="str">
        <f aca="false">IF(Tasks[[#This Row],[Task Name]]="","",Tasks[[#This Row],[Forecast Start]])</f>
        <v/>
      </c>
      <c r="AP97" s="24" t="str">
        <f aca="false">IF(Tasks[[#This Row],[Task Name]]="","",Tasks[[#This Row],[Forecast Finish]])</f>
        <v/>
      </c>
      <c r="AQ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7" s="42" t="str">
        <f aca="false">IF(Tasks[[#This Row],[Task Name]]="","",Tasks[[#This Row],[Work]])</f>
        <v/>
      </c>
      <c r="AS97" s="43" t="str">
        <f aca="false">IF(Tasks[[#This Row],[Task Name]]="","",Tasks[[#This Row],[Cost]])</f>
        <v/>
      </c>
      <c r="AT97" s="29"/>
      <c r="AU97" s="29"/>
      <c r="AV97" s="39"/>
      <c r="AW97" s="44"/>
      <c r="AX97" s="45"/>
      <c r="AY97" s="38" t="str">
        <f aca="false">IF(OR(Tasks[[#This Row],[Task Name]]="",Tasks[[#This Row],[Baseline Duration]]=""),"",Tasks[[#This Row],[BL Source Duration]]-N(Tasks[[#This Row],[Baseline Duration]]))</f>
        <v/>
      </c>
      <c r="AZ97" s="42" t="str">
        <f aca="false">IF(OR(Tasks[[#This Row],[Task Name]]="",Tasks[[#This Row],[Baseline Work]]=""),"",Tasks[[#This Row],[Work]]-N(Tasks[[#This Row],[Baseline Work]]))</f>
        <v/>
      </c>
      <c r="BA97" s="43" t="str">
        <f aca="false">IF(OR(Tasks[[#This Row],[Task Name]]="",Tasks[[#This Row],[Baseline Cost]]=""),"",Tasks[[#This Row],[Cost]]-N(Tasks[[#This Row],[Baseline Cost]]))</f>
        <v/>
      </c>
      <c r="BB97" s="46" t="str">
        <f aca="false">IF(Tasks[[#This Row],[Task Name]]="","",MAX(1,N(Tasks[[#This Row],[Level]])))</f>
        <v/>
      </c>
      <c r="BC97" s="46" t="n">
        <f aca="false">ROW()-ROW(Tasks[[#Headers],[ID]])</f>
        <v>92</v>
      </c>
      <c r="BD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7" s="46" t="n">
        <f aca="false">IFERROR(N(INDEX(Tasks[_Level],Tasks[[#This Row],[_Row]]+1)),0)</f>
        <v>0</v>
      </c>
      <c r="BF97" s="47" t="b">
        <f aca="false">AND(Tasks[[#This Row],[Task Name]]&lt;&gt;"",Tasks[[#This Row],[_NextLevel]]&gt;Tasks[[#This Row],[_Level]])</f>
        <v>0</v>
      </c>
      <c r="BG97" s="46" t="n">
        <f aca="false">IF(Tasks[[#This Row],[_IsSummary]],COUNTIF(Tasks[WBS],Tasks[[#This Row],[WBS]]&amp;".*"),0)</f>
        <v>0</v>
      </c>
      <c r="BH97" s="46" t="n">
        <f aca="false">IF(AND(Tasks[[#This Row],[Task Name]]&lt;&gt;"",NOT(Tasks[[#This Row],[_IsSummary]])),1,0)</f>
        <v>0</v>
      </c>
      <c r="BI97" s="46" t="n">
        <f aca="false">IF(N(Tasks[[#This Row],[Pred1 UID]])=0,0,IFERROR(MATCH(Tasks[[#This Row],[Pred1 UID]],Tasks[UID],0),-1))</f>
        <v>0</v>
      </c>
      <c r="BJ97" s="46" t="n">
        <f aca="false">IF(N(Tasks[[#This Row],[Pred2 UID]])=0,0,IFERROR(MATCH(Tasks[[#This Row],[Pred2 UID]],Tasks[UID],0),-1))</f>
        <v>0</v>
      </c>
      <c r="BK9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7" s="46" t="n">
        <f aca="false">IF(NOT(Tasks[[#This Row],[_IsLeaf]]=1),0,IF(N(Tasks[[#This Row],[Actual Finish]])&gt;0,1,MIN(1,N(Tasks[[#This Row],[% Complete]]))))</f>
        <v>0</v>
      </c>
      <c r="BP9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7" s="46" t="n">
        <f aca="false">IF(Tasks[[#This Row],[_LeafWork]]=0,0,Tasks[[#This Row],[_LeafWork]]*IFERROR(INDEX(res_Rate,MATCH(Tasks[[#This Row],[Resource]],res_Name,0)),0))</f>
        <v>0</v>
      </c>
      <c r="BR9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7" s="46" t="n">
        <f aca="false">IF(NOT(Tasks[[#This Row],[_IsLeaf]]=1),0,MAX(_xlfn.MAXIFS(Tasks[_Row],Tasks[Pred1 UID],Tasks[[#This Row],[UID]]),_xlfn.MAXIFS(Tasks[_Row],Tasks[Pred2 UID],Tasks[[#This Row],[UID]])))</f>
        <v>0</v>
      </c>
      <c r="BW9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7" s="48" t="str">
        <f aca="false">IF(NOT(Tasks[[#This Row],[_IsLeaf]]=1),"",MIN(ProjectFinish,IF(N(Tasks[[#This Row],[Deadline]])&gt;0,Tasks[[#This Row],[Deadline]],2958465),Tasks[[#This Row],[_SuccessorFinishLimit]]))</f>
        <v/>
      </c>
      <c r="BY9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7" s="47" t="b">
        <f aca="false">AND(Tasks[[#This Row],[_IsLeaf]]=1,Tasks[[#This Row],[_LeafProgress]]&lt;1,N(Tasks[[#This Row],[_LeafTotalSlack]])&lt;=CriticalSlackDays)</f>
        <v>0</v>
      </c>
      <c r="CB9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7" s="46" t="n">
        <f aca="false">IF(AND(Tasks[[#This Row],[_IsLeaf]]=1,Tasks[[#This Row],[_LeafWork]]&gt;0),NETWORKDAYS.INTL(ProjectStart,Tasks[[#This Row],[_LeafFcstStart]],WorkWeek,Holidays),0)</f>
        <v>0</v>
      </c>
      <c r="CK9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7" s="46" t="n">
        <f aca="false">IF(AND(Tasks[[#This Row],[_IsLeaf]]=1,Tasks[[#This Row],[_LeafWork]]&gt;0),Tasks[[#This Row],[_LeafWork]]/(Tasks[[#This Row],[_FinishWorkday]]-Tasks[[#This Row],[_StartWorkday]]+1),0)</f>
        <v>0</v>
      </c>
      <c r="CM97" s="46" t="n">
        <f aca="false">Tasks[[#This Row],[_WorkPerWorkday]]*(Tasks[[#This Row],[_StartWorkday]]-1)</f>
        <v>-0</v>
      </c>
      <c r="CN97" s="46" t="n">
        <f aca="false">IF(Tasks[[#This Row],[_IsLeaf]]=1,MAX(N(Tasks[[#This Row],[Duration]]),0.1),0)</f>
        <v>0</v>
      </c>
      <c r="CO97" s="46" t="n">
        <f aca="false">Tasks[[#This Row],[_WeightDur]]*Tasks[[#This Row],[_LeafProgress]]</f>
        <v>0</v>
      </c>
      <c r="CP9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39"/>
      <c r="E98" s="40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8" s="31"/>
      <c r="AF9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8" s="40"/>
      <c r="AI98" s="31"/>
      <c r="AJ9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8" s="40"/>
      <c r="AO98" s="24" t="str">
        <f aca="false">IF(Tasks[[#This Row],[Task Name]]="","",Tasks[[#This Row],[Forecast Start]])</f>
        <v/>
      </c>
      <c r="AP98" s="24" t="str">
        <f aca="false">IF(Tasks[[#This Row],[Task Name]]="","",Tasks[[#This Row],[Forecast Finish]])</f>
        <v/>
      </c>
      <c r="AQ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8" s="42" t="str">
        <f aca="false">IF(Tasks[[#This Row],[Task Name]]="","",Tasks[[#This Row],[Work]])</f>
        <v/>
      </c>
      <c r="AS98" s="43" t="str">
        <f aca="false">IF(Tasks[[#This Row],[Task Name]]="","",Tasks[[#This Row],[Cost]])</f>
        <v/>
      </c>
      <c r="AT98" s="29"/>
      <c r="AU98" s="29"/>
      <c r="AV98" s="39"/>
      <c r="AW98" s="44"/>
      <c r="AX98" s="45"/>
      <c r="AY98" s="38" t="str">
        <f aca="false">IF(OR(Tasks[[#This Row],[Task Name]]="",Tasks[[#This Row],[Baseline Duration]]=""),"",Tasks[[#This Row],[BL Source Duration]]-N(Tasks[[#This Row],[Baseline Duration]]))</f>
        <v/>
      </c>
      <c r="AZ98" s="42" t="str">
        <f aca="false">IF(OR(Tasks[[#This Row],[Task Name]]="",Tasks[[#This Row],[Baseline Work]]=""),"",Tasks[[#This Row],[Work]]-N(Tasks[[#This Row],[Baseline Work]]))</f>
        <v/>
      </c>
      <c r="BA98" s="43" t="str">
        <f aca="false">IF(OR(Tasks[[#This Row],[Task Name]]="",Tasks[[#This Row],[Baseline Cost]]=""),"",Tasks[[#This Row],[Cost]]-N(Tasks[[#This Row],[Baseline Cost]]))</f>
        <v/>
      </c>
      <c r="BB98" s="46" t="str">
        <f aca="false">IF(Tasks[[#This Row],[Task Name]]="","",MAX(1,N(Tasks[[#This Row],[Level]])))</f>
        <v/>
      </c>
      <c r="BC98" s="46" t="n">
        <f aca="false">ROW()-ROW(Tasks[[#Headers],[ID]])</f>
        <v>93</v>
      </c>
      <c r="BD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8" s="46" t="n">
        <f aca="false">IFERROR(N(INDEX(Tasks[_Level],Tasks[[#This Row],[_Row]]+1)),0)</f>
        <v>0</v>
      </c>
      <c r="BF98" s="47" t="b">
        <f aca="false">AND(Tasks[[#This Row],[Task Name]]&lt;&gt;"",Tasks[[#This Row],[_NextLevel]]&gt;Tasks[[#This Row],[_Level]])</f>
        <v>0</v>
      </c>
      <c r="BG98" s="46" t="n">
        <f aca="false">IF(Tasks[[#This Row],[_IsSummary]],COUNTIF(Tasks[WBS],Tasks[[#This Row],[WBS]]&amp;".*"),0)</f>
        <v>0</v>
      </c>
      <c r="BH98" s="46" t="n">
        <f aca="false">IF(AND(Tasks[[#This Row],[Task Name]]&lt;&gt;"",NOT(Tasks[[#This Row],[_IsSummary]])),1,0)</f>
        <v>0</v>
      </c>
      <c r="BI98" s="46" t="n">
        <f aca="false">IF(N(Tasks[[#This Row],[Pred1 UID]])=0,0,IFERROR(MATCH(Tasks[[#This Row],[Pred1 UID]],Tasks[UID],0),-1))</f>
        <v>0</v>
      </c>
      <c r="BJ98" s="46" t="n">
        <f aca="false">IF(N(Tasks[[#This Row],[Pred2 UID]])=0,0,IFERROR(MATCH(Tasks[[#This Row],[Pred2 UID]],Tasks[UID],0),-1))</f>
        <v>0</v>
      </c>
      <c r="BK9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8" s="46" t="n">
        <f aca="false">IF(NOT(Tasks[[#This Row],[_IsLeaf]]=1),0,IF(N(Tasks[[#This Row],[Actual Finish]])&gt;0,1,MIN(1,N(Tasks[[#This Row],[% Complete]]))))</f>
        <v>0</v>
      </c>
      <c r="BP9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8" s="46" t="n">
        <f aca="false">IF(Tasks[[#This Row],[_LeafWork]]=0,0,Tasks[[#This Row],[_LeafWork]]*IFERROR(INDEX(res_Rate,MATCH(Tasks[[#This Row],[Resource]],res_Name,0)),0))</f>
        <v>0</v>
      </c>
      <c r="BR9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8" s="46" t="n">
        <f aca="false">IF(NOT(Tasks[[#This Row],[_IsLeaf]]=1),0,MAX(_xlfn.MAXIFS(Tasks[_Row],Tasks[Pred1 UID],Tasks[[#This Row],[UID]]),_xlfn.MAXIFS(Tasks[_Row],Tasks[Pred2 UID],Tasks[[#This Row],[UID]])))</f>
        <v>0</v>
      </c>
      <c r="BW9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8" s="48" t="str">
        <f aca="false">IF(NOT(Tasks[[#This Row],[_IsLeaf]]=1),"",MIN(ProjectFinish,IF(N(Tasks[[#This Row],[Deadline]])&gt;0,Tasks[[#This Row],[Deadline]],2958465),Tasks[[#This Row],[_SuccessorFinishLimit]]))</f>
        <v/>
      </c>
      <c r="BY9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8" s="47" t="b">
        <f aca="false">AND(Tasks[[#This Row],[_IsLeaf]]=1,Tasks[[#This Row],[_LeafProgress]]&lt;1,N(Tasks[[#This Row],[_LeafTotalSlack]])&lt;=CriticalSlackDays)</f>
        <v>0</v>
      </c>
      <c r="CB9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8" s="46" t="n">
        <f aca="false">IF(AND(Tasks[[#This Row],[_IsLeaf]]=1,Tasks[[#This Row],[_LeafWork]]&gt;0),NETWORKDAYS.INTL(ProjectStart,Tasks[[#This Row],[_LeafFcstStart]],WorkWeek,Holidays),0)</f>
        <v>0</v>
      </c>
      <c r="CK9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8" s="46" t="n">
        <f aca="false">IF(AND(Tasks[[#This Row],[_IsLeaf]]=1,Tasks[[#This Row],[_LeafWork]]&gt;0),Tasks[[#This Row],[_LeafWork]]/(Tasks[[#This Row],[_FinishWorkday]]-Tasks[[#This Row],[_StartWorkday]]+1),0)</f>
        <v>0</v>
      </c>
      <c r="CM98" s="46" t="n">
        <f aca="false">Tasks[[#This Row],[_WorkPerWorkday]]*(Tasks[[#This Row],[_StartWorkday]]-1)</f>
        <v>-0</v>
      </c>
      <c r="CN98" s="46" t="n">
        <f aca="false">IF(Tasks[[#This Row],[_IsLeaf]]=1,MAX(N(Tasks[[#This Row],[Duration]]),0.1),0)</f>
        <v>0</v>
      </c>
      <c r="CO98" s="46" t="n">
        <f aca="false">Tasks[[#This Row],[_WeightDur]]*Tasks[[#This Row],[_LeafProgress]]</f>
        <v>0</v>
      </c>
      <c r="CP9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39"/>
      <c r="E99" s="40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9" s="31"/>
      <c r="AF9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9" s="40"/>
      <c r="AI99" s="31"/>
      <c r="AJ9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9" s="40"/>
      <c r="AO99" s="24" t="str">
        <f aca="false">IF(Tasks[[#This Row],[Task Name]]="","",Tasks[[#This Row],[Forecast Start]])</f>
        <v/>
      </c>
      <c r="AP99" s="24" t="str">
        <f aca="false">IF(Tasks[[#This Row],[Task Name]]="","",Tasks[[#This Row],[Forecast Finish]])</f>
        <v/>
      </c>
      <c r="AQ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9" s="42" t="str">
        <f aca="false">IF(Tasks[[#This Row],[Task Name]]="","",Tasks[[#This Row],[Work]])</f>
        <v/>
      </c>
      <c r="AS99" s="43" t="str">
        <f aca="false">IF(Tasks[[#This Row],[Task Name]]="","",Tasks[[#This Row],[Cost]])</f>
        <v/>
      </c>
      <c r="AT99" s="29"/>
      <c r="AU99" s="29"/>
      <c r="AV99" s="39"/>
      <c r="AW99" s="44"/>
      <c r="AX99" s="45"/>
      <c r="AY99" s="38" t="str">
        <f aca="false">IF(OR(Tasks[[#This Row],[Task Name]]="",Tasks[[#This Row],[Baseline Duration]]=""),"",Tasks[[#This Row],[BL Source Duration]]-N(Tasks[[#This Row],[Baseline Duration]]))</f>
        <v/>
      </c>
      <c r="AZ99" s="42" t="str">
        <f aca="false">IF(OR(Tasks[[#This Row],[Task Name]]="",Tasks[[#This Row],[Baseline Work]]=""),"",Tasks[[#This Row],[Work]]-N(Tasks[[#This Row],[Baseline Work]]))</f>
        <v/>
      </c>
      <c r="BA99" s="43" t="str">
        <f aca="false">IF(OR(Tasks[[#This Row],[Task Name]]="",Tasks[[#This Row],[Baseline Cost]]=""),"",Tasks[[#This Row],[Cost]]-N(Tasks[[#This Row],[Baseline Cost]]))</f>
        <v/>
      </c>
      <c r="BB99" s="46" t="str">
        <f aca="false">IF(Tasks[[#This Row],[Task Name]]="","",MAX(1,N(Tasks[[#This Row],[Level]])))</f>
        <v/>
      </c>
      <c r="BC99" s="46" t="n">
        <f aca="false">ROW()-ROW(Tasks[[#Headers],[ID]])</f>
        <v>94</v>
      </c>
      <c r="BD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9" s="46" t="n">
        <f aca="false">IFERROR(N(INDEX(Tasks[_Level],Tasks[[#This Row],[_Row]]+1)),0)</f>
        <v>0</v>
      </c>
      <c r="BF99" s="47" t="b">
        <f aca="false">AND(Tasks[[#This Row],[Task Name]]&lt;&gt;"",Tasks[[#This Row],[_NextLevel]]&gt;Tasks[[#This Row],[_Level]])</f>
        <v>0</v>
      </c>
      <c r="BG99" s="46" t="n">
        <f aca="false">IF(Tasks[[#This Row],[_IsSummary]],COUNTIF(Tasks[WBS],Tasks[[#This Row],[WBS]]&amp;".*"),0)</f>
        <v>0</v>
      </c>
      <c r="BH99" s="46" t="n">
        <f aca="false">IF(AND(Tasks[[#This Row],[Task Name]]&lt;&gt;"",NOT(Tasks[[#This Row],[_IsSummary]])),1,0)</f>
        <v>0</v>
      </c>
      <c r="BI99" s="46" t="n">
        <f aca="false">IF(N(Tasks[[#This Row],[Pred1 UID]])=0,0,IFERROR(MATCH(Tasks[[#This Row],[Pred1 UID]],Tasks[UID],0),-1))</f>
        <v>0</v>
      </c>
      <c r="BJ99" s="46" t="n">
        <f aca="false">IF(N(Tasks[[#This Row],[Pred2 UID]])=0,0,IFERROR(MATCH(Tasks[[#This Row],[Pred2 UID]],Tasks[UID],0),-1))</f>
        <v>0</v>
      </c>
      <c r="BK9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9" s="46" t="n">
        <f aca="false">IF(NOT(Tasks[[#This Row],[_IsLeaf]]=1),0,IF(N(Tasks[[#This Row],[Actual Finish]])&gt;0,1,MIN(1,N(Tasks[[#This Row],[% Complete]]))))</f>
        <v>0</v>
      </c>
      <c r="BP9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99" s="46" t="n">
        <f aca="false">IF(Tasks[[#This Row],[_LeafWork]]=0,0,Tasks[[#This Row],[_LeafWork]]*IFERROR(INDEX(res_Rate,MATCH(Tasks[[#This Row],[Resource]],res_Name,0)),0))</f>
        <v>0</v>
      </c>
      <c r="BR9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9" s="46" t="n">
        <f aca="false">IF(NOT(Tasks[[#This Row],[_IsLeaf]]=1),0,MAX(_xlfn.MAXIFS(Tasks[_Row],Tasks[Pred1 UID],Tasks[[#This Row],[UID]]),_xlfn.MAXIFS(Tasks[_Row],Tasks[Pred2 UID],Tasks[[#This Row],[UID]])))</f>
        <v>0</v>
      </c>
      <c r="BW9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9" s="48" t="str">
        <f aca="false">IF(NOT(Tasks[[#This Row],[_IsLeaf]]=1),"",MIN(ProjectFinish,IF(N(Tasks[[#This Row],[Deadline]])&gt;0,Tasks[[#This Row],[Deadline]],2958465),Tasks[[#This Row],[_SuccessorFinishLimit]]))</f>
        <v/>
      </c>
      <c r="BY9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9" s="47" t="b">
        <f aca="false">AND(Tasks[[#This Row],[_IsLeaf]]=1,Tasks[[#This Row],[_LeafProgress]]&lt;1,N(Tasks[[#This Row],[_LeafTotalSlack]])&lt;=CriticalSlackDays)</f>
        <v>0</v>
      </c>
      <c r="CB9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9" s="46" t="n">
        <f aca="false">IF(AND(Tasks[[#This Row],[_IsLeaf]]=1,Tasks[[#This Row],[_LeafWork]]&gt;0),NETWORKDAYS.INTL(ProjectStart,Tasks[[#This Row],[_LeafFcstStart]],WorkWeek,Holidays),0)</f>
        <v>0</v>
      </c>
      <c r="CK9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9" s="46" t="n">
        <f aca="false">IF(AND(Tasks[[#This Row],[_IsLeaf]]=1,Tasks[[#This Row],[_LeafWork]]&gt;0),Tasks[[#This Row],[_LeafWork]]/(Tasks[[#This Row],[_FinishWorkday]]-Tasks[[#This Row],[_StartWorkday]]+1),0)</f>
        <v>0</v>
      </c>
      <c r="CM99" s="46" t="n">
        <f aca="false">Tasks[[#This Row],[_WorkPerWorkday]]*(Tasks[[#This Row],[_StartWorkday]]-1)</f>
        <v>-0</v>
      </c>
      <c r="CN99" s="46" t="n">
        <f aca="false">IF(Tasks[[#This Row],[_IsLeaf]]=1,MAX(N(Tasks[[#This Row],[Duration]]),0.1),0)</f>
        <v>0</v>
      </c>
      <c r="CO99" s="46" t="n">
        <f aca="false">Tasks[[#This Row],[_WeightDur]]*Tasks[[#This Row],[_LeafProgress]]</f>
        <v>0</v>
      </c>
      <c r="CP9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39"/>
      <c r="E100" s="40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0" s="31"/>
      <c r="AF10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0" s="40"/>
      <c r="AI100" s="31"/>
      <c r="AJ10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0" s="40"/>
      <c r="AO100" s="24" t="str">
        <f aca="false">IF(Tasks[[#This Row],[Task Name]]="","",Tasks[[#This Row],[Forecast Start]])</f>
        <v/>
      </c>
      <c r="AP100" s="24" t="str">
        <f aca="false">IF(Tasks[[#This Row],[Task Name]]="","",Tasks[[#This Row],[Forecast Finish]])</f>
        <v/>
      </c>
      <c r="AQ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0" s="42" t="str">
        <f aca="false">IF(Tasks[[#This Row],[Task Name]]="","",Tasks[[#This Row],[Work]])</f>
        <v/>
      </c>
      <c r="AS100" s="43" t="str">
        <f aca="false">IF(Tasks[[#This Row],[Task Name]]="","",Tasks[[#This Row],[Cost]])</f>
        <v/>
      </c>
      <c r="AT100" s="29"/>
      <c r="AU100" s="29"/>
      <c r="AV100" s="39"/>
      <c r="AW100" s="44"/>
      <c r="AX100" s="45"/>
      <c r="AY100" s="38" t="str">
        <f aca="false">IF(OR(Tasks[[#This Row],[Task Name]]="",Tasks[[#This Row],[Baseline Duration]]=""),"",Tasks[[#This Row],[BL Source Duration]]-N(Tasks[[#This Row],[Baseline Duration]]))</f>
        <v/>
      </c>
      <c r="AZ100" s="42" t="str">
        <f aca="false">IF(OR(Tasks[[#This Row],[Task Name]]="",Tasks[[#This Row],[Baseline Work]]=""),"",Tasks[[#This Row],[Work]]-N(Tasks[[#This Row],[Baseline Work]]))</f>
        <v/>
      </c>
      <c r="BA100" s="43" t="str">
        <f aca="false">IF(OR(Tasks[[#This Row],[Task Name]]="",Tasks[[#This Row],[Baseline Cost]]=""),"",Tasks[[#This Row],[Cost]]-N(Tasks[[#This Row],[Baseline Cost]]))</f>
        <v/>
      </c>
      <c r="BB100" s="46" t="str">
        <f aca="false">IF(Tasks[[#This Row],[Task Name]]="","",MAX(1,N(Tasks[[#This Row],[Level]])))</f>
        <v/>
      </c>
      <c r="BC100" s="46" t="n">
        <f aca="false">ROW()-ROW(Tasks[[#Headers],[ID]])</f>
        <v>95</v>
      </c>
      <c r="BD1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0" s="46" t="n">
        <f aca="false">IFERROR(N(INDEX(Tasks[_Level],Tasks[[#This Row],[_Row]]+1)),0)</f>
        <v>0</v>
      </c>
      <c r="BF100" s="47" t="b">
        <f aca="false">AND(Tasks[[#This Row],[Task Name]]&lt;&gt;"",Tasks[[#This Row],[_NextLevel]]&gt;Tasks[[#This Row],[_Level]])</f>
        <v>0</v>
      </c>
      <c r="BG100" s="46" t="n">
        <f aca="false">IF(Tasks[[#This Row],[_IsSummary]],COUNTIF(Tasks[WBS],Tasks[[#This Row],[WBS]]&amp;".*"),0)</f>
        <v>0</v>
      </c>
      <c r="BH100" s="46" t="n">
        <f aca="false">IF(AND(Tasks[[#This Row],[Task Name]]&lt;&gt;"",NOT(Tasks[[#This Row],[_IsSummary]])),1,0)</f>
        <v>0</v>
      </c>
      <c r="BI100" s="46" t="n">
        <f aca="false">IF(N(Tasks[[#This Row],[Pred1 UID]])=0,0,IFERROR(MATCH(Tasks[[#This Row],[Pred1 UID]],Tasks[UID],0),-1))</f>
        <v>0</v>
      </c>
      <c r="BJ100" s="46" t="n">
        <f aca="false">IF(N(Tasks[[#This Row],[Pred2 UID]])=0,0,IFERROR(MATCH(Tasks[[#This Row],[Pred2 UID]],Tasks[UID],0),-1))</f>
        <v>0</v>
      </c>
      <c r="BK10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0" s="46" t="n">
        <f aca="false">IF(NOT(Tasks[[#This Row],[_IsLeaf]]=1),0,IF(N(Tasks[[#This Row],[Actual Finish]])&gt;0,1,MIN(1,N(Tasks[[#This Row],[% Complete]]))))</f>
        <v>0</v>
      </c>
      <c r="BP10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0" s="46" t="n">
        <f aca="false">IF(Tasks[[#This Row],[_LeafWork]]=0,0,Tasks[[#This Row],[_LeafWork]]*IFERROR(INDEX(res_Rate,MATCH(Tasks[[#This Row],[Resource]],res_Name,0)),0))</f>
        <v>0</v>
      </c>
      <c r="BR10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0" s="46" t="n">
        <f aca="false">IF(NOT(Tasks[[#This Row],[_IsLeaf]]=1),0,MAX(_xlfn.MAXIFS(Tasks[_Row],Tasks[Pred1 UID],Tasks[[#This Row],[UID]]),_xlfn.MAXIFS(Tasks[_Row],Tasks[Pred2 UID],Tasks[[#This Row],[UID]])))</f>
        <v>0</v>
      </c>
      <c r="BW10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0" s="48" t="str">
        <f aca="false">IF(NOT(Tasks[[#This Row],[_IsLeaf]]=1),"",MIN(ProjectFinish,IF(N(Tasks[[#This Row],[Deadline]])&gt;0,Tasks[[#This Row],[Deadline]],2958465),Tasks[[#This Row],[_SuccessorFinishLimit]]))</f>
        <v/>
      </c>
      <c r="BY10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0" s="47" t="b">
        <f aca="false">AND(Tasks[[#This Row],[_IsLeaf]]=1,Tasks[[#This Row],[_LeafProgress]]&lt;1,N(Tasks[[#This Row],[_LeafTotalSlack]])&lt;=CriticalSlackDays)</f>
        <v>0</v>
      </c>
      <c r="CB10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0" s="46" t="n">
        <f aca="false">IF(AND(Tasks[[#This Row],[_IsLeaf]]=1,Tasks[[#This Row],[_LeafWork]]&gt;0),NETWORKDAYS.INTL(ProjectStart,Tasks[[#This Row],[_LeafFcstStart]],WorkWeek,Holidays),0)</f>
        <v>0</v>
      </c>
      <c r="CK10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0" s="46" t="n">
        <f aca="false">IF(AND(Tasks[[#This Row],[_IsLeaf]]=1,Tasks[[#This Row],[_LeafWork]]&gt;0),Tasks[[#This Row],[_LeafWork]]/(Tasks[[#This Row],[_FinishWorkday]]-Tasks[[#This Row],[_StartWorkday]]+1),0)</f>
        <v>0</v>
      </c>
      <c r="CM100" s="46" t="n">
        <f aca="false">Tasks[[#This Row],[_WorkPerWorkday]]*(Tasks[[#This Row],[_StartWorkday]]-1)</f>
        <v>-0</v>
      </c>
      <c r="CN100" s="46" t="n">
        <f aca="false">IF(Tasks[[#This Row],[_IsLeaf]]=1,MAX(N(Tasks[[#This Row],[Duration]]),0.1),0)</f>
        <v>0</v>
      </c>
      <c r="CO100" s="46" t="n">
        <f aca="false">Tasks[[#This Row],[_WeightDur]]*Tasks[[#This Row],[_LeafProgress]]</f>
        <v>0</v>
      </c>
      <c r="CP10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39"/>
      <c r="E101" s="40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1" s="31"/>
      <c r="AF10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1" s="40"/>
      <c r="AI101" s="31"/>
      <c r="AJ10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1" s="40"/>
      <c r="AO101" s="24" t="str">
        <f aca="false">IF(Tasks[[#This Row],[Task Name]]="","",Tasks[[#This Row],[Forecast Start]])</f>
        <v/>
      </c>
      <c r="AP101" s="24" t="str">
        <f aca="false">IF(Tasks[[#This Row],[Task Name]]="","",Tasks[[#This Row],[Forecast Finish]])</f>
        <v/>
      </c>
      <c r="AQ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1" s="42" t="str">
        <f aca="false">IF(Tasks[[#This Row],[Task Name]]="","",Tasks[[#This Row],[Work]])</f>
        <v/>
      </c>
      <c r="AS101" s="43" t="str">
        <f aca="false">IF(Tasks[[#This Row],[Task Name]]="","",Tasks[[#This Row],[Cost]])</f>
        <v/>
      </c>
      <c r="AT101" s="29"/>
      <c r="AU101" s="29"/>
      <c r="AV101" s="39"/>
      <c r="AW101" s="44"/>
      <c r="AX101" s="45"/>
      <c r="AY101" s="38" t="str">
        <f aca="false">IF(OR(Tasks[[#This Row],[Task Name]]="",Tasks[[#This Row],[Baseline Duration]]=""),"",Tasks[[#This Row],[BL Source Duration]]-N(Tasks[[#This Row],[Baseline Duration]]))</f>
        <v/>
      </c>
      <c r="AZ101" s="42" t="str">
        <f aca="false">IF(OR(Tasks[[#This Row],[Task Name]]="",Tasks[[#This Row],[Baseline Work]]=""),"",Tasks[[#This Row],[Work]]-N(Tasks[[#This Row],[Baseline Work]]))</f>
        <v/>
      </c>
      <c r="BA101" s="43" t="str">
        <f aca="false">IF(OR(Tasks[[#This Row],[Task Name]]="",Tasks[[#This Row],[Baseline Cost]]=""),"",Tasks[[#This Row],[Cost]]-N(Tasks[[#This Row],[Baseline Cost]]))</f>
        <v/>
      </c>
      <c r="BB101" s="46" t="str">
        <f aca="false">IF(Tasks[[#This Row],[Task Name]]="","",MAX(1,N(Tasks[[#This Row],[Level]])))</f>
        <v/>
      </c>
      <c r="BC101" s="46" t="n">
        <f aca="false">ROW()-ROW(Tasks[[#Headers],[ID]])</f>
        <v>96</v>
      </c>
      <c r="BD1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1" s="46" t="n">
        <f aca="false">IFERROR(N(INDEX(Tasks[_Level],Tasks[[#This Row],[_Row]]+1)),0)</f>
        <v>0</v>
      </c>
      <c r="BF101" s="47" t="b">
        <f aca="false">AND(Tasks[[#This Row],[Task Name]]&lt;&gt;"",Tasks[[#This Row],[_NextLevel]]&gt;Tasks[[#This Row],[_Level]])</f>
        <v>0</v>
      </c>
      <c r="BG101" s="46" t="n">
        <f aca="false">IF(Tasks[[#This Row],[_IsSummary]],COUNTIF(Tasks[WBS],Tasks[[#This Row],[WBS]]&amp;".*"),0)</f>
        <v>0</v>
      </c>
      <c r="BH101" s="46" t="n">
        <f aca="false">IF(AND(Tasks[[#This Row],[Task Name]]&lt;&gt;"",NOT(Tasks[[#This Row],[_IsSummary]])),1,0)</f>
        <v>0</v>
      </c>
      <c r="BI101" s="46" t="n">
        <f aca="false">IF(N(Tasks[[#This Row],[Pred1 UID]])=0,0,IFERROR(MATCH(Tasks[[#This Row],[Pred1 UID]],Tasks[UID],0),-1))</f>
        <v>0</v>
      </c>
      <c r="BJ101" s="46" t="n">
        <f aca="false">IF(N(Tasks[[#This Row],[Pred2 UID]])=0,0,IFERROR(MATCH(Tasks[[#This Row],[Pred2 UID]],Tasks[UID],0),-1))</f>
        <v>0</v>
      </c>
      <c r="BK10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1" s="46" t="n">
        <f aca="false">IF(NOT(Tasks[[#This Row],[_IsLeaf]]=1),0,IF(N(Tasks[[#This Row],[Actual Finish]])&gt;0,1,MIN(1,N(Tasks[[#This Row],[% Complete]]))))</f>
        <v>0</v>
      </c>
      <c r="BP10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1" s="46" t="n">
        <f aca="false">IF(Tasks[[#This Row],[_LeafWork]]=0,0,Tasks[[#This Row],[_LeafWork]]*IFERROR(INDEX(res_Rate,MATCH(Tasks[[#This Row],[Resource]],res_Name,0)),0))</f>
        <v>0</v>
      </c>
      <c r="BR10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1" s="46" t="n">
        <f aca="false">IF(NOT(Tasks[[#This Row],[_IsLeaf]]=1),0,MAX(_xlfn.MAXIFS(Tasks[_Row],Tasks[Pred1 UID],Tasks[[#This Row],[UID]]),_xlfn.MAXIFS(Tasks[_Row],Tasks[Pred2 UID],Tasks[[#This Row],[UID]])))</f>
        <v>0</v>
      </c>
      <c r="BW10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1" s="48" t="str">
        <f aca="false">IF(NOT(Tasks[[#This Row],[_IsLeaf]]=1),"",MIN(ProjectFinish,IF(N(Tasks[[#This Row],[Deadline]])&gt;0,Tasks[[#This Row],[Deadline]],2958465),Tasks[[#This Row],[_SuccessorFinishLimit]]))</f>
        <v/>
      </c>
      <c r="BY10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1" s="47" t="b">
        <f aca="false">AND(Tasks[[#This Row],[_IsLeaf]]=1,Tasks[[#This Row],[_LeafProgress]]&lt;1,N(Tasks[[#This Row],[_LeafTotalSlack]])&lt;=CriticalSlackDays)</f>
        <v>0</v>
      </c>
      <c r="CB10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1" s="46" t="n">
        <f aca="false">IF(AND(Tasks[[#This Row],[_IsLeaf]]=1,Tasks[[#This Row],[_LeafWork]]&gt;0),NETWORKDAYS.INTL(ProjectStart,Tasks[[#This Row],[_LeafFcstStart]],WorkWeek,Holidays),0)</f>
        <v>0</v>
      </c>
      <c r="CK10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1" s="46" t="n">
        <f aca="false">IF(AND(Tasks[[#This Row],[_IsLeaf]]=1,Tasks[[#This Row],[_LeafWork]]&gt;0),Tasks[[#This Row],[_LeafWork]]/(Tasks[[#This Row],[_FinishWorkday]]-Tasks[[#This Row],[_StartWorkday]]+1),0)</f>
        <v>0</v>
      </c>
      <c r="CM101" s="46" t="n">
        <f aca="false">Tasks[[#This Row],[_WorkPerWorkday]]*(Tasks[[#This Row],[_StartWorkday]]-1)</f>
        <v>-0</v>
      </c>
      <c r="CN101" s="46" t="n">
        <f aca="false">IF(Tasks[[#This Row],[_IsLeaf]]=1,MAX(N(Tasks[[#This Row],[Duration]]),0.1),0)</f>
        <v>0</v>
      </c>
      <c r="CO101" s="46" t="n">
        <f aca="false">Tasks[[#This Row],[_WeightDur]]*Tasks[[#This Row],[_LeafProgress]]</f>
        <v>0</v>
      </c>
      <c r="CP10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39"/>
      <c r="E102" s="40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2" s="31"/>
      <c r="AF10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2" s="40"/>
      <c r="AI102" s="31"/>
      <c r="AJ10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2" s="40"/>
      <c r="AO102" s="24" t="str">
        <f aca="false">IF(Tasks[[#This Row],[Task Name]]="","",Tasks[[#This Row],[Forecast Start]])</f>
        <v/>
      </c>
      <c r="AP102" s="24" t="str">
        <f aca="false">IF(Tasks[[#This Row],[Task Name]]="","",Tasks[[#This Row],[Forecast Finish]])</f>
        <v/>
      </c>
      <c r="AQ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2" s="42" t="str">
        <f aca="false">IF(Tasks[[#This Row],[Task Name]]="","",Tasks[[#This Row],[Work]])</f>
        <v/>
      </c>
      <c r="AS102" s="43" t="str">
        <f aca="false">IF(Tasks[[#This Row],[Task Name]]="","",Tasks[[#This Row],[Cost]])</f>
        <v/>
      </c>
      <c r="AT102" s="29"/>
      <c r="AU102" s="29"/>
      <c r="AV102" s="39"/>
      <c r="AW102" s="44"/>
      <c r="AX102" s="45"/>
      <c r="AY102" s="38" t="str">
        <f aca="false">IF(OR(Tasks[[#This Row],[Task Name]]="",Tasks[[#This Row],[Baseline Duration]]=""),"",Tasks[[#This Row],[BL Source Duration]]-N(Tasks[[#This Row],[Baseline Duration]]))</f>
        <v/>
      </c>
      <c r="AZ102" s="42" t="str">
        <f aca="false">IF(OR(Tasks[[#This Row],[Task Name]]="",Tasks[[#This Row],[Baseline Work]]=""),"",Tasks[[#This Row],[Work]]-N(Tasks[[#This Row],[Baseline Work]]))</f>
        <v/>
      </c>
      <c r="BA102" s="43" t="str">
        <f aca="false">IF(OR(Tasks[[#This Row],[Task Name]]="",Tasks[[#This Row],[Baseline Cost]]=""),"",Tasks[[#This Row],[Cost]]-N(Tasks[[#This Row],[Baseline Cost]]))</f>
        <v/>
      </c>
      <c r="BB102" s="46" t="str">
        <f aca="false">IF(Tasks[[#This Row],[Task Name]]="","",MAX(1,N(Tasks[[#This Row],[Level]])))</f>
        <v/>
      </c>
      <c r="BC102" s="46" t="n">
        <f aca="false">ROW()-ROW(Tasks[[#Headers],[ID]])</f>
        <v>97</v>
      </c>
      <c r="BD1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2" s="46" t="n">
        <f aca="false">IFERROR(N(INDEX(Tasks[_Level],Tasks[[#This Row],[_Row]]+1)),0)</f>
        <v>0</v>
      </c>
      <c r="BF102" s="47" t="b">
        <f aca="false">AND(Tasks[[#This Row],[Task Name]]&lt;&gt;"",Tasks[[#This Row],[_NextLevel]]&gt;Tasks[[#This Row],[_Level]])</f>
        <v>0</v>
      </c>
      <c r="BG102" s="46" t="n">
        <f aca="false">IF(Tasks[[#This Row],[_IsSummary]],COUNTIF(Tasks[WBS],Tasks[[#This Row],[WBS]]&amp;".*"),0)</f>
        <v>0</v>
      </c>
      <c r="BH102" s="46" t="n">
        <f aca="false">IF(AND(Tasks[[#This Row],[Task Name]]&lt;&gt;"",NOT(Tasks[[#This Row],[_IsSummary]])),1,0)</f>
        <v>0</v>
      </c>
      <c r="BI102" s="46" t="n">
        <f aca="false">IF(N(Tasks[[#This Row],[Pred1 UID]])=0,0,IFERROR(MATCH(Tasks[[#This Row],[Pred1 UID]],Tasks[UID],0),-1))</f>
        <v>0</v>
      </c>
      <c r="BJ102" s="46" t="n">
        <f aca="false">IF(N(Tasks[[#This Row],[Pred2 UID]])=0,0,IFERROR(MATCH(Tasks[[#This Row],[Pred2 UID]],Tasks[UID],0),-1))</f>
        <v>0</v>
      </c>
      <c r="BK10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2" s="46" t="n">
        <f aca="false">IF(NOT(Tasks[[#This Row],[_IsLeaf]]=1),0,IF(N(Tasks[[#This Row],[Actual Finish]])&gt;0,1,MIN(1,N(Tasks[[#This Row],[% Complete]]))))</f>
        <v>0</v>
      </c>
      <c r="BP10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2" s="46" t="n">
        <f aca="false">IF(Tasks[[#This Row],[_LeafWork]]=0,0,Tasks[[#This Row],[_LeafWork]]*IFERROR(INDEX(res_Rate,MATCH(Tasks[[#This Row],[Resource]],res_Name,0)),0))</f>
        <v>0</v>
      </c>
      <c r="BR10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2" s="46" t="n">
        <f aca="false">IF(NOT(Tasks[[#This Row],[_IsLeaf]]=1),0,MAX(_xlfn.MAXIFS(Tasks[_Row],Tasks[Pred1 UID],Tasks[[#This Row],[UID]]),_xlfn.MAXIFS(Tasks[_Row],Tasks[Pred2 UID],Tasks[[#This Row],[UID]])))</f>
        <v>0</v>
      </c>
      <c r="BW10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2" s="48" t="str">
        <f aca="false">IF(NOT(Tasks[[#This Row],[_IsLeaf]]=1),"",MIN(ProjectFinish,IF(N(Tasks[[#This Row],[Deadline]])&gt;0,Tasks[[#This Row],[Deadline]],2958465),Tasks[[#This Row],[_SuccessorFinishLimit]]))</f>
        <v/>
      </c>
      <c r="BY10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2" s="47" t="b">
        <f aca="false">AND(Tasks[[#This Row],[_IsLeaf]]=1,Tasks[[#This Row],[_LeafProgress]]&lt;1,N(Tasks[[#This Row],[_LeafTotalSlack]])&lt;=CriticalSlackDays)</f>
        <v>0</v>
      </c>
      <c r="CB10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2" s="46" t="n">
        <f aca="false">IF(AND(Tasks[[#This Row],[_IsLeaf]]=1,Tasks[[#This Row],[_LeafWork]]&gt;0),NETWORKDAYS.INTL(ProjectStart,Tasks[[#This Row],[_LeafFcstStart]],WorkWeek,Holidays),0)</f>
        <v>0</v>
      </c>
      <c r="CK10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2" s="46" t="n">
        <f aca="false">IF(AND(Tasks[[#This Row],[_IsLeaf]]=1,Tasks[[#This Row],[_LeafWork]]&gt;0),Tasks[[#This Row],[_LeafWork]]/(Tasks[[#This Row],[_FinishWorkday]]-Tasks[[#This Row],[_StartWorkday]]+1),0)</f>
        <v>0</v>
      </c>
      <c r="CM102" s="46" t="n">
        <f aca="false">Tasks[[#This Row],[_WorkPerWorkday]]*(Tasks[[#This Row],[_StartWorkday]]-1)</f>
        <v>-0</v>
      </c>
      <c r="CN102" s="46" t="n">
        <f aca="false">IF(Tasks[[#This Row],[_IsLeaf]]=1,MAX(N(Tasks[[#This Row],[Duration]]),0.1),0)</f>
        <v>0</v>
      </c>
      <c r="CO102" s="46" t="n">
        <f aca="false">Tasks[[#This Row],[_WeightDur]]*Tasks[[#This Row],[_LeafProgress]]</f>
        <v>0</v>
      </c>
      <c r="CP10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39"/>
      <c r="E103" s="40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3" s="31"/>
      <c r="AF10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3" s="40"/>
      <c r="AI103" s="31"/>
      <c r="AJ10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3" s="40"/>
      <c r="AO103" s="24" t="str">
        <f aca="false">IF(Tasks[[#This Row],[Task Name]]="","",Tasks[[#This Row],[Forecast Start]])</f>
        <v/>
      </c>
      <c r="AP103" s="24" t="str">
        <f aca="false">IF(Tasks[[#This Row],[Task Name]]="","",Tasks[[#This Row],[Forecast Finish]])</f>
        <v/>
      </c>
      <c r="AQ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3" s="42" t="str">
        <f aca="false">IF(Tasks[[#This Row],[Task Name]]="","",Tasks[[#This Row],[Work]])</f>
        <v/>
      </c>
      <c r="AS103" s="43" t="str">
        <f aca="false">IF(Tasks[[#This Row],[Task Name]]="","",Tasks[[#This Row],[Cost]])</f>
        <v/>
      </c>
      <c r="AT103" s="29"/>
      <c r="AU103" s="29"/>
      <c r="AV103" s="39"/>
      <c r="AW103" s="44"/>
      <c r="AX103" s="45"/>
      <c r="AY103" s="38" t="str">
        <f aca="false">IF(OR(Tasks[[#This Row],[Task Name]]="",Tasks[[#This Row],[Baseline Duration]]=""),"",Tasks[[#This Row],[BL Source Duration]]-N(Tasks[[#This Row],[Baseline Duration]]))</f>
        <v/>
      </c>
      <c r="AZ103" s="42" t="str">
        <f aca="false">IF(OR(Tasks[[#This Row],[Task Name]]="",Tasks[[#This Row],[Baseline Work]]=""),"",Tasks[[#This Row],[Work]]-N(Tasks[[#This Row],[Baseline Work]]))</f>
        <v/>
      </c>
      <c r="BA103" s="43" t="str">
        <f aca="false">IF(OR(Tasks[[#This Row],[Task Name]]="",Tasks[[#This Row],[Baseline Cost]]=""),"",Tasks[[#This Row],[Cost]]-N(Tasks[[#This Row],[Baseline Cost]]))</f>
        <v/>
      </c>
      <c r="BB103" s="46" t="str">
        <f aca="false">IF(Tasks[[#This Row],[Task Name]]="","",MAX(1,N(Tasks[[#This Row],[Level]])))</f>
        <v/>
      </c>
      <c r="BC103" s="46" t="n">
        <f aca="false">ROW()-ROW(Tasks[[#Headers],[ID]])</f>
        <v>98</v>
      </c>
      <c r="BD1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3" s="46" t="n">
        <f aca="false">IFERROR(N(INDEX(Tasks[_Level],Tasks[[#This Row],[_Row]]+1)),0)</f>
        <v>0</v>
      </c>
      <c r="BF103" s="47" t="b">
        <f aca="false">AND(Tasks[[#This Row],[Task Name]]&lt;&gt;"",Tasks[[#This Row],[_NextLevel]]&gt;Tasks[[#This Row],[_Level]])</f>
        <v>0</v>
      </c>
      <c r="BG103" s="46" t="n">
        <f aca="false">IF(Tasks[[#This Row],[_IsSummary]],COUNTIF(Tasks[WBS],Tasks[[#This Row],[WBS]]&amp;".*"),0)</f>
        <v>0</v>
      </c>
      <c r="BH103" s="46" t="n">
        <f aca="false">IF(AND(Tasks[[#This Row],[Task Name]]&lt;&gt;"",NOT(Tasks[[#This Row],[_IsSummary]])),1,0)</f>
        <v>0</v>
      </c>
      <c r="BI103" s="46" t="n">
        <f aca="false">IF(N(Tasks[[#This Row],[Pred1 UID]])=0,0,IFERROR(MATCH(Tasks[[#This Row],[Pred1 UID]],Tasks[UID],0),-1))</f>
        <v>0</v>
      </c>
      <c r="BJ103" s="46" t="n">
        <f aca="false">IF(N(Tasks[[#This Row],[Pred2 UID]])=0,0,IFERROR(MATCH(Tasks[[#This Row],[Pred2 UID]],Tasks[UID],0),-1))</f>
        <v>0</v>
      </c>
      <c r="BK10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3" s="46" t="n">
        <f aca="false">IF(NOT(Tasks[[#This Row],[_IsLeaf]]=1),0,IF(N(Tasks[[#This Row],[Actual Finish]])&gt;0,1,MIN(1,N(Tasks[[#This Row],[% Complete]]))))</f>
        <v>0</v>
      </c>
      <c r="BP10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3" s="46" t="n">
        <f aca="false">IF(Tasks[[#This Row],[_LeafWork]]=0,0,Tasks[[#This Row],[_LeafWork]]*IFERROR(INDEX(res_Rate,MATCH(Tasks[[#This Row],[Resource]],res_Name,0)),0))</f>
        <v>0</v>
      </c>
      <c r="BR10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3" s="46" t="n">
        <f aca="false">IF(NOT(Tasks[[#This Row],[_IsLeaf]]=1),0,MAX(_xlfn.MAXIFS(Tasks[_Row],Tasks[Pred1 UID],Tasks[[#This Row],[UID]]),_xlfn.MAXIFS(Tasks[_Row],Tasks[Pred2 UID],Tasks[[#This Row],[UID]])))</f>
        <v>0</v>
      </c>
      <c r="BW10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3" s="48" t="str">
        <f aca="false">IF(NOT(Tasks[[#This Row],[_IsLeaf]]=1),"",MIN(ProjectFinish,IF(N(Tasks[[#This Row],[Deadline]])&gt;0,Tasks[[#This Row],[Deadline]],2958465),Tasks[[#This Row],[_SuccessorFinishLimit]]))</f>
        <v/>
      </c>
      <c r="BY10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3" s="47" t="b">
        <f aca="false">AND(Tasks[[#This Row],[_IsLeaf]]=1,Tasks[[#This Row],[_LeafProgress]]&lt;1,N(Tasks[[#This Row],[_LeafTotalSlack]])&lt;=CriticalSlackDays)</f>
        <v>0</v>
      </c>
      <c r="CB10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3" s="46" t="n">
        <f aca="false">IF(AND(Tasks[[#This Row],[_IsLeaf]]=1,Tasks[[#This Row],[_LeafWork]]&gt;0),NETWORKDAYS.INTL(ProjectStart,Tasks[[#This Row],[_LeafFcstStart]],WorkWeek,Holidays),0)</f>
        <v>0</v>
      </c>
      <c r="CK10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3" s="46" t="n">
        <f aca="false">IF(AND(Tasks[[#This Row],[_IsLeaf]]=1,Tasks[[#This Row],[_LeafWork]]&gt;0),Tasks[[#This Row],[_LeafWork]]/(Tasks[[#This Row],[_FinishWorkday]]-Tasks[[#This Row],[_StartWorkday]]+1),0)</f>
        <v>0</v>
      </c>
      <c r="CM103" s="46" t="n">
        <f aca="false">Tasks[[#This Row],[_WorkPerWorkday]]*(Tasks[[#This Row],[_StartWorkday]]-1)</f>
        <v>-0</v>
      </c>
      <c r="CN103" s="46" t="n">
        <f aca="false">IF(Tasks[[#This Row],[_IsLeaf]]=1,MAX(N(Tasks[[#This Row],[Duration]]),0.1),0)</f>
        <v>0</v>
      </c>
      <c r="CO103" s="46" t="n">
        <f aca="false">Tasks[[#This Row],[_WeightDur]]*Tasks[[#This Row],[_LeafProgress]]</f>
        <v>0</v>
      </c>
      <c r="CP10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39"/>
      <c r="E104" s="40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4" s="31"/>
      <c r="AF10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4" s="40"/>
      <c r="AI104" s="31"/>
      <c r="AJ10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4" s="40"/>
      <c r="AO104" s="24" t="str">
        <f aca="false">IF(Tasks[[#This Row],[Task Name]]="","",Tasks[[#This Row],[Forecast Start]])</f>
        <v/>
      </c>
      <c r="AP104" s="24" t="str">
        <f aca="false">IF(Tasks[[#This Row],[Task Name]]="","",Tasks[[#This Row],[Forecast Finish]])</f>
        <v/>
      </c>
      <c r="AQ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4" s="42" t="str">
        <f aca="false">IF(Tasks[[#This Row],[Task Name]]="","",Tasks[[#This Row],[Work]])</f>
        <v/>
      </c>
      <c r="AS104" s="43" t="str">
        <f aca="false">IF(Tasks[[#This Row],[Task Name]]="","",Tasks[[#This Row],[Cost]])</f>
        <v/>
      </c>
      <c r="AT104" s="29"/>
      <c r="AU104" s="29"/>
      <c r="AV104" s="39"/>
      <c r="AW104" s="44"/>
      <c r="AX104" s="45"/>
      <c r="AY104" s="38" t="str">
        <f aca="false">IF(OR(Tasks[[#This Row],[Task Name]]="",Tasks[[#This Row],[Baseline Duration]]=""),"",Tasks[[#This Row],[BL Source Duration]]-N(Tasks[[#This Row],[Baseline Duration]]))</f>
        <v/>
      </c>
      <c r="AZ104" s="42" t="str">
        <f aca="false">IF(OR(Tasks[[#This Row],[Task Name]]="",Tasks[[#This Row],[Baseline Work]]=""),"",Tasks[[#This Row],[Work]]-N(Tasks[[#This Row],[Baseline Work]]))</f>
        <v/>
      </c>
      <c r="BA104" s="43" t="str">
        <f aca="false">IF(OR(Tasks[[#This Row],[Task Name]]="",Tasks[[#This Row],[Baseline Cost]]=""),"",Tasks[[#This Row],[Cost]]-N(Tasks[[#This Row],[Baseline Cost]]))</f>
        <v/>
      </c>
      <c r="BB104" s="46" t="str">
        <f aca="false">IF(Tasks[[#This Row],[Task Name]]="","",MAX(1,N(Tasks[[#This Row],[Level]])))</f>
        <v/>
      </c>
      <c r="BC104" s="46" t="n">
        <f aca="false">ROW()-ROW(Tasks[[#Headers],[ID]])</f>
        <v>99</v>
      </c>
      <c r="BD1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4" s="46" t="n">
        <f aca="false">IFERROR(N(INDEX(Tasks[_Level],Tasks[[#This Row],[_Row]]+1)),0)</f>
        <v>0</v>
      </c>
      <c r="BF104" s="47" t="b">
        <f aca="false">AND(Tasks[[#This Row],[Task Name]]&lt;&gt;"",Tasks[[#This Row],[_NextLevel]]&gt;Tasks[[#This Row],[_Level]])</f>
        <v>0</v>
      </c>
      <c r="BG104" s="46" t="n">
        <f aca="false">IF(Tasks[[#This Row],[_IsSummary]],COUNTIF(Tasks[WBS],Tasks[[#This Row],[WBS]]&amp;".*"),0)</f>
        <v>0</v>
      </c>
      <c r="BH104" s="46" t="n">
        <f aca="false">IF(AND(Tasks[[#This Row],[Task Name]]&lt;&gt;"",NOT(Tasks[[#This Row],[_IsSummary]])),1,0)</f>
        <v>0</v>
      </c>
      <c r="BI104" s="46" t="n">
        <f aca="false">IF(N(Tasks[[#This Row],[Pred1 UID]])=0,0,IFERROR(MATCH(Tasks[[#This Row],[Pred1 UID]],Tasks[UID],0),-1))</f>
        <v>0</v>
      </c>
      <c r="BJ104" s="46" t="n">
        <f aca="false">IF(N(Tasks[[#This Row],[Pred2 UID]])=0,0,IFERROR(MATCH(Tasks[[#This Row],[Pred2 UID]],Tasks[UID],0),-1))</f>
        <v>0</v>
      </c>
      <c r="BK10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4" s="46" t="n">
        <f aca="false">IF(NOT(Tasks[[#This Row],[_IsLeaf]]=1),0,IF(N(Tasks[[#This Row],[Actual Finish]])&gt;0,1,MIN(1,N(Tasks[[#This Row],[% Complete]]))))</f>
        <v>0</v>
      </c>
      <c r="BP10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4" s="46" t="n">
        <f aca="false">IF(Tasks[[#This Row],[_LeafWork]]=0,0,Tasks[[#This Row],[_LeafWork]]*IFERROR(INDEX(res_Rate,MATCH(Tasks[[#This Row],[Resource]],res_Name,0)),0))</f>
        <v>0</v>
      </c>
      <c r="BR10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4" s="46" t="n">
        <f aca="false">IF(NOT(Tasks[[#This Row],[_IsLeaf]]=1),0,MAX(_xlfn.MAXIFS(Tasks[_Row],Tasks[Pred1 UID],Tasks[[#This Row],[UID]]),_xlfn.MAXIFS(Tasks[_Row],Tasks[Pred2 UID],Tasks[[#This Row],[UID]])))</f>
        <v>0</v>
      </c>
      <c r="BW10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4" s="48" t="str">
        <f aca="false">IF(NOT(Tasks[[#This Row],[_IsLeaf]]=1),"",MIN(ProjectFinish,IF(N(Tasks[[#This Row],[Deadline]])&gt;0,Tasks[[#This Row],[Deadline]],2958465),Tasks[[#This Row],[_SuccessorFinishLimit]]))</f>
        <v/>
      </c>
      <c r="BY10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4" s="47" t="b">
        <f aca="false">AND(Tasks[[#This Row],[_IsLeaf]]=1,Tasks[[#This Row],[_LeafProgress]]&lt;1,N(Tasks[[#This Row],[_LeafTotalSlack]])&lt;=CriticalSlackDays)</f>
        <v>0</v>
      </c>
      <c r="CB10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4" s="46" t="n">
        <f aca="false">IF(AND(Tasks[[#This Row],[_IsLeaf]]=1,Tasks[[#This Row],[_LeafWork]]&gt;0),NETWORKDAYS.INTL(ProjectStart,Tasks[[#This Row],[_LeafFcstStart]],WorkWeek,Holidays),0)</f>
        <v>0</v>
      </c>
      <c r="CK10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4" s="46" t="n">
        <f aca="false">IF(AND(Tasks[[#This Row],[_IsLeaf]]=1,Tasks[[#This Row],[_LeafWork]]&gt;0),Tasks[[#This Row],[_LeafWork]]/(Tasks[[#This Row],[_FinishWorkday]]-Tasks[[#This Row],[_StartWorkday]]+1),0)</f>
        <v>0</v>
      </c>
      <c r="CM104" s="46" t="n">
        <f aca="false">Tasks[[#This Row],[_WorkPerWorkday]]*(Tasks[[#This Row],[_StartWorkday]]-1)</f>
        <v>-0</v>
      </c>
      <c r="CN104" s="46" t="n">
        <f aca="false">IF(Tasks[[#This Row],[_IsLeaf]]=1,MAX(N(Tasks[[#This Row],[Duration]]),0.1),0)</f>
        <v>0</v>
      </c>
      <c r="CO104" s="46" t="n">
        <f aca="false">Tasks[[#This Row],[_WeightDur]]*Tasks[[#This Row],[_LeafProgress]]</f>
        <v>0</v>
      </c>
      <c r="CP10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39"/>
      <c r="E105" s="40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5" s="31"/>
      <c r="AF10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5" s="40"/>
      <c r="AI105" s="31"/>
      <c r="AJ10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5" s="40"/>
      <c r="AO105" s="24" t="str">
        <f aca="false">IF(Tasks[[#This Row],[Task Name]]="","",Tasks[[#This Row],[Forecast Start]])</f>
        <v/>
      </c>
      <c r="AP105" s="24" t="str">
        <f aca="false">IF(Tasks[[#This Row],[Task Name]]="","",Tasks[[#This Row],[Forecast Finish]])</f>
        <v/>
      </c>
      <c r="AQ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5" s="42" t="str">
        <f aca="false">IF(Tasks[[#This Row],[Task Name]]="","",Tasks[[#This Row],[Work]])</f>
        <v/>
      </c>
      <c r="AS105" s="43" t="str">
        <f aca="false">IF(Tasks[[#This Row],[Task Name]]="","",Tasks[[#This Row],[Cost]])</f>
        <v/>
      </c>
      <c r="AT105" s="29"/>
      <c r="AU105" s="29"/>
      <c r="AV105" s="39"/>
      <c r="AW105" s="44"/>
      <c r="AX105" s="45"/>
      <c r="AY105" s="38" t="str">
        <f aca="false">IF(OR(Tasks[[#This Row],[Task Name]]="",Tasks[[#This Row],[Baseline Duration]]=""),"",Tasks[[#This Row],[BL Source Duration]]-N(Tasks[[#This Row],[Baseline Duration]]))</f>
        <v/>
      </c>
      <c r="AZ105" s="42" t="str">
        <f aca="false">IF(OR(Tasks[[#This Row],[Task Name]]="",Tasks[[#This Row],[Baseline Work]]=""),"",Tasks[[#This Row],[Work]]-N(Tasks[[#This Row],[Baseline Work]]))</f>
        <v/>
      </c>
      <c r="BA105" s="43" t="str">
        <f aca="false">IF(OR(Tasks[[#This Row],[Task Name]]="",Tasks[[#This Row],[Baseline Cost]]=""),"",Tasks[[#This Row],[Cost]]-N(Tasks[[#This Row],[Baseline Cost]]))</f>
        <v/>
      </c>
      <c r="BB105" s="46" t="str">
        <f aca="false">IF(Tasks[[#This Row],[Task Name]]="","",MAX(1,N(Tasks[[#This Row],[Level]])))</f>
        <v/>
      </c>
      <c r="BC105" s="46" t="n">
        <f aca="false">ROW()-ROW(Tasks[[#Headers],[ID]])</f>
        <v>100</v>
      </c>
      <c r="BD1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5" s="46" t="n">
        <f aca="false">IFERROR(N(INDEX(Tasks[_Level],Tasks[[#This Row],[_Row]]+1)),0)</f>
        <v>0</v>
      </c>
      <c r="BF105" s="47" t="b">
        <f aca="false">AND(Tasks[[#This Row],[Task Name]]&lt;&gt;"",Tasks[[#This Row],[_NextLevel]]&gt;Tasks[[#This Row],[_Level]])</f>
        <v>0</v>
      </c>
      <c r="BG105" s="46" t="n">
        <f aca="false">IF(Tasks[[#This Row],[_IsSummary]],COUNTIF(Tasks[WBS],Tasks[[#This Row],[WBS]]&amp;".*"),0)</f>
        <v>0</v>
      </c>
      <c r="BH105" s="46" t="n">
        <f aca="false">IF(AND(Tasks[[#This Row],[Task Name]]&lt;&gt;"",NOT(Tasks[[#This Row],[_IsSummary]])),1,0)</f>
        <v>0</v>
      </c>
      <c r="BI105" s="46" t="n">
        <f aca="false">IF(N(Tasks[[#This Row],[Pred1 UID]])=0,0,IFERROR(MATCH(Tasks[[#This Row],[Pred1 UID]],Tasks[UID],0),-1))</f>
        <v>0</v>
      </c>
      <c r="BJ105" s="46" t="n">
        <f aca="false">IF(N(Tasks[[#This Row],[Pred2 UID]])=0,0,IFERROR(MATCH(Tasks[[#This Row],[Pred2 UID]],Tasks[UID],0),-1))</f>
        <v>0</v>
      </c>
      <c r="BK10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5" s="46" t="n">
        <f aca="false">IF(NOT(Tasks[[#This Row],[_IsLeaf]]=1),0,IF(N(Tasks[[#This Row],[Actual Finish]])&gt;0,1,MIN(1,N(Tasks[[#This Row],[% Complete]]))))</f>
        <v>0</v>
      </c>
      <c r="BP10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5" s="46" t="n">
        <f aca="false">IF(Tasks[[#This Row],[_LeafWork]]=0,0,Tasks[[#This Row],[_LeafWork]]*IFERROR(INDEX(res_Rate,MATCH(Tasks[[#This Row],[Resource]],res_Name,0)),0))</f>
        <v>0</v>
      </c>
      <c r="BR10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5" s="46" t="n">
        <f aca="false">IF(NOT(Tasks[[#This Row],[_IsLeaf]]=1),0,MAX(_xlfn.MAXIFS(Tasks[_Row],Tasks[Pred1 UID],Tasks[[#This Row],[UID]]),_xlfn.MAXIFS(Tasks[_Row],Tasks[Pred2 UID],Tasks[[#This Row],[UID]])))</f>
        <v>0</v>
      </c>
      <c r="BW10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5" s="48" t="str">
        <f aca="false">IF(NOT(Tasks[[#This Row],[_IsLeaf]]=1),"",MIN(ProjectFinish,IF(N(Tasks[[#This Row],[Deadline]])&gt;0,Tasks[[#This Row],[Deadline]],2958465),Tasks[[#This Row],[_SuccessorFinishLimit]]))</f>
        <v/>
      </c>
      <c r="BY10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5" s="47" t="b">
        <f aca="false">AND(Tasks[[#This Row],[_IsLeaf]]=1,Tasks[[#This Row],[_LeafProgress]]&lt;1,N(Tasks[[#This Row],[_LeafTotalSlack]])&lt;=CriticalSlackDays)</f>
        <v>0</v>
      </c>
      <c r="CB10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5" s="46" t="n">
        <f aca="false">IF(AND(Tasks[[#This Row],[_IsLeaf]]=1,Tasks[[#This Row],[_LeafWork]]&gt;0),NETWORKDAYS.INTL(ProjectStart,Tasks[[#This Row],[_LeafFcstStart]],WorkWeek,Holidays),0)</f>
        <v>0</v>
      </c>
      <c r="CK10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5" s="46" t="n">
        <f aca="false">IF(AND(Tasks[[#This Row],[_IsLeaf]]=1,Tasks[[#This Row],[_LeafWork]]&gt;0),Tasks[[#This Row],[_LeafWork]]/(Tasks[[#This Row],[_FinishWorkday]]-Tasks[[#This Row],[_StartWorkday]]+1),0)</f>
        <v>0</v>
      </c>
      <c r="CM105" s="46" t="n">
        <f aca="false">Tasks[[#This Row],[_WorkPerWorkday]]*(Tasks[[#This Row],[_StartWorkday]]-1)</f>
        <v>-0</v>
      </c>
      <c r="CN105" s="46" t="n">
        <f aca="false">IF(Tasks[[#This Row],[_IsLeaf]]=1,MAX(N(Tasks[[#This Row],[Duration]]),0.1),0)</f>
        <v>0</v>
      </c>
      <c r="CO105" s="46" t="n">
        <f aca="false">Tasks[[#This Row],[_WeightDur]]*Tasks[[#This Row],[_LeafProgress]]</f>
        <v>0</v>
      </c>
      <c r="CP10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39"/>
      <c r="E106" s="40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6" s="31"/>
      <c r="AF10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6" s="40"/>
      <c r="AI106" s="31"/>
      <c r="AJ10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6" s="40"/>
      <c r="AO106" s="24" t="str">
        <f aca="false">IF(Tasks[[#This Row],[Task Name]]="","",Tasks[[#This Row],[Forecast Start]])</f>
        <v/>
      </c>
      <c r="AP106" s="24" t="str">
        <f aca="false">IF(Tasks[[#This Row],[Task Name]]="","",Tasks[[#This Row],[Forecast Finish]])</f>
        <v/>
      </c>
      <c r="AQ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6" s="42" t="str">
        <f aca="false">IF(Tasks[[#This Row],[Task Name]]="","",Tasks[[#This Row],[Work]])</f>
        <v/>
      </c>
      <c r="AS106" s="43" t="str">
        <f aca="false">IF(Tasks[[#This Row],[Task Name]]="","",Tasks[[#This Row],[Cost]])</f>
        <v/>
      </c>
      <c r="AT106" s="29"/>
      <c r="AU106" s="29"/>
      <c r="AV106" s="39"/>
      <c r="AW106" s="44"/>
      <c r="AX106" s="45"/>
      <c r="AY106" s="38" t="str">
        <f aca="false">IF(OR(Tasks[[#This Row],[Task Name]]="",Tasks[[#This Row],[Baseline Duration]]=""),"",Tasks[[#This Row],[BL Source Duration]]-N(Tasks[[#This Row],[Baseline Duration]]))</f>
        <v/>
      </c>
      <c r="AZ106" s="42" t="str">
        <f aca="false">IF(OR(Tasks[[#This Row],[Task Name]]="",Tasks[[#This Row],[Baseline Work]]=""),"",Tasks[[#This Row],[Work]]-N(Tasks[[#This Row],[Baseline Work]]))</f>
        <v/>
      </c>
      <c r="BA106" s="43" t="str">
        <f aca="false">IF(OR(Tasks[[#This Row],[Task Name]]="",Tasks[[#This Row],[Baseline Cost]]=""),"",Tasks[[#This Row],[Cost]]-N(Tasks[[#This Row],[Baseline Cost]]))</f>
        <v/>
      </c>
      <c r="BB106" s="46" t="str">
        <f aca="false">IF(Tasks[[#This Row],[Task Name]]="","",MAX(1,N(Tasks[[#This Row],[Level]])))</f>
        <v/>
      </c>
      <c r="BC106" s="46" t="n">
        <f aca="false">ROW()-ROW(Tasks[[#Headers],[ID]])</f>
        <v>101</v>
      </c>
      <c r="BD10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6" s="46" t="n">
        <f aca="false">IFERROR(N(INDEX(Tasks[_Level],Tasks[[#This Row],[_Row]]+1)),0)</f>
        <v>0</v>
      </c>
      <c r="BF106" s="47" t="b">
        <f aca="false">AND(Tasks[[#This Row],[Task Name]]&lt;&gt;"",Tasks[[#This Row],[_NextLevel]]&gt;Tasks[[#This Row],[_Level]])</f>
        <v>0</v>
      </c>
      <c r="BG106" s="46" t="n">
        <f aca="false">IF(Tasks[[#This Row],[_IsSummary]],COUNTIF(Tasks[WBS],Tasks[[#This Row],[WBS]]&amp;".*"),0)</f>
        <v>0</v>
      </c>
      <c r="BH106" s="46" t="n">
        <f aca="false">IF(AND(Tasks[[#This Row],[Task Name]]&lt;&gt;"",NOT(Tasks[[#This Row],[_IsSummary]])),1,0)</f>
        <v>0</v>
      </c>
      <c r="BI106" s="46" t="n">
        <f aca="false">IF(N(Tasks[[#This Row],[Pred1 UID]])=0,0,IFERROR(MATCH(Tasks[[#This Row],[Pred1 UID]],Tasks[UID],0),-1))</f>
        <v>0</v>
      </c>
      <c r="BJ106" s="46" t="n">
        <f aca="false">IF(N(Tasks[[#This Row],[Pred2 UID]])=0,0,IFERROR(MATCH(Tasks[[#This Row],[Pred2 UID]],Tasks[UID],0),-1))</f>
        <v>0</v>
      </c>
      <c r="BK10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6" s="46" t="n">
        <f aca="false">IF(NOT(Tasks[[#This Row],[_IsLeaf]]=1),0,IF(N(Tasks[[#This Row],[Actual Finish]])&gt;0,1,MIN(1,N(Tasks[[#This Row],[% Complete]]))))</f>
        <v>0</v>
      </c>
      <c r="BP10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6" s="46" t="n">
        <f aca="false">IF(Tasks[[#This Row],[_LeafWork]]=0,0,Tasks[[#This Row],[_LeafWork]]*IFERROR(INDEX(res_Rate,MATCH(Tasks[[#This Row],[Resource]],res_Name,0)),0))</f>
        <v>0</v>
      </c>
      <c r="BR10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6" s="46" t="n">
        <f aca="false">IF(NOT(Tasks[[#This Row],[_IsLeaf]]=1),0,MAX(_xlfn.MAXIFS(Tasks[_Row],Tasks[Pred1 UID],Tasks[[#This Row],[UID]]),_xlfn.MAXIFS(Tasks[_Row],Tasks[Pred2 UID],Tasks[[#This Row],[UID]])))</f>
        <v>0</v>
      </c>
      <c r="BW10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6" s="48" t="str">
        <f aca="false">IF(NOT(Tasks[[#This Row],[_IsLeaf]]=1),"",MIN(ProjectFinish,IF(N(Tasks[[#This Row],[Deadline]])&gt;0,Tasks[[#This Row],[Deadline]],2958465),Tasks[[#This Row],[_SuccessorFinishLimit]]))</f>
        <v/>
      </c>
      <c r="BY10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6" s="47" t="b">
        <f aca="false">AND(Tasks[[#This Row],[_IsLeaf]]=1,Tasks[[#This Row],[_LeafProgress]]&lt;1,N(Tasks[[#This Row],[_LeafTotalSlack]])&lt;=CriticalSlackDays)</f>
        <v>0</v>
      </c>
      <c r="CB10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6" s="46" t="n">
        <f aca="false">IF(AND(Tasks[[#This Row],[_IsLeaf]]=1,Tasks[[#This Row],[_LeafWork]]&gt;0),NETWORKDAYS.INTL(ProjectStart,Tasks[[#This Row],[_LeafFcstStart]],WorkWeek,Holidays),0)</f>
        <v>0</v>
      </c>
      <c r="CK10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6" s="46" t="n">
        <f aca="false">IF(AND(Tasks[[#This Row],[_IsLeaf]]=1,Tasks[[#This Row],[_LeafWork]]&gt;0),Tasks[[#This Row],[_LeafWork]]/(Tasks[[#This Row],[_FinishWorkday]]-Tasks[[#This Row],[_StartWorkday]]+1),0)</f>
        <v>0</v>
      </c>
      <c r="CM106" s="46" t="n">
        <f aca="false">Tasks[[#This Row],[_WorkPerWorkday]]*(Tasks[[#This Row],[_StartWorkday]]-1)</f>
        <v>-0</v>
      </c>
      <c r="CN106" s="46" t="n">
        <f aca="false">IF(Tasks[[#This Row],[_IsLeaf]]=1,MAX(N(Tasks[[#This Row],[Duration]]),0.1),0)</f>
        <v>0</v>
      </c>
      <c r="CO106" s="46" t="n">
        <f aca="false">Tasks[[#This Row],[_WeightDur]]*Tasks[[#This Row],[_LeafProgress]]</f>
        <v>0</v>
      </c>
      <c r="CP10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39"/>
      <c r="E107" s="40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7" s="31"/>
      <c r="AF10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7" s="40"/>
      <c r="AI107" s="31"/>
      <c r="AJ10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7" s="40"/>
      <c r="AO107" s="24" t="str">
        <f aca="false">IF(Tasks[[#This Row],[Task Name]]="","",Tasks[[#This Row],[Forecast Start]])</f>
        <v/>
      </c>
      <c r="AP107" s="24" t="str">
        <f aca="false">IF(Tasks[[#This Row],[Task Name]]="","",Tasks[[#This Row],[Forecast Finish]])</f>
        <v/>
      </c>
      <c r="AQ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7" s="42" t="str">
        <f aca="false">IF(Tasks[[#This Row],[Task Name]]="","",Tasks[[#This Row],[Work]])</f>
        <v/>
      </c>
      <c r="AS107" s="43" t="str">
        <f aca="false">IF(Tasks[[#This Row],[Task Name]]="","",Tasks[[#This Row],[Cost]])</f>
        <v/>
      </c>
      <c r="AT107" s="29"/>
      <c r="AU107" s="29"/>
      <c r="AV107" s="39"/>
      <c r="AW107" s="44"/>
      <c r="AX107" s="45"/>
      <c r="AY107" s="38" t="str">
        <f aca="false">IF(OR(Tasks[[#This Row],[Task Name]]="",Tasks[[#This Row],[Baseline Duration]]=""),"",Tasks[[#This Row],[BL Source Duration]]-N(Tasks[[#This Row],[Baseline Duration]]))</f>
        <v/>
      </c>
      <c r="AZ107" s="42" t="str">
        <f aca="false">IF(OR(Tasks[[#This Row],[Task Name]]="",Tasks[[#This Row],[Baseline Work]]=""),"",Tasks[[#This Row],[Work]]-N(Tasks[[#This Row],[Baseline Work]]))</f>
        <v/>
      </c>
      <c r="BA107" s="43" t="str">
        <f aca="false">IF(OR(Tasks[[#This Row],[Task Name]]="",Tasks[[#This Row],[Baseline Cost]]=""),"",Tasks[[#This Row],[Cost]]-N(Tasks[[#This Row],[Baseline Cost]]))</f>
        <v/>
      </c>
      <c r="BB107" s="46" t="str">
        <f aca="false">IF(Tasks[[#This Row],[Task Name]]="","",MAX(1,N(Tasks[[#This Row],[Level]])))</f>
        <v/>
      </c>
      <c r="BC107" s="46" t="n">
        <f aca="false">ROW()-ROW(Tasks[[#Headers],[ID]])</f>
        <v>102</v>
      </c>
      <c r="BD10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7" s="46" t="n">
        <f aca="false">IFERROR(N(INDEX(Tasks[_Level],Tasks[[#This Row],[_Row]]+1)),0)</f>
        <v>0</v>
      </c>
      <c r="BF107" s="47" t="b">
        <f aca="false">AND(Tasks[[#This Row],[Task Name]]&lt;&gt;"",Tasks[[#This Row],[_NextLevel]]&gt;Tasks[[#This Row],[_Level]])</f>
        <v>0</v>
      </c>
      <c r="BG107" s="46" t="n">
        <f aca="false">IF(Tasks[[#This Row],[_IsSummary]],COUNTIF(Tasks[WBS],Tasks[[#This Row],[WBS]]&amp;".*"),0)</f>
        <v>0</v>
      </c>
      <c r="BH107" s="46" t="n">
        <f aca="false">IF(AND(Tasks[[#This Row],[Task Name]]&lt;&gt;"",NOT(Tasks[[#This Row],[_IsSummary]])),1,0)</f>
        <v>0</v>
      </c>
      <c r="BI107" s="46" t="n">
        <f aca="false">IF(N(Tasks[[#This Row],[Pred1 UID]])=0,0,IFERROR(MATCH(Tasks[[#This Row],[Pred1 UID]],Tasks[UID],0),-1))</f>
        <v>0</v>
      </c>
      <c r="BJ107" s="46" t="n">
        <f aca="false">IF(N(Tasks[[#This Row],[Pred2 UID]])=0,0,IFERROR(MATCH(Tasks[[#This Row],[Pred2 UID]],Tasks[UID],0),-1))</f>
        <v>0</v>
      </c>
      <c r="BK10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7" s="46" t="n">
        <f aca="false">IF(NOT(Tasks[[#This Row],[_IsLeaf]]=1),0,IF(N(Tasks[[#This Row],[Actual Finish]])&gt;0,1,MIN(1,N(Tasks[[#This Row],[% Complete]]))))</f>
        <v>0</v>
      </c>
      <c r="BP10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7" s="46" t="n">
        <f aca="false">IF(Tasks[[#This Row],[_LeafWork]]=0,0,Tasks[[#This Row],[_LeafWork]]*IFERROR(INDEX(res_Rate,MATCH(Tasks[[#This Row],[Resource]],res_Name,0)),0))</f>
        <v>0</v>
      </c>
      <c r="BR10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7" s="46" t="n">
        <f aca="false">IF(NOT(Tasks[[#This Row],[_IsLeaf]]=1),0,MAX(_xlfn.MAXIFS(Tasks[_Row],Tasks[Pred1 UID],Tasks[[#This Row],[UID]]),_xlfn.MAXIFS(Tasks[_Row],Tasks[Pred2 UID],Tasks[[#This Row],[UID]])))</f>
        <v>0</v>
      </c>
      <c r="BW10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7" s="48" t="str">
        <f aca="false">IF(NOT(Tasks[[#This Row],[_IsLeaf]]=1),"",MIN(ProjectFinish,IF(N(Tasks[[#This Row],[Deadline]])&gt;0,Tasks[[#This Row],[Deadline]],2958465),Tasks[[#This Row],[_SuccessorFinishLimit]]))</f>
        <v/>
      </c>
      <c r="BY10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7" s="47" t="b">
        <f aca="false">AND(Tasks[[#This Row],[_IsLeaf]]=1,Tasks[[#This Row],[_LeafProgress]]&lt;1,N(Tasks[[#This Row],[_LeafTotalSlack]])&lt;=CriticalSlackDays)</f>
        <v>0</v>
      </c>
      <c r="CB10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7" s="46" t="n">
        <f aca="false">IF(AND(Tasks[[#This Row],[_IsLeaf]]=1,Tasks[[#This Row],[_LeafWork]]&gt;0),NETWORKDAYS.INTL(ProjectStart,Tasks[[#This Row],[_LeafFcstStart]],WorkWeek,Holidays),0)</f>
        <v>0</v>
      </c>
      <c r="CK10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7" s="46" t="n">
        <f aca="false">IF(AND(Tasks[[#This Row],[_IsLeaf]]=1,Tasks[[#This Row],[_LeafWork]]&gt;0),Tasks[[#This Row],[_LeafWork]]/(Tasks[[#This Row],[_FinishWorkday]]-Tasks[[#This Row],[_StartWorkday]]+1),0)</f>
        <v>0</v>
      </c>
      <c r="CM107" s="46" t="n">
        <f aca="false">Tasks[[#This Row],[_WorkPerWorkday]]*(Tasks[[#This Row],[_StartWorkday]]-1)</f>
        <v>-0</v>
      </c>
      <c r="CN107" s="46" t="n">
        <f aca="false">IF(Tasks[[#This Row],[_IsLeaf]]=1,MAX(N(Tasks[[#This Row],[Duration]]),0.1),0)</f>
        <v>0</v>
      </c>
      <c r="CO107" s="46" t="n">
        <f aca="false">Tasks[[#This Row],[_WeightDur]]*Tasks[[#This Row],[_LeafProgress]]</f>
        <v>0</v>
      </c>
      <c r="CP10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39"/>
      <c r="E108" s="40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8" s="31"/>
      <c r="AF10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8" s="40"/>
      <c r="AI108" s="31"/>
      <c r="AJ10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8" s="40"/>
      <c r="AO108" s="24" t="str">
        <f aca="false">IF(Tasks[[#This Row],[Task Name]]="","",Tasks[[#This Row],[Forecast Start]])</f>
        <v/>
      </c>
      <c r="AP108" s="24" t="str">
        <f aca="false">IF(Tasks[[#This Row],[Task Name]]="","",Tasks[[#This Row],[Forecast Finish]])</f>
        <v/>
      </c>
      <c r="AQ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8" s="42" t="str">
        <f aca="false">IF(Tasks[[#This Row],[Task Name]]="","",Tasks[[#This Row],[Work]])</f>
        <v/>
      </c>
      <c r="AS108" s="43" t="str">
        <f aca="false">IF(Tasks[[#This Row],[Task Name]]="","",Tasks[[#This Row],[Cost]])</f>
        <v/>
      </c>
      <c r="AT108" s="29"/>
      <c r="AU108" s="29"/>
      <c r="AV108" s="39"/>
      <c r="AW108" s="44"/>
      <c r="AX108" s="45"/>
      <c r="AY108" s="38" t="str">
        <f aca="false">IF(OR(Tasks[[#This Row],[Task Name]]="",Tasks[[#This Row],[Baseline Duration]]=""),"",Tasks[[#This Row],[BL Source Duration]]-N(Tasks[[#This Row],[Baseline Duration]]))</f>
        <v/>
      </c>
      <c r="AZ108" s="42" t="str">
        <f aca="false">IF(OR(Tasks[[#This Row],[Task Name]]="",Tasks[[#This Row],[Baseline Work]]=""),"",Tasks[[#This Row],[Work]]-N(Tasks[[#This Row],[Baseline Work]]))</f>
        <v/>
      </c>
      <c r="BA108" s="43" t="str">
        <f aca="false">IF(OR(Tasks[[#This Row],[Task Name]]="",Tasks[[#This Row],[Baseline Cost]]=""),"",Tasks[[#This Row],[Cost]]-N(Tasks[[#This Row],[Baseline Cost]]))</f>
        <v/>
      </c>
      <c r="BB108" s="46" t="str">
        <f aca="false">IF(Tasks[[#This Row],[Task Name]]="","",MAX(1,N(Tasks[[#This Row],[Level]])))</f>
        <v/>
      </c>
      <c r="BC108" s="46" t="n">
        <f aca="false">ROW()-ROW(Tasks[[#Headers],[ID]])</f>
        <v>103</v>
      </c>
      <c r="BD10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8" s="46" t="n">
        <f aca="false">IFERROR(N(INDEX(Tasks[_Level],Tasks[[#This Row],[_Row]]+1)),0)</f>
        <v>0</v>
      </c>
      <c r="BF108" s="47" t="b">
        <f aca="false">AND(Tasks[[#This Row],[Task Name]]&lt;&gt;"",Tasks[[#This Row],[_NextLevel]]&gt;Tasks[[#This Row],[_Level]])</f>
        <v>0</v>
      </c>
      <c r="BG108" s="46" t="n">
        <f aca="false">IF(Tasks[[#This Row],[_IsSummary]],COUNTIF(Tasks[WBS],Tasks[[#This Row],[WBS]]&amp;".*"),0)</f>
        <v>0</v>
      </c>
      <c r="BH108" s="46" t="n">
        <f aca="false">IF(AND(Tasks[[#This Row],[Task Name]]&lt;&gt;"",NOT(Tasks[[#This Row],[_IsSummary]])),1,0)</f>
        <v>0</v>
      </c>
      <c r="BI108" s="46" t="n">
        <f aca="false">IF(N(Tasks[[#This Row],[Pred1 UID]])=0,0,IFERROR(MATCH(Tasks[[#This Row],[Pred1 UID]],Tasks[UID],0),-1))</f>
        <v>0</v>
      </c>
      <c r="BJ108" s="46" t="n">
        <f aca="false">IF(N(Tasks[[#This Row],[Pred2 UID]])=0,0,IFERROR(MATCH(Tasks[[#This Row],[Pred2 UID]],Tasks[UID],0),-1))</f>
        <v>0</v>
      </c>
      <c r="BK10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8" s="46" t="n">
        <f aca="false">IF(NOT(Tasks[[#This Row],[_IsLeaf]]=1),0,IF(N(Tasks[[#This Row],[Actual Finish]])&gt;0,1,MIN(1,N(Tasks[[#This Row],[% Complete]]))))</f>
        <v>0</v>
      </c>
      <c r="BP10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8" s="46" t="n">
        <f aca="false">IF(Tasks[[#This Row],[_LeafWork]]=0,0,Tasks[[#This Row],[_LeafWork]]*IFERROR(INDEX(res_Rate,MATCH(Tasks[[#This Row],[Resource]],res_Name,0)),0))</f>
        <v>0</v>
      </c>
      <c r="BR10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8" s="46" t="n">
        <f aca="false">IF(NOT(Tasks[[#This Row],[_IsLeaf]]=1),0,MAX(_xlfn.MAXIFS(Tasks[_Row],Tasks[Pred1 UID],Tasks[[#This Row],[UID]]),_xlfn.MAXIFS(Tasks[_Row],Tasks[Pred2 UID],Tasks[[#This Row],[UID]])))</f>
        <v>0</v>
      </c>
      <c r="BW10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8" s="48" t="str">
        <f aca="false">IF(NOT(Tasks[[#This Row],[_IsLeaf]]=1),"",MIN(ProjectFinish,IF(N(Tasks[[#This Row],[Deadline]])&gt;0,Tasks[[#This Row],[Deadline]],2958465),Tasks[[#This Row],[_SuccessorFinishLimit]]))</f>
        <v/>
      </c>
      <c r="BY10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8" s="47" t="b">
        <f aca="false">AND(Tasks[[#This Row],[_IsLeaf]]=1,Tasks[[#This Row],[_LeafProgress]]&lt;1,N(Tasks[[#This Row],[_LeafTotalSlack]])&lt;=CriticalSlackDays)</f>
        <v>0</v>
      </c>
      <c r="CB10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8" s="46" t="n">
        <f aca="false">IF(AND(Tasks[[#This Row],[_IsLeaf]]=1,Tasks[[#This Row],[_LeafWork]]&gt;0),NETWORKDAYS.INTL(ProjectStart,Tasks[[#This Row],[_LeafFcstStart]],WorkWeek,Holidays),0)</f>
        <v>0</v>
      </c>
      <c r="CK10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8" s="46" t="n">
        <f aca="false">IF(AND(Tasks[[#This Row],[_IsLeaf]]=1,Tasks[[#This Row],[_LeafWork]]&gt;0),Tasks[[#This Row],[_LeafWork]]/(Tasks[[#This Row],[_FinishWorkday]]-Tasks[[#This Row],[_StartWorkday]]+1),0)</f>
        <v>0</v>
      </c>
      <c r="CM108" s="46" t="n">
        <f aca="false">Tasks[[#This Row],[_WorkPerWorkday]]*(Tasks[[#This Row],[_StartWorkday]]-1)</f>
        <v>-0</v>
      </c>
      <c r="CN108" s="46" t="n">
        <f aca="false">IF(Tasks[[#This Row],[_IsLeaf]]=1,MAX(N(Tasks[[#This Row],[Duration]]),0.1),0)</f>
        <v>0</v>
      </c>
      <c r="CO108" s="46" t="n">
        <f aca="false">Tasks[[#This Row],[_WeightDur]]*Tasks[[#This Row],[_LeafProgress]]</f>
        <v>0</v>
      </c>
      <c r="CP10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39"/>
      <c r="E109" s="40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9" s="31"/>
      <c r="AF10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9" s="40"/>
      <c r="AI109" s="31"/>
      <c r="AJ10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9" s="40"/>
      <c r="AO109" s="24" t="str">
        <f aca="false">IF(Tasks[[#This Row],[Task Name]]="","",Tasks[[#This Row],[Forecast Start]])</f>
        <v/>
      </c>
      <c r="AP109" s="24" t="str">
        <f aca="false">IF(Tasks[[#This Row],[Task Name]]="","",Tasks[[#This Row],[Forecast Finish]])</f>
        <v/>
      </c>
      <c r="AQ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9" s="42" t="str">
        <f aca="false">IF(Tasks[[#This Row],[Task Name]]="","",Tasks[[#This Row],[Work]])</f>
        <v/>
      </c>
      <c r="AS109" s="43" t="str">
        <f aca="false">IF(Tasks[[#This Row],[Task Name]]="","",Tasks[[#This Row],[Cost]])</f>
        <v/>
      </c>
      <c r="AT109" s="29"/>
      <c r="AU109" s="29"/>
      <c r="AV109" s="39"/>
      <c r="AW109" s="44"/>
      <c r="AX109" s="45"/>
      <c r="AY109" s="38" t="str">
        <f aca="false">IF(OR(Tasks[[#This Row],[Task Name]]="",Tasks[[#This Row],[Baseline Duration]]=""),"",Tasks[[#This Row],[BL Source Duration]]-N(Tasks[[#This Row],[Baseline Duration]]))</f>
        <v/>
      </c>
      <c r="AZ109" s="42" t="str">
        <f aca="false">IF(OR(Tasks[[#This Row],[Task Name]]="",Tasks[[#This Row],[Baseline Work]]=""),"",Tasks[[#This Row],[Work]]-N(Tasks[[#This Row],[Baseline Work]]))</f>
        <v/>
      </c>
      <c r="BA109" s="43" t="str">
        <f aca="false">IF(OR(Tasks[[#This Row],[Task Name]]="",Tasks[[#This Row],[Baseline Cost]]=""),"",Tasks[[#This Row],[Cost]]-N(Tasks[[#This Row],[Baseline Cost]]))</f>
        <v/>
      </c>
      <c r="BB109" s="46" t="str">
        <f aca="false">IF(Tasks[[#This Row],[Task Name]]="","",MAX(1,N(Tasks[[#This Row],[Level]])))</f>
        <v/>
      </c>
      <c r="BC109" s="46" t="n">
        <f aca="false">ROW()-ROW(Tasks[[#Headers],[ID]])</f>
        <v>104</v>
      </c>
      <c r="BD10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9" s="46" t="n">
        <f aca="false">IFERROR(N(INDEX(Tasks[_Level],Tasks[[#This Row],[_Row]]+1)),0)</f>
        <v>0</v>
      </c>
      <c r="BF109" s="47" t="b">
        <f aca="false">AND(Tasks[[#This Row],[Task Name]]&lt;&gt;"",Tasks[[#This Row],[_NextLevel]]&gt;Tasks[[#This Row],[_Level]])</f>
        <v>0</v>
      </c>
      <c r="BG109" s="46" t="n">
        <f aca="false">IF(Tasks[[#This Row],[_IsSummary]],COUNTIF(Tasks[WBS],Tasks[[#This Row],[WBS]]&amp;".*"),0)</f>
        <v>0</v>
      </c>
      <c r="BH109" s="46" t="n">
        <f aca="false">IF(AND(Tasks[[#This Row],[Task Name]]&lt;&gt;"",NOT(Tasks[[#This Row],[_IsSummary]])),1,0)</f>
        <v>0</v>
      </c>
      <c r="BI109" s="46" t="n">
        <f aca="false">IF(N(Tasks[[#This Row],[Pred1 UID]])=0,0,IFERROR(MATCH(Tasks[[#This Row],[Pred1 UID]],Tasks[UID],0),-1))</f>
        <v>0</v>
      </c>
      <c r="BJ109" s="46" t="n">
        <f aca="false">IF(N(Tasks[[#This Row],[Pred2 UID]])=0,0,IFERROR(MATCH(Tasks[[#This Row],[Pred2 UID]],Tasks[UID],0),-1))</f>
        <v>0</v>
      </c>
      <c r="BK10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9" s="46" t="n">
        <f aca="false">IF(NOT(Tasks[[#This Row],[_IsLeaf]]=1),0,IF(N(Tasks[[#This Row],[Actual Finish]])&gt;0,1,MIN(1,N(Tasks[[#This Row],[% Complete]]))))</f>
        <v>0</v>
      </c>
      <c r="BP10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09" s="46" t="n">
        <f aca="false">IF(Tasks[[#This Row],[_LeafWork]]=0,0,Tasks[[#This Row],[_LeafWork]]*IFERROR(INDEX(res_Rate,MATCH(Tasks[[#This Row],[Resource]],res_Name,0)),0))</f>
        <v>0</v>
      </c>
      <c r="BR10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9" s="46" t="n">
        <f aca="false">IF(NOT(Tasks[[#This Row],[_IsLeaf]]=1),0,MAX(_xlfn.MAXIFS(Tasks[_Row],Tasks[Pred1 UID],Tasks[[#This Row],[UID]]),_xlfn.MAXIFS(Tasks[_Row],Tasks[Pred2 UID],Tasks[[#This Row],[UID]])))</f>
        <v>0</v>
      </c>
      <c r="BW10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9" s="48" t="str">
        <f aca="false">IF(NOT(Tasks[[#This Row],[_IsLeaf]]=1),"",MIN(ProjectFinish,IF(N(Tasks[[#This Row],[Deadline]])&gt;0,Tasks[[#This Row],[Deadline]],2958465),Tasks[[#This Row],[_SuccessorFinishLimit]]))</f>
        <v/>
      </c>
      <c r="BY10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9" s="47" t="b">
        <f aca="false">AND(Tasks[[#This Row],[_IsLeaf]]=1,Tasks[[#This Row],[_LeafProgress]]&lt;1,N(Tasks[[#This Row],[_LeafTotalSlack]])&lt;=CriticalSlackDays)</f>
        <v>0</v>
      </c>
      <c r="CB10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9" s="46" t="n">
        <f aca="false">IF(AND(Tasks[[#This Row],[_IsLeaf]]=1,Tasks[[#This Row],[_LeafWork]]&gt;0),NETWORKDAYS.INTL(ProjectStart,Tasks[[#This Row],[_LeafFcstStart]],WorkWeek,Holidays),0)</f>
        <v>0</v>
      </c>
      <c r="CK10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9" s="46" t="n">
        <f aca="false">IF(AND(Tasks[[#This Row],[_IsLeaf]]=1,Tasks[[#This Row],[_LeafWork]]&gt;0),Tasks[[#This Row],[_LeafWork]]/(Tasks[[#This Row],[_FinishWorkday]]-Tasks[[#This Row],[_StartWorkday]]+1),0)</f>
        <v>0</v>
      </c>
      <c r="CM109" s="46" t="n">
        <f aca="false">Tasks[[#This Row],[_WorkPerWorkday]]*(Tasks[[#This Row],[_StartWorkday]]-1)</f>
        <v>-0</v>
      </c>
      <c r="CN109" s="46" t="n">
        <f aca="false">IF(Tasks[[#This Row],[_IsLeaf]]=1,MAX(N(Tasks[[#This Row],[Duration]]),0.1),0)</f>
        <v>0</v>
      </c>
      <c r="CO109" s="46" t="n">
        <f aca="false">Tasks[[#This Row],[_WeightDur]]*Tasks[[#This Row],[_LeafProgress]]</f>
        <v>0</v>
      </c>
      <c r="CP10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39"/>
      <c r="E110" s="40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0" s="31"/>
      <c r="AF11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0" s="40"/>
      <c r="AI110" s="31"/>
      <c r="AJ11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0" s="40"/>
      <c r="AO110" s="24" t="str">
        <f aca="false">IF(Tasks[[#This Row],[Task Name]]="","",Tasks[[#This Row],[Forecast Start]])</f>
        <v/>
      </c>
      <c r="AP110" s="24" t="str">
        <f aca="false">IF(Tasks[[#This Row],[Task Name]]="","",Tasks[[#This Row],[Forecast Finish]])</f>
        <v/>
      </c>
      <c r="AQ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0" s="42" t="str">
        <f aca="false">IF(Tasks[[#This Row],[Task Name]]="","",Tasks[[#This Row],[Work]])</f>
        <v/>
      </c>
      <c r="AS110" s="43" t="str">
        <f aca="false">IF(Tasks[[#This Row],[Task Name]]="","",Tasks[[#This Row],[Cost]])</f>
        <v/>
      </c>
      <c r="AT110" s="29"/>
      <c r="AU110" s="29"/>
      <c r="AV110" s="39"/>
      <c r="AW110" s="44"/>
      <c r="AX110" s="45"/>
      <c r="AY110" s="38" t="str">
        <f aca="false">IF(OR(Tasks[[#This Row],[Task Name]]="",Tasks[[#This Row],[Baseline Duration]]=""),"",Tasks[[#This Row],[BL Source Duration]]-N(Tasks[[#This Row],[Baseline Duration]]))</f>
        <v/>
      </c>
      <c r="AZ110" s="42" t="str">
        <f aca="false">IF(OR(Tasks[[#This Row],[Task Name]]="",Tasks[[#This Row],[Baseline Work]]=""),"",Tasks[[#This Row],[Work]]-N(Tasks[[#This Row],[Baseline Work]]))</f>
        <v/>
      </c>
      <c r="BA110" s="43" t="str">
        <f aca="false">IF(OR(Tasks[[#This Row],[Task Name]]="",Tasks[[#This Row],[Baseline Cost]]=""),"",Tasks[[#This Row],[Cost]]-N(Tasks[[#This Row],[Baseline Cost]]))</f>
        <v/>
      </c>
      <c r="BB110" s="46" t="str">
        <f aca="false">IF(Tasks[[#This Row],[Task Name]]="","",MAX(1,N(Tasks[[#This Row],[Level]])))</f>
        <v/>
      </c>
      <c r="BC110" s="46" t="n">
        <f aca="false">ROW()-ROW(Tasks[[#Headers],[ID]])</f>
        <v>105</v>
      </c>
      <c r="BD1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0" s="46" t="n">
        <f aca="false">IFERROR(N(INDEX(Tasks[_Level],Tasks[[#This Row],[_Row]]+1)),0)</f>
        <v>0</v>
      </c>
      <c r="BF110" s="47" t="b">
        <f aca="false">AND(Tasks[[#This Row],[Task Name]]&lt;&gt;"",Tasks[[#This Row],[_NextLevel]]&gt;Tasks[[#This Row],[_Level]])</f>
        <v>0</v>
      </c>
      <c r="BG110" s="46" t="n">
        <f aca="false">IF(Tasks[[#This Row],[_IsSummary]],COUNTIF(Tasks[WBS],Tasks[[#This Row],[WBS]]&amp;".*"),0)</f>
        <v>0</v>
      </c>
      <c r="BH110" s="46" t="n">
        <f aca="false">IF(AND(Tasks[[#This Row],[Task Name]]&lt;&gt;"",NOT(Tasks[[#This Row],[_IsSummary]])),1,0)</f>
        <v>0</v>
      </c>
      <c r="BI110" s="46" t="n">
        <f aca="false">IF(N(Tasks[[#This Row],[Pred1 UID]])=0,0,IFERROR(MATCH(Tasks[[#This Row],[Pred1 UID]],Tasks[UID],0),-1))</f>
        <v>0</v>
      </c>
      <c r="BJ110" s="46" t="n">
        <f aca="false">IF(N(Tasks[[#This Row],[Pred2 UID]])=0,0,IFERROR(MATCH(Tasks[[#This Row],[Pred2 UID]],Tasks[UID],0),-1))</f>
        <v>0</v>
      </c>
      <c r="BK11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0" s="46" t="n">
        <f aca="false">IF(NOT(Tasks[[#This Row],[_IsLeaf]]=1),0,IF(N(Tasks[[#This Row],[Actual Finish]])&gt;0,1,MIN(1,N(Tasks[[#This Row],[% Complete]]))))</f>
        <v>0</v>
      </c>
      <c r="BP11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0" s="46" t="n">
        <f aca="false">IF(Tasks[[#This Row],[_LeafWork]]=0,0,Tasks[[#This Row],[_LeafWork]]*IFERROR(INDEX(res_Rate,MATCH(Tasks[[#This Row],[Resource]],res_Name,0)),0))</f>
        <v>0</v>
      </c>
      <c r="BR11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0" s="46" t="n">
        <f aca="false">IF(NOT(Tasks[[#This Row],[_IsLeaf]]=1),0,MAX(_xlfn.MAXIFS(Tasks[_Row],Tasks[Pred1 UID],Tasks[[#This Row],[UID]]),_xlfn.MAXIFS(Tasks[_Row],Tasks[Pred2 UID],Tasks[[#This Row],[UID]])))</f>
        <v>0</v>
      </c>
      <c r="BW11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0" s="48" t="str">
        <f aca="false">IF(NOT(Tasks[[#This Row],[_IsLeaf]]=1),"",MIN(ProjectFinish,IF(N(Tasks[[#This Row],[Deadline]])&gt;0,Tasks[[#This Row],[Deadline]],2958465),Tasks[[#This Row],[_SuccessorFinishLimit]]))</f>
        <v/>
      </c>
      <c r="BY11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0" s="47" t="b">
        <f aca="false">AND(Tasks[[#This Row],[_IsLeaf]]=1,Tasks[[#This Row],[_LeafProgress]]&lt;1,N(Tasks[[#This Row],[_LeafTotalSlack]])&lt;=CriticalSlackDays)</f>
        <v>0</v>
      </c>
      <c r="CB11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0" s="46" t="n">
        <f aca="false">IF(AND(Tasks[[#This Row],[_IsLeaf]]=1,Tasks[[#This Row],[_LeafWork]]&gt;0),NETWORKDAYS.INTL(ProjectStart,Tasks[[#This Row],[_LeafFcstStart]],WorkWeek,Holidays),0)</f>
        <v>0</v>
      </c>
      <c r="CK11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0" s="46" t="n">
        <f aca="false">IF(AND(Tasks[[#This Row],[_IsLeaf]]=1,Tasks[[#This Row],[_LeafWork]]&gt;0),Tasks[[#This Row],[_LeafWork]]/(Tasks[[#This Row],[_FinishWorkday]]-Tasks[[#This Row],[_StartWorkday]]+1),0)</f>
        <v>0</v>
      </c>
      <c r="CM110" s="46" t="n">
        <f aca="false">Tasks[[#This Row],[_WorkPerWorkday]]*(Tasks[[#This Row],[_StartWorkday]]-1)</f>
        <v>-0</v>
      </c>
      <c r="CN110" s="46" t="n">
        <f aca="false">IF(Tasks[[#This Row],[_IsLeaf]]=1,MAX(N(Tasks[[#This Row],[Duration]]),0.1),0)</f>
        <v>0</v>
      </c>
      <c r="CO110" s="46" t="n">
        <f aca="false">Tasks[[#This Row],[_WeightDur]]*Tasks[[#This Row],[_LeafProgress]]</f>
        <v>0</v>
      </c>
      <c r="CP11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39"/>
      <c r="E111" s="40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1" s="31"/>
      <c r="AF11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1" s="40"/>
      <c r="AI111" s="31"/>
      <c r="AJ11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1" s="40"/>
      <c r="AO111" s="24" t="str">
        <f aca="false">IF(Tasks[[#This Row],[Task Name]]="","",Tasks[[#This Row],[Forecast Start]])</f>
        <v/>
      </c>
      <c r="AP111" s="24" t="str">
        <f aca="false">IF(Tasks[[#This Row],[Task Name]]="","",Tasks[[#This Row],[Forecast Finish]])</f>
        <v/>
      </c>
      <c r="AQ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1" s="42" t="str">
        <f aca="false">IF(Tasks[[#This Row],[Task Name]]="","",Tasks[[#This Row],[Work]])</f>
        <v/>
      </c>
      <c r="AS111" s="43" t="str">
        <f aca="false">IF(Tasks[[#This Row],[Task Name]]="","",Tasks[[#This Row],[Cost]])</f>
        <v/>
      </c>
      <c r="AT111" s="29"/>
      <c r="AU111" s="29"/>
      <c r="AV111" s="39"/>
      <c r="AW111" s="44"/>
      <c r="AX111" s="45"/>
      <c r="AY111" s="38" t="str">
        <f aca="false">IF(OR(Tasks[[#This Row],[Task Name]]="",Tasks[[#This Row],[Baseline Duration]]=""),"",Tasks[[#This Row],[BL Source Duration]]-N(Tasks[[#This Row],[Baseline Duration]]))</f>
        <v/>
      </c>
      <c r="AZ111" s="42" t="str">
        <f aca="false">IF(OR(Tasks[[#This Row],[Task Name]]="",Tasks[[#This Row],[Baseline Work]]=""),"",Tasks[[#This Row],[Work]]-N(Tasks[[#This Row],[Baseline Work]]))</f>
        <v/>
      </c>
      <c r="BA111" s="43" t="str">
        <f aca="false">IF(OR(Tasks[[#This Row],[Task Name]]="",Tasks[[#This Row],[Baseline Cost]]=""),"",Tasks[[#This Row],[Cost]]-N(Tasks[[#This Row],[Baseline Cost]]))</f>
        <v/>
      </c>
      <c r="BB111" s="46" t="str">
        <f aca="false">IF(Tasks[[#This Row],[Task Name]]="","",MAX(1,N(Tasks[[#This Row],[Level]])))</f>
        <v/>
      </c>
      <c r="BC111" s="46" t="n">
        <f aca="false">ROW()-ROW(Tasks[[#Headers],[ID]])</f>
        <v>106</v>
      </c>
      <c r="BD1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1" s="46" t="n">
        <f aca="false">IFERROR(N(INDEX(Tasks[_Level],Tasks[[#This Row],[_Row]]+1)),0)</f>
        <v>0</v>
      </c>
      <c r="BF111" s="47" t="b">
        <f aca="false">AND(Tasks[[#This Row],[Task Name]]&lt;&gt;"",Tasks[[#This Row],[_NextLevel]]&gt;Tasks[[#This Row],[_Level]])</f>
        <v>0</v>
      </c>
      <c r="BG111" s="46" t="n">
        <f aca="false">IF(Tasks[[#This Row],[_IsSummary]],COUNTIF(Tasks[WBS],Tasks[[#This Row],[WBS]]&amp;".*"),0)</f>
        <v>0</v>
      </c>
      <c r="BH111" s="46" t="n">
        <f aca="false">IF(AND(Tasks[[#This Row],[Task Name]]&lt;&gt;"",NOT(Tasks[[#This Row],[_IsSummary]])),1,0)</f>
        <v>0</v>
      </c>
      <c r="BI111" s="46" t="n">
        <f aca="false">IF(N(Tasks[[#This Row],[Pred1 UID]])=0,0,IFERROR(MATCH(Tasks[[#This Row],[Pred1 UID]],Tasks[UID],0),-1))</f>
        <v>0</v>
      </c>
      <c r="BJ111" s="46" t="n">
        <f aca="false">IF(N(Tasks[[#This Row],[Pred2 UID]])=0,0,IFERROR(MATCH(Tasks[[#This Row],[Pred2 UID]],Tasks[UID],0),-1))</f>
        <v>0</v>
      </c>
      <c r="BK11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1" s="46" t="n">
        <f aca="false">IF(NOT(Tasks[[#This Row],[_IsLeaf]]=1),0,IF(N(Tasks[[#This Row],[Actual Finish]])&gt;0,1,MIN(1,N(Tasks[[#This Row],[% Complete]]))))</f>
        <v>0</v>
      </c>
      <c r="BP11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1" s="46" t="n">
        <f aca="false">IF(Tasks[[#This Row],[_LeafWork]]=0,0,Tasks[[#This Row],[_LeafWork]]*IFERROR(INDEX(res_Rate,MATCH(Tasks[[#This Row],[Resource]],res_Name,0)),0))</f>
        <v>0</v>
      </c>
      <c r="BR11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1" s="46" t="n">
        <f aca="false">IF(NOT(Tasks[[#This Row],[_IsLeaf]]=1),0,MAX(_xlfn.MAXIFS(Tasks[_Row],Tasks[Pred1 UID],Tasks[[#This Row],[UID]]),_xlfn.MAXIFS(Tasks[_Row],Tasks[Pred2 UID],Tasks[[#This Row],[UID]])))</f>
        <v>0</v>
      </c>
      <c r="BW11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1" s="48" t="str">
        <f aca="false">IF(NOT(Tasks[[#This Row],[_IsLeaf]]=1),"",MIN(ProjectFinish,IF(N(Tasks[[#This Row],[Deadline]])&gt;0,Tasks[[#This Row],[Deadline]],2958465),Tasks[[#This Row],[_SuccessorFinishLimit]]))</f>
        <v/>
      </c>
      <c r="BY11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1" s="47" t="b">
        <f aca="false">AND(Tasks[[#This Row],[_IsLeaf]]=1,Tasks[[#This Row],[_LeafProgress]]&lt;1,N(Tasks[[#This Row],[_LeafTotalSlack]])&lt;=CriticalSlackDays)</f>
        <v>0</v>
      </c>
      <c r="CB11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1" s="46" t="n">
        <f aca="false">IF(AND(Tasks[[#This Row],[_IsLeaf]]=1,Tasks[[#This Row],[_LeafWork]]&gt;0),NETWORKDAYS.INTL(ProjectStart,Tasks[[#This Row],[_LeafFcstStart]],WorkWeek,Holidays),0)</f>
        <v>0</v>
      </c>
      <c r="CK11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1" s="46" t="n">
        <f aca="false">IF(AND(Tasks[[#This Row],[_IsLeaf]]=1,Tasks[[#This Row],[_LeafWork]]&gt;0),Tasks[[#This Row],[_LeafWork]]/(Tasks[[#This Row],[_FinishWorkday]]-Tasks[[#This Row],[_StartWorkday]]+1),0)</f>
        <v>0</v>
      </c>
      <c r="CM111" s="46" t="n">
        <f aca="false">Tasks[[#This Row],[_WorkPerWorkday]]*(Tasks[[#This Row],[_StartWorkday]]-1)</f>
        <v>-0</v>
      </c>
      <c r="CN111" s="46" t="n">
        <f aca="false">IF(Tasks[[#This Row],[_IsLeaf]]=1,MAX(N(Tasks[[#This Row],[Duration]]),0.1),0)</f>
        <v>0</v>
      </c>
      <c r="CO111" s="46" t="n">
        <f aca="false">Tasks[[#This Row],[_WeightDur]]*Tasks[[#This Row],[_LeafProgress]]</f>
        <v>0</v>
      </c>
      <c r="CP11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39"/>
      <c r="E112" s="40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2" s="31"/>
      <c r="AF11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2" s="40"/>
      <c r="AI112" s="31"/>
      <c r="AJ11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2" s="40"/>
      <c r="AO112" s="24" t="str">
        <f aca="false">IF(Tasks[[#This Row],[Task Name]]="","",Tasks[[#This Row],[Forecast Start]])</f>
        <v/>
      </c>
      <c r="AP112" s="24" t="str">
        <f aca="false">IF(Tasks[[#This Row],[Task Name]]="","",Tasks[[#This Row],[Forecast Finish]])</f>
        <v/>
      </c>
      <c r="AQ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2" s="42" t="str">
        <f aca="false">IF(Tasks[[#This Row],[Task Name]]="","",Tasks[[#This Row],[Work]])</f>
        <v/>
      </c>
      <c r="AS112" s="43" t="str">
        <f aca="false">IF(Tasks[[#This Row],[Task Name]]="","",Tasks[[#This Row],[Cost]])</f>
        <v/>
      </c>
      <c r="AT112" s="29"/>
      <c r="AU112" s="29"/>
      <c r="AV112" s="39"/>
      <c r="AW112" s="44"/>
      <c r="AX112" s="45"/>
      <c r="AY112" s="38" t="str">
        <f aca="false">IF(OR(Tasks[[#This Row],[Task Name]]="",Tasks[[#This Row],[Baseline Duration]]=""),"",Tasks[[#This Row],[BL Source Duration]]-N(Tasks[[#This Row],[Baseline Duration]]))</f>
        <v/>
      </c>
      <c r="AZ112" s="42" t="str">
        <f aca="false">IF(OR(Tasks[[#This Row],[Task Name]]="",Tasks[[#This Row],[Baseline Work]]=""),"",Tasks[[#This Row],[Work]]-N(Tasks[[#This Row],[Baseline Work]]))</f>
        <v/>
      </c>
      <c r="BA112" s="43" t="str">
        <f aca="false">IF(OR(Tasks[[#This Row],[Task Name]]="",Tasks[[#This Row],[Baseline Cost]]=""),"",Tasks[[#This Row],[Cost]]-N(Tasks[[#This Row],[Baseline Cost]]))</f>
        <v/>
      </c>
      <c r="BB112" s="46" t="str">
        <f aca="false">IF(Tasks[[#This Row],[Task Name]]="","",MAX(1,N(Tasks[[#This Row],[Level]])))</f>
        <v/>
      </c>
      <c r="BC112" s="46" t="n">
        <f aca="false">ROW()-ROW(Tasks[[#Headers],[ID]])</f>
        <v>107</v>
      </c>
      <c r="BD1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2" s="46" t="n">
        <f aca="false">IFERROR(N(INDEX(Tasks[_Level],Tasks[[#This Row],[_Row]]+1)),0)</f>
        <v>0</v>
      </c>
      <c r="BF112" s="47" t="b">
        <f aca="false">AND(Tasks[[#This Row],[Task Name]]&lt;&gt;"",Tasks[[#This Row],[_NextLevel]]&gt;Tasks[[#This Row],[_Level]])</f>
        <v>0</v>
      </c>
      <c r="BG112" s="46" t="n">
        <f aca="false">IF(Tasks[[#This Row],[_IsSummary]],COUNTIF(Tasks[WBS],Tasks[[#This Row],[WBS]]&amp;".*"),0)</f>
        <v>0</v>
      </c>
      <c r="BH112" s="46" t="n">
        <f aca="false">IF(AND(Tasks[[#This Row],[Task Name]]&lt;&gt;"",NOT(Tasks[[#This Row],[_IsSummary]])),1,0)</f>
        <v>0</v>
      </c>
      <c r="BI112" s="46" t="n">
        <f aca="false">IF(N(Tasks[[#This Row],[Pred1 UID]])=0,0,IFERROR(MATCH(Tasks[[#This Row],[Pred1 UID]],Tasks[UID],0),-1))</f>
        <v>0</v>
      </c>
      <c r="BJ112" s="46" t="n">
        <f aca="false">IF(N(Tasks[[#This Row],[Pred2 UID]])=0,0,IFERROR(MATCH(Tasks[[#This Row],[Pred2 UID]],Tasks[UID],0),-1))</f>
        <v>0</v>
      </c>
      <c r="BK11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2" s="46" t="n">
        <f aca="false">IF(NOT(Tasks[[#This Row],[_IsLeaf]]=1),0,IF(N(Tasks[[#This Row],[Actual Finish]])&gt;0,1,MIN(1,N(Tasks[[#This Row],[% Complete]]))))</f>
        <v>0</v>
      </c>
      <c r="BP11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2" s="46" t="n">
        <f aca="false">IF(Tasks[[#This Row],[_LeafWork]]=0,0,Tasks[[#This Row],[_LeafWork]]*IFERROR(INDEX(res_Rate,MATCH(Tasks[[#This Row],[Resource]],res_Name,0)),0))</f>
        <v>0</v>
      </c>
      <c r="BR11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2" s="46" t="n">
        <f aca="false">IF(NOT(Tasks[[#This Row],[_IsLeaf]]=1),0,MAX(_xlfn.MAXIFS(Tasks[_Row],Tasks[Pred1 UID],Tasks[[#This Row],[UID]]),_xlfn.MAXIFS(Tasks[_Row],Tasks[Pred2 UID],Tasks[[#This Row],[UID]])))</f>
        <v>0</v>
      </c>
      <c r="BW11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2" s="48" t="str">
        <f aca="false">IF(NOT(Tasks[[#This Row],[_IsLeaf]]=1),"",MIN(ProjectFinish,IF(N(Tasks[[#This Row],[Deadline]])&gt;0,Tasks[[#This Row],[Deadline]],2958465),Tasks[[#This Row],[_SuccessorFinishLimit]]))</f>
        <v/>
      </c>
      <c r="BY11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2" s="47" t="b">
        <f aca="false">AND(Tasks[[#This Row],[_IsLeaf]]=1,Tasks[[#This Row],[_LeafProgress]]&lt;1,N(Tasks[[#This Row],[_LeafTotalSlack]])&lt;=CriticalSlackDays)</f>
        <v>0</v>
      </c>
      <c r="CB11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2" s="46" t="n">
        <f aca="false">IF(AND(Tasks[[#This Row],[_IsLeaf]]=1,Tasks[[#This Row],[_LeafWork]]&gt;0),NETWORKDAYS.INTL(ProjectStart,Tasks[[#This Row],[_LeafFcstStart]],WorkWeek,Holidays),0)</f>
        <v>0</v>
      </c>
      <c r="CK11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2" s="46" t="n">
        <f aca="false">IF(AND(Tasks[[#This Row],[_IsLeaf]]=1,Tasks[[#This Row],[_LeafWork]]&gt;0),Tasks[[#This Row],[_LeafWork]]/(Tasks[[#This Row],[_FinishWorkday]]-Tasks[[#This Row],[_StartWorkday]]+1),0)</f>
        <v>0</v>
      </c>
      <c r="CM112" s="46" t="n">
        <f aca="false">Tasks[[#This Row],[_WorkPerWorkday]]*(Tasks[[#This Row],[_StartWorkday]]-1)</f>
        <v>-0</v>
      </c>
      <c r="CN112" s="46" t="n">
        <f aca="false">IF(Tasks[[#This Row],[_IsLeaf]]=1,MAX(N(Tasks[[#This Row],[Duration]]),0.1),0)</f>
        <v>0</v>
      </c>
      <c r="CO112" s="46" t="n">
        <f aca="false">Tasks[[#This Row],[_WeightDur]]*Tasks[[#This Row],[_LeafProgress]]</f>
        <v>0</v>
      </c>
      <c r="CP11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39"/>
      <c r="E113" s="40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3" s="31"/>
      <c r="AF11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3" s="40"/>
      <c r="AI113" s="31"/>
      <c r="AJ11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3" s="40"/>
      <c r="AO113" s="24" t="str">
        <f aca="false">IF(Tasks[[#This Row],[Task Name]]="","",Tasks[[#This Row],[Forecast Start]])</f>
        <v/>
      </c>
      <c r="AP113" s="24" t="str">
        <f aca="false">IF(Tasks[[#This Row],[Task Name]]="","",Tasks[[#This Row],[Forecast Finish]])</f>
        <v/>
      </c>
      <c r="AQ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3" s="42" t="str">
        <f aca="false">IF(Tasks[[#This Row],[Task Name]]="","",Tasks[[#This Row],[Work]])</f>
        <v/>
      </c>
      <c r="AS113" s="43" t="str">
        <f aca="false">IF(Tasks[[#This Row],[Task Name]]="","",Tasks[[#This Row],[Cost]])</f>
        <v/>
      </c>
      <c r="AT113" s="29"/>
      <c r="AU113" s="29"/>
      <c r="AV113" s="39"/>
      <c r="AW113" s="44"/>
      <c r="AX113" s="45"/>
      <c r="AY113" s="38" t="str">
        <f aca="false">IF(OR(Tasks[[#This Row],[Task Name]]="",Tasks[[#This Row],[Baseline Duration]]=""),"",Tasks[[#This Row],[BL Source Duration]]-N(Tasks[[#This Row],[Baseline Duration]]))</f>
        <v/>
      </c>
      <c r="AZ113" s="42" t="str">
        <f aca="false">IF(OR(Tasks[[#This Row],[Task Name]]="",Tasks[[#This Row],[Baseline Work]]=""),"",Tasks[[#This Row],[Work]]-N(Tasks[[#This Row],[Baseline Work]]))</f>
        <v/>
      </c>
      <c r="BA113" s="43" t="str">
        <f aca="false">IF(OR(Tasks[[#This Row],[Task Name]]="",Tasks[[#This Row],[Baseline Cost]]=""),"",Tasks[[#This Row],[Cost]]-N(Tasks[[#This Row],[Baseline Cost]]))</f>
        <v/>
      </c>
      <c r="BB113" s="46" t="str">
        <f aca="false">IF(Tasks[[#This Row],[Task Name]]="","",MAX(1,N(Tasks[[#This Row],[Level]])))</f>
        <v/>
      </c>
      <c r="BC113" s="46" t="n">
        <f aca="false">ROW()-ROW(Tasks[[#Headers],[ID]])</f>
        <v>108</v>
      </c>
      <c r="BD1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3" s="46" t="n">
        <f aca="false">IFERROR(N(INDEX(Tasks[_Level],Tasks[[#This Row],[_Row]]+1)),0)</f>
        <v>0</v>
      </c>
      <c r="BF113" s="47" t="b">
        <f aca="false">AND(Tasks[[#This Row],[Task Name]]&lt;&gt;"",Tasks[[#This Row],[_NextLevel]]&gt;Tasks[[#This Row],[_Level]])</f>
        <v>0</v>
      </c>
      <c r="BG113" s="46" t="n">
        <f aca="false">IF(Tasks[[#This Row],[_IsSummary]],COUNTIF(Tasks[WBS],Tasks[[#This Row],[WBS]]&amp;".*"),0)</f>
        <v>0</v>
      </c>
      <c r="BH113" s="46" t="n">
        <f aca="false">IF(AND(Tasks[[#This Row],[Task Name]]&lt;&gt;"",NOT(Tasks[[#This Row],[_IsSummary]])),1,0)</f>
        <v>0</v>
      </c>
      <c r="BI113" s="46" t="n">
        <f aca="false">IF(N(Tasks[[#This Row],[Pred1 UID]])=0,0,IFERROR(MATCH(Tasks[[#This Row],[Pred1 UID]],Tasks[UID],0),-1))</f>
        <v>0</v>
      </c>
      <c r="BJ113" s="46" t="n">
        <f aca="false">IF(N(Tasks[[#This Row],[Pred2 UID]])=0,0,IFERROR(MATCH(Tasks[[#This Row],[Pred2 UID]],Tasks[UID],0),-1))</f>
        <v>0</v>
      </c>
      <c r="BK11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3" s="46" t="n">
        <f aca="false">IF(NOT(Tasks[[#This Row],[_IsLeaf]]=1),0,IF(N(Tasks[[#This Row],[Actual Finish]])&gt;0,1,MIN(1,N(Tasks[[#This Row],[% Complete]]))))</f>
        <v>0</v>
      </c>
      <c r="BP11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3" s="46" t="n">
        <f aca="false">IF(Tasks[[#This Row],[_LeafWork]]=0,0,Tasks[[#This Row],[_LeafWork]]*IFERROR(INDEX(res_Rate,MATCH(Tasks[[#This Row],[Resource]],res_Name,0)),0))</f>
        <v>0</v>
      </c>
      <c r="BR11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3" s="46" t="n">
        <f aca="false">IF(NOT(Tasks[[#This Row],[_IsLeaf]]=1),0,MAX(_xlfn.MAXIFS(Tasks[_Row],Tasks[Pred1 UID],Tasks[[#This Row],[UID]]),_xlfn.MAXIFS(Tasks[_Row],Tasks[Pred2 UID],Tasks[[#This Row],[UID]])))</f>
        <v>0</v>
      </c>
      <c r="BW11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3" s="48" t="str">
        <f aca="false">IF(NOT(Tasks[[#This Row],[_IsLeaf]]=1),"",MIN(ProjectFinish,IF(N(Tasks[[#This Row],[Deadline]])&gt;0,Tasks[[#This Row],[Deadline]],2958465),Tasks[[#This Row],[_SuccessorFinishLimit]]))</f>
        <v/>
      </c>
      <c r="BY11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3" s="47" t="b">
        <f aca="false">AND(Tasks[[#This Row],[_IsLeaf]]=1,Tasks[[#This Row],[_LeafProgress]]&lt;1,N(Tasks[[#This Row],[_LeafTotalSlack]])&lt;=CriticalSlackDays)</f>
        <v>0</v>
      </c>
      <c r="CB11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3" s="46" t="n">
        <f aca="false">IF(AND(Tasks[[#This Row],[_IsLeaf]]=1,Tasks[[#This Row],[_LeafWork]]&gt;0),NETWORKDAYS.INTL(ProjectStart,Tasks[[#This Row],[_LeafFcstStart]],WorkWeek,Holidays),0)</f>
        <v>0</v>
      </c>
      <c r="CK11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3" s="46" t="n">
        <f aca="false">IF(AND(Tasks[[#This Row],[_IsLeaf]]=1,Tasks[[#This Row],[_LeafWork]]&gt;0),Tasks[[#This Row],[_LeafWork]]/(Tasks[[#This Row],[_FinishWorkday]]-Tasks[[#This Row],[_StartWorkday]]+1),0)</f>
        <v>0</v>
      </c>
      <c r="CM113" s="46" t="n">
        <f aca="false">Tasks[[#This Row],[_WorkPerWorkday]]*(Tasks[[#This Row],[_StartWorkday]]-1)</f>
        <v>-0</v>
      </c>
      <c r="CN113" s="46" t="n">
        <f aca="false">IF(Tasks[[#This Row],[_IsLeaf]]=1,MAX(N(Tasks[[#This Row],[Duration]]),0.1),0)</f>
        <v>0</v>
      </c>
      <c r="CO113" s="46" t="n">
        <f aca="false">Tasks[[#This Row],[_WeightDur]]*Tasks[[#This Row],[_LeafProgress]]</f>
        <v>0</v>
      </c>
      <c r="CP11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39"/>
      <c r="E114" s="40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4" s="31"/>
      <c r="AF11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4" s="40"/>
      <c r="AI114" s="31"/>
      <c r="AJ11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4" s="40"/>
      <c r="AO114" s="24" t="str">
        <f aca="false">IF(Tasks[[#This Row],[Task Name]]="","",Tasks[[#This Row],[Forecast Start]])</f>
        <v/>
      </c>
      <c r="AP114" s="24" t="str">
        <f aca="false">IF(Tasks[[#This Row],[Task Name]]="","",Tasks[[#This Row],[Forecast Finish]])</f>
        <v/>
      </c>
      <c r="AQ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4" s="42" t="str">
        <f aca="false">IF(Tasks[[#This Row],[Task Name]]="","",Tasks[[#This Row],[Work]])</f>
        <v/>
      </c>
      <c r="AS114" s="43" t="str">
        <f aca="false">IF(Tasks[[#This Row],[Task Name]]="","",Tasks[[#This Row],[Cost]])</f>
        <v/>
      </c>
      <c r="AT114" s="29"/>
      <c r="AU114" s="29"/>
      <c r="AV114" s="39"/>
      <c r="AW114" s="44"/>
      <c r="AX114" s="45"/>
      <c r="AY114" s="38" t="str">
        <f aca="false">IF(OR(Tasks[[#This Row],[Task Name]]="",Tasks[[#This Row],[Baseline Duration]]=""),"",Tasks[[#This Row],[BL Source Duration]]-N(Tasks[[#This Row],[Baseline Duration]]))</f>
        <v/>
      </c>
      <c r="AZ114" s="42" t="str">
        <f aca="false">IF(OR(Tasks[[#This Row],[Task Name]]="",Tasks[[#This Row],[Baseline Work]]=""),"",Tasks[[#This Row],[Work]]-N(Tasks[[#This Row],[Baseline Work]]))</f>
        <v/>
      </c>
      <c r="BA114" s="43" t="str">
        <f aca="false">IF(OR(Tasks[[#This Row],[Task Name]]="",Tasks[[#This Row],[Baseline Cost]]=""),"",Tasks[[#This Row],[Cost]]-N(Tasks[[#This Row],[Baseline Cost]]))</f>
        <v/>
      </c>
      <c r="BB114" s="46" t="str">
        <f aca="false">IF(Tasks[[#This Row],[Task Name]]="","",MAX(1,N(Tasks[[#This Row],[Level]])))</f>
        <v/>
      </c>
      <c r="BC114" s="46" t="n">
        <f aca="false">ROW()-ROW(Tasks[[#Headers],[ID]])</f>
        <v>109</v>
      </c>
      <c r="BD1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4" s="46" t="n">
        <f aca="false">IFERROR(N(INDEX(Tasks[_Level],Tasks[[#This Row],[_Row]]+1)),0)</f>
        <v>0</v>
      </c>
      <c r="BF114" s="47" t="b">
        <f aca="false">AND(Tasks[[#This Row],[Task Name]]&lt;&gt;"",Tasks[[#This Row],[_NextLevel]]&gt;Tasks[[#This Row],[_Level]])</f>
        <v>0</v>
      </c>
      <c r="BG114" s="46" t="n">
        <f aca="false">IF(Tasks[[#This Row],[_IsSummary]],COUNTIF(Tasks[WBS],Tasks[[#This Row],[WBS]]&amp;".*"),0)</f>
        <v>0</v>
      </c>
      <c r="BH114" s="46" t="n">
        <f aca="false">IF(AND(Tasks[[#This Row],[Task Name]]&lt;&gt;"",NOT(Tasks[[#This Row],[_IsSummary]])),1,0)</f>
        <v>0</v>
      </c>
      <c r="BI114" s="46" t="n">
        <f aca="false">IF(N(Tasks[[#This Row],[Pred1 UID]])=0,0,IFERROR(MATCH(Tasks[[#This Row],[Pred1 UID]],Tasks[UID],0),-1))</f>
        <v>0</v>
      </c>
      <c r="BJ114" s="46" t="n">
        <f aca="false">IF(N(Tasks[[#This Row],[Pred2 UID]])=0,0,IFERROR(MATCH(Tasks[[#This Row],[Pred2 UID]],Tasks[UID],0),-1))</f>
        <v>0</v>
      </c>
      <c r="BK11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4" s="46" t="n">
        <f aca="false">IF(NOT(Tasks[[#This Row],[_IsLeaf]]=1),0,IF(N(Tasks[[#This Row],[Actual Finish]])&gt;0,1,MIN(1,N(Tasks[[#This Row],[% Complete]]))))</f>
        <v>0</v>
      </c>
      <c r="BP11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4" s="46" t="n">
        <f aca="false">IF(Tasks[[#This Row],[_LeafWork]]=0,0,Tasks[[#This Row],[_LeafWork]]*IFERROR(INDEX(res_Rate,MATCH(Tasks[[#This Row],[Resource]],res_Name,0)),0))</f>
        <v>0</v>
      </c>
      <c r="BR11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4" s="46" t="n">
        <f aca="false">IF(NOT(Tasks[[#This Row],[_IsLeaf]]=1),0,MAX(_xlfn.MAXIFS(Tasks[_Row],Tasks[Pred1 UID],Tasks[[#This Row],[UID]]),_xlfn.MAXIFS(Tasks[_Row],Tasks[Pred2 UID],Tasks[[#This Row],[UID]])))</f>
        <v>0</v>
      </c>
      <c r="BW11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4" s="48" t="str">
        <f aca="false">IF(NOT(Tasks[[#This Row],[_IsLeaf]]=1),"",MIN(ProjectFinish,IF(N(Tasks[[#This Row],[Deadline]])&gt;0,Tasks[[#This Row],[Deadline]],2958465),Tasks[[#This Row],[_SuccessorFinishLimit]]))</f>
        <v/>
      </c>
      <c r="BY11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4" s="47" t="b">
        <f aca="false">AND(Tasks[[#This Row],[_IsLeaf]]=1,Tasks[[#This Row],[_LeafProgress]]&lt;1,N(Tasks[[#This Row],[_LeafTotalSlack]])&lt;=CriticalSlackDays)</f>
        <v>0</v>
      </c>
      <c r="CB11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4" s="46" t="n">
        <f aca="false">IF(AND(Tasks[[#This Row],[_IsLeaf]]=1,Tasks[[#This Row],[_LeafWork]]&gt;0),NETWORKDAYS.INTL(ProjectStart,Tasks[[#This Row],[_LeafFcstStart]],WorkWeek,Holidays),0)</f>
        <v>0</v>
      </c>
      <c r="CK11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4" s="46" t="n">
        <f aca="false">IF(AND(Tasks[[#This Row],[_IsLeaf]]=1,Tasks[[#This Row],[_LeafWork]]&gt;0),Tasks[[#This Row],[_LeafWork]]/(Tasks[[#This Row],[_FinishWorkday]]-Tasks[[#This Row],[_StartWorkday]]+1),0)</f>
        <v>0</v>
      </c>
      <c r="CM114" s="46" t="n">
        <f aca="false">Tasks[[#This Row],[_WorkPerWorkday]]*(Tasks[[#This Row],[_StartWorkday]]-1)</f>
        <v>-0</v>
      </c>
      <c r="CN114" s="46" t="n">
        <f aca="false">IF(Tasks[[#This Row],[_IsLeaf]]=1,MAX(N(Tasks[[#This Row],[Duration]]),0.1),0)</f>
        <v>0</v>
      </c>
      <c r="CO114" s="46" t="n">
        <f aca="false">Tasks[[#This Row],[_WeightDur]]*Tasks[[#This Row],[_LeafProgress]]</f>
        <v>0</v>
      </c>
      <c r="CP11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39"/>
      <c r="E115" s="40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5" s="31"/>
      <c r="AF11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5" s="40"/>
      <c r="AI115" s="31"/>
      <c r="AJ11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5" s="40"/>
      <c r="AO115" s="24" t="str">
        <f aca="false">IF(Tasks[[#This Row],[Task Name]]="","",Tasks[[#This Row],[Forecast Start]])</f>
        <v/>
      </c>
      <c r="AP115" s="24" t="str">
        <f aca="false">IF(Tasks[[#This Row],[Task Name]]="","",Tasks[[#This Row],[Forecast Finish]])</f>
        <v/>
      </c>
      <c r="AQ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5" s="42" t="str">
        <f aca="false">IF(Tasks[[#This Row],[Task Name]]="","",Tasks[[#This Row],[Work]])</f>
        <v/>
      </c>
      <c r="AS115" s="43" t="str">
        <f aca="false">IF(Tasks[[#This Row],[Task Name]]="","",Tasks[[#This Row],[Cost]])</f>
        <v/>
      </c>
      <c r="AT115" s="29"/>
      <c r="AU115" s="29"/>
      <c r="AV115" s="39"/>
      <c r="AW115" s="44"/>
      <c r="AX115" s="45"/>
      <c r="AY115" s="38" t="str">
        <f aca="false">IF(OR(Tasks[[#This Row],[Task Name]]="",Tasks[[#This Row],[Baseline Duration]]=""),"",Tasks[[#This Row],[BL Source Duration]]-N(Tasks[[#This Row],[Baseline Duration]]))</f>
        <v/>
      </c>
      <c r="AZ115" s="42" t="str">
        <f aca="false">IF(OR(Tasks[[#This Row],[Task Name]]="",Tasks[[#This Row],[Baseline Work]]=""),"",Tasks[[#This Row],[Work]]-N(Tasks[[#This Row],[Baseline Work]]))</f>
        <v/>
      </c>
      <c r="BA115" s="43" t="str">
        <f aca="false">IF(OR(Tasks[[#This Row],[Task Name]]="",Tasks[[#This Row],[Baseline Cost]]=""),"",Tasks[[#This Row],[Cost]]-N(Tasks[[#This Row],[Baseline Cost]]))</f>
        <v/>
      </c>
      <c r="BB115" s="46" t="str">
        <f aca="false">IF(Tasks[[#This Row],[Task Name]]="","",MAX(1,N(Tasks[[#This Row],[Level]])))</f>
        <v/>
      </c>
      <c r="BC115" s="46" t="n">
        <f aca="false">ROW()-ROW(Tasks[[#Headers],[ID]])</f>
        <v>110</v>
      </c>
      <c r="BD1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5" s="46" t="n">
        <f aca="false">IFERROR(N(INDEX(Tasks[_Level],Tasks[[#This Row],[_Row]]+1)),0)</f>
        <v>0</v>
      </c>
      <c r="BF115" s="47" t="b">
        <f aca="false">AND(Tasks[[#This Row],[Task Name]]&lt;&gt;"",Tasks[[#This Row],[_NextLevel]]&gt;Tasks[[#This Row],[_Level]])</f>
        <v>0</v>
      </c>
      <c r="BG115" s="46" t="n">
        <f aca="false">IF(Tasks[[#This Row],[_IsSummary]],COUNTIF(Tasks[WBS],Tasks[[#This Row],[WBS]]&amp;".*"),0)</f>
        <v>0</v>
      </c>
      <c r="BH115" s="46" t="n">
        <f aca="false">IF(AND(Tasks[[#This Row],[Task Name]]&lt;&gt;"",NOT(Tasks[[#This Row],[_IsSummary]])),1,0)</f>
        <v>0</v>
      </c>
      <c r="BI115" s="46" t="n">
        <f aca="false">IF(N(Tasks[[#This Row],[Pred1 UID]])=0,0,IFERROR(MATCH(Tasks[[#This Row],[Pred1 UID]],Tasks[UID],0),-1))</f>
        <v>0</v>
      </c>
      <c r="BJ115" s="46" t="n">
        <f aca="false">IF(N(Tasks[[#This Row],[Pred2 UID]])=0,0,IFERROR(MATCH(Tasks[[#This Row],[Pred2 UID]],Tasks[UID],0),-1))</f>
        <v>0</v>
      </c>
      <c r="BK11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5" s="46" t="n">
        <f aca="false">IF(NOT(Tasks[[#This Row],[_IsLeaf]]=1),0,IF(N(Tasks[[#This Row],[Actual Finish]])&gt;0,1,MIN(1,N(Tasks[[#This Row],[% Complete]]))))</f>
        <v>0</v>
      </c>
      <c r="BP11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5" s="46" t="n">
        <f aca="false">IF(Tasks[[#This Row],[_LeafWork]]=0,0,Tasks[[#This Row],[_LeafWork]]*IFERROR(INDEX(res_Rate,MATCH(Tasks[[#This Row],[Resource]],res_Name,0)),0))</f>
        <v>0</v>
      </c>
      <c r="BR11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5" s="46" t="n">
        <f aca="false">IF(NOT(Tasks[[#This Row],[_IsLeaf]]=1),0,MAX(_xlfn.MAXIFS(Tasks[_Row],Tasks[Pred1 UID],Tasks[[#This Row],[UID]]),_xlfn.MAXIFS(Tasks[_Row],Tasks[Pred2 UID],Tasks[[#This Row],[UID]])))</f>
        <v>0</v>
      </c>
      <c r="BW11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5" s="48" t="str">
        <f aca="false">IF(NOT(Tasks[[#This Row],[_IsLeaf]]=1),"",MIN(ProjectFinish,IF(N(Tasks[[#This Row],[Deadline]])&gt;0,Tasks[[#This Row],[Deadline]],2958465),Tasks[[#This Row],[_SuccessorFinishLimit]]))</f>
        <v/>
      </c>
      <c r="BY11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5" s="47" t="b">
        <f aca="false">AND(Tasks[[#This Row],[_IsLeaf]]=1,Tasks[[#This Row],[_LeafProgress]]&lt;1,N(Tasks[[#This Row],[_LeafTotalSlack]])&lt;=CriticalSlackDays)</f>
        <v>0</v>
      </c>
      <c r="CB11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5" s="46" t="n">
        <f aca="false">IF(AND(Tasks[[#This Row],[_IsLeaf]]=1,Tasks[[#This Row],[_LeafWork]]&gt;0),NETWORKDAYS.INTL(ProjectStart,Tasks[[#This Row],[_LeafFcstStart]],WorkWeek,Holidays),0)</f>
        <v>0</v>
      </c>
      <c r="CK11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5" s="46" t="n">
        <f aca="false">IF(AND(Tasks[[#This Row],[_IsLeaf]]=1,Tasks[[#This Row],[_LeafWork]]&gt;0),Tasks[[#This Row],[_LeafWork]]/(Tasks[[#This Row],[_FinishWorkday]]-Tasks[[#This Row],[_StartWorkday]]+1),0)</f>
        <v>0</v>
      </c>
      <c r="CM115" s="46" t="n">
        <f aca="false">Tasks[[#This Row],[_WorkPerWorkday]]*(Tasks[[#This Row],[_StartWorkday]]-1)</f>
        <v>-0</v>
      </c>
      <c r="CN115" s="46" t="n">
        <f aca="false">IF(Tasks[[#This Row],[_IsLeaf]]=1,MAX(N(Tasks[[#This Row],[Duration]]),0.1),0)</f>
        <v>0</v>
      </c>
      <c r="CO115" s="46" t="n">
        <f aca="false">Tasks[[#This Row],[_WeightDur]]*Tasks[[#This Row],[_LeafProgress]]</f>
        <v>0</v>
      </c>
      <c r="CP11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39"/>
      <c r="E116" s="40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6" s="31"/>
      <c r="AF11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6" s="40"/>
      <c r="AI116" s="31"/>
      <c r="AJ11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6" s="40"/>
      <c r="AO116" s="24" t="str">
        <f aca="false">IF(Tasks[[#This Row],[Task Name]]="","",Tasks[[#This Row],[Forecast Start]])</f>
        <v/>
      </c>
      <c r="AP116" s="24" t="str">
        <f aca="false">IF(Tasks[[#This Row],[Task Name]]="","",Tasks[[#This Row],[Forecast Finish]])</f>
        <v/>
      </c>
      <c r="AQ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6" s="42" t="str">
        <f aca="false">IF(Tasks[[#This Row],[Task Name]]="","",Tasks[[#This Row],[Work]])</f>
        <v/>
      </c>
      <c r="AS116" s="43" t="str">
        <f aca="false">IF(Tasks[[#This Row],[Task Name]]="","",Tasks[[#This Row],[Cost]])</f>
        <v/>
      </c>
      <c r="AT116" s="29"/>
      <c r="AU116" s="29"/>
      <c r="AV116" s="39"/>
      <c r="AW116" s="44"/>
      <c r="AX116" s="45"/>
      <c r="AY116" s="38" t="str">
        <f aca="false">IF(OR(Tasks[[#This Row],[Task Name]]="",Tasks[[#This Row],[Baseline Duration]]=""),"",Tasks[[#This Row],[BL Source Duration]]-N(Tasks[[#This Row],[Baseline Duration]]))</f>
        <v/>
      </c>
      <c r="AZ116" s="42" t="str">
        <f aca="false">IF(OR(Tasks[[#This Row],[Task Name]]="",Tasks[[#This Row],[Baseline Work]]=""),"",Tasks[[#This Row],[Work]]-N(Tasks[[#This Row],[Baseline Work]]))</f>
        <v/>
      </c>
      <c r="BA116" s="43" t="str">
        <f aca="false">IF(OR(Tasks[[#This Row],[Task Name]]="",Tasks[[#This Row],[Baseline Cost]]=""),"",Tasks[[#This Row],[Cost]]-N(Tasks[[#This Row],[Baseline Cost]]))</f>
        <v/>
      </c>
      <c r="BB116" s="46" t="str">
        <f aca="false">IF(Tasks[[#This Row],[Task Name]]="","",MAX(1,N(Tasks[[#This Row],[Level]])))</f>
        <v/>
      </c>
      <c r="BC116" s="46" t="n">
        <f aca="false">ROW()-ROW(Tasks[[#Headers],[ID]])</f>
        <v>111</v>
      </c>
      <c r="BD1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6" s="46" t="n">
        <f aca="false">IFERROR(N(INDEX(Tasks[_Level],Tasks[[#This Row],[_Row]]+1)),0)</f>
        <v>0</v>
      </c>
      <c r="BF116" s="47" t="b">
        <f aca="false">AND(Tasks[[#This Row],[Task Name]]&lt;&gt;"",Tasks[[#This Row],[_NextLevel]]&gt;Tasks[[#This Row],[_Level]])</f>
        <v>0</v>
      </c>
      <c r="BG116" s="46" t="n">
        <f aca="false">IF(Tasks[[#This Row],[_IsSummary]],COUNTIF(Tasks[WBS],Tasks[[#This Row],[WBS]]&amp;".*"),0)</f>
        <v>0</v>
      </c>
      <c r="BH116" s="46" t="n">
        <f aca="false">IF(AND(Tasks[[#This Row],[Task Name]]&lt;&gt;"",NOT(Tasks[[#This Row],[_IsSummary]])),1,0)</f>
        <v>0</v>
      </c>
      <c r="BI116" s="46" t="n">
        <f aca="false">IF(N(Tasks[[#This Row],[Pred1 UID]])=0,0,IFERROR(MATCH(Tasks[[#This Row],[Pred1 UID]],Tasks[UID],0),-1))</f>
        <v>0</v>
      </c>
      <c r="BJ116" s="46" t="n">
        <f aca="false">IF(N(Tasks[[#This Row],[Pred2 UID]])=0,0,IFERROR(MATCH(Tasks[[#This Row],[Pred2 UID]],Tasks[UID],0),-1))</f>
        <v>0</v>
      </c>
      <c r="BK11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6" s="46" t="n">
        <f aca="false">IF(NOT(Tasks[[#This Row],[_IsLeaf]]=1),0,IF(N(Tasks[[#This Row],[Actual Finish]])&gt;0,1,MIN(1,N(Tasks[[#This Row],[% Complete]]))))</f>
        <v>0</v>
      </c>
      <c r="BP11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6" s="46" t="n">
        <f aca="false">IF(Tasks[[#This Row],[_LeafWork]]=0,0,Tasks[[#This Row],[_LeafWork]]*IFERROR(INDEX(res_Rate,MATCH(Tasks[[#This Row],[Resource]],res_Name,0)),0))</f>
        <v>0</v>
      </c>
      <c r="BR11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6" s="46" t="n">
        <f aca="false">IF(NOT(Tasks[[#This Row],[_IsLeaf]]=1),0,MAX(_xlfn.MAXIFS(Tasks[_Row],Tasks[Pred1 UID],Tasks[[#This Row],[UID]]),_xlfn.MAXIFS(Tasks[_Row],Tasks[Pred2 UID],Tasks[[#This Row],[UID]])))</f>
        <v>0</v>
      </c>
      <c r="BW11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6" s="48" t="str">
        <f aca="false">IF(NOT(Tasks[[#This Row],[_IsLeaf]]=1),"",MIN(ProjectFinish,IF(N(Tasks[[#This Row],[Deadline]])&gt;0,Tasks[[#This Row],[Deadline]],2958465),Tasks[[#This Row],[_SuccessorFinishLimit]]))</f>
        <v/>
      </c>
      <c r="BY11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6" s="47" t="b">
        <f aca="false">AND(Tasks[[#This Row],[_IsLeaf]]=1,Tasks[[#This Row],[_LeafProgress]]&lt;1,N(Tasks[[#This Row],[_LeafTotalSlack]])&lt;=CriticalSlackDays)</f>
        <v>0</v>
      </c>
      <c r="CB11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6" s="46" t="n">
        <f aca="false">IF(AND(Tasks[[#This Row],[_IsLeaf]]=1,Tasks[[#This Row],[_LeafWork]]&gt;0),NETWORKDAYS.INTL(ProjectStart,Tasks[[#This Row],[_LeafFcstStart]],WorkWeek,Holidays),0)</f>
        <v>0</v>
      </c>
      <c r="CK11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6" s="46" t="n">
        <f aca="false">IF(AND(Tasks[[#This Row],[_IsLeaf]]=1,Tasks[[#This Row],[_LeafWork]]&gt;0),Tasks[[#This Row],[_LeafWork]]/(Tasks[[#This Row],[_FinishWorkday]]-Tasks[[#This Row],[_StartWorkday]]+1),0)</f>
        <v>0</v>
      </c>
      <c r="CM116" s="46" t="n">
        <f aca="false">Tasks[[#This Row],[_WorkPerWorkday]]*(Tasks[[#This Row],[_StartWorkday]]-1)</f>
        <v>-0</v>
      </c>
      <c r="CN116" s="46" t="n">
        <f aca="false">IF(Tasks[[#This Row],[_IsLeaf]]=1,MAX(N(Tasks[[#This Row],[Duration]]),0.1),0)</f>
        <v>0</v>
      </c>
      <c r="CO116" s="46" t="n">
        <f aca="false">Tasks[[#This Row],[_WeightDur]]*Tasks[[#This Row],[_LeafProgress]]</f>
        <v>0</v>
      </c>
      <c r="CP11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39"/>
      <c r="E117" s="40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7" s="31"/>
      <c r="AF11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7" s="40"/>
      <c r="AI117" s="31"/>
      <c r="AJ11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7" s="40"/>
      <c r="AO117" s="24" t="str">
        <f aca="false">IF(Tasks[[#This Row],[Task Name]]="","",Tasks[[#This Row],[Forecast Start]])</f>
        <v/>
      </c>
      <c r="AP117" s="24" t="str">
        <f aca="false">IF(Tasks[[#This Row],[Task Name]]="","",Tasks[[#This Row],[Forecast Finish]])</f>
        <v/>
      </c>
      <c r="AQ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7" s="42" t="str">
        <f aca="false">IF(Tasks[[#This Row],[Task Name]]="","",Tasks[[#This Row],[Work]])</f>
        <v/>
      </c>
      <c r="AS117" s="43" t="str">
        <f aca="false">IF(Tasks[[#This Row],[Task Name]]="","",Tasks[[#This Row],[Cost]])</f>
        <v/>
      </c>
      <c r="AT117" s="29"/>
      <c r="AU117" s="29"/>
      <c r="AV117" s="39"/>
      <c r="AW117" s="44"/>
      <c r="AX117" s="45"/>
      <c r="AY117" s="38" t="str">
        <f aca="false">IF(OR(Tasks[[#This Row],[Task Name]]="",Tasks[[#This Row],[Baseline Duration]]=""),"",Tasks[[#This Row],[BL Source Duration]]-N(Tasks[[#This Row],[Baseline Duration]]))</f>
        <v/>
      </c>
      <c r="AZ117" s="42" t="str">
        <f aca="false">IF(OR(Tasks[[#This Row],[Task Name]]="",Tasks[[#This Row],[Baseline Work]]=""),"",Tasks[[#This Row],[Work]]-N(Tasks[[#This Row],[Baseline Work]]))</f>
        <v/>
      </c>
      <c r="BA117" s="43" t="str">
        <f aca="false">IF(OR(Tasks[[#This Row],[Task Name]]="",Tasks[[#This Row],[Baseline Cost]]=""),"",Tasks[[#This Row],[Cost]]-N(Tasks[[#This Row],[Baseline Cost]]))</f>
        <v/>
      </c>
      <c r="BB117" s="46" t="str">
        <f aca="false">IF(Tasks[[#This Row],[Task Name]]="","",MAX(1,N(Tasks[[#This Row],[Level]])))</f>
        <v/>
      </c>
      <c r="BC117" s="46" t="n">
        <f aca="false">ROW()-ROW(Tasks[[#Headers],[ID]])</f>
        <v>112</v>
      </c>
      <c r="BD1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7" s="46" t="n">
        <f aca="false">IFERROR(N(INDEX(Tasks[_Level],Tasks[[#This Row],[_Row]]+1)),0)</f>
        <v>0</v>
      </c>
      <c r="BF117" s="47" t="b">
        <f aca="false">AND(Tasks[[#This Row],[Task Name]]&lt;&gt;"",Tasks[[#This Row],[_NextLevel]]&gt;Tasks[[#This Row],[_Level]])</f>
        <v>0</v>
      </c>
      <c r="BG117" s="46" t="n">
        <f aca="false">IF(Tasks[[#This Row],[_IsSummary]],COUNTIF(Tasks[WBS],Tasks[[#This Row],[WBS]]&amp;".*"),0)</f>
        <v>0</v>
      </c>
      <c r="BH117" s="46" t="n">
        <f aca="false">IF(AND(Tasks[[#This Row],[Task Name]]&lt;&gt;"",NOT(Tasks[[#This Row],[_IsSummary]])),1,0)</f>
        <v>0</v>
      </c>
      <c r="BI117" s="46" t="n">
        <f aca="false">IF(N(Tasks[[#This Row],[Pred1 UID]])=0,0,IFERROR(MATCH(Tasks[[#This Row],[Pred1 UID]],Tasks[UID],0),-1))</f>
        <v>0</v>
      </c>
      <c r="BJ117" s="46" t="n">
        <f aca="false">IF(N(Tasks[[#This Row],[Pred2 UID]])=0,0,IFERROR(MATCH(Tasks[[#This Row],[Pred2 UID]],Tasks[UID],0),-1))</f>
        <v>0</v>
      </c>
      <c r="BK11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7" s="46" t="n">
        <f aca="false">IF(NOT(Tasks[[#This Row],[_IsLeaf]]=1),0,IF(N(Tasks[[#This Row],[Actual Finish]])&gt;0,1,MIN(1,N(Tasks[[#This Row],[% Complete]]))))</f>
        <v>0</v>
      </c>
      <c r="BP11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7" s="46" t="n">
        <f aca="false">IF(Tasks[[#This Row],[_LeafWork]]=0,0,Tasks[[#This Row],[_LeafWork]]*IFERROR(INDEX(res_Rate,MATCH(Tasks[[#This Row],[Resource]],res_Name,0)),0))</f>
        <v>0</v>
      </c>
      <c r="BR11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7" s="46" t="n">
        <f aca="false">IF(NOT(Tasks[[#This Row],[_IsLeaf]]=1),0,MAX(_xlfn.MAXIFS(Tasks[_Row],Tasks[Pred1 UID],Tasks[[#This Row],[UID]]),_xlfn.MAXIFS(Tasks[_Row],Tasks[Pred2 UID],Tasks[[#This Row],[UID]])))</f>
        <v>0</v>
      </c>
      <c r="BW11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7" s="48" t="str">
        <f aca="false">IF(NOT(Tasks[[#This Row],[_IsLeaf]]=1),"",MIN(ProjectFinish,IF(N(Tasks[[#This Row],[Deadline]])&gt;0,Tasks[[#This Row],[Deadline]],2958465),Tasks[[#This Row],[_SuccessorFinishLimit]]))</f>
        <v/>
      </c>
      <c r="BY11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7" s="47" t="b">
        <f aca="false">AND(Tasks[[#This Row],[_IsLeaf]]=1,Tasks[[#This Row],[_LeafProgress]]&lt;1,N(Tasks[[#This Row],[_LeafTotalSlack]])&lt;=CriticalSlackDays)</f>
        <v>0</v>
      </c>
      <c r="CB11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7" s="46" t="n">
        <f aca="false">IF(AND(Tasks[[#This Row],[_IsLeaf]]=1,Tasks[[#This Row],[_LeafWork]]&gt;0),NETWORKDAYS.INTL(ProjectStart,Tasks[[#This Row],[_LeafFcstStart]],WorkWeek,Holidays),0)</f>
        <v>0</v>
      </c>
      <c r="CK11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7" s="46" t="n">
        <f aca="false">IF(AND(Tasks[[#This Row],[_IsLeaf]]=1,Tasks[[#This Row],[_LeafWork]]&gt;0),Tasks[[#This Row],[_LeafWork]]/(Tasks[[#This Row],[_FinishWorkday]]-Tasks[[#This Row],[_StartWorkday]]+1),0)</f>
        <v>0</v>
      </c>
      <c r="CM117" s="46" t="n">
        <f aca="false">Tasks[[#This Row],[_WorkPerWorkday]]*(Tasks[[#This Row],[_StartWorkday]]-1)</f>
        <v>-0</v>
      </c>
      <c r="CN117" s="46" t="n">
        <f aca="false">IF(Tasks[[#This Row],[_IsLeaf]]=1,MAX(N(Tasks[[#This Row],[Duration]]),0.1),0)</f>
        <v>0</v>
      </c>
      <c r="CO117" s="46" t="n">
        <f aca="false">Tasks[[#This Row],[_WeightDur]]*Tasks[[#This Row],[_LeafProgress]]</f>
        <v>0</v>
      </c>
      <c r="CP11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39"/>
      <c r="E118" s="40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8" s="31"/>
      <c r="AF11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8" s="40"/>
      <c r="AI118" s="31"/>
      <c r="AJ11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8" s="40"/>
      <c r="AO118" s="24" t="str">
        <f aca="false">IF(Tasks[[#This Row],[Task Name]]="","",Tasks[[#This Row],[Forecast Start]])</f>
        <v/>
      </c>
      <c r="AP118" s="24" t="str">
        <f aca="false">IF(Tasks[[#This Row],[Task Name]]="","",Tasks[[#This Row],[Forecast Finish]])</f>
        <v/>
      </c>
      <c r="AQ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8" s="42" t="str">
        <f aca="false">IF(Tasks[[#This Row],[Task Name]]="","",Tasks[[#This Row],[Work]])</f>
        <v/>
      </c>
      <c r="AS118" s="43" t="str">
        <f aca="false">IF(Tasks[[#This Row],[Task Name]]="","",Tasks[[#This Row],[Cost]])</f>
        <v/>
      </c>
      <c r="AT118" s="29"/>
      <c r="AU118" s="29"/>
      <c r="AV118" s="39"/>
      <c r="AW118" s="44"/>
      <c r="AX118" s="45"/>
      <c r="AY118" s="38" t="str">
        <f aca="false">IF(OR(Tasks[[#This Row],[Task Name]]="",Tasks[[#This Row],[Baseline Duration]]=""),"",Tasks[[#This Row],[BL Source Duration]]-N(Tasks[[#This Row],[Baseline Duration]]))</f>
        <v/>
      </c>
      <c r="AZ118" s="42" t="str">
        <f aca="false">IF(OR(Tasks[[#This Row],[Task Name]]="",Tasks[[#This Row],[Baseline Work]]=""),"",Tasks[[#This Row],[Work]]-N(Tasks[[#This Row],[Baseline Work]]))</f>
        <v/>
      </c>
      <c r="BA118" s="43" t="str">
        <f aca="false">IF(OR(Tasks[[#This Row],[Task Name]]="",Tasks[[#This Row],[Baseline Cost]]=""),"",Tasks[[#This Row],[Cost]]-N(Tasks[[#This Row],[Baseline Cost]]))</f>
        <v/>
      </c>
      <c r="BB118" s="46" t="str">
        <f aca="false">IF(Tasks[[#This Row],[Task Name]]="","",MAX(1,N(Tasks[[#This Row],[Level]])))</f>
        <v/>
      </c>
      <c r="BC118" s="46" t="n">
        <f aca="false">ROW()-ROW(Tasks[[#Headers],[ID]])</f>
        <v>113</v>
      </c>
      <c r="BD1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8" s="46" t="n">
        <f aca="false">IFERROR(N(INDEX(Tasks[_Level],Tasks[[#This Row],[_Row]]+1)),0)</f>
        <v>0</v>
      </c>
      <c r="BF118" s="47" t="b">
        <f aca="false">AND(Tasks[[#This Row],[Task Name]]&lt;&gt;"",Tasks[[#This Row],[_NextLevel]]&gt;Tasks[[#This Row],[_Level]])</f>
        <v>0</v>
      </c>
      <c r="BG118" s="46" t="n">
        <f aca="false">IF(Tasks[[#This Row],[_IsSummary]],COUNTIF(Tasks[WBS],Tasks[[#This Row],[WBS]]&amp;".*"),0)</f>
        <v>0</v>
      </c>
      <c r="BH118" s="46" t="n">
        <f aca="false">IF(AND(Tasks[[#This Row],[Task Name]]&lt;&gt;"",NOT(Tasks[[#This Row],[_IsSummary]])),1,0)</f>
        <v>0</v>
      </c>
      <c r="BI118" s="46" t="n">
        <f aca="false">IF(N(Tasks[[#This Row],[Pred1 UID]])=0,0,IFERROR(MATCH(Tasks[[#This Row],[Pred1 UID]],Tasks[UID],0),-1))</f>
        <v>0</v>
      </c>
      <c r="BJ118" s="46" t="n">
        <f aca="false">IF(N(Tasks[[#This Row],[Pred2 UID]])=0,0,IFERROR(MATCH(Tasks[[#This Row],[Pred2 UID]],Tasks[UID],0),-1))</f>
        <v>0</v>
      </c>
      <c r="BK11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8" s="46" t="n">
        <f aca="false">IF(NOT(Tasks[[#This Row],[_IsLeaf]]=1),0,IF(N(Tasks[[#This Row],[Actual Finish]])&gt;0,1,MIN(1,N(Tasks[[#This Row],[% Complete]]))))</f>
        <v>0</v>
      </c>
      <c r="BP11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8" s="46" t="n">
        <f aca="false">IF(Tasks[[#This Row],[_LeafWork]]=0,0,Tasks[[#This Row],[_LeafWork]]*IFERROR(INDEX(res_Rate,MATCH(Tasks[[#This Row],[Resource]],res_Name,0)),0))</f>
        <v>0</v>
      </c>
      <c r="BR11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8" s="46" t="n">
        <f aca="false">IF(NOT(Tasks[[#This Row],[_IsLeaf]]=1),0,MAX(_xlfn.MAXIFS(Tasks[_Row],Tasks[Pred1 UID],Tasks[[#This Row],[UID]]),_xlfn.MAXIFS(Tasks[_Row],Tasks[Pred2 UID],Tasks[[#This Row],[UID]])))</f>
        <v>0</v>
      </c>
      <c r="BW11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8" s="48" t="str">
        <f aca="false">IF(NOT(Tasks[[#This Row],[_IsLeaf]]=1),"",MIN(ProjectFinish,IF(N(Tasks[[#This Row],[Deadline]])&gt;0,Tasks[[#This Row],[Deadline]],2958465),Tasks[[#This Row],[_SuccessorFinishLimit]]))</f>
        <v/>
      </c>
      <c r="BY11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8" s="47" t="b">
        <f aca="false">AND(Tasks[[#This Row],[_IsLeaf]]=1,Tasks[[#This Row],[_LeafProgress]]&lt;1,N(Tasks[[#This Row],[_LeafTotalSlack]])&lt;=CriticalSlackDays)</f>
        <v>0</v>
      </c>
      <c r="CB11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8" s="46" t="n">
        <f aca="false">IF(AND(Tasks[[#This Row],[_IsLeaf]]=1,Tasks[[#This Row],[_LeafWork]]&gt;0),NETWORKDAYS.INTL(ProjectStart,Tasks[[#This Row],[_LeafFcstStart]],WorkWeek,Holidays),0)</f>
        <v>0</v>
      </c>
      <c r="CK11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8" s="46" t="n">
        <f aca="false">IF(AND(Tasks[[#This Row],[_IsLeaf]]=1,Tasks[[#This Row],[_LeafWork]]&gt;0),Tasks[[#This Row],[_LeafWork]]/(Tasks[[#This Row],[_FinishWorkday]]-Tasks[[#This Row],[_StartWorkday]]+1),0)</f>
        <v>0</v>
      </c>
      <c r="CM118" s="46" t="n">
        <f aca="false">Tasks[[#This Row],[_WorkPerWorkday]]*(Tasks[[#This Row],[_StartWorkday]]-1)</f>
        <v>-0</v>
      </c>
      <c r="CN118" s="46" t="n">
        <f aca="false">IF(Tasks[[#This Row],[_IsLeaf]]=1,MAX(N(Tasks[[#This Row],[Duration]]),0.1),0)</f>
        <v>0</v>
      </c>
      <c r="CO118" s="46" t="n">
        <f aca="false">Tasks[[#This Row],[_WeightDur]]*Tasks[[#This Row],[_LeafProgress]]</f>
        <v>0</v>
      </c>
      <c r="CP11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39"/>
      <c r="E119" s="40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9" s="31"/>
      <c r="AF11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9" s="40"/>
      <c r="AI119" s="31"/>
      <c r="AJ11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9" s="40"/>
      <c r="AO119" s="24" t="str">
        <f aca="false">IF(Tasks[[#This Row],[Task Name]]="","",Tasks[[#This Row],[Forecast Start]])</f>
        <v/>
      </c>
      <c r="AP119" s="24" t="str">
        <f aca="false">IF(Tasks[[#This Row],[Task Name]]="","",Tasks[[#This Row],[Forecast Finish]])</f>
        <v/>
      </c>
      <c r="AQ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9" s="42" t="str">
        <f aca="false">IF(Tasks[[#This Row],[Task Name]]="","",Tasks[[#This Row],[Work]])</f>
        <v/>
      </c>
      <c r="AS119" s="43" t="str">
        <f aca="false">IF(Tasks[[#This Row],[Task Name]]="","",Tasks[[#This Row],[Cost]])</f>
        <v/>
      </c>
      <c r="AT119" s="29"/>
      <c r="AU119" s="29"/>
      <c r="AV119" s="39"/>
      <c r="AW119" s="44"/>
      <c r="AX119" s="45"/>
      <c r="AY119" s="38" t="str">
        <f aca="false">IF(OR(Tasks[[#This Row],[Task Name]]="",Tasks[[#This Row],[Baseline Duration]]=""),"",Tasks[[#This Row],[BL Source Duration]]-N(Tasks[[#This Row],[Baseline Duration]]))</f>
        <v/>
      </c>
      <c r="AZ119" s="42" t="str">
        <f aca="false">IF(OR(Tasks[[#This Row],[Task Name]]="",Tasks[[#This Row],[Baseline Work]]=""),"",Tasks[[#This Row],[Work]]-N(Tasks[[#This Row],[Baseline Work]]))</f>
        <v/>
      </c>
      <c r="BA119" s="43" t="str">
        <f aca="false">IF(OR(Tasks[[#This Row],[Task Name]]="",Tasks[[#This Row],[Baseline Cost]]=""),"",Tasks[[#This Row],[Cost]]-N(Tasks[[#This Row],[Baseline Cost]]))</f>
        <v/>
      </c>
      <c r="BB119" s="46" t="str">
        <f aca="false">IF(Tasks[[#This Row],[Task Name]]="","",MAX(1,N(Tasks[[#This Row],[Level]])))</f>
        <v/>
      </c>
      <c r="BC119" s="46" t="n">
        <f aca="false">ROW()-ROW(Tasks[[#Headers],[ID]])</f>
        <v>114</v>
      </c>
      <c r="BD1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9" s="46" t="n">
        <f aca="false">IFERROR(N(INDEX(Tasks[_Level],Tasks[[#This Row],[_Row]]+1)),0)</f>
        <v>0</v>
      </c>
      <c r="BF119" s="47" t="b">
        <f aca="false">AND(Tasks[[#This Row],[Task Name]]&lt;&gt;"",Tasks[[#This Row],[_NextLevel]]&gt;Tasks[[#This Row],[_Level]])</f>
        <v>0</v>
      </c>
      <c r="BG119" s="46" t="n">
        <f aca="false">IF(Tasks[[#This Row],[_IsSummary]],COUNTIF(Tasks[WBS],Tasks[[#This Row],[WBS]]&amp;".*"),0)</f>
        <v>0</v>
      </c>
      <c r="BH119" s="46" t="n">
        <f aca="false">IF(AND(Tasks[[#This Row],[Task Name]]&lt;&gt;"",NOT(Tasks[[#This Row],[_IsSummary]])),1,0)</f>
        <v>0</v>
      </c>
      <c r="BI119" s="46" t="n">
        <f aca="false">IF(N(Tasks[[#This Row],[Pred1 UID]])=0,0,IFERROR(MATCH(Tasks[[#This Row],[Pred1 UID]],Tasks[UID],0),-1))</f>
        <v>0</v>
      </c>
      <c r="BJ119" s="46" t="n">
        <f aca="false">IF(N(Tasks[[#This Row],[Pred2 UID]])=0,0,IFERROR(MATCH(Tasks[[#This Row],[Pred2 UID]],Tasks[UID],0),-1))</f>
        <v>0</v>
      </c>
      <c r="BK11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9" s="46" t="n">
        <f aca="false">IF(NOT(Tasks[[#This Row],[_IsLeaf]]=1),0,IF(N(Tasks[[#This Row],[Actual Finish]])&gt;0,1,MIN(1,N(Tasks[[#This Row],[% Complete]]))))</f>
        <v>0</v>
      </c>
      <c r="BP11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19" s="46" t="n">
        <f aca="false">IF(Tasks[[#This Row],[_LeafWork]]=0,0,Tasks[[#This Row],[_LeafWork]]*IFERROR(INDEX(res_Rate,MATCH(Tasks[[#This Row],[Resource]],res_Name,0)),0))</f>
        <v>0</v>
      </c>
      <c r="BR11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9" s="46" t="n">
        <f aca="false">IF(NOT(Tasks[[#This Row],[_IsLeaf]]=1),0,MAX(_xlfn.MAXIFS(Tasks[_Row],Tasks[Pred1 UID],Tasks[[#This Row],[UID]]),_xlfn.MAXIFS(Tasks[_Row],Tasks[Pred2 UID],Tasks[[#This Row],[UID]])))</f>
        <v>0</v>
      </c>
      <c r="BW11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9" s="48" t="str">
        <f aca="false">IF(NOT(Tasks[[#This Row],[_IsLeaf]]=1),"",MIN(ProjectFinish,IF(N(Tasks[[#This Row],[Deadline]])&gt;0,Tasks[[#This Row],[Deadline]],2958465),Tasks[[#This Row],[_SuccessorFinishLimit]]))</f>
        <v/>
      </c>
      <c r="BY11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9" s="47" t="b">
        <f aca="false">AND(Tasks[[#This Row],[_IsLeaf]]=1,Tasks[[#This Row],[_LeafProgress]]&lt;1,N(Tasks[[#This Row],[_LeafTotalSlack]])&lt;=CriticalSlackDays)</f>
        <v>0</v>
      </c>
      <c r="CB11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9" s="46" t="n">
        <f aca="false">IF(AND(Tasks[[#This Row],[_IsLeaf]]=1,Tasks[[#This Row],[_LeafWork]]&gt;0),NETWORKDAYS.INTL(ProjectStart,Tasks[[#This Row],[_LeafFcstStart]],WorkWeek,Holidays),0)</f>
        <v>0</v>
      </c>
      <c r="CK11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9" s="46" t="n">
        <f aca="false">IF(AND(Tasks[[#This Row],[_IsLeaf]]=1,Tasks[[#This Row],[_LeafWork]]&gt;0),Tasks[[#This Row],[_LeafWork]]/(Tasks[[#This Row],[_FinishWorkday]]-Tasks[[#This Row],[_StartWorkday]]+1),0)</f>
        <v>0</v>
      </c>
      <c r="CM119" s="46" t="n">
        <f aca="false">Tasks[[#This Row],[_WorkPerWorkday]]*(Tasks[[#This Row],[_StartWorkday]]-1)</f>
        <v>-0</v>
      </c>
      <c r="CN119" s="46" t="n">
        <f aca="false">IF(Tasks[[#This Row],[_IsLeaf]]=1,MAX(N(Tasks[[#This Row],[Duration]]),0.1),0)</f>
        <v>0</v>
      </c>
      <c r="CO119" s="46" t="n">
        <f aca="false">Tasks[[#This Row],[_WeightDur]]*Tasks[[#This Row],[_LeafProgress]]</f>
        <v>0</v>
      </c>
      <c r="CP11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39"/>
      <c r="E120" s="40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0" s="31"/>
      <c r="AF12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0" s="40"/>
      <c r="AI120" s="31"/>
      <c r="AJ12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0" s="40"/>
      <c r="AO120" s="24" t="str">
        <f aca="false">IF(Tasks[[#This Row],[Task Name]]="","",Tasks[[#This Row],[Forecast Start]])</f>
        <v/>
      </c>
      <c r="AP120" s="24" t="str">
        <f aca="false">IF(Tasks[[#This Row],[Task Name]]="","",Tasks[[#This Row],[Forecast Finish]])</f>
        <v/>
      </c>
      <c r="AQ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0" s="42" t="str">
        <f aca="false">IF(Tasks[[#This Row],[Task Name]]="","",Tasks[[#This Row],[Work]])</f>
        <v/>
      </c>
      <c r="AS120" s="43" t="str">
        <f aca="false">IF(Tasks[[#This Row],[Task Name]]="","",Tasks[[#This Row],[Cost]])</f>
        <v/>
      </c>
      <c r="AT120" s="29"/>
      <c r="AU120" s="29"/>
      <c r="AV120" s="39"/>
      <c r="AW120" s="44"/>
      <c r="AX120" s="45"/>
      <c r="AY120" s="38" t="str">
        <f aca="false">IF(OR(Tasks[[#This Row],[Task Name]]="",Tasks[[#This Row],[Baseline Duration]]=""),"",Tasks[[#This Row],[BL Source Duration]]-N(Tasks[[#This Row],[Baseline Duration]]))</f>
        <v/>
      </c>
      <c r="AZ120" s="42" t="str">
        <f aca="false">IF(OR(Tasks[[#This Row],[Task Name]]="",Tasks[[#This Row],[Baseline Work]]=""),"",Tasks[[#This Row],[Work]]-N(Tasks[[#This Row],[Baseline Work]]))</f>
        <v/>
      </c>
      <c r="BA120" s="43" t="str">
        <f aca="false">IF(OR(Tasks[[#This Row],[Task Name]]="",Tasks[[#This Row],[Baseline Cost]]=""),"",Tasks[[#This Row],[Cost]]-N(Tasks[[#This Row],[Baseline Cost]]))</f>
        <v/>
      </c>
      <c r="BB120" s="46" t="str">
        <f aca="false">IF(Tasks[[#This Row],[Task Name]]="","",MAX(1,N(Tasks[[#This Row],[Level]])))</f>
        <v/>
      </c>
      <c r="BC120" s="46" t="n">
        <f aca="false">ROW()-ROW(Tasks[[#Headers],[ID]])</f>
        <v>115</v>
      </c>
      <c r="BD1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0" s="46" t="n">
        <f aca="false">IFERROR(N(INDEX(Tasks[_Level],Tasks[[#This Row],[_Row]]+1)),0)</f>
        <v>0</v>
      </c>
      <c r="BF120" s="47" t="b">
        <f aca="false">AND(Tasks[[#This Row],[Task Name]]&lt;&gt;"",Tasks[[#This Row],[_NextLevel]]&gt;Tasks[[#This Row],[_Level]])</f>
        <v>0</v>
      </c>
      <c r="BG120" s="46" t="n">
        <f aca="false">IF(Tasks[[#This Row],[_IsSummary]],COUNTIF(Tasks[WBS],Tasks[[#This Row],[WBS]]&amp;".*"),0)</f>
        <v>0</v>
      </c>
      <c r="BH120" s="46" t="n">
        <f aca="false">IF(AND(Tasks[[#This Row],[Task Name]]&lt;&gt;"",NOT(Tasks[[#This Row],[_IsSummary]])),1,0)</f>
        <v>0</v>
      </c>
      <c r="BI120" s="46" t="n">
        <f aca="false">IF(N(Tasks[[#This Row],[Pred1 UID]])=0,0,IFERROR(MATCH(Tasks[[#This Row],[Pred1 UID]],Tasks[UID],0),-1))</f>
        <v>0</v>
      </c>
      <c r="BJ120" s="46" t="n">
        <f aca="false">IF(N(Tasks[[#This Row],[Pred2 UID]])=0,0,IFERROR(MATCH(Tasks[[#This Row],[Pred2 UID]],Tasks[UID],0),-1))</f>
        <v>0</v>
      </c>
      <c r="BK12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0" s="46" t="n">
        <f aca="false">IF(NOT(Tasks[[#This Row],[_IsLeaf]]=1),0,IF(N(Tasks[[#This Row],[Actual Finish]])&gt;0,1,MIN(1,N(Tasks[[#This Row],[% Complete]]))))</f>
        <v>0</v>
      </c>
      <c r="BP12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0" s="46" t="n">
        <f aca="false">IF(Tasks[[#This Row],[_LeafWork]]=0,0,Tasks[[#This Row],[_LeafWork]]*IFERROR(INDEX(res_Rate,MATCH(Tasks[[#This Row],[Resource]],res_Name,0)),0))</f>
        <v>0</v>
      </c>
      <c r="BR12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0" s="46" t="n">
        <f aca="false">IF(NOT(Tasks[[#This Row],[_IsLeaf]]=1),0,MAX(_xlfn.MAXIFS(Tasks[_Row],Tasks[Pred1 UID],Tasks[[#This Row],[UID]]),_xlfn.MAXIFS(Tasks[_Row],Tasks[Pred2 UID],Tasks[[#This Row],[UID]])))</f>
        <v>0</v>
      </c>
      <c r="BW12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0" s="48" t="str">
        <f aca="false">IF(NOT(Tasks[[#This Row],[_IsLeaf]]=1),"",MIN(ProjectFinish,IF(N(Tasks[[#This Row],[Deadline]])&gt;0,Tasks[[#This Row],[Deadline]],2958465),Tasks[[#This Row],[_SuccessorFinishLimit]]))</f>
        <v/>
      </c>
      <c r="BY12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0" s="47" t="b">
        <f aca="false">AND(Tasks[[#This Row],[_IsLeaf]]=1,Tasks[[#This Row],[_LeafProgress]]&lt;1,N(Tasks[[#This Row],[_LeafTotalSlack]])&lt;=CriticalSlackDays)</f>
        <v>0</v>
      </c>
      <c r="CB12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0" s="46" t="n">
        <f aca="false">IF(AND(Tasks[[#This Row],[_IsLeaf]]=1,Tasks[[#This Row],[_LeafWork]]&gt;0),NETWORKDAYS.INTL(ProjectStart,Tasks[[#This Row],[_LeafFcstStart]],WorkWeek,Holidays),0)</f>
        <v>0</v>
      </c>
      <c r="CK12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0" s="46" t="n">
        <f aca="false">IF(AND(Tasks[[#This Row],[_IsLeaf]]=1,Tasks[[#This Row],[_LeafWork]]&gt;0),Tasks[[#This Row],[_LeafWork]]/(Tasks[[#This Row],[_FinishWorkday]]-Tasks[[#This Row],[_StartWorkday]]+1),0)</f>
        <v>0</v>
      </c>
      <c r="CM120" s="46" t="n">
        <f aca="false">Tasks[[#This Row],[_WorkPerWorkday]]*(Tasks[[#This Row],[_StartWorkday]]-1)</f>
        <v>-0</v>
      </c>
      <c r="CN120" s="46" t="n">
        <f aca="false">IF(Tasks[[#This Row],[_IsLeaf]]=1,MAX(N(Tasks[[#This Row],[Duration]]),0.1),0)</f>
        <v>0</v>
      </c>
      <c r="CO120" s="46" t="n">
        <f aca="false">Tasks[[#This Row],[_WeightDur]]*Tasks[[#This Row],[_LeafProgress]]</f>
        <v>0</v>
      </c>
      <c r="CP12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39"/>
      <c r="E121" s="40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1" s="31"/>
      <c r="AF12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1" s="40"/>
      <c r="AI121" s="31"/>
      <c r="AJ12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1" s="40"/>
      <c r="AO121" s="24" t="str">
        <f aca="false">IF(Tasks[[#This Row],[Task Name]]="","",Tasks[[#This Row],[Forecast Start]])</f>
        <v/>
      </c>
      <c r="AP121" s="24" t="str">
        <f aca="false">IF(Tasks[[#This Row],[Task Name]]="","",Tasks[[#This Row],[Forecast Finish]])</f>
        <v/>
      </c>
      <c r="AQ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1" s="42" t="str">
        <f aca="false">IF(Tasks[[#This Row],[Task Name]]="","",Tasks[[#This Row],[Work]])</f>
        <v/>
      </c>
      <c r="AS121" s="43" t="str">
        <f aca="false">IF(Tasks[[#This Row],[Task Name]]="","",Tasks[[#This Row],[Cost]])</f>
        <v/>
      </c>
      <c r="AT121" s="29"/>
      <c r="AU121" s="29"/>
      <c r="AV121" s="39"/>
      <c r="AW121" s="44"/>
      <c r="AX121" s="45"/>
      <c r="AY121" s="38" t="str">
        <f aca="false">IF(OR(Tasks[[#This Row],[Task Name]]="",Tasks[[#This Row],[Baseline Duration]]=""),"",Tasks[[#This Row],[BL Source Duration]]-N(Tasks[[#This Row],[Baseline Duration]]))</f>
        <v/>
      </c>
      <c r="AZ121" s="42" t="str">
        <f aca="false">IF(OR(Tasks[[#This Row],[Task Name]]="",Tasks[[#This Row],[Baseline Work]]=""),"",Tasks[[#This Row],[Work]]-N(Tasks[[#This Row],[Baseline Work]]))</f>
        <v/>
      </c>
      <c r="BA121" s="43" t="str">
        <f aca="false">IF(OR(Tasks[[#This Row],[Task Name]]="",Tasks[[#This Row],[Baseline Cost]]=""),"",Tasks[[#This Row],[Cost]]-N(Tasks[[#This Row],[Baseline Cost]]))</f>
        <v/>
      </c>
      <c r="BB121" s="46" t="str">
        <f aca="false">IF(Tasks[[#This Row],[Task Name]]="","",MAX(1,N(Tasks[[#This Row],[Level]])))</f>
        <v/>
      </c>
      <c r="BC121" s="46" t="n">
        <f aca="false">ROW()-ROW(Tasks[[#Headers],[ID]])</f>
        <v>116</v>
      </c>
      <c r="BD1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1" s="46" t="n">
        <f aca="false">IFERROR(N(INDEX(Tasks[_Level],Tasks[[#This Row],[_Row]]+1)),0)</f>
        <v>0</v>
      </c>
      <c r="BF121" s="47" t="b">
        <f aca="false">AND(Tasks[[#This Row],[Task Name]]&lt;&gt;"",Tasks[[#This Row],[_NextLevel]]&gt;Tasks[[#This Row],[_Level]])</f>
        <v>0</v>
      </c>
      <c r="BG121" s="46" t="n">
        <f aca="false">IF(Tasks[[#This Row],[_IsSummary]],COUNTIF(Tasks[WBS],Tasks[[#This Row],[WBS]]&amp;".*"),0)</f>
        <v>0</v>
      </c>
      <c r="BH121" s="46" t="n">
        <f aca="false">IF(AND(Tasks[[#This Row],[Task Name]]&lt;&gt;"",NOT(Tasks[[#This Row],[_IsSummary]])),1,0)</f>
        <v>0</v>
      </c>
      <c r="BI121" s="46" t="n">
        <f aca="false">IF(N(Tasks[[#This Row],[Pred1 UID]])=0,0,IFERROR(MATCH(Tasks[[#This Row],[Pred1 UID]],Tasks[UID],0),-1))</f>
        <v>0</v>
      </c>
      <c r="BJ121" s="46" t="n">
        <f aca="false">IF(N(Tasks[[#This Row],[Pred2 UID]])=0,0,IFERROR(MATCH(Tasks[[#This Row],[Pred2 UID]],Tasks[UID],0),-1))</f>
        <v>0</v>
      </c>
      <c r="BK12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1" s="46" t="n">
        <f aca="false">IF(NOT(Tasks[[#This Row],[_IsLeaf]]=1),0,IF(N(Tasks[[#This Row],[Actual Finish]])&gt;0,1,MIN(1,N(Tasks[[#This Row],[% Complete]]))))</f>
        <v>0</v>
      </c>
      <c r="BP12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1" s="46" t="n">
        <f aca="false">IF(Tasks[[#This Row],[_LeafWork]]=0,0,Tasks[[#This Row],[_LeafWork]]*IFERROR(INDEX(res_Rate,MATCH(Tasks[[#This Row],[Resource]],res_Name,0)),0))</f>
        <v>0</v>
      </c>
      <c r="BR12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1" s="46" t="n">
        <f aca="false">IF(NOT(Tasks[[#This Row],[_IsLeaf]]=1),0,MAX(_xlfn.MAXIFS(Tasks[_Row],Tasks[Pred1 UID],Tasks[[#This Row],[UID]]),_xlfn.MAXIFS(Tasks[_Row],Tasks[Pred2 UID],Tasks[[#This Row],[UID]])))</f>
        <v>0</v>
      </c>
      <c r="BW12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1" s="48" t="str">
        <f aca="false">IF(NOT(Tasks[[#This Row],[_IsLeaf]]=1),"",MIN(ProjectFinish,IF(N(Tasks[[#This Row],[Deadline]])&gt;0,Tasks[[#This Row],[Deadline]],2958465),Tasks[[#This Row],[_SuccessorFinishLimit]]))</f>
        <v/>
      </c>
      <c r="BY12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1" s="47" t="b">
        <f aca="false">AND(Tasks[[#This Row],[_IsLeaf]]=1,Tasks[[#This Row],[_LeafProgress]]&lt;1,N(Tasks[[#This Row],[_LeafTotalSlack]])&lt;=CriticalSlackDays)</f>
        <v>0</v>
      </c>
      <c r="CB12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1" s="46" t="n">
        <f aca="false">IF(AND(Tasks[[#This Row],[_IsLeaf]]=1,Tasks[[#This Row],[_LeafWork]]&gt;0),NETWORKDAYS.INTL(ProjectStart,Tasks[[#This Row],[_LeafFcstStart]],WorkWeek,Holidays),0)</f>
        <v>0</v>
      </c>
      <c r="CK12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1" s="46" t="n">
        <f aca="false">IF(AND(Tasks[[#This Row],[_IsLeaf]]=1,Tasks[[#This Row],[_LeafWork]]&gt;0),Tasks[[#This Row],[_LeafWork]]/(Tasks[[#This Row],[_FinishWorkday]]-Tasks[[#This Row],[_StartWorkday]]+1),0)</f>
        <v>0</v>
      </c>
      <c r="CM121" s="46" t="n">
        <f aca="false">Tasks[[#This Row],[_WorkPerWorkday]]*(Tasks[[#This Row],[_StartWorkday]]-1)</f>
        <v>-0</v>
      </c>
      <c r="CN121" s="46" t="n">
        <f aca="false">IF(Tasks[[#This Row],[_IsLeaf]]=1,MAX(N(Tasks[[#This Row],[Duration]]),0.1),0)</f>
        <v>0</v>
      </c>
      <c r="CO121" s="46" t="n">
        <f aca="false">Tasks[[#This Row],[_WeightDur]]*Tasks[[#This Row],[_LeafProgress]]</f>
        <v>0</v>
      </c>
      <c r="CP12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39"/>
      <c r="E122" s="40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2" s="31"/>
      <c r="AF12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2" s="40"/>
      <c r="AI122" s="31"/>
      <c r="AJ12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2" s="40"/>
      <c r="AO122" s="24" t="str">
        <f aca="false">IF(Tasks[[#This Row],[Task Name]]="","",Tasks[[#This Row],[Forecast Start]])</f>
        <v/>
      </c>
      <c r="AP122" s="24" t="str">
        <f aca="false">IF(Tasks[[#This Row],[Task Name]]="","",Tasks[[#This Row],[Forecast Finish]])</f>
        <v/>
      </c>
      <c r="AQ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2" s="42" t="str">
        <f aca="false">IF(Tasks[[#This Row],[Task Name]]="","",Tasks[[#This Row],[Work]])</f>
        <v/>
      </c>
      <c r="AS122" s="43" t="str">
        <f aca="false">IF(Tasks[[#This Row],[Task Name]]="","",Tasks[[#This Row],[Cost]])</f>
        <v/>
      </c>
      <c r="AT122" s="29"/>
      <c r="AU122" s="29"/>
      <c r="AV122" s="39"/>
      <c r="AW122" s="44"/>
      <c r="AX122" s="45"/>
      <c r="AY122" s="38" t="str">
        <f aca="false">IF(OR(Tasks[[#This Row],[Task Name]]="",Tasks[[#This Row],[Baseline Duration]]=""),"",Tasks[[#This Row],[BL Source Duration]]-N(Tasks[[#This Row],[Baseline Duration]]))</f>
        <v/>
      </c>
      <c r="AZ122" s="42" t="str">
        <f aca="false">IF(OR(Tasks[[#This Row],[Task Name]]="",Tasks[[#This Row],[Baseline Work]]=""),"",Tasks[[#This Row],[Work]]-N(Tasks[[#This Row],[Baseline Work]]))</f>
        <v/>
      </c>
      <c r="BA122" s="43" t="str">
        <f aca="false">IF(OR(Tasks[[#This Row],[Task Name]]="",Tasks[[#This Row],[Baseline Cost]]=""),"",Tasks[[#This Row],[Cost]]-N(Tasks[[#This Row],[Baseline Cost]]))</f>
        <v/>
      </c>
      <c r="BB122" s="46" t="str">
        <f aca="false">IF(Tasks[[#This Row],[Task Name]]="","",MAX(1,N(Tasks[[#This Row],[Level]])))</f>
        <v/>
      </c>
      <c r="BC122" s="46" t="n">
        <f aca="false">ROW()-ROW(Tasks[[#Headers],[ID]])</f>
        <v>117</v>
      </c>
      <c r="BD1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2" s="46" t="n">
        <f aca="false">IFERROR(N(INDEX(Tasks[_Level],Tasks[[#This Row],[_Row]]+1)),0)</f>
        <v>0</v>
      </c>
      <c r="BF122" s="47" t="b">
        <f aca="false">AND(Tasks[[#This Row],[Task Name]]&lt;&gt;"",Tasks[[#This Row],[_NextLevel]]&gt;Tasks[[#This Row],[_Level]])</f>
        <v>0</v>
      </c>
      <c r="BG122" s="46" t="n">
        <f aca="false">IF(Tasks[[#This Row],[_IsSummary]],COUNTIF(Tasks[WBS],Tasks[[#This Row],[WBS]]&amp;".*"),0)</f>
        <v>0</v>
      </c>
      <c r="BH122" s="46" t="n">
        <f aca="false">IF(AND(Tasks[[#This Row],[Task Name]]&lt;&gt;"",NOT(Tasks[[#This Row],[_IsSummary]])),1,0)</f>
        <v>0</v>
      </c>
      <c r="BI122" s="46" t="n">
        <f aca="false">IF(N(Tasks[[#This Row],[Pred1 UID]])=0,0,IFERROR(MATCH(Tasks[[#This Row],[Pred1 UID]],Tasks[UID],0),-1))</f>
        <v>0</v>
      </c>
      <c r="BJ122" s="46" t="n">
        <f aca="false">IF(N(Tasks[[#This Row],[Pred2 UID]])=0,0,IFERROR(MATCH(Tasks[[#This Row],[Pred2 UID]],Tasks[UID],0),-1))</f>
        <v>0</v>
      </c>
      <c r="BK12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2" s="46" t="n">
        <f aca="false">IF(NOT(Tasks[[#This Row],[_IsLeaf]]=1),0,IF(N(Tasks[[#This Row],[Actual Finish]])&gt;0,1,MIN(1,N(Tasks[[#This Row],[% Complete]]))))</f>
        <v>0</v>
      </c>
      <c r="BP12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2" s="46" t="n">
        <f aca="false">IF(Tasks[[#This Row],[_LeafWork]]=0,0,Tasks[[#This Row],[_LeafWork]]*IFERROR(INDEX(res_Rate,MATCH(Tasks[[#This Row],[Resource]],res_Name,0)),0))</f>
        <v>0</v>
      </c>
      <c r="BR12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2" s="46" t="n">
        <f aca="false">IF(NOT(Tasks[[#This Row],[_IsLeaf]]=1),0,MAX(_xlfn.MAXIFS(Tasks[_Row],Tasks[Pred1 UID],Tasks[[#This Row],[UID]]),_xlfn.MAXIFS(Tasks[_Row],Tasks[Pred2 UID],Tasks[[#This Row],[UID]])))</f>
        <v>0</v>
      </c>
      <c r="BW12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2" s="48" t="str">
        <f aca="false">IF(NOT(Tasks[[#This Row],[_IsLeaf]]=1),"",MIN(ProjectFinish,IF(N(Tasks[[#This Row],[Deadline]])&gt;0,Tasks[[#This Row],[Deadline]],2958465),Tasks[[#This Row],[_SuccessorFinishLimit]]))</f>
        <v/>
      </c>
      <c r="BY12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2" s="47" t="b">
        <f aca="false">AND(Tasks[[#This Row],[_IsLeaf]]=1,Tasks[[#This Row],[_LeafProgress]]&lt;1,N(Tasks[[#This Row],[_LeafTotalSlack]])&lt;=CriticalSlackDays)</f>
        <v>0</v>
      </c>
      <c r="CB12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2" s="46" t="n">
        <f aca="false">IF(AND(Tasks[[#This Row],[_IsLeaf]]=1,Tasks[[#This Row],[_LeafWork]]&gt;0),NETWORKDAYS.INTL(ProjectStart,Tasks[[#This Row],[_LeafFcstStart]],WorkWeek,Holidays),0)</f>
        <v>0</v>
      </c>
      <c r="CK12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2" s="46" t="n">
        <f aca="false">IF(AND(Tasks[[#This Row],[_IsLeaf]]=1,Tasks[[#This Row],[_LeafWork]]&gt;0),Tasks[[#This Row],[_LeafWork]]/(Tasks[[#This Row],[_FinishWorkday]]-Tasks[[#This Row],[_StartWorkday]]+1),0)</f>
        <v>0</v>
      </c>
      <c r="CM122" s="46" t="n">
        <f aca="false">Tasks[[#This Row],[_WorkPerWorkday]]*(Tasks[[#This Row],[_StartWorkday]]-1)</f>
        <v>-0</v>
      </c>
      <c r="CN122" s="46" t="n">
        <f aca="false">IF(Tasks[[#This Row],[_IsLeaf]]=1,MAX(N(Tasks[[#This Row],[Duration]]),0.1),0)</f>
        <v>0</v>
      </c>
      <c r="CO122" s="46" t="n">
        <f aca="false">Tasks[[#This Row],[_WeightDur]]*Tasks[[#This Row],[_LeafProgress]]</f>
        <v>0</v>
      </c>
      <c r="CP12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39"/>
      <c r="E123" s="40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3" s="31"/>
      <c r="AF12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3" s="40"/>
      <c r="AI123" s="31"/>
      <c r="AJ12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3" s="40"/>
      <c r="AO123" s="24" t="str">
        <f aca="false">IF(Tasks[[#This Row],[Task Name]]="","",Tasks[[#This Row],[Forecast Start]])</f>
        <v/>
      </c>
      <c r="AP123" s="24" t="str">
        <f aca="false">IF(Tasks[[#This Row],[Task Name]]="","",Tasks[[#This Row],[Forecast Finish]])</f>
        <v/>
      </c>
      <c r="AQ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3" s="42" t="str">
        <f aca="false">IF(Tasks[[#This Row],[Task Name]]="","",Tasks[[#This Row],[Work]])</f>
        <v/>
      </c>
      <c r="AS123" s="43" t="str">
        <f aca="false">IF(Tasks[[#This Row],[Task Name]]="","",Tasks[[#This Row],[Cost]])</f>
        <v/>
      </c>
      <c r="AT123" s="29"/>
      <c r="AU123" s="29"/>
      <c r="AV123" s="39"/>
      <c r="AW123" s="44"/>
      <c r="AX123" s="45"/>
      <c r="AY123" s="38" t="str">
        <f aca="false">IF(OR(Tasks[[#This Row],[Task Name]]="",Tasks[[#This Row],[Baseline Duration]]=""),"",Tasks[[#This Row],[BL Source Duration]]-N(Tasks[[#This Row],[Baseline Duration]]))</f>
        <v/>
      </c>
      <c r="AZ123" s="42" t="str">
        <f aca="false">IF(OR(Tasks[[#This Row],[Task Name]]="",Tasks[[#This Row],[Baseline Work]]=""),"",Tasks[[#This Row],[Work]]-N(Tasks[[#This Row],[Baseline Work]]))</f>
        <v/>
      </c>
      <c r="BA123" s="43" t="str">
        <f aca="false">IF(OR(Tasks[[#This Row],[Task Name]]="",Tasks[[#This Row],[Baseline Cost]]=""),"",Tasks[[#This Row],[Cost]]-N(Tasks[[#This Row],[Baseline Cost]]))</f>
        <v/>
      </c>
      <c r="BB123" s="46" t="str">
        <f aca="false">IF(Tasks[[#This Row],[Task Name]]="","",MAX(1,N(Tasks[[#This Row],[Level]])))</f>
        <v/>
      </c>
      <c r="BC123" s="46" t="n">
        <f aca="false">ROW()-ROW(Tasks[[#Headers],[ID]])</f>
        <v>118</v>
      </c>
      <c r="BD1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3" s="46" t="n">
        <f aca="false">IFERROR(N(INDEX(Tasks[_Level],Tasks[[#This Row],[_Row]]+1)),0)</f>
        <v>0</v>
      </c>
      <c r="BF123" s="47" t="b">
        <f aca="false">AND(Tasks[[#This Row],[Task Name]]&lt;&gt;"",Tasks[[#This Row],[_NextLevel]]&gt;Tasks[[#This Row],[_Level]])</f>
        <v>0</v>
      </c>
      <c r="BG123" s="46" t="n">
        <f aca="false">IF(Tasks[[#This Row],[_IsSummary]],COUNTIF(Tasks[WBS],Tasks[[#This Row],[WBS]]&amp;".*"),0)</f>
        <v>0</v>
      </c>
      <c r="BH123" s="46" t="n">
        <f aca="false">IF(AND(Tasks[[#This Row],[Task Name]]&lt;&gt;"",NOT(Tasks[[#This Row],[_IsSummary]])),1,0)</f>
        <v>0</v>
      </c>
      <c r="BI123" s="46" t="n">
        <f aca="false">IF(N(Tasks[[#This Row],[Pred1 UID]])=0,0,IFERROR(MATCH(Tasks[[#This Row],[Pred1 UID]],Tasks[UID],0),-1))</f>
        <v>0</v>
      </c>
      <c r="BJ123" s="46" t="n">
        <f aca="false">IF(N(Tasks[[#This Row],[Pred2 UID]])=0,0,IFERROR(MATCH(Tasks[[#This Row],[Pred2 UID]],Tasks[UID],0),-1))</f>
        <v>0</v>
      </c>
      <c r="BK12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3" s="46" t="n">
        <f aca="false">IF(NOT(Tasks[[#This Row],[_IsLeaf]]=1),0,IF(N(Tasks[[#This Row],[Actual Finish]])&gt;0,1,MIN(1,N(Tasks[[#This Row],[% Complete]]))))</f>
        <v>0</v>
      </c>
      <c r="BP12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3" s="46" t="n">
        <f aca="false">IF(Tasks[[#This Row],[_LeafWork]]=0,0,Tasks[[#This Row],[_LeafWork]]*IFERROR(INDEX(res_Rate,MATCH(Tasks[[#This Row],[Resource]],res_Name,0)),0))</f>
        <v>0</v>
      </c>
      <c r="BR12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3" s="46" t="n">
        <f aca="false">IF(NOT(Tasks[[#This Row],[_IsLeaf]]=1),0,MAX(_xlfn.MAXIFS(Tasks[_Row],Tasks[Pred1 UID],Tasks[[#This Row],[UID]]),_xlfn.MAXIFS(Tasks[_Row],Tasks[Pred2 UID],Tasks[[#This Row],[UID]])))</f>
        <v>0</v>
      </c>
      <c r="BW12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3" s="48" t="str">
        <f aca="false">IF(NOT(Tasks[[#This Row],[_IsLeaf]]=1),"",MIN(ProjectFinish,IF(N(Tasks[[#This Row],[Deadline]])&gt;0,Tasks[[#This Row],[Deadline]],2958465),Tasks[[#This Row],[_SuccessorFinishLimit]]))</f>
        <v/>
      </c>
      <c r="BY12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3" s="47" t="b">
        <f aca="false">AND(Tasks[[#This Row],[_IsLeaf]]=1,Tasks[[#This Row],[_LeafProgress]]&lt;1,N(Tasks[[#This Row],[_LeafTotalSlack]])&lt;=CriticalSlackDays)</f>
        <v>0</v>
      </c>
      <c r="CB12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3" s="46" t="n">
        <f aca="false">IF(AND(Tasks[[#This Row],[_IsLeaf]]=1,Tasks[[#This Row],[_LeafWork]]&gt;0),NETWORKDAYS.INTL(ProjectStart,Tasks[[#This Row],[_LeafFcstStart]],WorkWeek,Holidays),0)</f>
        <v>0</v>
      </c>
      <c r="CK12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3" s="46" t="n">
        <f aca="false">IF(AND(Tasks[[#This Row],[_IsLeaf]]=1,Tasks[[#This Row],[_LeafWork]]&gt;0),Tasks[[#This Row],[_LeafWork]]/(Tasks[[#This Row],[_FinishWorkday]]-Tasks[[#This Row],[_StartWorkday]]+1),0)</f>
        <v>0</v>
      </c>
      <c r="CM123" s="46" t="n">
        <f aca="false">Tasks[[#This Row],[_WorkPerWorkday]]*(Tasks[[#This Row],[_StartWorkday]]-1)</f>
        <v>-0</v>
      </c>
      <c r="CN123" s="46" t="n">
        <f aca="false">IF(Tasks[[#This Row],[_IsLeaf]]=1,MAX(N(Tasks[[#This Row],[Duration]]),0.1),0)</f>
        <v>0</v>
      </c>
      <c r="CO123" s="46" t="n">
        <f aca="false">Tasks[[#This Row],[_WeightDur]]*Tasks[[#This Row],[_LeafProgress]]</f>
        <v>0</v>
      </c>
      <c r="CP12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39"/>
      <c r="E124" s="40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4" s="31"/>
      <c r="AF12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4" s="40"/>
      <c r="AI124" s="31"/>
      <c r="AJ12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4" s="40"/>
      <c r="AO124" s="24" t="str">
        <f aca="false">IF(Tasks[[#This Row],[Task Name]]="","",Tasks[[#This Row],[Forecast Start]])</f>
        <v/>
      </c>
      <c r="AP124" s="24" t="str">
        <f aca="false">IF(Tasks[[#This Row],[Task Name]]="","",Tasks[[#This Row],[Forecast Finish]])</f>
        <v/>
      </c>
      <c r="AQ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4" s="42" t="str">
        <f aca="false">IF(Tasks[[#This Row],[Task Name]]="","",Tasks[[#This Row],[Work]])</f>
        <v/>
      </c>
      <c r="AS124" s="43" t="str">
        <f aca="false">IF(Tasks[[#This Row],[Task Name]]="","",Tasks[[#This Row],[Cost]])</f>
        <v/>
      </c>
      <c r="AT124" s="29"/>
      <c r="AU124" s="29"/>
      <c r="AV124" s="39"/>
      <c r="AW124" s="44"/>
      <c r="AX124" s="45"/>
      <c r="AY124" s="38" t="str">
        <f aca="false">IF(OR(Tasks[[#This Row],[Task Name]]="",Tasks[[#This Row],[Baseline Duration]]=""),"",Tasks[[#This Row],[BL Source Duration]]-N(Tasks[[#This Row],[Baseline Duration]]))</f>
        <v/>
      </c>
      <c r="AZ124" s="42" t="str">
        <f aca="false">IF(OR(Tasks[[#This Row],[Task Name]]="",Tasks[[#This Row],[Baseline Work]]=""),"",Tasks[[#This Row],[Work]]-N(Tasks[[#This Row],[Baseline Work]]))</f>
        <v/>
      </c>
      <c r="BA124" s="43" t="str">
        <f aca="false">IF(OR(Tasks[[#This Row],[Task Name]]="",Tasks[[#This Row],[Baseline Cost]]=""),"",Tasks[[#This Row],[Cost]]-N(Tasks[[#This Row],[Baseline Cost]]))</f>
        <v/>
      </c>
      <c r="BB124" s="46" t="str">
        <f aca="false">IF(Tasks[[#This Row],[Task Name]]="","",MAX(1,N(Tasks[[#This Row],[Level]])))</f>
        <v/>
      </c>
      <c r="BC124" s="46" t="n">
        <f aca="false">ROW()-ROW(Tasks[[#Headers],[ID]])</f>
        <v>119</v>
      </c>
      <c r="BD1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4" s="46" t="n">
        <f aca="false">IFERROR(N(INDEX(Tasks[_Level],Tasks[[#This Row],[_Row]]+1)),0)</f>
        <v>0</v>
      </c>
      <c r="BF124" s="47" t="b">
        <f aca="false">AND(Tasks[[#This Row],[Task Name]]&lt;&gt;"",Tasks[[#This Row],[_NextLevel]]&gt;Tasks[[#This Row],[_Level]])</f>
        <v>0</v>
      </c>
      <c r="BG124" s="46" t="n">
        <f aca="false">IF(Tasks[[#This Row],[_IsSummary]],COUNTIF(Tasks[WBS],Tasks[[#This Row],[WBS]]&amp;".*"),0)</f>
        <v>0</v>
      </c>
      <c r="BH124" s="46" t="n">
        <f aca="false">IF(AND(Tasks[[#This Row],[Task Name]]&lt;&gt;"",NOT(Tasks[[#This Row],[_IsSummary]])),1,0)</f>
        <v>0</v>
      </c>
      <c r="BI124" s="46" t="n">
        <f aca="false">IF(N(Tasks[[#This Row],[Pred1 UID]])=0,0,IFERROR(MATCH(Tasks[[#This Row],[Pred1 UID]],Tasks[UID],0),-1))</f>
        <v>0</v>
      </c>
      <c r="BJ124" s="46" t="n">
        <f aca="false">IF(N(Tasks[[#This Row],[Pred2 UID]])=0,0,IFERROR(MATCH(Tasks[[#This Row],[Pred2 UID]],Tasks[UID],0),-1))</f>
        <v>0</v>
      </c>
      <c r="BK12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4" s="46" t="n">
        <f aca="false">IF(NOT(Tasks[[#This Row],[_IsLeaf]]=1),0,IF(N(Tasks[[#This Row],[Actual Finish]])&gt;0,1,MIN(1,N(Tasks[[#This Row],[% Complete]]))))</f>
        <v>0</v>
      </c>
      <c r="BP12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4" s="46" t="n">
        <f aca="false">IF(Tasks[[#This Row],[_LeafWork]]=0,0,Tasks[[#This Row],[_LeafWork]]*IFERROR(INDEX(res_Rate,MATCH(Tasks[[#This Row],[Resource]],res_Name,0)),0))</f>
        <v>0</v>
      </c>
      <c r="BR12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4" s="46" t="n">
        <f aca="false">IF(NOT(Tasks[[#This Row],[_IsLeaf]]=1),0,MAX(_xlfn.MAXIFS(Tasks[_Row],Tasks[Pred1 UID],Tasks[[#This Row],[UID]]),_xlfn.MAXIFS(Tasks[_Row],Tasks[Pred2 UID],Tasks[[#This Row],[UID]])))</f>
        <v>0</v>
      </c>
      <c r="BW12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4" s="48" t="str">
        <f aca="false">IF(NOT(Tasks[[#This Row],[_IsLeaf]]=1),"",MIN(ProjectFinish,IF(N(Tasks[[#This Row],[Deadline]])&gt;0,Tasks[[#This Row],[Deadline]],2958465),Tasks[[#This Row],[_SuccessorFinishLimit]]))</f>
        <v/>
      </c>
      <c r="BY12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4" s="47" t="b">
        <f aca="false">AND(Tasks[[#This Row],[_IsLeaf]]=1,Tasks[[#This Row],[_LeafProgress]]&lt;1,N(Tasks[[#This Row],[_LeafTotalSlack]])&lt;=CriticalSlackDays)</f>
        <v>0</v>
      </c>
      <c r="CB12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4" s="46" t="n">
        <f aca="false">IF(AND(Tasks[[#This Row],[_IsLeaf]]=1,Tasks[[#This Row],[_LeafWork]]&gt;0),NETWORKDAYS.INTL(ProjectStart,Tasks[[#This Row],[_LeafFcstStart]],WorkWeek,Holidays),0)</f>
        <v>0</v>
      </c>
      <c r="CK12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4" s="46" t="n">
        <f aca="false">IF(AND(Tasks[[#This Row],[_IsLeaf]]=1,Tasks[[#This Row],[_LeafWork]]&gt;0),Tasks[[#This Row],[_LeafWork]]/(Tasks[[#This Row],[_FinishWorkday]]-Tasks[[#This Row],[_StartWorkday]]+1),0)</f>
        <v>0</v>
      </c>
      <c r="CM124" s="46" t="n">
        <f aca="false">Tasks[[#This Row],[_WorkPerWorkday]]*(Tasks[[#This Row],[_StartWorkday]]-1)</f>
        <v>-0</v>
      </c>
      <c r="CN124" s="46" t="n">
        <f aca="false">IF(Tasks[[#This Row],[_IsLeaf]]=1,MAX(N(Tasks[[#This Row],[Duration]]),0.1),0)</f>
        <v>0</v>
      </c>
      <c r="CO124" s="46" t="n">
        <f aca="false">Tasks[[#This Row],[_WeightDur]]*Tasks[[#This Row],[_LeafProgress]]</f>
        <v>0</v>
      </c>
      <c r="CP12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39"/>
      <c r="E125" s="40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5" s="31"/>
      <c r="AF12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5" s="40"/>
      <c r="AI125" s="31"/>
      <c r="AJ12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5" s="40"/>
      <c r="AO125" s="24" t="str">
        <f aca="false">IF(Tasks[[#This Row],[Task Name]]="","",Tasks[[#This Row],[Forecast Start]])</f>
        <v/>
      </c>
      <c r="AP125" s="24" t="str">
        <f aca="false">IF(Tasks[[#This Row],[Task Name]]="","",Tasks[[#This Row],[Forecast Finish]])</f>
        <v/>
      </c>
      <c r="AQ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5" s="42" t="str">
        <f aca="false">IF(Tasks[[#This Row],[Task Name]]="","",Tasks[[#This Row],[Work]])</f>
        <v/>
      </c>
      <c r="AS125" s="43" t="str">
        <f aca="false">IF(Tasks[[#This Row],[Task Name]]="","",Tasks[[#This Row],[Cost]])</f>
        <v/>
      </c>
      <c r="AT125" s="29"/>
      <c r="AU125" s="29"/>
      <c r="AV125" s="39"/>
      <c r="AW125" s="44"/>
      <c r="AX125" s="45"/>
      <c r="AY125" s="38" t="str">
        <f aca="false">IF(OR(Tasks[[#This Row],[Task Name]]="",Tasks[[#This Row],[Baseline Duration]]=""),"",Tasks[[#This Row],[BL Source Duration]]-N(Tasks[[#This Row],[Baseline Duration]]))</f>
        <v/>
      </c>
      <c r="AZ125" s="42" t="str">
        <f aca="false">IF(OR(Tasks[[#This Row],[Task Name]]="",Tasks[[#This Row],[Baseline Work]]=""),"",Tasks[[#This Row],[Work]]-N(Tasks[[#This Row],[Baseline Work]]))</f>
        <v/>
      </c>
      <c r="BA125" s="43" t="str">
        <f aca="false">IF(OR(Tasks[[#This Row],[Task Name]]="",Tasks[[#This Row],[Baseline Cost]]=""),"",Tasks[[#This Row],[Cost]]-N(Tasks[[#This Row],[Baseline Cost]]))</f>
        <v/>
      </c>
      <c r="BB125" s="46" t="str">
        <f aca="false">IF(Tasks[[#This Row],[Task Name]]="","",MAX(1,N(Tasks[[#This Row],[Level]])))</f>
        <v/>
      </c>
      <c r="BC125" s="46" t="n">
        <f aca="false">ROW()-ROW(Tasks[[#Headers],[ID]])</f>
        <v>120</v>
      </c>
      <c r="BD1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5" s="46" t="n">
        <f aca="false">IFERROR(N(INDEX(Tasks[_Level],Tasks[[#This Row],[_Row]]+1)),0)</f>
        <v>0</v>
      </c>
      <c r="BF125" s="47" t="b">
        <f aca="false">AND(Tasks[[#This Row],[Task Name]]&lt;&gt;"",Tasks[[#This Row],[_NextLevel]]&gt;Tasks[[#This Row],[_Level]])</f>
        <v>0</v>
      </c>
      <c r="BG125" s="46" t="n">
        <f aca="false">IF(Tasks[[#This Row],[_IsSummary]],COUNTIF(Tasks[WBS],Tasks[[#This Row],[WBS]]&amp;".*"),0)</f>
        <v>0</v>
      </c>
      <c r="BH125" s="46" t="n">
        <f aca="false">IF(AND(Tasks[[#This Row],[Task Name]]&lt;&gt;"",NOT(Tasks[[#This Row],[_IsSummary]])),1,0)</f>
        <v>0</v>
      </c>
      <c r="BI125" s="46" t="n">
        <f aca="false">IF(N(Tasks[[#This Row],[Pred1 UID]])=0,0,IFERROR(MATCH(Tasks[[#This Row],[Pred1 UID]],Tasks[UID],0),-1))</f>
        <v>0</v>
      </c>
      <c r="BJ125" s="46" t="n">
        <f aca="false">IF(N(Tasks[[#This Row],[Pred2 UID]])=0,0,IFERROR(MATCH(Tasks[[#This Row],[Pred2 UID]],Tasks[UID],0),-1))</f>
        <v>0</v>
      </c>
      <c r="BK12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5" s="46" t="n">
        <f aca="false">IF(NOT(Tasks[[#This Row],[_IsLeaf]]=1),0,IF(N(Tasks[[#This Row],[Actual Finish]])&gt;0,1,MIN(1,N(Tasks[[#This Row],[% Complete]]))))</f>
        <v>0</v>
      </c>
      <c r="BP12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5" s="46" t="n">
        <f aca="false">IF(Tasks[[#This Row],[_LeafWork]]=0,0,Tasks[[#This Row],[_LeafWork]]*IFERROR(INDEX(res_Rate,MATCH(Tasks[[#This Row],[Resource]],res_Name,0)),0))</f>
        <v>0</v>
      </c>
      <c r="BR12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5" s="46" t="n">
        <f aca="false">IF(NOT(Tasks[[#This Row],[_IsLeaf]]=1),0,MAX(_xlfn.MAXIFS(Tasks[_Row],Tasks[Pred1 UID],Tasks[[#This Row],[UID]]),_xlfn.MAXIFS(Tasks[_Row],Tasks[Pred2 UID],Tasks[[#This Row],[UID]])))</f>
        <v>0</v>
      </c>
      <c r="BW12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5" s="48" t="str">
        <f aca="false">IF(NOT(Tasks[[#This Row],[_IsLeaf]]=1),"",MIN(ProjectFinish,IF(N(Tasks[[#This Row],[Deadline]])&gt;0,Tasks[[#This Row],[Deadline]],2958465),Tasks[[#This Row],[_SuccessorFinishLimit]]))</f>
        <v/>
      </c>
      <c r="BY12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5" s="47" t="b">
        <f aca="false">AND(Tasks[[#This Row],[_IsLeaf]]=1,Tasks[[#This Row],[_LeafProgress]]&lt;1,N(Tasks[[#This Row],[_LeafTotalSlack]])&lt;=CriticalSlackDays)</f>
        <v>0</v>
      </c>
      <c r="CB12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5" s="46" t="n">
        <f aca="false">IF(AND(Tasks[[#This Row],[_IsLeaf]]=1,Tasks[[#This Row],[_LeafWork]]&gt;0),NETWORKDAYS.INTL(ProjectStart,Tasks[[#This Row],[_LeafFcstStart]],WorkWeek,Holidays),0)</f>
        <v>0</v>
      </c>
      <c r="CK12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5" s="46" t="n">
        <f aca="false">IF(AND(Tasks[[#This Row],[_IsLeaf]]=1,Tasks[[#This Row],[_LeafWork]]&gt;0),Tasks[[#This Row],[_LeafWork]]/(Tasks[[#This Row],[_FinishWorkday]]-Tasks[[#This Row],[_StartWorkday]]+1),0)</f>
        <v>0</v>
      </c>
      <c r="CM125" s="46" t="n">
        <f aca="false">Tasks[[#This Row],[_WorkPerWorkday]]*(Tasks[[#This Row],[_StartWorkday]]-1)</f>
        <v>-0</v>
      </c>
      <c r="CN125" s="46" t="n">
        <f aca="false">IF(Tasks[[#This Row],[_IsLeaf]]=1,MAX(N(Tasks[[#This Row],[Duration]]),0.1),0)</f>
        <v>0</v>
      </c>
      <c r="CO125" s="46" t="n">
        <f aca="false">Tasks[[#This Row],[_WeightDur]]*Tasks[[#This Row],[_LeafProgress]]</f>
        <v>0</v>
      </c>
      <c r="CP12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39"/>
      <c r="E126" s="40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6" s="31"/>
      <c r="AF12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6" s="40"/>
      <c r="AI126" s="31"/>
      <c r="AJ12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6" s="40"/>
      <c r="AO126" s="24" t="str">
        <f aca="false">IF(Tasks[[#This Row],[Task Name]]="","",Tasks[[#This Row],[Forecast Start]])</f>
        <v/>
      </c>
      <c r="AP126" s="24" t="str">
        <f aca="false">IF(Tasks[[#This Row],[Task Name]]="","",Tasks[[#This Row],[Forecast Finish]])</f>
        <v/>
      </c>
      <c r="AQ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6" s="42" t="str">
        <f aca="false">IF(Tasks[[#This Row],[Task Name]]="","",Tasks[[#This Row],[Work]])</f>
        <v/>
      </c>
      <c r="AS126" s="43" t="str">
        <f aca="false">IF(Tasks[[#This Row],[Task Name]]="","",Tasks[[#This Row],[Cost]])</f>
        <v/>
      </c>
      <c r="AT126" s="29"/>
      <c r="AU126" s="29"/>
      <c r="AV126" s="39"/>
      <c r="AW126" s="44"/>
      <c r="AX126" s="45"/>
      <c r="AY126" s="38" t="str">
        <f aca="false">IF(OR(Tasks[[#This Row],[Task Name]]="",Tasks[[#This Row],[Baseline Duration]]=""),"",Tasks[[#This Row],[BL Source Duration]]-N(Tasks[[#This Row],[Baseline Duration]]))</f>
        <v/>
      </c>
      <c r="AZ126" s="42" t="str">
        <f aca="false">IF(OR(Tasks[[#This Row],[Task Name]]="",Tasks[[#This Row],[Baseline Work]]=""),"",Tasks[[#This Row],[Work]]-N(Tasks[[#This Row],[Baseline Work]]))</f>
        <v/>
      </c>
      <c r="BA126" s="43" t="str">
        <f aca="false">IF(OR(Tasks[[#This Row],[Task Name]]="",Tasks[[#This Row],[Baseline Cost]]=""),"",Tasks[[#This Row],[Cost]]-N(Tasks[[#This Row],[Baseline Cost]]))</f>
        <v/>
      </c>
      <c r="BB126" s="46" t="str">
        <f aca="false">IF(Tasks[[#This Row],[Task Name]]="","",MAX(1,N(Tasks[[#This Row],[Level]])))</f>
        <v/>
      </c>
      <c r="BC126" s="46" t="n">
        <f aca="false">ROW()-ROW(Tasks[[#Headers],[ID]])</f>
        <v>121</v>
      </c>
      <c r="BD1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6" s="46" t="n">
        <f aca="false">IFERROR(N(INDEX(Tasks[_Level],Tasks[[#This Row],[_Row]]+1)),0)</f>
        <v>0</v>
      </c>
      <c r="BF126" s="47" t="b">
        <f aca="false">AND(Tasks[[#This Row],[Task Name]]&lt;&gt;"",Tasks[[#This Row],[_NextLevel]]&gt;Tasks[[#This Row],[_Level]])</f>
        <v>0</v>
      </c>
      <c r="BG126" s="46" t="n">
        <f aca="false">IF(Tasks[[#This Row],[_IsSummary]],COUNTIF(Tasks[WBS],Tasks[[#This Row],[WBS]]&amp;".*"),0)</f>
        <v>0</v>
      </c>
      <c r="BH126" s="46" t="n">
        <f aca="false">IF(AND(Tasks[[#This Row],[Task Name]]&lt;&gt;"",NOT(Tasks[[#This Row],[_IsSummary]])),1,0)</f>
        <v>0</v>
      </c>
      <c r="BI126" s="46" t="n">
        <f aca="false">IF(N(Tasks[[#This Row],[Pred1 UID]])=0,0,IFERROR(MATCH(Tasks[[#This Row],[Pred1 UID]],Tasks[UID],0),-1))</f>
        <v>0</v>
      </c>
      <c r="BJ126" s="46" t="n">
        <f aca="false">IF(N(Tasks[[#This Row],[Pred2 UID]])=0,0,IFERROR(MATCH(Tasks[[#This Row],[Pred2 UID]],Tasks[UID],0),-1))</f>
        <v>0</v>
      </c>
      <c r="BK12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6" s="46" t="n">
        <f aca="false">IF(NOT(Tasks[[#This Row],[_IsLeaf]]=1),0,IF(N(Tasks[[#This Row],[Actual Finish]])&gt;0,1,MIN(1,N(Tasks[[#This Row],[% Complete]]))))</f>
        <v>0</v>
      </c>
      <c r="BP12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6" s="46" t="n">
        <f aca="false">IF(Tasks[[#This Row],[_LeafWork]]=0,0,Tasks[[#This Row],[_LeafWork]]*IFERROR(INDEX(res_Rate,MATCH(Tasks[[#This Row],[Resource]],res_Name,0)),0))</f>
        <v>0</v>
      </c>
      <c r="BR12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6" s="46" t="n">
        <f aca="false">IF(NOT(Tasks[[#This Row],[_IsLeaf]]=1),0,MAX(_xlfn.MAXIFS(Tasks[_Row],Tasks[Pred1 UID],Tasks[[#This Row],[UID]]),_xlfn.MAXIFS(Tasks[_Row],Tasks[Pred2 UID],Tasks[[#This Row],[UID]])))</f>
        <v>0</v>
      </c>
      <c r="BW12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6" s="48" t="str">
        <f aca="false">IF(NOT(Tasks[[#This Row],[_IsLeaf]]=1),"",MIN(ProjectFinish,IF(N(Tasks[[#This Row],[Deadline]])&gt;0,Tasks[[#This Row],[Deadline]],2958465),Tasks[[#This Row],[_SuccessorFinishLimit]]))</f>
        <v/>
      </c>
      <c r="BY12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6" s="47" t="b">
        <f aca="false">AND(Tasks[[#This Row],[_IsLeaf]]=1,Tasks[[#This Row],[_LeafProgress]]&lt;1,N(Tasks[[#This Row],[_LeafTotalSlack]])&lt;=CriticalSlackDays)</f>
        <v>0</v>
      </c>
      <c r="CB12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6" s="46" t="n">
        <f aca="false">IF(AND(Tasks[[#This Row],[_IsLeaf]]=1,Tasks[[#This Row],[_LeafWork]]&gt;0),NETWORKDAYS.INTL(ProjectStart,Tasks[[#This Row],[_LeafFcstStart]],WorkWeek,Holidays),0)</f>
        <v>0</v>
      </c>
      <c r="CK12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6" s="46" t="n">
        <f aca="false">IF(AND(Tasks[[#This Row],[_IsLeaf]]=1,Tasks[[#This Row],[_LeafWork]]&gt;0),Tasks[[#This Row],[_LeafWork]]/(Tasks[[#This Row],[_FinishWorkday]]-Tasks[[#This Row],[_StartWorkday]]+1),0)</f>
        <v>0</v>
      </c>
      <c r="CM126" s="46" t="n">
        <f aca="false">Tasks[[#This Row],[_WorkPerWorkday]]*(Tasks[[#This Row],[_StartWorkday]]-1)</f>
        <v>-0</v>
      </c>
      <c r="CN126" s="46" t="n">
        <f aca="false">IF(Tasks[[#This Row],[_IsLeaf]]=1,MAX(N(Tasks[[#This Row],[Duration]]),0.1),0)</f>
        <v>0</v>
      </c>
      <c r="CO126" s="46" t="n">
        <f aca="false">Tasks[[#This Row],[_WeightDur]]*Tasks[[#This Row],[_LeafProgress]]</f>
        <v>0</v>
      </c>
      <c r="CP12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39"/>
      <c r="E127" s="40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7" s="31"/>
      <c r="AF12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7" s="40"/>
      <c r="AI127" s="31"/>
      <c r="AJ12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7" s="40"/>
      <c r="AO127" s="24" t="str">
        <f aca="false">IF(Tasks[[#This Row],[Task Name]]="","",Tasks[[#This Row],[Forecast Start]])</f>
        <v/>
      </c>
      <c r="AP127" s="24" t="str">
        <f aca="false">IF(Tasks[[#This Row],[Task Name]]="","",Tasks[[#This Row],[Forecast Finish]])</f>
        <v/>
      </c>
      <c r="AQ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7" s="42" t="str">
        <f aca="false">IF(Tasks[[#This Row],[Task Name]]="","",Tasks[[#This Row],[Work]])</f>
        <v/>
      </c>
      <c r="AS127" s="43" t="str">
        <f aca="false">IF(Tasks[[#This Row],[Task Name]]="","",Tasks[[#This Row],[Cost]])</f>
        <v/>
      </c>
      <c r="AT127" s="29"/>
      <c r="AU127" s="29"/>
      <c r="AV127" s="39"/>
      <c r="AW127" s="44"/>
      <c r="AX127" s="45"/>
      <c r="AY127" s="38" t="str">
        <f aca="false">IF(OR(Tasks[[#This Row],[Task Name]]="",Tasks[[#This Row],[Baseline Duration]]=""),"",Tasks[[#This Row],[BL Source Duration]]-N(Tasks[[#This Row],[Baseline Duration]]))</f>
        <v/>
      </c>
      <c r="AZ127" s="42" t="str">
        <f aca="false">IF(OR(Tasks[[#This Row],[Task Name]]="",Tasks[[#This Row],[Baseline Work]]=""),"",Tasks[[#This Row],[Work]]-N(Tasks[[#This Row],[Baseline Work]]))</f>
        <v/>
      </c>
      <c r="BA127" s="43" t="str">
        <f aca="false">IF(OR(Tasks[[#This Row],[Task Name]]="",Tasks[[#This Row],[Baseline Cost]]=""),"",Tasks[[#This Row],[Cost]]-N(Tasks[[#This Row],[Baseline Cost]]))</f>
        <v/>
      </c>
      <c r="BB127" s="46" t="str">
        <f aca="false">IF(Tasks[[#This Row],[Task Name]]="","",MAX(1,N(Tasks[[#This Row],[Level]])))</f>
        <v/>
      </c>
      <c r="BC127" s="46" t="n">
        <f aca="false">ROW()-ROW(Tasks[[#Headers],[ID]])</f>
        <v>122</v>
      </c>
      <c r="BD1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7" s="46" t="n">
        <f aca="false">IFERROR(N(INDEX(Tasks[_Level],Tasks[[#This Row],[_Row]]+1)),0)</f>
        <v>0</v>
      </c>
      <c r="BF127" s="47" t="b">
        <f aca="false">AND(Tasks[[#This Row],[Task Name]]&lt;&gt;"",Tasks[[#This Row],[_NextLevel]]&gt;Tasks[[#This Row],[_Level]])</f>
        <v>0</v>
      </c>
      <c r="BG127" s="46" t="n">
        <f aca="false">IF(Tasks[[#This Row],[_IsSummary]],COUNTIF(Tasks[WBS],Tasks[[#This Row],[WBS]]&amp;".*"),0)</f>
        <v>0</v>
      </c>
      <c r="BH127" s="46" t="n">
        <f aca="false">IF(AND(Tasks[[#This Row],[Task Name]]&lt;&gt;"",NOT(Tasks[[#This Row],[_IsSummary]])),1,0)</f>
        <v>0</v>
      </c>
      <c r="BI127" s="46" t="n">
        <f aca="false">IF(N(Tasks[[#This Row],[Pred1 UID]])=0,0,IFERROR(MATCH(Tasks[[#This Row],[Pred1 UID]],Tasks[UID],0),-1))</f>
        <v>0</v>
      </c>
      <c r="BJ127" s="46" t="n">
        <f aca="false">IF(N(Tasks[[#This Row],[Pred2 UID]])=0,0,IFERROR(MATCH(Tasks[[#This Row],[Pred2 UID]],Tasks[UID],0),-1))</f>
        <v>0</v>
      </c>
      <c r="BK12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7" s="46" t="n">
        <f aca="false">IF(NOT(Tasks[[#This Row],[_IsLeaf]]=1),0,IF(N(Tasks[[#This Row],[Actual Finish]])&gt;0,1,MIN(1,N(Tasks[[#This Row],[% Complete]]))))</f>
        <v>0</v>
      </c>
      <c r="BP12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7" s="46" t="n">
        <f aca="false">IF(Tasks[[#This Row],[_LeafWork]]=0,0,Tasks[[#This Row],[_LeafWork]]*IFERROR(INDEX(res_Rate,MATCH(Tasks[[#This Row],[Resource]],res_Name,0)),0))</f>
        <v>0</v>
      </c>
      <c r="BR12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7" s="46" t="n">
        <f aca="false">IF(NOT(Tasks[[#This Row],[_IsLeaf]]=1),0,MAX(_xlfn.MAXIFS(Tasks[_Row],Tasks[Pred1 UID],Tasks[[#This Row],[UID]]),_xlfn.MAXIFS(Tasks[_Row],Tasks[Pred2 UID],Tasks[[#This Row],[UID]])))</f>
        <v>0</v>
      </c>
      <c r="BW12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7" s="48" t="str">
        <f aca="false">IF(NOT(Tasks[[#This Row],[_IsLeaf]]=1),"",MIN(ProjectFinish,IF(N(Tasks[[#This Row],[Deadline]])&gt;0,Tasks[[#This Row],[Deadline]],2958465),Tasks[[#This Row],[_SuccessorFinishLimit]]))</f>
        <v/>
      </c>
      <c r="BY12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7" s="47" t="b">
        <f aca="false">AND(Tasks[[#This Row],[_IsLeaf]]=1,Tasks[[#This Row],[_LeafProgress]]&lt;1,N(Tasks[[#This Row],[_LeafTotalSlack]])&lt;=CriticalSlackDays)</f>
        <v>0</v>
      </c>
      <c r="CB12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7" s="46" t="n">
        <f aca="false">IF(AND(Tasks[[#This Row],[_IsLeaf]]=1,Tasks[[#This Row],[_LeafWork]]&gt;0),NETWORKDAYS.INTL(ProjectStart,Tasks[[#This Row],[_LeafFcstStart]],WorkWeek,Holidays),0)</f>
        <v>0</v>
      </c>
      <c r="CK12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7" s="46" t="n">
        <f aca="false">IF(AND(Tasks[[#This Row],[_IsLeaf]]=1,Tasks[[#This Row],[_LeafWork]]&gt;0),Tasks[[#This Row],[_LeafWork]]/(Tasks[[#This Row],[_FinishWorkday]]-Tasks[[#This Row],[_StartWorkday]]+1),0)</f>
        <v>0</v>
      </c>
      <c r="CM127" s="46" t="n">
        <f aca="false">Tasks[[#This Row],[_WorkPerWorkday]]*(Tasks[[#This Row],[_StartWorkday]]-1)</f>
        <v>-0</v>
      </c>
      <c r="CN127" s="46" t="n">
        <f aca="false">IF(Tasks[[#This Row],[_IsLeaf]]=1,MAX(N(Tasks[[#This Row],[Duration]]),0.1),0)</f>
        <v>0</v>
      </c>
      <c r="CO127" s="46" t="n">
        <f aca="false">Tasks[[#This Row],[_WeightDur]]*Tasks[[#This Row],[_LeafProgress]]</f>
        <v>0</v>
      </c>
      <c r="CP12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39"/>
      <c r="E128" s="40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8" s="31"/>
      <c r="AF12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8" s="40"/>
      <c r="AI128" s="31"/>
      <c r="AJ12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8" s="40"/>
      <c r="AO128" s="24" t="str">
        <f aca="false">IF(Tasks[[#This Row],[Task Name]]="","",Tasks[[#This Row],[Forecast Start]])</f>
        <v/>
      </c>
      <c r="AP128" s="24" t="str">
        <f aca="false">IF(Tasks[[#This Row],[Task Name]]="","",Tasks[[#This Row],[Forecast Finish]])</f>
        <v/>
      </c>
      <c r="AQ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8" s="42" t="str">
        <f aca="false">IF(Tasks[[#This Row],[Task Name]]="","",Tasks[[#This Row],[Work]])</f>
        <v/>
      </c>
      <c r="AS128" s="43" t="str">
        <f aca="false">IF(Tasks[[#This Row],[Task Name]]="","",Tasks[[#This Row],[Cost]])</f>
        <v/>
      </c>
      <c r="AT128" s="29"/>
      <c r="AU128" s="29"/>
      <c r="AV128" s="39"/>
      <c r="AW128" s="44"/>
      <c r="AX128" s="45"/>
      <c r="AY128" s="38" t="str">
        <f aca="false">IF(OR(Tasks[[#This Row],[Task Name]]="",Tasks[[#This Row],[Baseline Duration]]=""),"",Tasks[[#This Row],[BL Source Duration]]-N(Tasks[[#This Row],[Baseline Duration]]))</f>
        <v/>
      </c>
      <c r="AZ128" s="42" t="str">
        <f aca="false">IF(OR(Tasks[[#This Row],[Task Name]]="",Tasks[[#This Row],[Baseline Work]]=""),"",Tasks[[#This Row],[Work]]-N(Tasks[[#This Row],[Baseline Work]]))</f>
        <v/>
      </c>
      <c r="BA128" s="43" t="str">
        <f aca="false">IF(OR(Tasks[[#This Row],[Task Name]]="",Tasks[[#This Row],[Baseline Cost]]=""),"",Tasks[[#This Row],[Cost]]-N(Tasks[[#This Row],[Baseline Cost]]))</f>
        <v/>
      </c>
      <c r="BB128" s="46" t="str">
        <f aca="false">IF(Tasks[[#This Row],[Task Name]]="","",MAX(1,N(Tasks[[#This Row],[Level]])))</f>
        <v/>
      </c>
      <c r="BC128" s="46" t="n">
        <f aca="false">ROW()-ROW(Tasks[[#Headers],[ID]])</f>
        <v>123</v>
      </c>
      <c r="BD1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8" s="46" t="n">
        <f aca="false">IFERROR(N(INDEX(Tasks[_Level],Tasks[[#This Row],[_Row]]+1)),0)</f>
        <v>0</v>
      </c>
      <c r="BF128" s="47" t="b">
        <f aca="false">AND(Tasks[[#This Row],[Task Name]]&lt;&gt;"",Tasks[[#This Row],[_NextLevel]]&gt;Tasks[[#This Row],[_Level]])</f>
        <v>0</v>
      </c>
      <c r="BG128" s="46" t="n">
        <f aca="false">IF(Tasks[[#This Row],[_IsSummary]],COUNTIF(Tasks[WBS],Tasks[[#This Row],[WBS]]&amp;".*"),0)</f>
        <v>0</v>
      </c>
      <c r="BH128" s="46" t="n">
        <f aca="false">IF(AND(Tasks[[#This Row],[Task Name]]&lt;&gt;"",NOT(Tasks[[#This Row],[_IsSummary]])),1,0)</f>
        <v>0</v>
      </c>
      <c r="BI128" s="46" t="n">
        <f aca="false">IF(N(Tasks[[#This Row],[Pred1 UID]])=0,0,IFERROR(MATCH(Tasks[[#This Row],[Pred1 UID]],Tasks[UID],0),-1))</f>
        <v>0</v>
      </c>
      <c r="BJ128" s="46" t="n">
        <f aca="false">IF(N(Tasks[[#This Row],[Pred2 UID]])=0,0,IFERROR(MATCH(Tasks[[#This Row],[Pred2 UID]],Tasks[UID],0),-1))</f>
        <v>0</v>
      </c>
      <c r="BK12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8" s="46" t="n">
        <f aca="false">IF(NOT(Tasks[[#This Row],[_IsLeaf]]=1),0,IF(N(Tasks[[#This Row],[Actual Finish]])&gt;0,1,MIN(1,N(Tasks[[#This Row],[% Complete]]))))</f>
        <v>0</v>
      </c>
      <c r="BP12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8" s="46" t="n">
        <f aca="false">IF(Tasks[[#This Row],[_LeafWork]]=0,0,Tasks[[#This Row],[_LeafWork]]*IFERROR(INDEX(res_Rate,MATCH(Tasks[[#This Row],[Resource]],res_Name,0)),0))</f>
        <v>0</v>
      </c>
      <c r="BR12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8" s="46" t="n">
        <f aca="false">IF(NOT(Tasks[[#This Row],[_IsLeaf]]=1),0,MAX(_xlfn.MAXIFS(Tasks[_Row],Tasks[Pred1 UID],Tasks[[#This Row],[UID]]),_xlfn.MAXIFS(Tasks[_Row],Tasks[Pred2 UID],Tasks[[#This Row],[UID]])))</f>
        <v>0</v>
      </c>
      <c r="BW12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8" s="48" t="str">
        <f aca="false">IF(NOT(Tasks[[#This Row],[_IsLeaf]]=1),"",MIN(ProjectFinish,IF(N(Tasks[[#This Row],[Deadline]])&gt;0,Tasks[[#This Row],[Deadline]],2958465),Tasks[[#This Row],[_SuccessorFinishLimit]]))</f>
        <v/>
      </c>
      <c r="BY12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8" s="47" t="b">
        <f aca="false">AND(Tasks[[#This Row],[_IsLeaf]]=1,Tasks[[#This Row],[_LeafProgress]]&lt;1,N(Tasks[[#This Row],[_LeafTotalSlack]])&lt;=CriticalSlackDays)</f>
        <v>0</v>
      </c>
      <c r="CB12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8" s="46" t="n">
        <f aca="false">IF(AND(Tasks[[#This Row],[_IsLeaf]]=1,Tasks[[#This Row],[_LeafWork]]&gt;0),NETWORKDAYS.INTL(ProjectStart,Tasks[[#This Row],[_LeafFcstStart]],WorkWeek,Holidays),0)</f>
        <v>0</v>
      </c>
      <c r="CK12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8" s="46" t="n">
        <f aca="false">IF(AND(Tasks[[#This Row],[_IsLeaf]]=1,Tasks[[#This Row],[_LeafWork]]&gt;0),Tasks[[#This Row],[_LeafWork]]/(Tasks[[#This Row],[_FinishWorkday]]-Tasks[[#This Row],[_StartWorkday]]+1),0)</f>
        <v>0</v>
      </c>
      <c r="CM128" s="46" t="n">
        <f aca="false">Tasks[[#This Row],[_WorkPerWorkday]]*(Tasks[[#This Row],[_StartWorkday]]-1)</f>
        <v>-0</v>
      </c>
      <c r="CN128" s="46" t="n">
        <f aca="false">IF(Tasks[[#This Row],[_IsLeaf]]=1,MAX(N(Tasks[[#This Row],[Duration]]),0.1),0)</f>
        <v>0</v>
      </c>
      <c r="CO128" s="46" t="n">
        <f aca="false">Tasks[[#This Row],[_WeightDur]]*Tasks[[#This Row],[_LeafProgress]]</f>
        <v>0</v>
      </c>
      <c r="CP12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39"/>
      <c r="E129" s="40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9" s="31"/>
      <c r="AF12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9" s="40"/>
      <c r="AI129" s="31"/>
      <c r="AJ12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9" s="40"/>
      <c r="AO129" s="24" t="str">
        <f aca="false">IF(Tasks[[#This Row],[Task Name]]="","",Tasks[[#This Row],[Forecast Start]])</f>
        <v/>
      </c>
      <c r="AP129" s="24" t="str">
        <f aca="false">IF(Tasks[[#This Row],[Task Name]]="","",Tasks[[#This Row],[Forecast Finish]])</f>
        <v/>
      </c>
      <c r="AQ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9" s="42" t="str">
        <f aca="false">IF(Tasks[[#This Row],[Task Name]]="","",Tasks[[#This Row],[Work]])</f>
        <v/>
      </c>
      <c r="AS129" s="43" t="str">
        <f aca="false">IF(Tasks[[#This Row],[Task Name]]="","",Tasks[[#This Row],[Cost]])</f>
        <v/>
      </c>
      <c r="AT129" s="29"/>
      <c r="AU129" s="29"/>
      <c r="AV129" s="39"/>
      <c r="AW129" s="44"/>
      <c r="AX129" s="45"/>
      <c r="AY129" s="38" t="str">
        <f aca="false">IF(OR(Tasks[[#This Row],[Task Name]]="",Tasks[[#This Row],[Baseline Duration]]=""),"",Tasks[[#This Row],[BL Source Duration]]-N(Tasks[[#This Row],[Baseline Duration]]))</f>
        <v/>
      </c>
      <c r="AZ129" s="42" t="str">
        <f aca="false">IF(OR(Tasks[[#This Row],[Task Name]]="",Tasks[[#This Row],[Baseline Work]]=""),"",Tasks[[#This Row],[Work]]-N(Tasks[[#This Row],[Baseline Work]]))</f>
        <v/>
      </c>
      <c r="BA129" s="43" t="str">
        <f aca="false">IF(OR(Tasks[[#This Row],[Task Name]]="",Tasks[[#This Row],[Baseline Cost]]=""),"",Tasks[[#This Row],[Cost]]-N(Tasks[[#This Row],[Baseline Cost]]))</f>
        <v/>
      </c>
      <c r="BB129" s="46" t="str">
        <f aca="false">IF(Tasks[[#This Row],[Task Name]]="","",MAX(1,N(Tasks[[#This Row],[Level]])))</f>
        <v/>
      </c>
      <c r="BC129" s="46" t="n">
        <f aca="false">ROW()-ROW(Tasks[[#Headers],[ID]])</f>
        <v>124</v>
      </c>
      <c r="BD1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9" s="46" t="n">
        <f aca="false">IFERROR(N(INDEX(Tasks[_Level],Tasks[[#This Row],[_Row]]+1)),0)</f>
        <v>0</v>
      </c>
      <c r="BF129" s="47" t="b">
        <f aca="false">AND(Tasks[[#This Row],[Task Name]]&lt;&gt;"",Tasks[[#This Row],[_NextLevel]]&gt;Tasks[[#This Row],[_Level]])</f>
        <v>0</v>
      </c>
      <c r="BG129" s="46" t="n">
        <f aca="false">IF(Tasks[[#This Row],[_IsSummary]],COUNTIF(Tasks[WBS],Tasks[[#This Row],[WBS]]&amp;".*"),0)</f>
        <v>0</v>
      </c>
      <c r="BH129" s="46" t="n">
        <f aca="false">IF(AND(Tasks[[#This Row],[Task Name]]&lt;&gt;"",NOT(Tasks[[#This Row],[_IsSummary]])),1,0)</f>
        <v>0</v>
      </c>
      <c r="BI129" s="46" t="n">
        <f aca="false">IF(N(Tasks[[#This Row],[Pred1 UID]])=0,0,IFERROR(MATCH(Tasks[[#This Row],[Pred1 UID]],Tasks[UID],0),-1))</f>
        <v>0</v>
      </c>
      <c r="BJ129" s="46" t="n">
        <f aca="false">IF(N(Tasks[[#This Row],[Pred2 UID]])=0,0,IFERROR(MATCH(Tasks[[#This Row],[Pred2 UID]],Tasks[UID],0),-1))</f>
        <v>0</v>
      </c>
      <c r="BK12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9" s="46" t="n">
        <f aca="false">IF(NOT(Tasks[[#This Row],[_IsLeaf]]=1),0,IF(N(Tasks[[#This Row],[Actual Finish]])&gt;0,1,MIN(1,N(Tasks[[#This Row],[% Complete]]))))</f>
        <v>0</v>
      </c>
      <c r="BP12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29" s="46" t="n">
        <f aca="false">IF(Tasks[[#This Row],[_LeafWork]]=0,0,Tasks[[#This Row],[_LeafWork]]*IFERROR(INDEX(res_Rate,MATCH(Tasks[[#This Row],[Resource]],res_Name,0)),0))</f>
        <v>0</v>
      </c>
      <c r="BR12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9" s="46" t="n">
        <f aca="false">IF(NOT(Tasks[[#This Row],[_IsLeaf]]=1),0,MAX(_xlfn.MAXIFS(Tasks[_Row],Tasks[Pred1 UID],Tasks[[#This Row],[UID]]),_xlfn.MAXIFS(Tasks[_Row],Tasks[Pred2 UID],Tasks[[#This Row],[UID]])))</f>
        <v>0</v>
      </c>
      <c r="BW12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9" s="48" t="str">
        <f aca="false">IF(NOT(Tasks[[#This Row],[_IsLeaf]]=1),"",MIN(ProjectFinish,IF(N(Tasks[[#This Row],[Deadline]])&gt;0,Tasks[[#This Row],[Deadline]],2958465),Tasks[[#This Row],[_SuccessorFinishLimit]]))</f>
        <v/>
      </c>
      <c r="BY12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9" s="47" t="b">
        <f aca="false">AND(Tasks[[#This Row],[_IsLeaf]]=1,Tasks[[#This Row],[_LeafProgress]]&lt;1,N(Tasks[[#This Row],[_LeafTotalSlack]])&lt;=CriticalSlackDays)</f>
        <v>0</v>
      </c>
      <c r="CB12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9" s="46" t="n">
        <f aca="false">IF(AND(Tasks[[#This Row],[_IsLeaf]]=1,Tasks[[#This Row],[_LeafWork]]&gt;0),NETWORKDAYS.INTL(ProjectStart,Tasks[[#This Row],[_LeafFcstStart]],WorkWeek,Holidays),0)</f>
        <v>0</v>
      </c>
      <c r="CK12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9" s="46" t="n">
        <f aca="false">IF(AND(Tasks[[#This Row],[_IsLeaf]]=1,Tasks[[#This Row],[_LeafWork]]&gt;0),Tasks[[#This Row],[_LeafWork]]/(Tasks[[#This Row],[_FinishWorkday]]-Tasks[[#This Row],[_StartWorkday]]+1),0)</f>
        <v>0</v>
      </c>
      <c r="CM129" s="46" t="n">
        <f aca="false">Tasks[[#This Row],[_WorkPerWorkday]]*(Tasks[[#This Row],[_StartWorkday]]-1)</f>
        <v>-0</v>
      </c>
      <c r="CN129" s="46" t="n">
        <f aca="false">IF(Tasks[[#This Row],[_IsLeaf]]=1,MAX(N(Tasks[[#This Row],[Duration]]),0.1),0)</f>
        <v>0</v>
      </c>
      <c r="CO129" s="46" t="n">
        <f aca="false">Tasks[[#This Row],[_WeightDur]]*Tasks[[#This Row],[_LeafProgress]]</f>
        <v>0</v>
      </c>
      <c r="CP12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39"/>
      <c r="E130" s="40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0" s="31"/>
      <c r="AF13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0" s="40"/>
      <c r="AI130" s="31"/>
      <c r="AJ13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0" s="40"/>
      <c r="AO130" s="24" t="str">
        <f aca="false">IF(Tasks[[#This Row],[Task Name]]="","",Tasks[[#This Row],[Forecast Start]])</f>
        <v/>
      </c>
      <c r="AP130" s="24" t="str">
        <f aca="false">IF(Tasks[[#This Row],[Task Name]]="","",Tasks[[#This Row],[Forecast Finish]])</f>
        <v/>
      </c>
      <c r="AQ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0" s="42" t="str">
        <f aca="false">IF(Tasks[[#This Row],[Task Name]]="","",Tasks[[#This Row],[Work]])</f>
        <v/>
      </c>
      <c r="AS130" s="43" t="str">
        <f aca="false">IF(Tasks[[#This Row],[Task Name]]="","",Tasks[[#This Row],[Cost]])</f>
        <v/>
      </c>
      <c r="AT130" s="29"/>
      <c r="AU130" s="29"/>
      <c r="AV130" s="39"/>
      <c r="AW130" s="44"/>
      <c r="AX130" s="45"/>
      <c r="AY130" s="38" t="str">
        <f aca="false">IF(OR(Tasks[[#This Row],[Task Name]]="",Tasks[[#This Row],[Baseline Duration]]=""),"",Tasks[[#This Row],[BL Source Duration]]-N(Tasks[[#This Row],[Baseline Duration]]))</f>
        <v/>
      </c>
      <c r="AZ130" s="42" t="str">
        <f aca="false">IF(OR(Tasks[[#This Row],[Task Name]]="",Tasks[[#This Row],[Baseline Work]]=""),"",Tasks[[#This Row],[Work]]-N(Tasks[[#This Row],[Baseline Work]]))</f>
        <v/>
      </c>
      <c r="BA130" s="43" t="str">
        <f aca="false">IF(OR(Tasks[[#This Row],[Task Name]]="",Tasks[[#This Row],[Baseline Cost]]=""),"",Tasks[[#This Row],[Cost]]-N(Tasks[[#This Row],[Baseline Cost]]))</f>
        <v/>
      </c>
      <c r="BB130" s="46" t="str">
        <f aca="false">IF(Tasks[[#This Row],[Task Name]]="","",MAX(1,N(Tasks[[#This Row],[Level]])))</f>
        <v/>
      </c>
      <c r="BC130" s="46" t="n">
        <f aca="false">ROW()-ROW(Tasks[[#Headers],[ID]])</f>
        <v>125</v>
      </c>
      <c r="BD1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0" s="46" t="n">
        <f aca="false">IFERROR(N(INDEX(Tasks[_Level],Tasks[[#This Row],[_Row]]+1)),0)</f>
        <v>0</v>
      </c>
      <c r="BF130" s="47" t="b">
        <f aca="false">AND(Tasks[[#This Row],[Task Name]]&lt;&gt;"",Tasks[[#This Row],[_NextLevel]]&gt;Tasks[[#This Row],[_Level]])</f>
        <v>0</v>
      </c>
      <c r="BG130" s="46" t="n">
        <f aca="false">IF(Tasks[[#This Row],[_IsSummary]],COUNTIF(Tasks[WBS],Tasks[[#This Row],[WBS]]&amp;".*"),0)</f>
        <v>0</v>
      </c>
      <c r="BH130" s="46" t="n">
        <f aca="false">IF(AND(Tasks[[#This Row],[Task Name]]&lt;&gt;"",NOT(Tasks[[#This Row],[_IsSummary]])),1,0)</f>
        <v>0</v>
      </c>
      <c r="BI130" s="46" t="n">
        <f aca="false">IF(N(Tasks[[#This Row],[Pred1 UID]])=0,0,IFERROR(MATCH(Tasks[[#This Row],[Pred1 UID]],Tasks[UID],0),-1))</f>
        <v>0</v>
      </c>
      <c r="BJ130" s="46" t="n">
        <f aca="false">IF(N(Tasks[[#This Row],[Pred2 UID]])=0,0,IFERROR(MATCH(Tasks[[#This Row],[Pred2 UID]],Tasks[UID],0),-1))</f>
        <v>0</v>
      </c>
      <c r="BK13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0" s="46" t="n">
        <f aca="false">IF(NOT(Tasks[[#This Row],[_IsLeaf]]=1),0,IF(N(Tasks[[#This Row],[Actual Finish]])&gt;0,1,MIN(1,N(Tasks[[#This Row],[% Complete]]))))</f>
        <v>0</v>
      </c>
      <c r="BP13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0" s="46" t="n">
        <f aca="false">IF(Tasks[[#This Row],[_LeafWork]]=0,0,Tasks[[#This Row],[_LeafWork]]*IFERROR(INDEX(res_Rate,MATCH(Tasks[[#This Row],[Resource]],res_Name,0)),0))</f>
        <v>0</v>
      </c>
      <c r="BR13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0" s="46" t="n">
        <f aca="false">IF(NOT(Tasks[[#This Row],[_IsLeaf]]=1),0,MAX(_xlfn.MAXIFS(Tasks[_Row],Tasks[Pred1 UID],Tasks[[#This Row],[UID]]),_xlfn.MAXIFS(Tasks[_Row],Tasks[Pred2 UID],Tasks[[#This Row],[UID]])))</f>
        <v>0</v>
      </c>
      <c r="BW13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0" s="48" t="str">
        <f aca="false">IF(NOT(Tasks[[#This Row],[_IsLeaf]]=1),"",MIN(ProjectFinish,IF(N(Tasks[[#This Row],[Deadline]])&gt;0,Tasks[[#This Row],[Deadline]],2958465),Tasks[[#This Row],[_SuccessorFinishLimit]]))</f>
        <v/>
      </c>
      <c r="BY13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0" s="47" t="b">
        <f aca="false">AND(Tasks[[#This Row],[_IsLeaf]]=1,Tasks[[#This Row],[_LeafProgress]]&lt;1,N(Tasks[[#This Row],[_LeafTotalSlack]])&lt;=CriticalSlackDays)</f>
        <v>0</v>
      </c>
      <c r="CB13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0" s="46" t="n">
        <f aca="false">IF(AND(Tasks[[#This Row],[_IsLeaf]]=1,Tasks[[#This Row],[_LeafWork]]&gt;0),NETWORKDAYS.INTL(ProjectStart,Tasks[[#This Row],[_LeafFcstStart]],WorkWeek,Holidays),0)</f>
        <v>0</v>
      </c>
      <c r="CK13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0" s="46" t="n">
        <f aca="false">IF(AND(Tasks[[#This Row],[_IsLeaf]]=1,Tasks[[#This Row],[_LeafWork]]&gt;0),Tasks[[#This Row],[_LeafWork]]/(Tasks[[#This Row],[_FinishWorkday]]-Tasks[[#This Row],[_StartWorkday]]+1),0)</f>
        <v>0</v>
      </c>
      <c r="CM130" s="46" t="n">
        <f aca="false">Tasks[[#This Row],[_WorkPerWorkday]]*(Tasks[[#This Row],[_StartWorkday]]-1)</f>
        <v>-0</v>
      </c>
      <c r="CN130" s="46" t="n">
        <f aca="false">IF(Tasks[[#This Row],[_IsLeaf]]=1,MAX(N(Tasks[[#This Row],[Duration]]),0.1),0)</f>
        <v>0</v>
      </c>
      <c r="CO130" s="46" t="n">
        <f aca="false">Tasks[[#This Row],[_WeightDur]]*Tasks[[#This Row],[_LeafProgress]]</f>
        <v>0</v>
      </c>
      <c r="CP13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39"/>
      <c r="E131" s="40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1" s="31"/>
      <c r="AF13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1" s="40"/>
      <c r="AI131" s="31"/>
      <c r="AJ13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1" s="40"/>
      <c r="AO131" s="24" t="str">
        <f aca="false">IF(Tasks[[#This Row],[Task Name]]="","",Tasks[[#This Row],[Forecast Start]])</f>
        <v/>
      </c>
      <c r="AP131" s="24" t="str">
        <f aca="false">IF(Tasks[[#This Row],[Task Name]]="","",Tasks[[#This Row],[Forecast Finish]])</f>
        <v/>
      </c>
      <c r="AQ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1" s="42" t="str">
        <f aca="false">IF(Tasks[[#This Row],[Task Name]]="","",Tasks[[#This Row],[Work]])</f>
        <v/>
      </c>
      <c r="AS131" s="43" t="str">
        <f aca="false">IF(Tasks[[#This Row],[Task Name]]="","",Tasks[[#This Row],[Cost]])</f>
        <v/>
      </c>
      <c r="AT131" s="29"/>
      <c r="AU131" s="29"/>
      <c r="AV131" s="39"/>
      <c r="AW131" s="44"/>
      <c r="AX131" s="45"/>
      <c r="AY131" s="38" t="str">
        <f aca="false">IF(OR(Tasks[[#This Row],[Task Name]]="",Tasks[[#This Row],[Baseline Duration]]=""),"",Tasks[[#This Row],[BL Source Duration]]-N(Tasks[[#This Row],[Baseline Duration]]))</f>
        <v/>
      </c>
      <c r="AZ131" s="42" t="str">
        <f aca="false">IF(OR(Tasks[[#This Row],[Task Name]]="",Tasks[[#This Row],[Baseline Work]]=""),"",Tasks[[#This Row],[Work]]-N(Tasks[[#This Row],[Baseline Work]]))</f>
        <v/>
      </c>
      <c r="BA131" s="43" t="str">
        <f aca="false">IF(OR(Tasks[[#This Row],[Task Name]]="",Tasks[[#This Row],[Baseline Cost]]=""),"",Tasks[[#This Row],[Cost]]-N(Tasks[[#This Row],[Baseline Cost]]))</f>
        <v/>
      </c>
      <c r="BB131" s="46" t="str">
        <f aca="false">IF(Tasks[[#This Row],[Task Name]]="","",MAX(1,N(Tasks[[#This Row],[Level]])))</f>
        <v/>
      </c>
      <c r="BC131" s="46" t="n">
        <f aca="false">ROW()-ROW(Tasks[[#Headers],[ID]])</f>
        <v>126</v>
      </c>
      <c r="BD1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1" s="46" t="n">
        <f aca="false">IFERROR(N(INDEX(Tasks[_Level],Tasks[[#This Row],[_Row]]+1)),0)</f>
        <v>0</v>
      </c>
      <c r="BF131" s="47" t="b">
        <f aca="false">AND(Tasks[[#This Row],[Task Name]]&lt;&gt;"",Tasks[[#This Row],[_NextLevel]]&gt;Tasks[[#This Row],[_Level]])</f>
        <v>0</v>
      </c>
      <c r="BG131" s="46" t="n">
        <f aca="false">IF(Tasks[[#This Row],[_IsSummary]],COUNTIF(Tasks[WBS],Tasks[[#This Row],[WBS]]&amp;".*"),0)</f>
        <v>0</v>
      </c>
      <c r="BH131" s="46" t="n">
        <f aca="false">IF(AND(Tasks[[#This Row],[Task Name]]&lt;&gt;"",NOT(Tasks[[#This Row],[_IsSummary]])),1,0)</f>
        <v>0</v>
      </c>
      <c r="BI131" s="46" t="n">
        <f aca="false">IF(N(Tasks[[#This Row],[Pred1 UID]])=0,0,IFERROR(MATCH(Tasks[[#This Row],[Pred1 UID]],Tasks[UID],0),-1))</f>
        <v>0</v>
      </c>
      <c r="BJ131" s="46" t="n">
        <f aca="false">IF(N(Tasks[[#This Row],[Pred2 UID]])=0,0,IFERROR(MATCH(Tasks[[#This Row],[Pred2 UID]],Tasks[UID],0),-1))</f>
        <v>0</v>
      </c>
      <c r="BK13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1" s="46" t="n">
        <f aca="false">IF(NOT(Tasks[[#This Row],[_IsLeaf]]=1),0,IF(N(Tasks[[#This Row],[Actual Finish]])&gt;0,1,MIN(1,N(Tasks[[#This Row],[% Complete]]))))</f>
        <v>0</v>
      </c>
      <c r="BP13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1" s="46" t="n">
        <f aca="false">IF(Tasks[[#This Row],[_LeafWork]]=0,0,Tasks[[#This Row],[_LeafWork]]*IFERROR(INDEX(res_Rate,MATCH(Tasks[[#This Row],[Resource]],res_Name,0)),0))</f>
        <v>0</v>
      </c>
      <c r="BR13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1" s="46" t="n">
        <f aca="false">IF(NOT(Tasks[[#This Row],[_IsLeaf]]=1),0,MAX(_xlfn.MAXIFS(Tasks[_Row],Tasks[Pred1 UID],Tasks[[#This Row],[UID]]),_xlfn.MAXIFS(Tasks[_Row],Tasks[Pred2 UID],Tasks[[#This Row],[UID]])))</f>
        <v>0</v>
      </c>
      <c r="BW13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1" s="48" t="str">
        <f aca="false">IF(NOT(Tasks[[#This Row],[_IsLeaf]]=1),"",MIN(ProjectFinish,IF(N(Tasks[[#This Row],[Deadline]])&gt;0,Tasks[[#This Row],[Deadline]],2958465),Tasks[[#This Row],[_SuccessorFinishLimit]]))</f>
        <v/>
      </c>
      <c r="BY13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1" s="47" t="b">
        <f aca="false">AND(Tasks[[#This Row],[_IsLeaf]]=1,Tasks[[#This Row],[_LeafProgress]]&lt;1,N(Tasks[[#This Row],[_LeafTotalSlack]])&lt;=CriticalSlackDays)</f>
        <v>0</v>
      </c>
      <c r="CB13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1" s="46" t="n">
        <f aca="false">IF(AND(Tasks[[#This Row],[_IsLeaf]]=1,Tasks[[#This Row],[_LeafWork]]&gt;0),NETWORKDAYS.INTL(ProjectStart,Tasks[[#This Row],[_LeafFcstStart]],WorkWeek,Holidays),0)</f>
        <v>0</v>
      </c>
      <c r="CK13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1" s="46" t="n">
        <f aca="false">IF(AND(Tasks[[#This Row],[_IsLeaf]]=1,Tasks[[#This Row],[_LeafWork]]&gt;0),Tasks[[#This Row],[_LeafWork]]/(Tasks[[#This Row],[_FinishWorkday]]-Tasks[[#This Row],[_StartWorkday]]+1),0)</f>
        <v>0</v>
      </c>
      <c r="CM131" s="46" t="n">
        <f aca="false">Tasks[[#This Row],[_WorkPerWorkday]]*(Tasks[[#This Row],[_StartWorkday]]-1)</f>
        <v>-0</v>
      </c>
      <c r="CN131" s="46" t="n">
        <f aca="false">IF(Tasks[[#This Row],[_IsLeaf]]=1,MAX(N(Tasks[[#This Row],[Duration]]),0.1),0)</f>
        <v>0</v>
      </c>
      <c r="CO131" s="46" t="n">
        <f aca="false">Tasks[[#This Row],[_WeightDur]]*Tasks[[#This Row],[_LeafProgress]]</f>
        <v>0</v>
      </c>
      <c r="CP13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39"/>
      <c r="E132" s="40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2" s="31"/>
      <c r="AF13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2" s="40"/>
      <c r="AI132" s="31"/>
      <c r="AJ13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2" s="40"/>
      <c r="AO132" s="24" t="str">
        <f aca="false">IF(Tasks[[#This Row],[Task Name]]="","",Tasks[[#This Row],[Forecast Start]])</f>
        <v/>
      </c>
      <c r="AP132" s="24" t="str">
        <f aca="false">IF(Tasks[[#This Row],[Task Name]]="","",Tasks[[#This Row],[Forecast Finish]])</f>
        <v/>
      </c>
      <c r="AQ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2" s="42" t="str">
        <f aca="false">IF(Tasks[[#This Row],[Task Name]]="","",Tasks[[#This Row],[Work]])</f>
        <v/>
      </c>
      <c r="AS132" s="43" t="str">
        <f aca="false">IF(Tasks[[#This Row],[Task Name]]="","",Tasks[[#This Row],[Cost]])</f>
        <v/>
      </c>
      <c r="AT132" s="29"/>
      <c r="AU132" s="29"/>
      <c r="AV132" s="39"/>
      <c r="AW132" s="44"/>
      <c r="AX132" s="45"/>
      <c r="AY132" s="38" t="str">
        <f aca="false">IF(OR(Tasks[[#This Row],[Task Name]]="",Tasks[[#This Row],[Baseline Duration]]=""),"",Tasks[[#This Row],[BL Source Duration]]-N(Tasks[[#This Row],[Baseline Duration]]))</f>
        <v/>
      </c>
      <c r="AZ132" s="42" t="str">
        <f aca="false">IF(OR(Tasks[[#This Row],[Task Name]]="",Tasks[[#This Row],[Baseline Work]]=""),"",Tasks[[#This Row],[Work]]-N(Tasks[[#This Row],[Baseline Work]]))</f>
        <v/>
      </c>
      <c r="BA132" s="43" t="str">
        <f aca="false">IF(OR(Tasks[[#This Row],[Task Name]]="",Tasks[[#This Row],[Baseline Cost]]=""),"",Tasks[[#This Row],[Cost]]-N(Tasks[[#This Row],[Baseline Cost]]))</f>
        <v/>
      </c>
      <c r="BB132" s="46" t="str">
        <f aca="false">IF(Tasks[[#This Row],[Task Name]]="","",MAX(1,N(Tasks[[#This Row],[Level]])))</f>
        <v/>
      </c>
      <c r="BC132" s="46" t="n">
        <f aca="false">ROW()-ROW(Tasks[[#Headers],[ID]])</f>
        <v>127</v>
      </c>
      <c r="BD1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2" s="46" t="n">
        <f aca="false">IFERROR(N(INDEX(Tasks[_Level],Tasks[[#This Row],[_Row]]+1)),0)</f>
        <v>0</v>
      </c>
      <c r="BF132" s="47" t="b">
        <f aca="false">AND(Tasks[[#This Row],[Task Name]]&lt;&gt;"",Tasks[[#This Row],[_NextLevel]]&gt;Tasks[[#This Row],[_Level]])</f>
        <v>0</v>
      </c>
      <c r="BG132" s="46" t="n">
        <f aca="false">IF(Tasks[[#This Row],[_IsSummary]],COUNTIF(Tasks[WBS],Tasks[[#This Row],[WBS]]&amp;".*"),0)</f>
        <v>0</v>
      </c>
      <c r="BH132" s="46" t="n">
        <f aca="false">IF(AND(Tasks[[#This Row],[Task Name]]&lt;&gt;"",NOT(Tasks[[#This Row],[_IsSummary]])),1,0)</f>
        <v>0</v>
      </c>
      <c r="BI132" s="46" t="n">
        <f aca="false">IF(N(Tasks[[#This Row],[Pred1 UID]])=0,0,IFERROR(MATCH(Tasks[[#This Row],[Pred1 UID]],Tasks[UID],0),-1))</f>
        <v>0</v>
      </c>
      <c r="BJ132" s="46" t="n">
        <f aca="false">IF(N(Tasks[[#This Row],[Pred2 UID]])=0,0,IFERROR(MATCH(Tasks[[#This Row],[Pred2 UID]],Tasks[UID],0),-1))</f>
        <v>0</v>
      </c>
      <c r="BK13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2" s="46" t="n">
        <f aca="false">IF(NOT(Tasks[[#This Row],[_IsLeaf]]=1),0,IF(N(Tasks[[#This Row],[Actual Finish]])&gt;0,1,MIN(1,N(Tasks[[#This Row],[% Complete]]))))</f>
        <v>0</v>
      </c>
      <c r="BP13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2" s="46" t="n">
        <f aca="false">IF(Tasks[[#This Row],[_LeafWork]]=0,0,Tasks[[#This Row],[_LeafWork]]*IFERROR(INDEX(res_Rate,MATCH(Tasks[[#This Row],[Resource]],res_Name,0)),0))</f>
        <v>0</v>
      </c>
      <c r="BR13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2" s="46" t="n">
        <f aca="false">IF(NOT(Tasks[[#This Row],[_IsLeaf]]=1),0,MAX(_xlfn.MAXIFS(Tasks[_Row],Tasks[Pred1 UID],Tasks[[#This Row],[UID]]),_xlfn.MAXIFS(Tasks[_Row],Tasks[Pred2 UID],Tasks[[#This Row],[UID]])))</f>
        <v>0</v>
      </c>
      <c r="BW13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2" s="48" t="str">
        <f aca="false">IF(NOT(Tasks[[#This Row],[_IsLeaf]]=1),"",MIN(ProjectFinish,IF(N(Tasks[[#This Row],[Deadline]])&gt;0,Tasks[[#This Row],[Deadline]],2958465),Tasks[[#This Row],[_SuccessorFinishLimit]]))</f>
        <v/>
      </c>
      <c r="BY13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2" s="47" t="b">
        <f aca="false">AND(Tasks[[#This Row],[_IsLeaf]]=1,Tasks[[#This Row],[_LeafProgress]]&lt;1,N(Tasks[[#This Row],[_LeafTotalSlack]])&lt;=CriticalSlackDays)</f>
        <v>0</v>
      </c>
      <c r="CB13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2" s="46" t="n">
        <f aca="false">IF(AND(Tasks[[#This Row],[_IsLeaf]]=1,Tasks[[#This Row],[_LeafWork]]&gt;0),NETWORKDAYS.INTL(ProjectStart,Tasks[[#This Row],[_LeafFcstStart]],WorkWeek,Holidays),0)</f>
        <v>0</v>
      </c>
      <c r="CK13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2" s="46" t="n">
        <f aca="false">IF(AND(Tasks[[#This Row],[_IsLeaf]]=1,Tasks[[#This Row],[_LeafWork]]&gt;0),Tasks[[#This Row],[_LeafWork]]/(Tasks[[#This Row],[_FinishWorkday]]-Tasks[[#This Row],[_StartWorkday]]+1),0)</f>
        <v>0</v>
      </c>
      <c r="CM132" s="46" t="n">
        <f aca="false">Tasks[[#This Row],[_WorkPerWorkday]]*(Tasks[[#This Row],[_StartWorkday]]-1)</f>
        <v>-0</v>
      </c>
      <c r="CN132" s="46" t="n">
        <f aca="false">IF(Tasks[[#This Row],[_IsLeaf]]=1,MAX(N(Tasks[[#This Row],[Duration]]),0.1),0)</f>
        <v>0</v>
      </c>
      <c r="CO132" s="46" t="n">
        <f aca="false">Tasks[[#This Row],[_WeightDur]]*Tasks[[#This Row],[_LeafProgress]]</f>
        <v>0</v>
      </c>
      <c r="CP13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39"/>
      <c r="E133" s="40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3" s="31"/>
      <c r="AF13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3" s="40"/>
      <c r="AI133" s="31"/>
      <c r="AJ13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3" s="40"/>
      <c r="AO133" s="24" t="str">
        <f aca="false">IF(Tasks[[#This Row],[Task Name]]="","",Tasks[[#This Row],[Forecast Start]])</f>
        <v/>
      </c>
      <c r="AP133" s="24" t="str">
        <f aca="false">IF(Tasks[[#This Row],[Task Name]]="","",Tasks[[#This Row],[Forecast Finish]])</f>
        <v/>
      </c>
      <c r="AQ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3" s="42" t="str">
        <f aca="false">IF(Tasks[[#This Row],[Task Name]]="","",Tasks[[#This Row],[Work]])</f>
        <v/>
      </c>
      <c r="AS133" s="43" t="str">
        <f aca="false">IF(Tasks[[#This Row],[Task Name]]="","",Tasks[[#This Row],[Cost]])</f>
        <v/>
      </c>
      <c r="AT133" s="29"/>
      <c r="AU133" s="29"/>
      <c r="AV133" s="39"/>
      <c r="AW133" s="44"/>
      <c r="AX133" s="45"/>
      <c r="AY133" s="38" t="str">
        <f aca="false">IF(OR(Tasks[[#This Row],[Task Name]]="",Tasks[[#This Row],[Baseline Duration]]=""),"",Tasks[[#This Row],[BL Source Duration]]-N(Tasks[[#This Row],[Baseline Duration]]))</f>
        <v/>
      </c>
      <c r="AZ133" s="42" t="str">
        <f aca="false">IF(OR(Tasks[[#This Row],[Task Name]]="",Tasks[[#This Row],[Baseline Work]]=""),"",Tasks[[#This Row],[Work]]-N(Tasks[[#This Row],[Baseline Work]]))</f>
        <v/>
      </c>
      <c r="BA133" s="43" t="str">
        <f aca="false">IF(OR(Tasks[[#This Row],[Task Name]]="",Tasks[[#This Row],[Baseline Cost]]=""),"",Tasks[[#This Row],[Cost]]-N(Tasks[[#This Row],[Baseline Cost]]))</f>
        <v/>
      </c>
      <c r="BB133" s="46" t="str">
        <f aca="false">IF(Tasks[[#This Row],[Task Name]]="","",MAX(1,N(Tasks[[#This Row],[Level]])))</f>
        <v/>
      </c>
      <c r="BC133" s="46" t="n">
        <f aca="false">ROW()-ROW(Tasks[[#Headers],[ID]])</f>
        <v>128</v>
      </c>
      <c r="BD1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3" s="46" t="n">
        <f aca="false">IFERROR(N(INDEX(Tasks[_Level],Tasks[[#This Row],[_Row]]+1)),0)</f>
        <v>0</v>
      </c>
      <c r="BF133" s="47" t="b">
        <f aca="false">AND(Tasks[[#This Row],[Task Name]]&lt;&gt;"",Tasks[[#This Row],[_NextLevel]]&gt;Tasks[[#This Row],[_Level]])</f>
        <v>0</v>
      </c>
      <c r="BG133" s="46" t="n">
        <f aca="false">IF(Tasks[[#This Row],[_IsSummary]],COUNTIF(Tasks[WBS],Tasks[[#This Row],[WBS]]&amp;".*"),0)</f>
        <v>0</v>
      </c>
      <c r="BH133" s="46" t="n">
        <f aca="false">IF(AND(Tasks[[#This Row],[Task Name]]&lt;&gt;"",NOT(Tasks[[#This Row],[_IsSummary]])),1,0)</f>
        <v>0</v>
      </c>
      <c r="BI133" s="46" t="n">
        <f aca="false">IF(N(Tasks[[#This Row],[Pred1 UID]])=0,0,IFERROR(MATCH(Tasks[[#This Row],[Pred1 UID]],Tasks[UID],0),-1))</f>
        <v>0</v>
      </c>
      <c r="BJ133" s="46" t="n">
        <f aca="false">IF(N(Tasks[[#This Row],[Pred2 UID]])=0,0,IFERROR(MATCH(Tasks[[#This Row],[Pred2 UID]],Tasks[UID],0),-1))</f>
        <v>0</v>
      </c>
      <c r="BK13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3" s="46" t="n">
        <f aca="false">IF(NOT(Tasks[[#This Row],[_IsLeaf]]=1),0,IF(N(Tasks[[#This Row],[Actual Finish]])&gt;0,1,MIN(1,N(Tasks[[#This Row],[% Complete]]))))</f>
        <v>0</v>
      </c>
      <c r="BP13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3" s="46" t="n">
        <f aca="false">IF(Tasks[[#This Row],[_LeafWork]]=0,0,Tasks[[#This Row],[_LeafWork]]*IFERROR(INDEX(res_Rate,MATCH(Tasks[[#This Row],[Resource]],res_Name,0)),0))</f>
        <v>0</v>
      </c>
      <c r="BR13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3" s="46" t="n">
        <f aca="false">IF(NOT(Tasks[[#This Row],[_IsLeaf]]=1),0,MAX(_xlfn.MAXIFS(Tasks[_Row],Tasks[Pred1 UID],Tasks[[#This Row],[UID]]),_xlfn.MAXIFS(Tasks[_Row],Tasks[Pred2 UID],Tasks[[#This Row],[UID]])))</f>
        <v>0</v>
      </c>
      <c r="BW13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3" s="48" t="str">
        <f aca="false">IF(NOT(Tasks[[#This Row],[_IsLeaf]]=1),"",MIN(ProjectFinish,IF(N(Tasks[[#This Row],[Deadline]])&gt;0,Tasks[[#This Row],[Deadline]],2958465),Tasks[[#This Row],[_SuccessorFinishLimit]]))</f>
        <v/>
      </c>
      <c r="BY13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3" s="47" t="b">
        <f aca="false">AND(Tasks[[#This Row],[_IsLeaf]]=1,Tasks[[#This Row],[_LeafProgress]]&lt;1,N(Tasks[[#This Row],[_LeafTotalSlack]])&lt;=CriticalSlackDays)</f>
        <v>0</v>
      </c>
      <c r="CB13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3" s="46" t="n">
        <f aca="false">IF(AND(Tasks[[#This Row],[_IsLeaf]]=1,Tasks[[#This Row],[_LeafWork]]&gt;0),NETWORKDAYS.INTL(ProjectStart,Tasks[[#This Row],[_LeafFcstStart]],WorkWeek,Holidays),0)</f>
        <v>0</v>
      </c>
      <c r="CK13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3" s="46" t="n">
        <f aca="false">IF(AND(Tasks[[#This Row],[_IsLeaf]]=1,Tasks[[#This Row],[_LeafWork]]&gt;0),Tasks[[#This Row],[_LeafWork]]/(Tasks[[#This Row],[_FinishWorkday]]-Tasks[[#This Row],[_StartWorkday]]+1),0)</f>
        <v>0</v>
      </c>
      <c r="CM133" s="46" t="n">
        <f aca="false">Tasks[[#This Row],[_WorkPerWorkday]]*(Tasks[[#This Row],[_StartWorkday]]-1)</f>
        <v>-0</v>
      </c>
      <c r="CN133" s="46" t="n">
        <f aca="false">IF(Tasks[[#This Row],[_IsLeaf]]=1,MAX(N(Tasks[[#This Row],[Duration]]),0.1),0)</f>
        <v>0</v>
      </c>
      <c r="CO133" s="46" t="n">
        <f aca="false">Tasks[[#This Row],[_WeightDur]]*Tasks[[#This Row],[_LeafProgress]]</f>
        <v>0</v>
      </c>
      <c r="CP13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39"/>
      <c r="E134" s="40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4" s="31"/>
      <c r="AF13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4" s="40"/>
      <c r="AI134" s="31"/>
      <c r="AJ13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4" s="40"/>
      <c r="AO134" s="24" t="str">
        <f aca="false">IF(Tasks[[#This Row],[Task Name]]="","",Tasks[[#This Row],[Forecast Start]])</f>
        <v/>
      </c>
      <c r="AP134" s="24" t="str">
        <f aca="false">IF(Tasks[[#This Row],[Task Name]]="","",Tasks[[#This Row],[Forecast Finish]])</f>
        <v/>
      </c>
      <c r="AQ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4" s="42" t="str">
        <f aca="false">IF(Tasks[[#This Row],[Task Name]]="","",Tasks[[#This Row],[Work]])</f>
        <v/>
      </c>
      <c r="AS134" s="43" t="str">
        <f aca="false">IF(Tasks[[#This Row],[Task Name]]="","",Tasks[[#This Row],[Cost]])</f>
        <v/>
      </c>
      <c r="AT134" s="29"/>
      <c r="AU134" s="29"/>
      <c r="AV134" s="39"/>
      <c r="AW134" s="44"/>
      <c r="AX134" s="45"/>
      <c r="AY134" s="38" t="str">
        <f aca="false">IF(OR(Tasks[[#This Row],[Task Name]]="",Tasks[[#This Row],[Baseline Duration]]=""),"",Tasks[[#This Row],[BL Source Duration]]-N(Tasks[[#This Row],[Baseline Duration]]))</f>
        <v/>
      </c>
      <c r="AZ134" s="42" t="str">
        <f aca="false">IF(OR(Tasks[[#This Row],[Task Name]]="",Tasks[[#This Row],[Baseline Work]]=""),"",Tasks[[#This Row],[Work]]-N(Tasks[[#This Row],[Baseline Work]]))</f>
        <v/>
      </c>
      <c r="BA134" s="43" t="str">
        <f aca="false">IF(OR(Tasks[[#This Row],[Task Name]]="",Tasks[[#This Row],[Baseline Cost]]=""),"",Tasks[[#This Row],[Cost]]-N(Tasks[[#This Row],[Baseline Cost]]))</f>
        <v/>
      </c>
      <c r="BB134" s="46" t="str">
        <f aca="false">IF(Tasks[[#This Row],[Task Name]]="","",MAX(1,N(Tasks[[#This Row],[Level]])))</f>
        <v/>
      </c>
      <c r="BC134" s="46" t="n">
        <f aca="false">ROW()-ROW(Tasks[[#Headers],[ID]])</f>
        <v>129</v>
      </c>
      <c r="BD1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4" s="46" t="n">
        <f aca="false">IFERROR(N(INDEX(Tasks[_Level],Tasks[[#This Row],[_Row]]+1)),0)</f>
        <v>0</v>
      </c>
      <c r="BF134" s="47" t="b">
        <f aca="false">AND(Tasks[[#This Row],[Task Name]]&lt;&gt;"",Tasks[[#This Row],[_NextLevel]]&gt;Tasks[[#This Row],[_Level]])</f>
        <v>0</v>
      </c>
      <c r="BG134" s="46" t="n">
        <f aca="false">IF(Tasks[[#This Row],[_IsSummary]],COUNTIF(Tasks[WBS],Tasks[[#This Row],[WBS]]&amp;".*"),0)</f>
        <v>0</v>
      </c>
      <c r="BH134" s="46" t="n">
        <f aca="false">IF(AND(Tasks[[#This Row],[Task Name]]&lt;&gt;"",NOT(Tasks[[#This Row],[_IsSummary]])),1,0)</f>
        <v>0</v>
      </c>
      <c r="BI134" s="46" t="n">
        <f aca="false">IF(N(Tasks[[#This Row],[Pred1 UID]])=0,0,IFERROR(MATCH(Tasks[[#This Row],[Pred1 UID]],Tasks[UID],0),-1))</f>
        <v>0</v>
      </c>
      <c r="BJ134" s="46" t="n">
        <f aca="false">IF(N(Tasks[[#This Row],[Pred2 UID]])=0,0,IFERROR(MATCH(Tasks[[#This Row],[Pred2 UID]],Tasks[UID],0),-1))</f>
        <v>0</v>
      </c>
      <c r="BK13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4" s="46" t="n">
        <f aca="false">IF(NOT(Tasks[[#This Row],[_IsLeaf]]=1),0,IF(N(Tasks[[#This Row],[Actual Finish]])&gt;0,1,MIN(1,N(Tasks[[#This Row],[% Complete]]))))</f>
        <v>0</v>
      </c>
      <c r="BP13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4" s="46" t="n">
        <f aca="false">IF(Tasks[[#This Row],[_LeafWork]]=0,0,Tasks[[#This Row],[_LeafWork]]*IFERROR(INDEX(res_Rate,MATCH(Tasks[[#This Row],[Resource]],res_Name,0)),0))</f>
        <v>0</v>
      </c>
      <c r="BR13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4" s="46" t="n">
        <f aca="false">IF(NOT(Tasks[[#This Row],[_IsLeaf]]=1),0,MAX(_xlfn.MAXIFS(Tasks[_Row],Tasks[Pred1 UID],Tasks[[#This Row],[UID]]),_xlfn.MAXIFS(Tasks[_Row],Tasks[Pred2 UID],Tasks[[#This Row],[UID]])))</f>
        <v>0</v>
      </c>
      <c r="BW13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4" s="48" t="str">
        <f aca="false">IF(NOT(Tasks[[#This Row],[_IsLeaf]]=1),"",MIN(ProjectFinish,IF(N(Tasks[[#This Row],[Deadline]])&gt;0,Tasks[[#This Row],[Deadline]],2958465),Tasks[[#This Row],[_SuccessorFinishLimit]]))</f>
        <v/>
      </c>
      <c r="BY13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4" s="47" t="b">
        <f aca="false">AND(Tasks[[#This Row],[_IsLeaf]]=1,Tasks[[#This Row],[_LeafProgress]]&lt;1,N(Tasks[[#This Row],[_LeafTotalSlack]])&lt;=CriticalSlackDays)</f>
        <v>0</v>
      </c>
      <c r="CB13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4" s="46" t="n">
        <f aca="false">IF(AND(Tasks[[#This Row],[_IsLeaf]]=1,Tasks[[#This Row],[_LeafWork]]&gt;0),NETWORKDAYS.INTL(ProjectStart,Tasks[[#This Row],[_LeafFcstStart]],WorkWeek,Holidays),0)</f>
        <v>0</v>
      </c>
      <c r="CK13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4" s="46" t="n">
        <f aca="false">IF(AND(Tasks[[#This Row],[_IsLeaf]]=1,Tasks[[#This Row],[_LeafWork]]&gt;0),Tasks[[#This Row],[_LeafWork]]/(Tasks[[#This Row],[_FinishWorkday]]-Tasks[[#This Row],[_StartWorkday]]+1),0)</f>
        <v>0</v>
      </c>
      <c r="CM134" s="46" t="n">
        <f aca="false">Tasks[[#This Row],[_WorkPerWorkday]]*(Tasks[[#This Row],[_StartWorkday]]-1)</f>
        <v>-0</v>
      </c>
      <c r="CN134" s="46" t="n">
        <f aca="false">IF(Tasks[[#This Row],[_IsLeaf]]=1,MAX(N(Tasks[[#This Row],[Duration]]),0.1),0)</f>
        <v>0</v>
      </c>
      <c r="CO134" s="46" t="n">
        <f aca="false">Tasks[[#This Row],[_WeightDur]]*Tasks[[#This Row],[_LeafProgress]]</f>
        <v>0</v>
      </c>
      <c r="CP13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39"/>
      <c r="E135" s="40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5" s="31"/>
      <c r="AF13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5" s="40"/>
      <c r="AI135" s="31"/>
      <c r="AJ13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5" s="40"/>
      <c r="AO135" s="24" t="str">
        <f aca="false">IF(Tasks[[#This Row],[Task Name]]="","",Tasks[[#This Row],[Forecast Start]])</f>
        <v/>
      </c>
      <c r="AP135" s="24" t="str">
        <f aca="false">IF(Tasks[[#This Row],[Task Name]]="","",Tasks[[#This Row],[Forecast Finish]])</f>
        <v/>
      </c>
      <c r="AQ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5" s="42" t="str">
        <f aca="false">IF(Tasks[[#This Row],[Task Name]]="","",Tasks[[#This Row],[Work]])</f>
        <v/>
      </c>
      <c r="AS135" s="43" t="str">
        <f aca="false">IF(Tasks[[#This Row],[Task Name]]="","",Tasks[[#This Row],[Cost]])</f>
        <v/>
      </c>
      <c r="AT135" s="29"/>
      <c r="AU135" s="29"/>
      <c r="AV135" s="39"/>
      <c r="AW135" s="44"/>
      <c r="AX135" s="45"/>
      <c r="AY135" s="38" t="str">
        <f aca="false">IF(OR(Tasks[[#This Row],[Task Name]]="",Tasks[[#This Row],[Baseline Duration]]=""),"",Tasks[[#This Row],[BL Source Duration]]-N(Tasks[[#This Row],[Baseline Duration]]))</f>
        <v/>
      </c>
      <c r="AZ135" s="42" t="str">
        <f aca="false">IF(OR(Tasks[[#This Row],[Task Name]]="",Tasks[[#This Row],[Baseline Work]]=""),"",Tasks[[#This Row],[Work]]-N(Tasks[[#This Row],[Baseline Work]]))</f>
        <v/>
      </c>
      <c r="BA135" s="43" t="str">
        <f aca="false">IF(OR(Tasks[[#This Row],[Task Name]]="",Tasks[[#This Row],[Baseline Cost]]=""),"",Tasks[[#This Row],[Cost]]-N(Tasks[[#This Row],[Baseline Cost]]))</f>
        <v/>
      </c>
      <c r="BB135" s="46" t="str">
        <f aca="false">IF(Tasks[[#This Row],[Task Name]]="","",MAX(1,N(Tasks[[#This Row],[Level]])))</f>
        <v/>
      </c>
      <c r="BC135" s="46" t="n">
        <f aca="false">ROW()-ROW(Tasks[[#Headers],[ID]])</f>
        <v>130</v>
      </c>
      <c r="BD1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5" s="46" t="n">
        <f aca="false">IFERROR(N(INDEX(Tasks[_Level],Tasks[[#This Row],[_Row]]+1)),0)</f>
        <v>0</v>
      </c>
      <c r="BF135" s="47" t="b">
        <f aca="false">AND(Tasks[[#This Row],[Task Name]]&lt;&gt;"",Tasks[[#This Row],[_NextLevel]]&gt;Tasks[[#This Row],[_Level]])</f>
        <v>0</v>
      </c>
      <c r="BG135" s="46" t="n">
        <f aca="false">IF(Tasks[[#This Row],[_IsSummary]],COUNTIF(Tasks[WBS],Tasks[[#This Row],[WBS]]&amp;".*"),0)</f>
        <v>0</v>
      </c>
      <c r="BH135" s="46" t="n">
        <f aca="false">IF(AND(Tasks[[#This Row],[Task Name]]&lt;&gt;"",NOT(Tasks[[#This Row],[_IsSummary]])),1,0)</f>
        <v>0</v>
      </c>
      <c r="BI135" s="46" t="n">
        <f aca="false">IF(N(Tasks[[#This Row],[Pred1 UID]])=0,0,IFERROR(MATCH(Tasks[[#This Row],[Pred1 UID]],Tasks[UID],0),-1))</f>
        <v>0</v>
      </c>
      <c r="BJ135" s="46" t="n">
        <f aca="false">IF(N(Tasks[[#This Row],[Pred2 UID]])=0,0,IFERROR(MATCH(Tasks[[#This Row],[Pred2 UID]],Tasks[UID],0),-1))</f>
        <v>0</v>
      </c>
      <c r="BK13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5" s="46" t="n">
        <f aca="false">IF(NOT(Tasks[[#This Row],[_IsLeaf]]=1),0,IF(N(Tasks[[#This Row],[Actual Finish]])&gt;0,1,MIN(1,N(Tasks[[#This Row],[% Complete]]))))</f>
        <v>0</v>
      </c>
      <c r="BP13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5" s="46" t="n">
        <f aca="false">IF(Tasks[[#This Row],[_LeafWork]]=0,0,Tasks[[#This Row],[_LeafWork]]*IFERROR(INDEX(res_Rate,MATCH(Tasks[[#This Row],[Resource]],res_Name,0)),0))</f>
        <v>0</v>
      </c>
      <c r="BR13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5" s="46" t="n">
        <f aca="false">IF(NOT(Tasks[[#This Row],[_IsLeaf]]=1),0,MAX(_xlfn.MAXIFS(Tasks[_Row],Tasks[Pred1 UID],Tasks[[#This Row],[UID]]),_xlfn.MAXIFS(Tasks[_Row],Tasks[Pred2 UID],Tasks[[#This Row],[UID]])))</f>
        <v>0</v>
      </c>
      <c r="BW13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5" s="48" t="str">
        <f aca="false">IF(NOT(Tasks[[#This Row],[_IsLeaf]]=1),"",MIN(ProjectFinish,IF(N(Tasks[[#This Row],[Deadline]])&gt;0,Tasks[[#This Row],[Deadline]],2958465),Tasks[[#This Row],[_SuccessorFinishLimit]]))</f>
        <v/>
      </c>
      <c r="BY13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5" s="47" t="b">
        <f aca="false">AND(Tasks[[#This Row],[_IsLeaf]]=1,Tasks[[#This Row],[_LeafProgress]]&lt;1,N(Tasks[[#This Row],[_LeafTotalSlack]])&lt;=CriticalSlackDays)</f>
        <v>0</v>
      </c>
      <c r="CB13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5" s="46" t="n">
        <f aca="false">IF(AND(Tasks[[#This Row],[_IsLeaf]]=1,Tasks[[#This Row],[_LeafWork]]&gt;0),NETWORKDAYS.INTL(ProjectStart,Tasks[[#This Row],[_LeafFcstStart]],WorkWeek,Holidays),0)</f>
        <v>0</v>
      </c>
      <c r="CK13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5" s="46" t="n">
        <f aca="false">IF(AND(Tasks[[#This Row],[_IsLeaf]]=1,Tasks[[#This Row],[_LeafWork]]&gt;0),Tasks[[#This Row],[_LeafWork]]/(Tasks[[#This Row],[_FinishWorkday]]-Tasks[[#This Row],[_StartWorkday]]+1),0)</f>
        <v>0</v>
      </c>
      <c r="CM135" s="46" t="n">
        <f aca="false">Tasks[[#This Row],[_WorkPerWorkday]]*(Tasks[[#This Row],[_StartWorkday]]-1)</f>
        <v>-0</v>
      </c>
      <c r="CN135" s="46" t="n">
        <f aca="false">IF(Tasks[[#This Row],[_IsLeaf]]=1,MAX(N(Tasks[[#This Row],[Duration]]),0.1),0)</f>
        <v>0</v>
      </c>
      <c r="CO135" s="46" t="n">
        <f aca="false">Tasks[[#This Row],[_WeightDur]]*Tasks[[#This Row],[_LeafProgress]]</f>
        <v>0</v>
      </c>
      <c r="CP13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39"/>
      <c r="E136" s="40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6" s="31"/>
      <c r="AF13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6" s="40"/>
      <c r="AI136" s="31"/>
      <c r="AJ13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6" s="40"/>
      <c r="AO136" s="24" t="str">
        <f aca="false">IF(Tasks[[#This Row],[Task Name]]="","",Tasks[[#This Row],[Forecast Start]])</f>
        <v/>
      </c>
      <c r="AP136" s="24" t="str">
        <f aca="false">IF(Tasks[[#This Row],[Task Name]]="","",Tasks[[#This Row],[Forecast Finish]])</f>
        <v/>
      </c>
      <c r="AQ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6" s="42" t="str">
        <f aca="false">IF(Tasks[[#This Row],[Task Name]]="","",Tasks[[#This Row],[Work]])</f>
        <v/>
      </c>
      <c r="AS136" s="43" t="str">
        <f aca="false">IF(Tasks[[#This Row],[Task Name]]="","",Tasks[[#This Row],[Cost]])</f>
        <v/>
      </c>
      <c r="AT136" s="29"/>
      <c r="AU136" s="29"/>
      <c r="AV136" s="39"/>
      <c r="AW136" s="44"/>
      <c r="AX136" s="45"/>
      <c r="AY136" s="38" t="str">
        <f aca="false">IF(OR(Tasks[[#This Row],[Task Name]]="",Tasks[[#This Row],[Baseline Duration]]=""),"",Tasks[[#This Row],[BL Source Duration]]-N(Tasks[[#This Row],[Baseline Duration]]))</f>
        <v/>
      </c>
      <c r="AZ136" s="42" t="str">
        <f aca="false">IF(OR(Tasks[[#This Row],[Task Name]]="",Tasks[[#This Row],[Baseline Work]]=""),"",Tasks[[#This Row],[Work]]-N(Tasks[[#This Row],[Baseline Work]]))</f>
        <v/>
      </c>
      <c r="BA136" s="43" t="str">
        <f aca="false">IF(OR(Tasks[[#This Row],[Task Name]]="",Tasks[[#This Row],[Baseline Cost]]=""),"",Tasks[[#This Row],[Cost]]-N(Tasks[[#This Row],[Baseline Cost]]))</f>
        <v/>
      </c>
      <c r="BB136" s="46" t="str">
        <f aca="false">IF(Tasks[[#This Row],[Task Name]]="","",MAX(1,N(Tasks[[#This Row],[Level]])))</f>
        <v/>
      </c>
      <c r="BC136" s="46" t="n">
        <f aca="false">ROW()-ROW(Tasks[[#Headers],[ID]])</f>
        <v>131</v>
      </c>
      <c r="BD1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6" s="46" t="n">
        <f aca="false">IFERROR(N(INDEX(Tasks[_Level],Tasks[[#This Row],[_Row]]+1)),0)</f>
        <v>0</v>
      </c>
      <c r="BF136" s="47" t="b">
        <f aca="false">AND(Tasks[[#This Row],[Task Name]]&lt;&gt;"",Tasks[[#This Row],[_NextLevel]]&gt;Tasks[[#This Row],[_Level]])</f>
        <v>0</v>
      </c>
      <c r="BG136" s="46" t="n">
        <f aca="false">IF(Tasks[[#This Row],[_IsSummary]],COUNTIF(Tasks[WBS],Tasks[[#This Row],[WBS]]&amp;".*"),0)</f>
        <v>0</v>
      </c>
      <c r="BH136" s="46" t="n">
        <f aca="false">IF(AND(Tasks[[#This Row],[Task Name]]&lt;&gt;"",NOT(Tasks[[#This Row],[_IsSummary]])),1,0)</f>
        <v>0</v>
      </c>
      <c r="BI136" s="46" t="n">
        <f aca="false">IF(N(Tasks[[#This Row],[Pred1 UID]])=0,0,IFERROR(MATCH(Tasks[[#This Row],[Pred1 UID]],Tasks[UID],0),-1))</f>
        <v>0</v>
      </c>
      <c r="BJ136" s="46" t="n">
        <f aca="false">IF(N(Tasks[[#This Row],[Pred2 UID]])=0,0,IFERROR(MATCH(Tasks[[#This Row],[Pred2 UID]],Tasks[UID],0),-1))</f>
        <v>0</v>
      </c>
      <c r="BK13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6" s="46" t="n">
        <f aca="false">IF(NOT(Tasks[[#This Row],[_IsLeaf]]=1),0,IF(N(Tasks[[#This Row],[Actual Finish]])&gt;0,1,MIN(1,N(Tasks[[#This Row],[% Complete]]))))</f>
        <v>0</v>
      </c>
      <c r="BP13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6" s="46" t="n">
        <f aca="false">IF(Tasks[[#This Row],[_LeafWork]]=0,0,Tasks[[#This Row],[_LeafWork]]*IFERROR(INDEX(res_Rate,MATCH(Tasks[[#This Row],[Resource]],res_Name,0)),0))</f>
        <v>0</v>
      </c>
      <c r="BR13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6" s="46" t="n">
        <f aca="false">IF(NOT(Tasks[[#This Row],[_IsLeaf]]=1),0,MAX(_xlfn.MAXIFS(Tasks[_Row],Tasks[Pred1 UID],Tasks[[#This Row],[UID]]),_xlfn.MAXIFS(Tasks[_Row],Tasks[Pred2 UID],Tasks[[#This Row],[UID]])))</f>
        <v>0</v>
      </c>
      <c r="BW13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6" s="48" t="str">
        <f aca="false">IF(NOT(Tasks[[#This Row],[_IsLeaf]]=1),"",MIN(ProjectFinish,IF(N(Tasks[[#This Row],[Deadline]])&gt;0,Tasks[[#This Row],[Deadline]],2958465),Tasks[[#This Row],[_SuccessorFinishLimit]]))</f>
        <v/>
      </c>
      <c r="BY13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6" s="47" t="b">
        <f aca="false">AND(Tasks[[#This Row],[_IsLeaf]]=1,Tasks[[#This Row],[_LeafProgress]]&lt;1,N(Tasks[[#This Row],[_LeafTotalSlack]])&lt;=CriticalSlackDays)</f>
        <v>0</v>
      </c>
      <c r="CB13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6" s="46" t="n">
        <f aca="false">IF(AND(Tasks[[#This Row],[_IsLeaf]]=1,Tasks[[#This Row],[_LeafWork]]&gt;0),NETWORKDAYS.INTL(ProjectStart,Tasks[[#This Row],[_LeafFcstStart]],WorkWeek,Holidays),0)</f>
        <v>0</v>
      </c>
      <c r="CK13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6" s="46" t="n">
        <f aca="false">IF(AND(Tasks[[#This Row],[_IsLeaf]]=1,Tasks[[#This Row],[_LeafWork]]&gt;0),Tasks[[#This Row],[_LeafWork]]/(Tasks[[#This Row],[_FinishWorkday]]-Tasks[[#This Row],[_StartWorkday]]+1),0)</f>
        <v>0</v>
      </c>
      <c r="CM136" s="46" t="n">
        <f aca="false">Tasks[[#This Row],[_WorkPerWorkday]]*(Tasks[[#This Row],[_StartWorkday]]-1)</f>
        <v>-0</v>
      </c>
      <c r="CN136" s="46" t="n">
        <f aca="false">IF(Tasks[[#This Row],[_IsLeaf]]=1,MAX(N(Tasks[[#This Row],[Duration]]),0.1),0)</f>
        <v>0</v>
      </c>
      <c r="CO136" s="46" t="n">
        <f aca="false">Tasks[[#This Row],[_WeightDur]]*Tasks[[#This Row],[_LeafProgress]]</f>
        <v>0</v>
      </c>
      <c r="CP13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39"/>
      <c r="E137" s="40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7" s="31"/>
      <c r="AF13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7" s="40"/>
      <c r="AI137" s="31"/>
      <c r="AJ13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7" s="40"/>
      <c r="AO137" s="24" t="str">
        <f aca="false">IF(Tasks[[#This Row],[Task Name]]="","",Tasks[[#This Row],[Forecast Start]])</f>
        <v/>
      </c>
      <c r="AP137" s="24" t="str">
        <f aca="false">IF(Tasks[[#This Row],[Task Name]]="","",Tasks[[#This Row],[Forecast Finish]])</f>
        <v/>
      </c>
      <c r="AQ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7" s="42" t="str">
        <f aca="false">IF(Tasks[[#This Row],[Task Name]]="","",Tasks[[#This Row],[Work]])</f>
        <v/>
      </c>
      <c r="AS137" s="43" t="str">
        <f aca="false">IF(Tasks[[#This Row],[Task Name]]="","",Tasks[[#This Row],[Cost]])</f>
        <v/>
      </c>
      <c r="AT137" s="29"/>
      <c r="AU137" s="29"/>
      <c r="AV137" s="39"/>
      <c r="AW137" s="44"/>
      <c r="AX137" s="45"/>
      <c r="AY137" s="38" t="str">
        <f aca="false">IF(OR(Tasks[[#This Row],[Task Name]]="",Tasks[[#This Row],[Baseline Duration]]=""),"",Tasks[[#This Row],[BL Source Duration]]-N(Tasks[[#This Row],[Baseline Duration]]))</f>
        <v/>
      </c>
      <c r="AZ137" s="42" t="str">
        <f aca="false">IF(OR(Tasks[[#This Row],[Task Name]]="",Tasks[[#This Row],[Baseline Work]]=""),"",Tasks[[#This Row],[Work]]-N(Tasks[[#This Row],[Baseline Work]]))</f>
        <v/>
      </c>
      <c r="BA137" s="43" t="str">
        <f aca="false">IF(OR(Tasks[[#This Row],[Task Name]]="",Tasks[[#This Row],[Baseline Cost]]=""),"",Tasks[[#This Row],[Cost]]-N(Tasks[[#This Row],[Baseline Cost]]))</f>
        <v/>
      </c>
      <c r="BB137" s="46" t="str">
        <f aca="false">IF(Tasks[[#This Row],[Task Name]]="","",MAX(1,N(Tasks[[#This Row],[Level]])))</f>
        <v/>
      </c>
      <c r="BC137" s="46" t="n">
        <f aca="false">ROW()-ROW(Tasks[[#Headers],[ID]])</f>
        <v>132</v>
      </c>
      <c r="BD1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7" s="46" t="n">
        <f aca="false">IFERROR(N(INDEX(Tasks[_Level],Tasks[[#This Row],[_Row]]+1)),0)</f>
        <v>0</v>
      </c>
      <c r="BF137" s="47" t="b">
        <f aca="false">AND(Tasks[[#This Row],[Task Name]]&lt;&gt;"",Tasks[[#This Row],[_NextLevel]]&gt;Tasks[[#This Row],[_Level]])</f>
        <v>0</v>
      </c>
      <c r="BG137" s="46" t="n">
        <f aca="false">IF(Tasks[[#This Row],[_IsSummary]],COUNTIF(Tasks[WBS],Tasks[[#This Row],[WBS]]&amp;".*"),0)</f>
        <v>0</v>
      </c>
      <c r="BH137" s="46" t="n">
        <f aca="false">IF(AND(Tasks[[#This Row],[Task Name]]&lt;&gt;"",NOT(Tasks[[#This Row],[_IsSummary]])),1,0)</f>
        <v>0</v>
      </c>
      <c r="BI137" s="46" t="n">
        <f aca="false">IF(N(Tasks[[#This Row],[Pred1 UID]])=0,0,IFERROR(MATCH(Tasks[[#This Row],[Pred1 UID]],Tasks[UID],0),-1))</f>
        <v>0</v>
      </c>
      <c r="BJ137" s="46" t="n">
        <f aca="false">IF(N(Tasks[[#This Row],[Pred2 UID]])=0,0,IFERROR(MATCH(Tasks[[#This Row],[Pred2 UID]],Tasks[UID],0),-1))</f>
        <v>0</v>
      </c>
      <c r="BK13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7" s="46" t="n">
        <f aca="false">IF(NOT(Tasks[[#This Row],[_IsLeaf]]=1),0,IF(N(Tasks[[#This Row],[Actual Finish]])&gt;0,1,MIN(1,N(Tasks[[#This Row],[% Complete]]))))</f>
        <v>0</v>
      </c>
      <c r="BP13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7" s="46" t="n">
        <f aca="false">IF(Tasks[[#This Row],[_LeafWork]]=0,0,Tasks[[#This Row],[_LeafWork]]*IFERROR(INDEX(res_Rate,MATCH(Tasks[[#This Row],[Resource]],res_Name,0)),0))</f>
        <v>0</v>
      </c>
      <c r="BR13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7" s="46" t="n">
        <f aca="false">IF(NOT(Tasks[[#This Row],[_IsLeaf]]=1),0,MAX(_xlfn.MAXIFS(Tasks[_Row],Tasks[Pred1 UID],Tasks[[#This Row],[UID]]),_xlfn.MAXIFS(Tasks[_Row],Tasks[Pred2 UID],Tasks[[#This Row],[UID]])))</f>
        <v>0</v>
      </c>
      <c r="BW13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7" s="48" t="str">
        <f aca="false">IF(NOT(Tasks[[#This Row],[_IsLeaf]]=1),"",MIN(ProjectFinish,IF(N(Tasks[[#This Row],[Deadline]])&gt;0,Tasks[[#This Row],[Deadline]],2958465),Tasks[[#This Row],[_SuccessorFinishLimit]]))</f>
        <v/>
      </c>
      <c r="BY13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7" s="47" t="b">
        <f aca="false">AND(Tasks[[#This Row],[_IsLeaf]]=1,Tasks[[#This Row],[_LeafProgress]]&lt;1,N(Tasks[[#This Row],[_LeafTotalSlack]])&lt;=CriticalSlackDays)</f>
        <v>0</v>
      </c>
      <c r="CB13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7" s="46" t="n">
        <f aca="false">IF(AND(Tasks[[#This Row],[_IsLeaf]]=1,Tasks[[#This Row],[_LeafWork]]&gt;0),NETWORKDAYS.INTL(ProjectStart,Tasks[[#This Row],[_LeafFcstStart]],WorkWeek,Holidays),0)</f>
        <v>0</v>
      </c>
      <c r="CK13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7" s="46" t="n">
        <f aca="false">IF(AND(Tasks[[#This Row],[_IsLeaf]]=1,Tasks[[#This Row],[_LeafWork]]&gt;0),Tasks[[#This Row],[_LeafWork]]/(Tasks[[#This Row],[_FinishWorkday]]-Tasks[[#This Row],[_StartWorkday]]+1),0)</f>
        <v>0</v>
      </c>
      <c r="CM137" s="46" t="n">
        <f aca="false">Tasks[[#This Row],[_WorkPerWorkday]]*(Tasks[[#This Row],[_StartWorkday]]-1)</f>
        <v>-0</v>
      </c>
      <c r="CN137" s="46" t="n">
        <f aca="false">IF(Tasks[[#This Row],[_IsLeaf]]=1,MAX(N(Tasks[[#This Row],[Duration]]),0.1),0)</f>
        <v>0</v>
      </c>
      <c r="CO137" s="46" t="n">
        <f aca="false">Tasks[[#This Row],[_WeightDur]]*Tasks[[#This Row],[_LeafProgress]]</f>
        <v>0</v>
      </c>
      <c r="CP13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39"/>
      <c r="E138" s="40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8" s="31"/>
      <c r="AF13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8" s="40"/>
      <c r="AI138" s="31"/>
      <c r="AJ13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8" s="40"/>
      <c r="AO138" s="24" t="str">
        <f aca="false">IF(Tasks[[#This Row],[Task Name]]="","",Tasks[[#This Row],[Forecast Start]])</f>
        <v/>
      </c>
      <c r="AP138" s="24" t="str">
        <f aca="false">IF(Tasks[[#This Row],[Task Name]]="","",Tasks[[#This Row],[Forecast Finish]])</f>
        <v/>
      </c>
      <c r="AQ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8" s="42" t="str">
        <f aca="false">IF(Tasks[[#This Row],[Task Name]]="","",Tasks[[#This Row],[Work]])</f>
        <v/>
      </c>
      <c r="AS138" s="43" t="str">
        <f aca="false">IF(Tasks[[#This Row],[Task Name]]="","",Tasks[[#This Row],[Cost]])</f>
        <v/>
      </c>
      <c r="AT138" s="29"/>
      <c r="AU138" s="29"/>
      <c r="AV138" s="39"/>
      <c r="AW138" s="44"/>
      <c r="AX138" s="45"/>
      <c r="AY138" s="38" t="str">
        <f aca="false">IF(OR(Tasks[[#This Row],[Task Name]]="",Tasks[[#This Row],[Baseline Duration]]=""),"",Tasks[[#This Row],[BL Source Duration]]-N(Tasks[[#This Row],[Baseline Duration]]))</f>
        <v/>
      </c>
      <c r="AZ138" s="42" t="str">
        <f aca="false">IF(OR(Tasks[[#This Row],[Task Name]]="",Tasks[[#This Row],[Baseline Work]]=""),"",Tasks[[#This Row],[Work]]-N(Tasks[[#This Row],[Baseline Work]]))</f>
        <v/>
      </c>
      <c r="BA138" s="43" t="str">
        <f aca="false">IF(OR(Tasks[[#This Row],[Task Name]]="",Tasks[[#This Row],[Baseline Cost]]=""),"",Tasks[[#This Row],[Cost]]-N(Tasks[[#This Row],[Baseline Cost]]))</f>
        <v/>
      </c>
      <c r="BB138" s="46" t="str">
        <f aca="false">IF(Tasks[[#This Row],[Task Name]]="","",MAX(1,N(Tasks[[#This Row],[Level]])))</f>
        <v/>
      </c>
      <c r="BC138" s="46" t="n">
        <f aca="false">ROW()-ROW(Tasks[[#Headers],[ID]])</f>
        <v>133</v>
      </c>
      <c r="BD1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8" s="46" t="n">
        <f aca="false">IFERROR(N(INDEX(Tasks[_Level],Tasks[[#This Row],[_Row]]+1)),0)</f>
        <v>0</v>
      </c>
      <c r="BF138" s="47" t="b">
        <f aca="false">AND(Tasks[[#This Row],[Task Name]]&lt;&gt;"",Tasks[[#This Row],[_NextLevel]]&gt;Tasks[[#This Row],[_Level]])</f>
        <v>0</v>
      </c>
      <c r="BG138" s="46" t="n">
        <f aca="false">IF(Tasks[[#This Row],[_IsSummary]],COUNTIF(Tasks[WBS],Tasks[[#This Row],[WBS]]&amp;".*"),0)</f>
        <v>0</v>
      </c>
      <c r="BH138" s="46" t="n">
        <f aca="false">IF(AND(Tasks[[#This Row],[Task Name]]&lt;&gt;"",NOT(Tasks[[#This Row],[_IsSummary]])),1,0)</f>
        <v>0</v>
      </c>
      <c r="BI138" s="46" t="n">
        <f aca="false">IF(N(Tasks[[#This Row],[Pred1 UID]])=0,0,IFERROR(MATCH(Tasks[[#This Row],[Pred1 UID]],Tasks[UID],0),-1))</f>
        <v>0</v>
      </c>
      <c r="BJ138" s="46" t="n">
        <f aca="false">IF(N(Tasks[[#This Row],[Pred2 UID]])=0,0,IFERROR(MATCH(Tasks[[#This Row],[Pred2 UID]],Tasks[UID],0),-1))</f>
        <v>0</v>
      </c>
      <c r="BK13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8" s="46" t="n">
        <f aca="false">IF(NOT(Tasks[[#This Row],[_IsLeaf]]=1),0,IF(N(Tasks[[#This Row],[Actual Finish]])&gt;0,1,MIN(1,N(Tasks[[#This Row],[% Complete]]))))</f>
        <v>0</v>
      </c>
      <c r="BP13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8" s="46" t="n">
        <f aca="false">IF(Tasks[[#This Row],[_LeafWork]]=0,0,Tasks[[#This Row],[_LeafWork]]*IFERROR(INDEX(res_Rate,MATCH(Tasks[[#This Row],[Resource]],res_Name,0)),0))</f>
        <v>0</v>
      </c>
      <c r="BR13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8" s="46" t="n">
        <f aca="false">IF(NOT(Tasks[[#This Row],[_IsLeaf]]=1),0,MAX(_xlfn.MAXIFS(Tasks[_Row],Tasks[Pred1 UID],Tasks[[#This Row],[UID]]),_xlfn.MAXIFS(Tasks[_Row],Tasks[Pred2 UID],Tasks[[#This Row],[UID]])))</f>
        <v>0</v>
      </c>
      <c r="BW13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8" s="48" t="str">
        <f aca="false">IF(NOT(Tasks[[#This Row],[_IsLeaf]]=1),"",MIN(ProjectFinish,IF(N(Tasks[[#This Row],[Deadline]])&gt;0,Tasks[[#This Row],[Deadline]],2958465),Tasks[[#This Row],[_SuccessorFinishLimit]]))</f>
        <v/>
      </c>
      <c r="BY13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8" s="47" t="b">
        <f aca="false">AND(Tasks[[#This Row],[_IsLeaf]]=1,Tasks[[#This Row],[_LeafProgress]]&lt;1,N(Tasks[[#This Row],[_LeafTotalSlack]])&lt;=CriticalSlackDays)</f>
        <v>0</v>
      </c>
      <c r="CB13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8" s="46" t="n">
        <f aca="false">IF(AND(Tasks[[#This Row],[_IsLeaf]]=1,Tasks[[#This Row],[_LeafWork]]&gt;0),NETWORKDAYS.INTL(ProjectStart,Tasks[[#This Row],[_LeafFcstStart]],WorkWeek,Holidays),0)</f>
        <v>0</v>
      </c>
      <c r="CK13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8" s="46" t="n">
        <f aca="false">IF(AND(Tasks[[#This Row],[_IsLeaf]]=1,Tasks[[#This Row],[_LeafWork]]&gt;0),Tasks[[#This Row],[_LeafWork]]/(Tasks[[#This Row],[_FinishWorkday]]-Tasks[[#This Row],[_StartWorkday]]+1),0)</f>
        <v>0</v>
      </c>
      <c r="CM138" s="46" t="n">
        <f aca="false">Tasks[[#This Row],[_WorkPerWorkday]]*(Tasks[[#This Row],[_StartWorkday]]-1)</f>
        <v>-0</v>
      </c>
      <c r="CN138" s="46" t="n">
        <f aca="false">IF(Tasks[[#This Row],[_IsLeaf]]=1,MAX(N(Tasks[[#This Row],[Duration]]),0.1),0)</f>
        <v>0</v>
      </c>
      <c r="CO138" s="46" t="n">
        <f aca="false">Tasks[[#This Row],[_WeightDur]]*Tasks[[#This Row],[_LeafProgress]]</f>
        <v>0</v>
      </c>
      <c r="CP13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39"/>
      <c r="E139" s="40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9" s="31"/>
      <c r="AF13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9" s="40"/>
      <c r="AI139" s="31"/>
      <c r="AJ13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9" s="40"/>
      <c r="AO139" s="24" t="str">
        <f aca="false">IF(Tasks[[#This Row],[Task Name]]="","",Tasks[[#This Row],[Forecast Start]])</f>
        <v/>
      </c>
      <c r="AP139" s="24" t="str">
        <f aca="false">IF(Tasks[[#This Row],[Task Name]]="","",Tasks[[#This Row],[Forecast Finish]])</f>
        <v/>
      </c>
      <c r="AQ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9" s="42" t="str">
        <f aca="false">IF(Tasks[[#This Row],[Task Name]]="","",Tasks[[#This Row],[Work]])</f>
        <v/>
      </c>
      <c r="AS139" s="43" t="str">
        <f aca="false">IF(Tasks[[#This Row],[Task Name]]="","",Tasks[[#This Row],[Cost]])</f>
        <v/>
      </c>
      <c r="AT139" s="29"/>
      <c r="AU139" s="29"/>
      <c r="AV139" s="39"/>
      <c r="AW139" s="44"/>
      <c r="AX139" s="45"/>
      <c r="AY139" s="38" t="str">
        <f aca="false">IF(OR(Tasks[[#This Row],[Task Name]]="",Tasks[[#This Row],[Baseline Duration]]=""),"",Tasks[[#This Row],[BL Source Duration]]-N(Tasks[[#This Row],[Baseline Duration]]))</f>
        <v/>
      </c>
      <c r="AZ139" s="42" t="str">
        <f aca="false">IF(OR(Tasks[[#This Row],[Task Name]]="",Tasks[[#This Row],[Baseline Work]]=""),"",Tasks[[#This Row],[Work]]-N(Tasks[[#This Row],[Baseline Work]]))</f>
        <v/>
      </c>
      <c r="BA139" s="43" t="str">
        <f aca="false">IF(OR(Tasks[[#This Row],[Task Name]]="",Tasks[[#This Row],[Baseline Cost]]=""),"",Tasks[[#This Row],[Cost]]-N(Tasks[[#This Row],[Baseline Cost]]))</f>
        <v/>
      </c>
      <c r="BB139" s="46" t="str">
        <f aca="false">IF(Tasks[[#This Row],[Task Name]]="","",MAX(1,N(Tasks[[#This Row],[Level]])))</f>
        <v/>
      </c>
      <c r="BC139" s="46" t="n">
        <f aca="false">ROW()-ROW(Tasks[[#Headers],[ID]])</f>
        <v>134</v>
      </c>
      <c r="BD1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9" s="46" t="n">
        <f aca="false">IFERROR(N(INDEX(Tasks[_Level],Tasks[[#This Row],[_Row]]+1)),0)</f>
        <v>0</v>
      </c>
      <c r="BF139" s="47" t="b">
        <f aca="false">AND(Tasks[[#This Row],[Task Name]]&lt;&gt;"",Tasks[[#This Row],[_NextLevel]]&gt;Tasks[[#This Row],[_Level]])</f>
        <v>0</v>
      </c>
      <c r="BG139" s="46" t="n">
        <f aca="false">IF(Tasks[[#This Row],[_IsSummary]],COUNTIF(Tasks[WBS],Tasks[[#This Row],[WBS]]&amp;".*"),0)</f>
        <v>0</v>
      </c>
      <c r="BH139" s="46" t="n">
        <f aca="false">IF(AND(Tasks[[#This Row],[Task Name]]&lt;&gt;"",NOT(Tasks[[#This Row],[_IsSummary]])),1,0)</f>
        <v>0</v>
      </c>
      <c r="BI139" s="46" t="n">
        <f aca="false">IF(N(Tasks[[#This Row],[Pred1 UID]])=0,0,IFERROR(MATCH(Tasks[[#This Row],[Pred1 UID]],Tasks[UID],0),-1))</f>
        <v>0</v>
      </c>
      <c r="BJ139" s="46" t="n">
        <f aca="false">IF(N(Tasks[[#This Row],[Pred2 UID]])=0,0,IFERROR(MATCH(Tasks[[#This Row],[Pred2 UID]],Tasks[UID],0),-1))</f>
        <v>0</v>
      </c>
      <c r="BK13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9" s="46" t="n">
        <f aca="false">IF(NOT(Tasks[[#This Row],[_IsLeaf]]=1),0,IF(N(Tasks[[#This Row],[Actual Finish]])&gt;0,1,MIN(1,N(Tasks[[#This Row],[% Complete]]))))</f>
        <v>0</v>
      </c>
      <c r="BP13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39" s="46" t="n">
        <f aca="false">IF(Tasks[[#This Row],[_LeafWork]]=0,0,Tasks[[#This Row],[_LeafWork]]*IFERROR(INDEX(res_Rate,MATCH(Tasks[[#This Row],[Resource]],res_Name,0)),0))</f>
        <v>0</v>
      </c>
      <c r="BR13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9" s="46" t="n">
        <f aca="false">IF(NOT(Tasks[[#This Row],[_IsLeaf]]=1),0,MAX(_xlfn.MAXIFS(Tasks[_Row],Tasks[Pred1 UID],Tasks[[#This Row],[UID]]),_xlfn.MAXIFS(Tasks[_Row],Tasks[Pred2 UID],Tasks[[#This Row],[UID]])))</f>
        <v>0</v>
      </c>
      <c r="BW13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9" s="48" t="str">
        <f aca="false">IF(NOT(Tasks[[#This Row],[_IsLeaf]]=1),"",MIN(ProjectFinish,IF(N(Tasks[[#This Row],[Deadline]])&gt;0,Tasks[[#This Row],[Deadline]],2958465),Tasks[[#This Row],[_SuccessorFinishLimit]]))</f>
        <v/>
      </c>
      <c r="BY13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9" s="47" t="b">
        <f aca="false">AND(Tasks[[#This Row],[_IsLeaf]]=1,Tasks[[#This Row],[_LeafProgress]]&lt;1,N(Tasks[[#This Row],[_LeafTotalSlack]])&lt;=CriticalSlackDays)</f>
        <v>0</v>
      </c>
      <c r="CB13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9" s="46" t="n">
        <f aca="false">IF(AND(Tasks[[#This Row],[_IsLeaf]]=1,Tasks[[#This Row],[_LeafWork]]&gt;0),NETWORKDAYS.INTL(ProjectStart,Tasks[[#This Row],[_LeafFcstStart]],WorkWeek,Holidays),0)</f>
        <v>0</v>
      </c>
      <c r="CK13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9" s="46" t="n">
        <f aca="false">IF(AND(Tasks[[#This Row],[_IsLeaf]]=1,Tasks[[#This Row],[_LeafWork]]&gt;0),Tasks[[#This Row],[_LeafWork]]/(Tasks[[#This Row],[_FinishWorkday]]-Tasks[[#This Row],[_StartWorkday]]+1),0)</f>
        <v>0</v>
      </c>
      <c r="CM139" s="46" t="n">
        <f aca="false">Tasks[[#This Row],[_WorkPerWorkday]]*(Tasks[[#This Row],[_StartWorkday]]-1)</f>
        <v>-0</v>
      </c>
      <c r="CN139" s="46" t="n">
        <f aca="false">IF(Tasks[[#This Row],[_IsLeaf]]=1,MAX(N(Tasks[[#This Row],[Duration]]),0.1),0)</f>
        <v>0</v>
      </c>
      <c r="CO139" s="46" t="n">
        <f aca="false">Tasks[[#This Row],[_WeightDur]]*Tasks[[#This Row],[_LeafProgress]]</f>
        <v>0</v>
      </c>
      <c r="CP13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39"/>
      <c r="E140" s="40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0" s="31"/>
      <c r="AF14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0" s="40"/>
      <c r="AI140" s="31"/>
      <c r="AJ14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0" s="40"/>
      <c r="AO140" s="24" t="str">
        <f aca="false">IF(Tasks[[#This Row],[Task Name]]="","",Tasks[[#This Row],[Forecast Start]])</f>
        <v/>
      </c>
      <c r="AP140" s="24" t="str">
        <f aca="false">IF(Tasks[[#This Row],[Task Name]]="","",Tasks[[#This Row],[Forecast Finish]])</f>
        <v/>
      </c>
      <c r="AQ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0" s="42" t="str">
        <f aca="false">IF(Tasks[[#This Row],[Task Name]]="","",Tasks[[#This Row],[Work]])</f>
        <v/>
      </c>
      <c r="AS140" s="43" t="str">
        <f aca="false">IF(Tasks[[#This Row],[Task Name]]="","",Tasks[[#This Row],[Cost]])</f>
        <v/>
      </c>
      <c r="AT140" s="29"/>
      <c r="AU140" s="29"/>
      <c r="AV140" s="39"/>
      <c r="AW140" s="44"/>
      <c r="AX140" s="45"/>
      <c r="AY140" s="38" t="str">
        <f aca="false">IF(OR(Tasks[[#This Row],[Task Name]]="",Tasks[[#This Row],[Baseline Duration]]=""),"",Tasks[[#This Row],[BL Source Duration]]-N(Tasks[[#This Row],[Baseline Duration]]))</f>
        <v/>
      </c>
      <c r="AZ140" s="42" t="str">
        <f aca="false">IF(OR(Tasks[[#This Row],[Task Name]]="",Tasks[[#This Row],[Baseline Work]]=""),"",Tasks[[#This Row],[Work]]-N(Tasks[[#This Row],[Baseline Work]]))</f>
        <v/>
      </c>
      <c r="BA140" s="43" t="str">
        <f aca="false">IF(OR(Tasks[[#This Row],[Task Name]]="",Tasks[[#This Row],[Baseline Cost]]=""),"",Tasks[[#This Row],[Cost]]-N(Tasks[[#This Row],[Baseline Cost]]))</f>
        <v/>
      </c>
      <c r="BB140" s="46" t="str">
        <f aca="false">IF(Tasks[[#This Row],[Task Name]]="","",MAX(1,N(Tasks[[#This Row],[Level]])))</f>
        <v/>
      </c>
      <c r="BC140" s="46" t="n">
        <f aca="false">ROW()-ROW(Tasks[[#Headers],[ID]])</f>
        <v>135</v>
      </c>
      <c r="BD1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0" s="46" t="n">
        <f aca="false">IFERROR(N(INDEX(Tasks[_Level],Tasks[[#This Row],[_Row]]+1)),0)</f>
        <v>0</v>
      </c>
      <c r="BF140" s="47" t="b">
        <f aca="false">AND(Tasks[[#This Row],[Task Name]]&lt;&gt;"",Tasks[[#This Row],[_NextLevel]]&gt;Tasks[[#This Row],[_Level]])</f>
        <v>0</v>
      </c>
      <c r="BG140" s="46" t="n">
        <f aca="false">IF(Tasks[[#This Row],[_IsSummary]],COUNTIF(Tasks[WBS],Tasks[[#This Row],[WBS]]&amp;".*"),0)</f>
        <v>0</v>
      </c>
      <c r="BH140" s="46" t="n">
        <f aca="false">IF(AND(Tasks[[#This Row],[Task Name]]&lt;&gt;"",NOT(Tasks[[#This Row],[_IsSummary]])),1,0)</f>
        <v>0</v>
      </c>
      <c r="BI140" s="46" t="n">
        <f aca="false">IF(N(Tasks[[#This Row],[Pred1 UID]])=0,0,IFERROR(MATCH(Tasks[[#This Row],[Pred1 UID]],Tasks[UID],0),-1))</f>
        <v>0</v>
      </c>
      <c r="BJ140" s="46" t="n">
        <f aca="false">IF(N(Tasks[[#This Row],[Pred2 UID]])=0,0,IFERROR(MATCH(Tasks[[#This Row],[Pred2 UID]],Tasks[UID],0),-1))</f>
        <v>0</v>
      </c>
      <c r="BK14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0" s="46" t="n">
        <f aca="false">IF(NOT(Tasks[[#This Row],[_IsLeaf]]=1),0,IF(N(Tasks[[#This Row],[Actual Finish]])&gt;0,1,MIN(1,N(Tasks[[#This Row],[% Complete]]))))</f>
        <v>0</v>
      </c>
      <c r="BP14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0" s="46" t="n">
        <f aca="false">IF(Tasks[[#This Row],[_LeafWork]]=0,0,Tasks[[#This Row],[_LeafWork]]*IFERROR(INDEX(res_Rate,MATCH(Tasks[[#This Row],[Resource]],res_Name,0)),0))</f>
        <v>0</v>
      </c>
      <c r="BR14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0" s="46" t="n">
        <f aca="false">IF(NOT(Tasks[[#This Row],[_IsLeaf]]=1),0,MAX(_xlfn.MAXIFS(Tasks[_Row],Tasks[Pred1 UID],Tasks[[#This Row],[UID]]),_xlfn.MAXIFS(Tasks[_Row],Tasks[Pred2 UID],Tasks[[#This Row],[UID]])))</f>
        <v>0</v>
      </c>
      <c r="BW14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0" s="48" t="str">
        <f aca="false">IF(NOT(Tasks[[#This Row],[_IsLeaf]]=1),"",MIN(ProjectFinish,IF(N(Tasks[[#This Row],[Deadline]])&gt;0,Tasks[[#This Row],[Deadline]],2958465),Tasks[[#This Row],[_SuccessorFinishLimit]]))</f>
        <v/>
      </c>
      <c r="BY14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0" s="47" t="b">
        <f aca="false">AND(Tasks[[#This Row],[_IsLeaf]]=1,Tasks[[#This Row],[_LeafProgress]]&lt;1,N(Tasks[[#This Row],[_LeafTotalSlack]])&lt;=CriticalSlackDays)</f>
        <v>0</v>
      </c>
      <c r="CB14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0" s="46" t="n">
        <f aca="false">IF(AND(Tasks[[#This Row],[_IsLeaf]]=1,Tasks[[#This Row],[_LeafWork]]&gt;0),NETWORKDAYS.INTL(ProjectStart,Tasks[[#This Row],[_LeafFcstStart]],WorkWeek,Holidays),0)</f>
        <v>0</v>
      </c>
      <c r="CK14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0" s="46" t="n">
        <f aca="false">IF(AND(Tasks[[#This Row],[_IsLeaf]]=1,Tasks[[#This Row],[_LeafWork]]&gt;0),Tasks[[#This Row],[_LeafWork]]/(Tasks[[#This Row],[_FinishWorkday]]-Tasks[[#This Row],[_StartWorkday]]+1),0)</f>
        <v>0</v>
      </c>
      <c r="CM140" s="46" t="n">
        <f aca="false">Tasks[[#This Row],[_WorkPerWorkday]]*(Tasks[[#This Row],[_StartWorkday]]-1)</f>
        <v>-0</v>
      </c>
      <c r="CN140" s="46" t="n">
        <f aca="false">IF(Tasks[[#This Row],[_IsLeaf]]=1,MAX(N(Tasks[[#This Row],[Duration]]),0.1),0)</f>
        <v>0</v>
      </c>
      <c r="CO140" s="46" t="n">
        <f aca="false">Tasks[[#This Row],[_WeightDur]]*Tasks[[#This Row],[_LeafProgress]]</f>
        <v>0</v>
      </c>
      <c r="CP14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39"/>
      <c r="E141" s="40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1" s="31"/>
      <c r="AF14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1" s="40"/>
      <c r="AI141" s="31"/>
      <c r="AJ14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1" s="40"/>
      <c r="AO141" s="24" t="str">
        <f aca="false">IF(Tasks[[#This Row],[Task Name]]="","",Tasks[[#This Row],[Forecast Start]])</f>
        <v/>
      </c>
      <c r="AP141" s="24" t="str">
        <f aca="false">IF(Tasks[[#This Row],[Task Name]]="","",Tasks[[#This Row],[Forecast Finish]])</f>
        <v/>
      </c>
      <c r="AQ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1" s="42" t="str">
        <f aca="false">IF(Tasks[[#This Row],[Task Name]]="","",Tasks[[#This Row],[Work]])</f>
        <v/>
      </c>
      <c r="AS141" s="43" t="str">
        <f aca="false">IF(Tasks[[#This Row],[Task Name]]="","",Tasks[[#This Row],[Cost]])</f>
        <v/>
      </c>
      <c r="AT141" s="29"/>
      <c r="AU141" s="29"/>
      <c r="AV141" s="39"/>
      <c r="AW141" s="44"/>
      <c r="AX141" s="45"/>
      <c r="AY141" s="38" t="str">
        <f aca="false">IF(OR(Tasks[[#This Row],[Task Name]]="",Tasks[[#This Row],[Baseline Duration]]=""),"",Tasks[[#This Row],[BL Source Duration]]-N(Tasks[[#This Row],[Baseline Duration]]))</f>
        <v/>
      </c>
      <c r="AZ141" s="42" t="str">
        <f aca="false">IF(OR(Tasks[[#This Row],[Task Name]]="",Tasks[[#This Row],[Baseline Work]]=""),"",Tasks[[#This Row],[Work]]-N(Tasks[[#This Row],[Baseline Work]]))</f>
        <v/>
      </c>
      <c r="BA141" s="43" t="str">
        <f aca="false">IF(OR(Tasks[[#This Row],[Task Name]]="",Tasks[[#This Row],[Baseline Cost]]=""),"",Tasks[[#This Row],[Cost]]-N(Tasks[[#This Row],[Baseline Cost]]))</f>
        <v/>
      </c>
      <c r="BB141" s="46" t="str">
        <f aca="false">IF(Tasks[[#This Row],[Task Name]]="","",MAX(1,N(Tasks[[#This Row],[Level]])))</f>
        <v/>
      </c>
      <c r="BC141" s="46" t="n">
        <f aca="false">ROW()-ROW(Tasks[[#Headers],[ID]])</f>
        <v>136</v>
      </c>
      <c r="BD1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1" s="46" t="n">
        <f aca="false">IFERROR(N(INDEX(Tasks[_Level],Tasks[[#This Row],[_Row]]+1)),0)</f>
        <v>0</v>
      </c>
      <c r="BF141" s="47" t="b">
        <f aca="false">AND(Tasks[[#This Row],[Task Name]]&lt;&gt;"",Tasks[[#This Row],[_NextLevel]]&gt;Tasks[[#This Row],[_Level]])</f>
        <v>0</v>
      </c>
      <c r="BG141" s="46" t="n">
        <f aca="false">IF(Tasks[[#This Row],[_IsSummary]],COUNTIF(Tasks[WBS],Tasks[[#This Row],[WBS]]&amp;".*"),0)</f>
        <v>0</v>
      </c>
      <c r="BH141" s="46" t="n">
        <f aca="false">IF(AND(Tasks[[#This Row],[Task Name]]&lt;&gt;"",NOT(Tasks[[#This Row],[_IsSummary]])),1,0)</f>
        <v>0</v>
      </c>
      <c r="BI141" s="46" t="n">
        <f aca="false">IF(N(Tasks[[#This Row],[Pred1 UID]])=0,0,IFERROR(MATCH(Tasks[[#This Row],[Pred1 UID]],Tasks[UID],0),-1))</f>
        <v>0</v>
      </c>
      <c r="BJ141" s="46" t="n">
        <f aca="false">IF(N(Tasks[[#This Row],[Pred2 UID]])=0,0,IFERROR(MATCH(Tasks[[#This Row],[Pred2 UID]],Tasks[UID],0),-1))</f>
        <v>0</v>
      </c>
      <c r="BK14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1" s="46" t="n">
        <f aca="false">IF(NOT(Tasks[[#This Row],[_IsLeaf]]=1),0,IF(N(Tasks[[#This Row],[Actual Finish]])&gt;0,1,MIN(1,N(Tasks[[#This Row],[% Complete]]))))</f>
        <v>0</v>
      </c>
      <c r="BP14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1" s="46" t="n">
        <f aca="false">IF(Tasks[[#This Row],[_LeafWork]]=0,0,Tasks[[#This Row],[_LeafWork]]*IFERROR(INDEX(res_Rate,MATCH(Tasks[[#This Row],[Resource]],res_Name,0)),0))</f>
        <v>0</v>
      </c>
      <c r="BR14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1" s="46" t="n">
        <f aca="false">IF(NOT(Tasks[[#This Row],[_IsLeaf]]=1),0,MAX(_xlfn.MAXIFS(Tasks[_Row],Tasks[Pred1 UID],Tasks[[#This Row],[UID]]),_xlfn.MAXIFS(Tasks[_Row],Tasks[Pred2 UID],Tasks[[#This Row],[UID]])))</f>
        <v>0</v>
      </c>
      <c r="BW14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1" s="48" t="str">
        <f aca="false">IF(NOT(Tasks[[#This Row],[_IsLeaf]]=1),"",MIN(ProjectFinish,IF(N(Tasks[[#This Row],[Deadline]])&gt;0,Tasks[[#This Row],[Deadline]],2958465),Tasks[[#This Row],[_SuccessorFinishLimit]]))</f>
        <v/>
      </c>
      <c r="BY14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1" s="47" t="b">
        <f aca="false">AND(Tasks[[#This Row],[_IsLeaf]]=1,Tasks[[#This Row],[_LeafProgress]]&lt;1,N(Tasks[[#This Row],[_LeafTotalSlack]])&lt;=CriticalSlackDays)</f>
        <v>0</v>
      </c>
      <c r="CB14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1" s="46" t="n">
        <f aca="false">IF(AND(Tasks[[#This Row],[_IsLeaf]]=1,Tasks[[#This Row],[_LeafWork]]&gt;0),NETWORKDAYS.INTL(ProjectStart,Tasks[[#This Row],[_LeafFcstStart]],WorkWeek,Holidays),0)</f>
        <v>0</v>
      </c>
      <c r="CK14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1" s="46" t="n">
        <f aca="false">IF(AND(Tasks[[#This Row],[_IsLeaf]]=1,Tasks[[#This Row],[_LeafWork]]&gt;0),Tasks[[#This Row],[_LeafWork]]/(Tasks[[#This Row],[_FinishWorkday]]-Tasks[[#This Row],[_StartWorkday]]+1),0)</f>
        <v>0</v>
      </c>
      <c r="CM141" s="46" t="n">
        <f aca="false">Tasks[[#This Row],[_WorkPerWorkday]]*(Tasks[[#This Row],[_StartWorkday]]-1)</f>
        <v>-0</v>
      </c>
      <c r="CN141" s="46" t="n">
        <f aca="false">IF(Tasks[[#This Row],[_IsLeaf]]=1,MAX(N(Tasks[[#This Row],[Duration]]),0.1),0)</f>
        <v>0</v>
      </c>
      <c r="CO141" s="46" t="n">
        <f aca="false">Tasks[[#This Row],[_WeightDur]]*Tasks[[#This Row],[_LeafProgress]]</f>
        <v>0</v>
      </c>
      <c r="CP14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39"/>
      <c r="E142" s="40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2" s="31"/>
      <c r="AF14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2" s="40"/>
      <c r="AI142" s="31"/>
      <c r="AJ14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2" s="40"/>
      <c r="AO142" s="24" t="str">
        <f aca="false">IF(Tasks[[#This Row],[Task Name]]="","",Tasks[[#This Row],[Forecast Start]])</f>
        <v/>
      </c>
      <c r="AP142" s="24" t="str">
        <f aca="false">IF(Tasks[[#This Row],[Task Name]]="","",Tasks[[#This Row],[Forecast Finish]])</f>
        <v/>
      </c>
      <c r="AQ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2" s="42" t="str">
        <f aca="false">IF(Tasks[[#This Row],[Task Name]]="","",Tasks[[#This Row],[Work]])</f>
        <v/>
      </c>
      <c r="AS142" s="43" t="str">
        <f aca="false">IF(Tasks[[#This Row],[Task Name]]="","",Tasks[[#This Row],[Cost]])</f>
        <v/>
      </c>
      <c r="AT142" s="29"/>
      <c r="AU142" s="29"/>
      <c r="AV142" s="39"/>
      <c r="AW142" s="44"/>
      <c r="AX142" s="45"/>
      <c r="AY142" s="38" t="str">
        <f aca="false">IF(OR(Tasks[[#This Row],[Task Name]]="",Tasks[[#This Row],[Baseline Duration]]=""),"",Tasks[[#This Row],[BL Source Duration]]-N(Tasks[[#This Row],[Baseline Duration]]))</f>
        <v/>
      </c>
      <c r="AZ142" s="42" t="str">
        <f aca="false">IF(OR(Tasks[[#This Row],[Task Name]]="",Tasks[[#This Row],[Baseline Work]]=""),"",Tasks[[#This Row],[Work]]-N(Tasks[[#This Row],[Baseline Work]]))</f>
        <v/>
      </c>
      <c r="BA142" s="43" t="str">
        <f aca="false">IF(OR(Tasks[[#This Row],[Task Name]]="",Tasks[[#This Row],[Baseline Cost]]=""),"",Tasks[[#This Row],[Cost]]-N(Tasks[[#This Row],[Baseline Cost]]))</f>
        <v/>
      </c>
      <c r="BB142" s="46" t="str">
        <f aca="false">IF(Tasks[[#This Row],[Task Name]]="","",MAX(1,N(Tasks[[#This Row],[Level]])))</f>
        <v/>
      </c>
      <c r="BC142" s="46" t="n">
        <f aca="false">ROW()-ROW(Tasks[[#Headers],[ID]])</f>
        <v>137</v>
      </c>
      <c r="BD1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2" s="46" t="n">
        <f aca="false">IFERROR(N(INDEX(Tasks[_Level],Tasks[[#This Row],[_Row]]+1)),0)</f>
        <v>0</v>
      </c>
      <c r="BF142" s="47" t="b">
        <f aca="false">AND(Tasks[[#This Row],[Task Name]]&lt;&gt;"",Tasks[[#This Row],[_NextLevel]]&gt;Tasks[[#This Row],[_Level]])</f>
        <v>0</v>
      </c>
      <c r="BG142" s="46" t="n">
        <f aca="false">IF(Tasks[[#This Row],[_IsSummary]],COUNTIF(Tasks[WBS],Tasks[[#This Row],[WBS]]&amp;".*"),0)</f>
        <v>0</v>
      </c>
      <c r="BH142" s="46" t="n">
        <f aca="false">IF(AND(Tasks[[#This Row],[Task Name]]&lt;&gt;"",NOT(Tasks[[#This Row],[_IsSummary]])),1,0)</f>
        <v>0</v>
      </c>
      <c r="BI142" s="46" t="n">
        <f aca="false">IF(N(Tasks[[#This Row],[Pred1 UID]])=0,0,IFERROR(MATCH(Tasks[[#This Row],[Pred1 UID]],Tasks[UID],0),-1))</f>
        <v>0</v>
      </c>
      <c r="BJ142" s="46" t="n">
        <f aca="false">IF(N(Tasks[[#This Row],[Pred2 UID]])=0,0,IFERROR(MATCH(Tasks[[#This Row],[Pred2 UID]],Tasks[UID],0),-1))</f>
        <v>0</v>
      </c>
      <c r="BK14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2" s="46" t="n">
        <f aca="false">IF(NOT(Tasks[[#This Row],[_IsLeaf]]=1),0,IF(N(Tasks[[#This Row],[Actual Finish]])&gt;0,1,MIN(1,N(Tasks[[#This Row],[% Complete]]))))</f>
        <v>0</v>
      </c>
      <c r="BP14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2" s="46" t="n">
        <f aca="false">IF(Tasks[[#This Row],[_LeafWork]]=0,0,Tasks[[#This Row],[_LeafWork]]*IFERROR(INDEX(res_Rate,MATCH(Tasks[[#This Row],[Resource]],res_Name,0)),0))</f>
        <v>0</v>
      </c>
      <c r="BR14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2" s="46" t="n">
        <f aca="false">IF(NOT(Tasks[[#This Row],[_IsLeaf]]=1),0,MAX(_xlfn.MAXIFS(Tasks[_Row],Tasks[Pred1 UID],Tasks[[#This Row],[UID]]),_xlfn.MAXIFS(Tasks[_Row],Tasks[Pred2 UID],Tasks[[#This Row],[UID]])))</f>
        <v>0</v>
      </c>
      <c r="BW14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2" s="48" t="str">
        <f aca="false">IF(NOT(Tasks[[#This Row],[_IsLeaf]]=1),"",MIN(ProjectFinish,IF(N(Tasks[[#This Row],[Deadline]])&gt;0,Tasks[[#This Row],[Deadline]],2958465),Tasks[[#This Row],[_SuccessorFinishLimit]]))</f>
        <v/>
      </c>
      <c r="BY14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2" s="47" t="b">
        <f aca="false">AND(Tasks[[#This Row],[_IsLeaf]]=1,Tasks[[#This Row],[_LeafProgress]]&lt;1,N(Tasks[[#This Row],[_LeafTotalSlack]])&lt;=CriticalSlackDays)</f>
        <v>0</v>
      </c>
      <c r="CB14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2" s="46" t="n">
        <f aca="false">IF(AND(Tasks[[#This Row],[_IsLeaf]]=1,Tasks[[#This Row],[_LeafWork]]&gt;0),NETWORKDAYS.INTL(ProjectStart,Tasks[[#This Row],[_LeafFcstStart]],WorkWeek,Holidays),0)</f>
        <v>0</v>
      </c>
      <c r="CK14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2" s="46" t="n">
        <f aca="false">IF(AND(Tasks[[#This Row],[_IsLeaf]]=1,Tasks[[#This Row],[_LeafWork]]&gt;0),Tasks[[#This Row],[_LeafWork]]/(Tasks[[#This Row],[_FinishWorkday]]-Tasks[[#This Row],[_StartWorkday]]+1),0)</f>
        <v>0</v>
      </c>
      <c r="CM142" s="46" t="n">
        <f aca="false">Tasks[[#This Row],[_WorkPerWorkday]]*(Tasks[[#This Row],[_StartWorkday]]-1)</f>
        <v>-0</v>
      </c>
      <c r="CN142" s="46" t="n">
        <f aca="false">IF(Tasks[[#This Row],[_IsLeaf]]=1,MAX(N(Tasks[[#This Row],[Duration]]),0.1),0)</f>
        <v>0</v>
      </c>
      <c r="CO142" s="46" t="n">
        <f aca="false">Tasks[[#This Row],[_WeightDur]]*Tasks[[#This Row],[_LeafProgress]]</f>
        <v>0</v>
      </c>
      <c r="CP14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39"/>
      <c r="E143" s="40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3" s="31"/>
      <c r="AF14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3" s="40"/>
      <c r="AI143" s="31"/>
      <c r="AJ14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3" s="40"/>
      <c r="AO143" s="24" t="str">
        <f aca="false">IF(Tasks[[#This Row],[Task Name]]="","",Tasks[[#This Row],[Forecast Start]])</f>
        <v/>
      </c>
      <c r="AP143" s="24" t="str">
        <f aca="false">IF(Tasks[[#This Row],[Task Name]]="","",Tasks[[#This Row],[Forecast Finish]])</f>
        <v/>
      </c>
      <c r="AQ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3" s="42" t="str">
        <f aca="false">IF(Tasks[[#This Row],[Task Name]]="","",Tasks[[#This Row],[Work]])</f>
        <v/>
      </c>
      <c r="AS143" s="43" t="str">
        <f aca="false">IF(Tasks[[#This Row],[Task Name]]="","",Tasks[[#This Row],[Cost]])</f>
        <v/>
      </c>
      <c r="AT143" s="29"/>
      <c r="AU143" s="29"/>
      <c r="AV143" s="39"/>
      <c r="AW143" s="44"/>
      <c r="AX143" s="45"/>
      <c r="AY143" s="38" t="str">
        <f aca="false">IF(OR(Tasks[[#This Row],[Task Name]]="",Tasks[[#This Row],[Baseline Duration]]=""),"",Tasks[[#This Row],[BL Source Duration]]-N(Tasks[[#This Row],[Baseline Duration]]))</f>
        <v/>
      </c>
      <c r="AZ143" s="42" t="str">
        <f aca="false">IF(OR(Tasks[[#This Row],[Task Name]]="",Tasks[[#This Row],[Baseline Work]]=""),"",Tasks[[#This Row],[Work]]-N(Tasks[[#This Row],[Baseline Work]]))</f>
        <v/>
      </c>
      <c r="BA143" s="43" t="str">
        <f aca="false">IF(OR(Tasks[[#This Row],[Task Name]]="",Tasks[[#This Row],[Baseline Cost]]=""),"",Tasks[[#This Row],[Cost]]-N(Tasks[[#This Row],[Baseline Cost]]))</f>
        <v/>
      </c>
      <c r="BB143" s="46" t="str">
        <f aca="false">IF(Tasks[[#This Row],[Task Name]]="","",MAX(1,N(Tasks[[#This Row],[Level]])))</f>
        <v/>
      </c>
      <c r="BC143" s="46" t="n">
        <f aca="false">ROW()-ROW(Tasks[[#Headers],[ID]])</f>
        <v>138</v>
      </c>
      <c r="BD1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3" s="46" t="n">
        <f aca="false">IFERROR(N(INDEX(Tasks[_Level],Tasks[[#This Row],[_Row]]+1)),0)</f>
        <v>0</v>
      </c>
      <c r="BF143" s="47" t="b">
        <f aca="false">AND(Tasks[[#This Row],[Task Name]]&lt;&gt;"",Tasks[[#This Row],[_NextLevel]]&gt;Tasks[[#This Row],[_Level]])</f>
        <v>0</v>
      </c>
      <c r="BG143" s="46" t="n">
        <f aca="false">IF(Tasks[[#This Row],[_IsSummary]],COUNTIF(Tasks[WBS],Tasks[[#This Row],[WBS]]&amp;".*"),0)</f>
        <v>0</v>
      </c>
      <c r="BH143" s="46" t="n">
        <f aca="false">IF(AND(Tasks[[#This Row],[Task Name]]&lt;&gt;"",NOT(Tasks[[#This Row],[_IsSummary]])),1,0)</f>
        <v>0</v>
      </c>
      <c r="BI143" s="46" t="n">
        <f aca="false">IF(N(Tasks[[#This Row],[Pred1 UID]])=0,0,IFERROR(MATCH(Tasks[[#This Row],[Pred1 UID]],Tasks[UID],0),-1))</f>
        <v>0</v>
      </c>
      <c r="BJ143" s="46" t="n">
        <f aca="false">IF(N(Tasks[[#This Row],[Pred2 UID]])=0,0,IFERROR(MATCH(Tasks[[#This Row],[Pred2 UID]],Tasks[UID],0),-1))</f>
        <v>0</v>
      </c>
      <c r="BK14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3" s="46" t="n">
        <f aca="false">IF(NOT(Tasks[[#This Row],[_IsLeaf]]=1),0,IF(N(Tasks[[#This Row],[Actual Finish]])&gt;0,1,MIN(1,N(Tasks[[#This Row],[% Complete]]))))</f>
        <v>0</v>
      </c>
      <c r="BP14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3" s="46" t="n">
        <f aca="false">IF(Tasks[[#This Row],[_LeafWork]]=0,0,Tasks[[#This Row],[_LeafWork]]*IFERROR(INDEX(res_Rate,MATCH(Tasks[[#This Row],[Resource]],res_Name,0)),0))</f>
        <v>0</v>
      </c>
      <c r="BR14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3" s="46" t="n">
        <f aca="false">IF(NOT(Tasks[[#This Row],[_IsLeaf]]=1),0,MAX(_xlfn.MAXIFS(Tasks[_Row],Tasks[Pred1 UID],Tasks[[#This Row],[UID]]),_xlfn.MAXIFS(Tasks[_Row],Tasks[Pred2 UID],Tasks[[#This Row],[UID]])))</f>
        <v>0</v>
      </c>
      <c r="BW14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3" s="48" t="str">
        <f aca="false">IF(NOT(Tasks[[#This Row],[_IsLeaf]]=1),"",MIN(ProjectFinish,IF(N(Tasks[[#This Row],[Deadline]])&gt;0,Tasks[[#This Row],[Deadline]],2958465),Tasks[[#This Row],[_SuccessorFinishLimit]]))</f>
        <v/>
      </c>
      <c r="BY14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3" s="47" t="b">
        <f aca="false">AND(Tasks[[#This Row],[_IsLeaf]]=1,Tasks[[#This Row],[_LeafProgress]]&lt;1,N(Tasks[[#This Row],[_LeafTotalSlack]])&lt;=CriticalSlackDays)</f>
        <v>0</v>
      </c>
      <c r="CB14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3" s="46" t="n">
        <f aca="false">IF(AND(Tasks[[#This Row],[_IsLeaf]]=1,Tasks[[#This Row],[_LeafWork]]&gt;0),NETWORKDAYS.INTL(ProjectStart,Tasks[[#This Row],[_LeafFcstStart]],WorkWeek,Holidays),0)</f>
        <v>0</v>
      </c>
      <c r="CK14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3" s="46" t="n">
        <f aca="false">IF(AND(Tasks[[#This Row],[_IsLeaf]]=1,Tasks[[#This Row],[_LeafWork]]&gt;0),Tasks[[#This Row],[_LeafWork]]/(Tasks[[#This Row],[_FinishWorkday]]-Tasks[[#This Row],[_StartWorkday]]+1),0)</f>
        <v>0</v>
      </c>
      <c r="CM143" s="46" t="n">
        <f aca="false">Tasks[[#This Row],[_WorkPerWorkday]]*(Tasks[[#This Row],[_StartWorkday]]-1)</f>
        <v>-0</v>
      </c>
      <c r="CN143" s="46" t="n">
        <f aca="false">IF(Tasks[[#This Row],[_IsLeaf]]=1,MAX(N(Tasks[[#This Row],[Duration]]),0.1),0)</f>
        <v>0</v>
      </c>
      <c r="CO143" s="46" t="n">
        <f aca="false">Tasks[[#This Row],[_WeightDur]]*Tasks[[#This Row],[_LeafProgress]]</f>
        <v>0</v>
      </c>
      <c r="CP14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39"/>
      <c r="E144" s="40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4" s="31"/>
      <c r="AF14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4" s="40"/>
      <c r="AI144" s="31"/>
      <c r="AJ14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4" s="40"/>
      <c r="AO144" s="24" t="str">
        <f aca="false">IF(Tasks[[#This Row],[Task Name]]="","",Tasks[[#This Row],[Forecast Start]])</f>
        <v/>
      </c>
      <c r="AP144" s="24" t="str">
        <f aca="false">IF(Tasks[[#This Row],[Task Name]]="","",Tasks[[#This Row],[Forecast Finish]])</f>
        <v/>
      </c>
      <c r="AQ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4" s="42" t="str">
        <f aca="false">IF(Tasks[[#This Row],[Task Name]]="","",Tasks[[#This Row],[Work]])</f>
        <v/>
      </c>
      <c r="AS144" s="43" t="str">
        <f aca="false">IF(Tasks[[#This Row],[Task Name]]="","",Tasks[[#This Row],[Cost]])</f>
        <v/>
      </c>
      <c r="AT144" s="29"/>
      <c r="AU144" s="29"/>
      <c r="AV144" s="39"/>
      <c r="AW144" s="44"/>
      <c r="AX144" s="45"/>
      <c r="AY144" s="38" t="str">
        <f aca="false">IF(OR(Tasks[[#This Row],[Task Name]]="",Tasks[[#This Row],[Baseline Duration]]=""),"",Tasks[[#This Row],[BL Source Duration]]-N(Tasks[[#This Row],[Baseline Duration]]))</f>
        <v/>
      </c>
      <c r="AZ144" s="42" t="str">
        <f aca="false">IF(OR(Tasks[[#This Row],[Task Name]]="",Tasks[[#This Row],[Baseline Work]]=""),"",Tasks[[#This Row],[Work]]-N(Tasks[[#This Row],[Baseline Work]]))</f>
        <v/>
      </c>
      <c r="BA144" s="43" t="str">
        <f aca="false">IF(OR(Tasks[[#This Row],[Task Name]]="",Tasks[[#This Row],[Baseline Cost]]=""),"",Tasks[[#This Row],[Cost]]-N(Tasks[[#This Row],[Baseline Cost]]))</f>
        <v/>
      </c>
      <c r="BB144" s="46" t="str">
        <f aca="false">IF(Tasks[[#This Row],[Task Name]]="","",MAX(1,N(Tasks[[#This Row],[Level]])))</f>
        <v/>
      </c>
      <c r="BC144" s="46" t="n">
        <f aca="false">ROW()-ROW(Tasks[[#Headers],[ID]])</f>
        <v>139</v>
      </c>
      <c r="BD1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4" s="46" t="n">
        <f aca="false">IFERROR(N(INDEX(Tasks[_Level],Tasks[[#This Row],[_Row]]+1)),0)</f>
        <v>0</v>
      </c>
      <c r="BF144" s="47" t="b">
        <f aca="false">AND(Tasks[[#This Row],[Task Name]]&lt;&gt;"",Tasks[[#This Row],[_NextLevel]]&gt;Tasks[[#This Row],[_Level]])</f>
        <v>0</v>
      </c>
      <c r="BG144" s="46" t="n">
        <f aca="false">IF(Tasks[[#This Row],[_IsSummary]],COUNTIF(Tasks[WBS],Tasks[[#This Row],[WBS]]&amp;".*"),0)</f>
        <v>0</v>
      </c>
      <c r="BH144" s="46" t="n">
        <f aca="false">IF(AND(Tasks[[#This Row],[Task Name]]&lt;&gt;"",NOT(Tasks[[#This Row],[_IsSummary]])),1,0)</f>
        <v>0</v>
      </c>
      <c r="BI144" s="46" t="n">
        <f aca="false">IF(N(Tasks[[#This Row],[Pred1 UID]])=0,0,IFERROR(MATCH(Tasks[[#This Row],[Pred1 UID]],Tasks[UID],0),-1))</f>
        <v>0</v>
      </c>
      <c r="BJ144" s="46" t="n">
        <f aca="false">IF(N(Tasks[[#This Row],[Pred2 UID]])=0,0,IFERROR(MATCH(Tasks[[#This Row],[Pred2 UID]],Tasks[UID],0),-1))</f>
        <v>0</v>
      </c>
      <c r="BK14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4" s="46" t="n">
        <f aca="false">IF(NOT(Tasks[[#This Row],[_IsLeaf]]=1),0,IF(N(Tasks[[#This Row],[Actual Finish]])&gt;0,1,MIN(1,N(Tasks[[#This Row],[% Complete]]))))</f>
        <v>0</v>
      </c>
      <c r="BP14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4" s="46" t="n">
        <f aca="false">IF(Tasks[[#This Row],[_LeafWork]]=0,0,Tasks[[#This Row],[_LeafWork]]*IFERROR(INDEX(res_Rate,MATCH(Tasks[[#This Row],[Resource]],res_Name,0)),0))</f>
        <v>0</v>
      </c>
      <c r="BR14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4" s="46" t="n">
        <f aca="false">IF(NOT(Tasks[[#This Row],[_IsLeaf]]=1),0,MAX(_xlfn.MAXIFS(Tasks[_Row],Tasks[Pred1 UID],Tasks[[#This Row],[UID]]),_xlfn.MAXIFS(Tasks[_Row],Tasks[Pred2 UID],Tasks[[#This Row],[UID]])))</f>
        <v>0</v>
      </c>
      <c r="BW14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4" s="48" t="str">
        <f aca="false">IF(NOT(Tasks[[#This Row],[_IsLeaf]]=1),"",MIN(ProjectFinish,IF(N(Tasks[[#This Row],[Deadline]])&gt;0,Tasks[[#This Row],[Deadline]],2958465),Tasks[[#This Row],[_SuccessorFinishLimit]]))</f>
        <v/>
      </c>
      <c r="BY14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4" s="47" t="b">
        <f aca="false">AND(Tasks[[#This Row],[_IsLeaf]]=1,Tasks[[#This Row],[_LeafProgress]]&lt;1,N(Tasks[[#This Row],[_LeafTotalSlack]])&lt;=CriticalSlackDays)</f>
        <v>0</v>
      </c>
      <c r="CB14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4" s="46" t="n">
        <f aca="false">IF(AND(Tasks[[#This Row],[_IsLeaf]]=1,Tasks[[#This Row],[_LeafWork]]&gt;0),NETWORKDAYS.INTL(ProjectStart,Tasks[[#This Row],[_LeafFcstStart]],WorkWeek,Holidays),0)</f>
        <v>0</v>
      </c>
      <c r="CK14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4" s="46" t="n">
        <f aca="false">IF(AND(Tasks[[#This Row],[_IsLeaf]]=1,Tasks[[#This Row],[_LeafWork]]&gt;0),Tasks[[#This Row],[_LeafWork]]/(Tasks[[#This Row],[_FinishWorkday]]-Tasks[[#This Row],[_StartWorkday]]+1),0)</f>
        <v>0</v>
      </c>
      <c r="CM144" s="46" t="n">
        <f aca="false">Tasks[[#This Row],[_WorkPerWorkday]]*(Tasks[[#This Row],[_StartWorkday]]-1)</f>
        <v>-0</v>
      </c>
      <c r="CN144" s="46" t="n">
        <f aca="false">IF(Tasks[[#This Row],[_IsLeaf]]=1,MAX(N(Tasks[[#This Row],[Duration]]),0.1),0)</f>
        <v>0</v>
      </c>
      <c r="CO144" s="46" t="n">
        <f aca="false">Tasks[[#This Row],[_WeightDur]]*Tasks[[#This Row],[_LeafProgress]]</f>
        <v>0</v>
      </c>
      <c r="CP14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39"/>
      <c r="E145" s="40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5" s="31"/>
      <c r="AF14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5" s="40"/>
      <c r="AI145" s="31"/>
      <c r="AJ14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5" s="40"/>
      <c r="AO145" s="24" t="str">
        <f aca="false">IF(Tasks[[#This Row],[Task Name]]="","",Tasks[[#This Row],[Forecast Start]])</f>
        <v/>
      </c>
      <c r="AP145" s="24" t="str">
        <f aca="false">IF(Tasks[[#This Row],[Task Name]]="","",Tasks[[#This Row],[Forecast Finish]])</f>
        <v/>
      </c>
      <c r="AQ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5" s="42" t="str">
        <f aca="false">IF(Tasks[[#This Row],[Task Name]]="","",Tasks[[#This Row],[Work]])</f>
        <v/>
      </c>
      <c r="AS145" s="43" t="str">
        <f aca="false">IF(Tasks[[#This Row],[Task Name]]="","",Tasks[[#This Row],[Cost]])</f>
        <v/>
      </c>
      <c r="AT145" s="29"/>
      <c r="AU145" s="29"/>
      <c r="AV145" s="39"/>
      <c r="AW145" s="44"/>
      <c r="AX145" s="45"/>
      <c r="AY145" s="38" t="str">
        <f aca="false">IF(OR(Tasks[[#This Row],[Task Name]]="",Tasks[[#This Row],[Baseline Duration]]=""),"",Tasks[[#This Row],[BL Source Duration]]-N(Tasks[[#This Row],[Baseline Duration]]))</f>
        <v/>
      </c>
      <c r="AZ145" s="42" t="str">
        <f aca="false">IF(OR(Tasks[[#This Row],[Task Name]]="",Tasks[[#This Row],[Baseline Work]]=""),"",Tasks[[#This Row],[Work]]-N(Tasks[[#This Row],[Baseline Work]]))</f>
        <v/>
      </c>
      <c r="BA145" s="43" t="str">
        <f aca="false">IF(OR(Tasks[[#This Row],[Task Name]]="",Tasks[[#This Row],[Baseline Cost]]=""),"",Tasks[[#This Row],[Cost]]-N(Tasks[[#This Row],[Baseline Cost]]))</f>
        <v/>
      </c>
      <c r="BB145" s="46" t="str">
        <f aca="false">IF(Tasks[[#This Row],[Task Name]]="","",MAX(1,N(Tasks[[#This Row],[Level]])))</f>
        <v/>
      </c>
      <c r="BC145" s="46" t="n">
        <f aca="false">ROW()-ROW(Tasks[[#Headers],[ID]])</f>
        <v>140</v>
      </c>
      <c r="BD1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5" s="46" t="n">
        <f aca="false">IFERROR(N(INDEX(Tasks[_Level],Tasks[[#This Row],[_Row]]+1)),0)</f>
        <v>0</v>
      </c>
      <c r="BF145" s="47" t="b">
        <f aca="false">AND(Tasks[[#This Row],[Task Name]]&lt;&gt;"",Tasks[[#This Row],[_NextLevel]]&gt;Tasks[[#This Row],[_Level]])</f>
        <v>0</v>
      </c>
      <c r="BG145" s="46" t="n">
        <f aca="false">IF(Tasks[[#This Row],[_IsSummary]],COUNTIF(Tasks[WBS],Tasks[[#This Row],[WBS]]&amp;".*"),0)</f>
        <v>0</v>
      </c>
      <c r="BH145" s="46" t="n">
        <f aca="false">IF(AND(Tasks[[#This Row],[Task Name]]&lt;&gt;"",NOT(Tasks[[#This Row],[_IsSummary]])),1,0)</f>
        <v>0</v>
      </c>
      <c r="BI145" s="46" t="n">
        <f aca="false">IF(N(Tasks[[#This Row],[Pred1 UID]])=0,0,IFERROR(MATCH(Tasks[[#This Row],[Pred1 UID]],Tasks[UID],0),-1))</f>
        <v>0</v>
      </c>
      <c r="BJ145" s="46" t="n">
        <f aca="false">IF(N(Tasks[[#This Row],[Pred2 UID]])=0,0,IFERROR(MATCH(Tasks[[#This Row],[Pred2 UID]],Tasks[UID],0),-1))</f>
        <v>0</v>
      </c>
      <c r="BK14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5" s="46" t="n">
        <f aca="false">IF(NOT(Tasks[[#This Row],[_IsLeaf]]=1),0,IF(N(Tasks[[#This Row],[Actual Finish]])&gt;0,1,MIN(1,N(Tasks[[#This Row],[% Complete]]))))</f>
        <v>0</v>
      </c>
      <c r="BP14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5" s="46" t="n">
        <f aca="false">IF(Tasks[[#This Row],[_LeafWork]]=0,0,Tasks[[#This Row],[_LeafWork]]*IFERROR(INDEX(res_Rate,MATCH(Tasks[[#This Row],[Resource]],res_Name,0)),0))</f>
        <v>0</v>
      </c>
      <c r="BR14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5" s="46" t="n">
        <f aca="false">IF(NOT(Tasks[[#This Row],[_IsLeaf]]=1),0,MAX(_xlfn.MAXIFS(Tasks[_Row],Tasks[Pred1 UID],Tasks[[#This Row],[UID]]),_xlfn.MAXIFS(Tasks[_Row],Tasks[Pred2 UID],Tasks[[#This Row],[UID]])))</f>
        <v>0</v>
      </c>
      <c r="BW14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5" s="48" t="str">
        <f aca="false">IF(NOT(Tasks[[#This Row],[_IsLeaf]]=1),"",MIN(ProjectFinish,IF(N(Tasks[[#This Row],[Deadline]])&gt;0,Tasks[[#This Row],[Deadline]],2958465),Tasks[[#This Row],[_SuccessorFinishLimit]]))</f>
        <v/>
      </c>
      <c r="BY14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5" s="47" t="b">
        <f aca="false">AND(Tasks[[#This Row],[_IsLeaf]]=1,Tasks[[#This Row],[_LeafProgress]]&lt;1,N(Tasks[[#This Row],[_LeafTotalSlack]])&lt;=CriticalSlackDays)</f>
        <v>0</v>
      </c>
      <c r="CB14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5" s="46" t="n">
        <f aca="false">IF(AND(Tasks[[#This Row],[_IsLeaf]]=1,Tasks[[#This Row],[_LeafWork]]&gt;0),NETWORKDAYS.INTL(ProjectStart,Tasks[[#This Row],[_LeafFcstStart]],WorkWeek,Holidays),0)</f>
        <v>0</v>
      </c>
      <c r="CK14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5" s="46" t="n">
        <f aca="false">IF(AND(Tasks[[#This Row],[_IsLeaf]]=1,Tasks[[#This Row],[_LeafWork]]&gt;0),Tasks[[#This Row],[_LeafWork]]/(Tasks[[#This Row],[_FinishWorkday]]-Tasks[[#This Row],[_StartWorkday]]+1),0)</f>
        <v>0</v>
      </c>
      <c r="CM145" s="46" t="n">
        <f aca="false">Tasks[[#This Row],[_WorkPerWorkday]]*(Tasks[[#This Row],[_StartWorkday]]-1)</f>
        <v>-0</v>
      </c>
      <c r="CN145" s="46" t="n">
        <f aca="false">IF(Tasks[[#This Row],[_IsLeaf]]=1,MAX(N(Tasks[[#This Row],[Duration]]),0.1),0)</f>
        <v>0</v>
      </c>
      <c r="CO145" s="46" t="n">
        <f aca="false">Tasks[[#This Row],[_WeightDur]]*Tasks[[#This Row],[_LeafProgress]]</f>
        <v>0</v>
      </c>
      <c r="CP14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39"/>
      <c r="E146" s="40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6" s="31"/>
      <c r="AF14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6" s="40"/>
      <c r="AI146" s="31"/>
      <c r="AJ14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6" s="40"/>
      <c r="AO146" s="24" t="str">
        <f aca="false">IF(Tasks[[#This Row],[Task Name]]="","",Tasks[[#This Row],[Forecast Start]])</f>
        <v/>
      </c>
      <c r="AP146" s="24" t="str">
        <f aca="false">IF(Tasks[[#This Row],[Task Name]]="","",Tasks[[#This Row],[Forecast Finish]])</f>
        <v/>
      </c>
      <c r="AQ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6" s="42" t="str">
        <f aca="false">IF(Tasks[[#This Row],[Task Name]]="","",Tasks[[#This Row],[Work]])</f>
        <v/>
      </c>
      <c r="AS146" s="43" t="str">
        <f aca="false">IF(Tasks[[#This Row],[Task Name]]="","",Tasks[[#This Row],[Cost]])</f>
        <v/>
      </c>
      <c r="AT146" s="29"/>
      <c r="AU146" s="29"/>
      <c r="AV146" s="39"/>
      <c r="AW146" s="44"/>
      <c r="AX146" s="45"/>
      <c r="AY146" s="38" t="str">
        <f aca="false">IF(OR(Tasks[[#This Row],[Task Name]]="",Tasks[[#This Row],[Baseline Duration]]=""),"",Tasks[[#This Row],[BL Source Duration]]-N(Tasks[[#This Row],[Baseline Duration]]))</f>
        <v/>
      </c>
      <c r="AZ146" s="42" t="str">
        <f aca="false">IF(OR(Tasks[[#This Row],[Task Name]]="",Tasks[[#This Row],[Baseline Work]]=""),"",Tasks[[#This Row],[Work]]-N(Tasks[[#This Row],[Baseline Work]]))</f>
        <v/>
      </c>
      <c r="BA146" s="43" t="str">
        <f aca="false">IF(OR(Tasks[[#This Row],[Task Name]]="",Tasks[[#This Row],[Baseline Cost]]=""),"",Tasks[[#This Row],[Cost]]-N(Tasks[[#This Row],[Baseline Cost]]))</f>
        <v/>
      </c>
      <c r="BB146" s="46" t="str">
        <f aca="false">IF(Tasks[[#This Row],[Task Name]]="","",MAX(1,N(Tasks[[#This Row],[Level]])))</f>
        <v/>
      </c>
      <c r="BC146" s="46" t="n">
        <f aca="false">ROW()-ROW(Tasks[[#Headers],[ID]])</f>
        <v>141</v>
      </c>
      <c r="BD1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6" s="46" t="n">
        <f aca="false">IFERROR(N(INDEX(Tasks[_Level],Tasks[[#This Row],[_Row]]+1)),0)</f>
        <v>0</v>
      </c>
      <c r="BF146" s="47" t="b">
        <f aca="false">AND(Tasks[[#This Row],[Task Name]]&lt;&gt;"",Tasks[[#This Row],[_NextLevel]]&gt;Tasks[[#This Row],[_Level]])</f>
        <v>0</v>
      </c>
      <c r="BG146" s="46" t="n">
        <f aca="false">IF(Tasks[[#This Row],[_IsSummary]],COUNTIF(Tasks[WBS],Tasks[[#This Row],[WBS]]&amp;".*"),0)</f>
        <v>0</v>
      </c>
      <c r="BH146" s="46" t="n">
        <f aca="false">IF(AND(Tasks[[#This Row],[Task Name]]&lt;&gt;"",NOT(Tasks[[#This Row],[_IsSummary]])),1,0)</f>
        <v>0</v>
      </c>
      <c r="BI146" s="46" t="n">
        <f aca="false">IF(N(Tasks[[#This Row],[Pred1 UID]])=0,0,IFERROR(MATCH(Tasks[[#This Row],[Pred1 UID]],Tasks[UID],0),-1))</f>
        <v>0</v>
      </c>
      <c r="BJ146" s="46" t="n">
        <f aca="false">IF(N(Tasks[[#This Row],[Pred2 UID]])=0,0,IFERROR(MATCH(Tasks[[#This Row],[Pred2 UID]],Tasks[UID],0),-1))</f>
        <v>0</v>
      </c>
      <c r="BK14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6" s="46" t="n">
        <f aca="false">IF(NOT(Tasks[[#This Row],[_IsLeaf]]=1),0,IF(N(Tasks[[#This Row],[Actual Finish]])&gt;0,1,MIN(1,N(Tasks[[#This Row],[% Complete]]))))</f>
        <v>0</v>
      </c>
      <c r="BP14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6" s="46" t="n">
        <f aca="false">IF(Tasks[[#This Row],[_LeafWork]]=0,0,Tasks[[#This Row],[_LeafWork]]*IFERROR(INDEX(res_Rate,MATCH(Tasks[[#This Row],[Resource]],res_Name,0)),0))</f>
        <v>0</v>
      </c>
      <c r="BR14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6" s="46" t="n">
        <f aca="false">IF(NOT(Tasks[[#This Row],[_IsLeaf]]=1),0,MAX(_xlfn.MAXIFS(Tasks[_Row],Tasks[Pred1 UID],Tasks[[#This Row],[UID]]),_xlfn.MAXIFS(Tasks[_Row],Tasks[Pred2 UID],Tasks[[#This Row],[UID]])))</f>
        <v>0</v>
      </c>
      <c r="BW14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6" s="48" t="str">
        <f aca="false">IF(NOT(Tasks[[#This Row],[_IsLeaf]]=1),"",MIN(ProjectFinish,IF(N(Tasks[[#This Row],[Deadline]])&gt;0,Tasks[[#This Row],[Deadline]],2958465),Tasks[[#This Row],[_SuccessorFinishLimit]]))</f>
        <v/>
      </c>
      <c r="BY14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6" s="47" t="b">
        <f aca="false">AND(Tasks[[#This Row],[_IsLeaf]]=1,Tasks[[#This Row],[_LeafProgress]]&lt;1,N(Tasks[[#This Row],[_LeafTotalSlack]])&lt;=CriticalSlackDays)</f>
        <v>0</v>
      </c>
      <c r="CB14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6" s="46" t="n">
        <f aca="false">IF(AND(Tasks[[#This Row],[_IsLeaf]]=1,Tasks[[#This Row],[_LeafWork]]&gt;0),NETWORKDAYS.INTL(ProjectStart,Tasks[[#This Row],[_LeafFcstStart]],WorkWeek,Holidays),0)</f>
        <v>0</v>
      </c>
      <c r="CK14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6" s="46" t="n">
        <f aca="false">IF(AND(Tasks[[#This Row],[_IsLeaf]]=1,Tasks[[#This Row],[_LeafWork]]&gt;0),Tasks[[#This Row],[_LeafWork]]/(Tasks[[#This Row],[_FinishWorkday]]-Tasks[[#This Row],[_StartWorkday]]+1),0)</f>
        <v>0</v>
      </c>
      <c r="CM146" s="46" t="n">
        <f aca="false">Tasks[[#This Row],[_WorkPerWorkday]]*(Tasks[[#This Row],[_StartWorkday]]-1)</f>
        <v>-0</v>
      </c>
      <c r="CN146" s="46" t="n">
        <f aca="false">IF(Tasks[[#This Row],[_IsLeaf]]=1,MAX(N(Tasks[[#This Row],[Duration]]),0.1),0)</f>
        <v>0</v>
      </c>
      <c r="CO146" s="46" t="n">
        <f aca="false">Tasks[[#This Row],[_WeightDur]]*Tasks[[#This Row],[_LeafProgress]]</f>
        <v>0</v>
      </c>
      <c r="CP14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39"/>
      <c r="E147" s="40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7" s="31"/>
      <c r="AF14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7" s="40"/>
      <c r="AI147" s="31"/>
      <c r="AJ14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7" s="40"/>
      <c r="AO147" s="24" t="str">
        <f aca="false">IF(Tasks[[#This Row],[Task Name]]="","",Tasks[[#This Row],[Forecast Start]])</f>
        <v/>
      </c>
      <c r="AP147" s="24" t="str">
        <f aca="false">IF(Tasks[[#This Row],[Task Name]]="","",Tasks[[#This Row],[Forecast Finish]])</f>
        <v/>
      </c>
      <c r="AQ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7" s="42" t="str">
        <f aca="false">IF(Tasks[[#This Row],[Task Name]]="","",Tasks[[#This Row],[Work]])</f>
        <v/>
      </c>
      <c r="AS147" s="43" t="str">
        <f aca="false">IF(Tasks[[#This Row],[Task Name]]="","",Tasks[[#This Row],[Cost]])</f>
        <v/>
      </c>
      <c r="AT147" s="29"/>
      <c r="AU147" s="29"/>
      <c r="AV147" s="39"/>
      <c r="AW147" s="44"/>
      <c r="AX147" s="45"/>
      <c r="AY147" s="38" t="str">
        <f aca="false">IF(OR(Tasks[[#This Row],[Task Name]]="",Tasks[[#This Row],[Baseline Duration]]=""),"",Tasks[[#This Row],[BL Source Duration]]-N(Tasks[[#This Row],[Baseline Duration]]))</f>
        <v/>
      </c>
      <c r="AZ147" s="42" t="str">
        <f aca="false">IF(OR(Tasks[[#This Row],[Task Name]]="",Tasks[[#This Row],[Baseline Work]]=""),"",Tasks[[#This Row],[Work]]-N(Tasks[[#This Row],[Baseline Work]]))</f>
        <v/>
      </c>
      <c r="BA147" s="43" t="str">
        <f aca="false">IF(OR(Tasks[[#This Row],[Task Name]]="",Tasks[[#This Row],[Baseline Cost]]=""),"",Tasks[[#This Row],[Cost]]-N(Tasks[[#This Row],[Baseline Cost]]))</f>
        <v/>
      </c>
      <c r="BB147" s="46" t="str">
        <f aca="false">IF(Tasks[[#This Row],[Task Name]]="","",MAX(1,N(Tasks[[#This Row],[Level]])))</f>
        <v/>
      </c>
      <c r="BC147" s="46" t="n">
        <f aca="false">ROW()-ROW(Tasks[[#Headers],[ID]])</f>
        <v>142</v>
      </c>
      <c r="BD1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7" s="46" t="n">
        <f aca="false">IFERROR(N(INDEX(Tasks[_Level],Tasks[[#This Row],[_Row]]+1)),0)</f>
        <v>0</v>
      </c>
      <c r="BF147" s="47" t="b">
        <f aca="false">AND(Tasks[[#This Row],[Task Name]]&lt;&gt;"",Tasks[[#This Row],[_NextLevel]]&gt;Tasks[[#This Row],[_Level]])</f>
        <v>0</v>
      </c>
      <c r="BG147" s="46" t="n">
        <f aca="false">IF(Tasks[[#This Row],[_IsSummary]],COUNTIF(Tasks[WBS],Tasks[[#This Row],[WBS]]&amp;".*"),0)</f>
        <v>0</v>
      </c>
      <c r="BH147" s="46" t="n">
        <f aca="false">IF(AND(Tasks[[#This Row],[Task Name]]&lt;&gt;"",NOT(Tasks[[#This Row],[_IsSummary]])),1,0)</f>
        <v>0</v>
      </c>
      <c r="BI147" s="46" t="n">
        <f aca="false">IF(N(Tasks[[#This Row],[Pred1 UID]])=0,0,IFERROR(MATCH(Tasks[[#This Row],[Pred1 UID]],Tasks[UID],0),-1))</f>
        <v>0</v>
      </c>
      <c r="BJ147" s="46" t="n">
        <f aca="false">IF(N(Tasks[[#This Row],[Pred2 UID]])=0,0,IFERROR(MATCH(Tasks[[#This Row],[Pred2 UID]],Tasks[UID],0),-1))</f>
        <v>0</v>
      </c>
      <c r="BK14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7" s="46" t="n">
        <f aca="false">IF(NOT(Tasks[[#This Row],[_IsLeaf]]=1),0,IF(N(Tasks[[#This Row],[Actual Finish]])&gt;0,1,MIN(1,N(Tasks[[#This Row],[% Complete]]))))</f>
        <v>0</v>
      </c>
      <c r="BP14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7" s="46" t="n">
        <f aca="false">IF(Tasks[[#This Row],[_LeafWork]]=0,0,Tasks[[#This Row],[_LeafWork]]*IFERROR(INDEX(res_Rate,MATCH(Tasks[[#This Row],[Resource]],res_Name,0)),0))</f>
        <v>0</v>
      </c>
      <c r="BR14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7" s="46" t="n">
        <f aca="false">IF(NOT(Tasks[[#This Row],[_IsLeaf]]=1),0,MAX(_xlfn.MAXIFS(Tasks[_Row],Tasks[Pred1 UID],Tasks[[#This Row],[UID]]),_xlfn.MAXIFS(Tasks[_Row],Tasks[Pred2 UID],Tasks[[#This Row],[UID]])))</f>
        <v>0</v>
      </c>
      <c r="BW14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7" s="48" t="str">
        <f aca="false">IF(NOT(Tasks[[#This Row],[_IsLeaf]]=1),"",MIN(ProjectFinish,IF(N(Tasks[[#This Row],[Deadline]])&gt;0,Tasks[[#This Row],[Deadline]],2958465),Tasks[[#This Row],[_SuccessorFinishLimit]]))</f>
        <v/>
      </c>
      <c r="BY14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7" s="47" t="b">
        <f aca="false">AND(Tasks[[#This Row],[_IsLeaf]]=1,Tasks[[#This Row],[_LeafProgress]]&lt;1,N(Tasks[[#This Row],[_LeafTotalSlack]])&lt;=CriticalSlackDays)</f>
        <v>0</v>
      </c>
      <c r="CB14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7" s="46" t="n">
        <f aca="false">IF(AND(Tasks[[#This Row],[_IsLeaf]]=1,Tasks[[#This Row],[_LeafWork]]&gt;0),NETWORKDAYS.INTL(ProjectStart,Tasks[[#This Row],[_LeafFcstStart]],WorkWeek,Holidays),0)</f>
        <v>0</v>
      </c>
      <c r="CK14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7" s="46" t="n">
        <f aca="false">IF(AND(Tasks[[#This Row],[_IsLeaf]]=1,Tasks[[#This Row],[_LeafWork]]&gt;0),Tasks[[#This Row],[_LeafWork]]/(Tasks[[#This Row],[_FinishWorkday]]-Tasks[[#This Row],[_StartWorkday]]+1),0)</f>
        <v>0</v>
      </c>
      <c r="CM147" s="46" t="n">
        <f aca="false">Tasks[[#This Row],[_WorkPerWorkday]]*(Tasks[[#This Row],[_StartWorkday]]-1)</f>
        <v>-0</v>
      </c>
      <c r="CN147" s="46" t="n">
        <f aca="false">IF(Tasks[[#This Row],[_IsLeaf]]=1,MAX(N(Tasks[[#This Row],[Duration]]),0.1),0)</f>
        <v>0</v>
      </c>
      <c r="CO147" s="46" t="n">
        <f aca="false">Tasks[[#This Row],[_WeightDur]]*Tasks[[#This Row],[_LeafProgress]]</f>
        <v>0</v>
      </c>
      <c r="CP14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39"/>
      <c r="E148" s="40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8" s="31"/>
      <c r="AF14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8" s="40"/>
      <c r="AI148" s="31"/>
      <c r="AJ14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8" s="40"/>
      <c r="AO148" s="24" t="str">
        <f aca="false">IF(Tasks[[#This Row],[Task Name]]="","",Tasks[[#This Row],[Forecast Start]])</f>
        <v/>
      </c>
      <c r="AP148" s="24" t="str">
        <f aca="false">IF(Tasks[[#This Row],[Task Name]]="","",Tasks[[#This Row],[Forecast Finish]])</f>
        <v/>
      </c>
      <c r="AQ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8" s="42" t="str">
        <f aca="false">IF(Tasks[[#This Row],[Task Name]]="","",Tasks[[#This Row],[Work]])</f>
        <v/>
      </c>
      <c r="AS148" s="43" t="str">
        <f aca="false">IF(Tasks[[#This Row],[Task Name]]="","",Tasks[[#This Row],[Cost]])</f>
        <v/>
      </c>
      <c r="AT148" s="29"/>
      <c r="AU148" s="29"/>
      <c r="AV148" s="39"/>
      <c r="AW148" s="44"/>
      <c r="AX148" s="45"/>
      <c r="AY148" s="38" t="str">
        <f aca="false">IF(OR(Tasks[[#This Row],[Task Name]]="",Tasks[[#This Row],[Baseline Duration]]=""),"",Tasks[[#This Row],[BL Source Duration]]-N(Tasks[[#This Row],[Baseline Duration]]))</f>
        <v/>
      </c>
      <c r="AZ148" s="42" t="str">
        <f aca="false">IF(OR(Tasks[[#This Row],[Task Name]]="",Tasks[[#This Row],[Baseline Work]]=""),"",Tasks[[#This Row],[Work]]-N(Tasks[[#This Row],[Baseline Work]]))</f>
        <v/>
      </c>
      <c r="BA148" s="43" t="str">
        <f aca="false">IF(OR(Tasks[[#This Row],[Task Name]]="",Tasks[[#This Row],[Baseline Cost]]=""),"",Tasks[[#This Row],[Cost]]-N(Tasks[[#This Row],[Baseline Cost]]))</f>
        <v/>
      </c>
      <c r="BB148" s="46" t="str">
        <f aca="false">IF(Tasks[[#This Row],[Task Name]]="","",MAX(1,N(Tasks[[#This Row],[Level]])))</f>
        <v/>
      </c>
      <c r="BC148" s="46" t="n">
        <f aca="false">ROW()-ROW(Tasks[[#Headers],[ID]])</f>
        <v>143</v>
      </c>
      <c r="BD1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8" s="46" t="n">
        <f aca="false">IFERROR(N(INDEX(Tasks[_Level],Tasks[[#This Row],[_Row]]+1)),0)</f>
        <v>0</v>
      </c>
      <c r="BF148" s="47" t="b">
        <f aca="false">AND(Tasks[[#This Row],[Task Name]]&lt;&gt;"",Tasks[[#This Row],[_NextLevel]]&gt;Tasks[[#This Row],[_Level]])</f>
        <v>0</v>
      </c>
      <c r="BG148" s="46" t="n">
        <f aca="false">IF(Tasks[[#This Row],[_IsSummary]],COUNTIF(Tasks[WBS],Tasks[[#This Row],[WBS]]&amp;".*"),0)</f>
        <v>0</v>
      </c>
      <c r="BH148" s="46" t="n">
        <f aca="false">IF(AND(Tasks[[#This Row],[Task Name]]&lt;&gt;"",NOT(Tasks[[#This Row],[_IsSummary]])),1,0)</f>
        <v>0</v>
      </c>
      <c r="BI148" s="46" t="n">
        <f aca="false">IF(N(Tasks[[#This Row],[Pred1 UID]])=0,0,IFERROR(MATCH(Tasks[[#This Row],[Pred1 UID]],Tasks[UID],0),-1))</f>
        <v>0</v>
      </c>
      <c r="BJ148" s="46" t="n">
        <f aca="false">IF(N(Tasks[[#This Row],[Pred2 UID]])=0,0,IFERROR(MATCH(Tasks[[#This Row],[Pred2 UID]],Tasks[UID],0),-1))</f>
        <v>0</v>
      </c>
      <c r="BK14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8" s="46" t="n">
        <f aca="false">IF(NOT(Tasks[[#This Row],[_IsLeaf]]=1),0,IF(N(Tasks[[#This Row],[Actual Finish]])&gt;0,1,MIN(1,N(Tasks[[#This Row],[% Complete]]))))</f>
        <v>0</v>
      </c>
      <c r="BP14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8" s="46" t="n">
        <f aca="false">IF(Tasks[[#This Row],[_LeafWork]]=0,0,Tasks[[#This Row],[_LeafWork]]*IFERROR(INDEX(res_Rate,MATCH(Tasks[[#This Row],[Resource]],res_Name,0)),0))</f>
        <v>0</v>
      </c>
      <c r="BR14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8" s="46" t="n">
        <f aca="false">IF(NOT(Tasks[[#This Row],[_IsLeaf]]=1),0,MAX(_xlfn.MAXIFS(Tasks[_Row],Tasks[Pred1 UID],Tasks[[#This Row],[UID]]),_xlfn.MAXIFS(Tasks[_Row],Tasks[Pred2 UID],Tasks[[#This Row],[UID]])))</f>
        <v>0</v>
      </c>
      <c r="BW14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8" s="48" t="str">
        <f aca="false">IF(NOT(Tasks[[#This Row],[_IsLeaf]]=1),"",MIN(ProjectFinish,IF(N(Tasks[[#This Row],[Deadline]])&gt;0,Tasks[[#This Row],[Deadline]],2958465),Tasks[[#This Row],[_SuccessorFinishLimit]]))</f>
        <v/>
      </c>
      <c r="BY14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8" s="47" t="b">
        <f aca="false">AND(Tasks[[#This Row],[_IsLeaf]]=1,Tasks[[#This Row],[_LeafProgress]]&lt;1,N(Tasks[[#This Row],[_LeafTotalSlack]])&lt;=CriticalSlackDays)</f>
        <v>0</v>
      </c>
      <c r="CB14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8" s="46" t="n">
        <f aca="false">IF(AND(Tasks[[#This Row],[_IsLeaf]]=1,Tasks[[#This Row],[_LeafWork]]&gt;0),NETWORKDAYS.INTL(ProjectStart,Tasks[[#This Row],[_LeafFcstStart]],WorkWeek,Holidays),0)</f>
        <v>0</v>
      </c>
      <c r="CK14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8" s="46" t="n">
        <f aca="false">IF(AND(Tasks[[#This Row],[_IsLeaf]]=1,Tasks[[#This Row],[_LeafWork]]&gt;0),Tasks[[#This Row],[_LeafWork]]/(Tasks[[#This Row],[_FinishWorkday]]-Tasks[[#This Row],[_StartWorkday]]+1),0)</f>
        <v>0</v>
      </c>
      <c r="CM148" s="46" t="n">
        <f aca="false">Tasks[[#This Row],[_WorkPerWorkday]]*(Tasks[[#This Row],[_StartWorkday]]-1)</f>
        <v>-0</v>
      </c>
      <c r="CN148" s="46" t="n">
        <f aca="false">IF(Tasks[[#This Row],[_IsLeaf]]=1,MAX(N(Tasks[[#This Row],[Duration]]),0.1),0)</f>
        <v>0</v>
      </c>
      <c r="CO148" s="46" t="n">
        <f aca="false">Tasks[[#This Row],[_WeightDur]]*Tasks[[#This Row],[_LeafProgress]]</f>
        <v>0</v>
      </c>
      <c r="CP14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39"/>
      <c r="E149" s="40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9" s="31"/>
      <c r="AF14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9" s="40"/>
      <c r="AI149" s="31"/>
      <c r="AJ14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9" s="40"/>
      <c r="AO149" s="24" t="str">
        <f aca="false">IF(Tasks[[#This Row],[Task Name]]="","",Tasks[[#This Row],[Forecast Start]])</f>
        <v/>
      </c>
      <c r="AP149" s="24" t="str">
        <f aca="false">IF(Tasks[[#This Row],[Task Name]]="","",Tasks[[#This Row],[Forecast Finish]])</f>
        <v/>
      </c>
      <c r="AQ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9" s="42" t="str">
        <f aca="false">IF(Tasks[[#This Row],[Task Name]]="","",Tasks[[#This Row],[Work]])</f>
        <v/>
      </c>
      <c r="AS149" s="43" t="str">
        <f aca="false">IF(Tasks[[#This Row],[Task Name]]="","",Tasks[[#This Row],[Cost]])</f>
        <v/>
      </c>
      <c r="AT149" s="29"/>
      <c r="AU149" s="29"/>
      <c r="AV149" s="39"/>
      <c r="AW149" s="44"/>
      <c r="AX149" s="45"/>
      <c r="AY149" s="38" t="str">
        <f aca="false">IF(OR(Tasks[[#This Row],[Task Name]]="",Tasks[[#This Row],[Baseline Duration]]=""),"",Tasks[[#This Row],[BL Source Duration]]-N(Tasks[[#This Row],[Baseline Duration]]))</f>
        <v/>
      </c>
      <c r="AZ149" s="42" t="str">
        <f aca="false">IF(OR(Tasks[[#This Row],[Task Name]]="",Tasks[[#This Row],[Baseline Work]]=""),"",Tasks[[#This Row],[Work]]-N(Tasks[[#This Row],[Baseline Work]]))</f>
        <v/>
      </c>
      <c r="BA149" s="43" t="str">
        <f aca="false">IF(OR(Tasks[[#This Row],[Task Name]]="",Tasks[[#This Row],[Baseline Cost]]=""),"",Tasks[[#This Row],[Cost]]-N(Tasks[[#This Row],[Baseline Cost]]))</f>
        <v/>
      </c>
      <c r="BB149" s="46" t="str">
        <f aca="false">IF(Tasks[[#This Row],[Task Name]]="","",MAX(1,N(Tasks[[#This Row],[Level]])))</f>
        <v/>
      </c>
      <c r="BC149" s="46" t="n">
        <f aca="false">ROW()-ROW(Tasks[[#Headers],[ID]])</f>
        <v>144</v>
      </c>
      <c r="BD1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9" s="46" t="n">
        <f aca="false">IFERROR(N(INDEX(Tasks[_Level],Tasks[[#This Row],[_Row]]+1)),0)</f>
        <v>0</v>
      </c>
      <c r="BF149" s="47" t="b">
        <f aca="false">AND(Tasks[[#This Row],[Task Name]]&lt;&gt;"",Tasks[[#This Row],[_NextLevel]]&gt;Tasks[[#This Row],[_Level]])</f>
        <v>0</v>
      </c>
      <c r="BG149" s="46" t="n">
        <f aca="false">IF(Tasks[[#This Row],[_IsSummary]],COUNTIF(Tasks[WBS],Tasks[[#This Row],[WBS]]&amp;".*"),0)</f>
        <v>0</v>
      </c>
      <c r="BH149" s="46" t="n">
        <f aca="false">IF(AND(Tasks[[#This Row],[Task Name]]&lt;&gt;"",NOT(Tasks[[#This Row],[_IsSummary]])),1,0)</f>
        <v>0</v>
      </c>
      <c r="BI149" s="46" t="n">
        <f aca="false">IF(N(Tasks[[#This Row],[Pred1 UID]])=0,0,IFERROR(MATCH(Tasks[[#This Row],[Pred1 UID]],Tasks[UID],0),-1))</f>
        <v>0</v>
      </c>
      <c r="BJ149" s="46" t="n">
        <f aca="false">IF(N(Tasks[[#This Row],[Pred2 UID]])=0,0,IFERROR(MATCH(Tasks[[#This Row],[Pred2 UID]],Tasks[UID],0),-1))</f>
        <v>0</v>
      </c>
      <c r="BK14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9" s="46" t="n">
        <f aca="false">IF(NOT(Tasks[[#This Row],[_IsLeaf]]=1),0,IF(N(Tasks[[#This Row],[Actual Finish]])&gt;0,1,MIN(1,N(Tasks[[#This Row],[% Complete]]))))</f>
        <v>0</v>
      </c>
      <c r="BP14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49" s="46" t="n">
        <f aca="false">IF(Tasks[[#This Row],[_LeafWork]]=0,0,Tasks[[#This Row],[_LeafWork]]*IFERROR(INDEX(res_Rate,MATCH(Tasks[[#This Row],[Resource]],res_Name,0)),0))</f>
        <v>0</v>
      </c>
      <c r="BR14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9" s="46" t="n">
        <f aca="false">IF(NOT(Tasks[[#This Row],[_IsLeaf]]=1),0,MAX(_xlfn.MAXIFS(Tasks[_Row],Tasks[Pred1 UID],Tasks[[#This Row],[UID]]),_xlfn.MAXIFS(Tasks[_Row],Tasks[Pred2 UID],Tasks[[#This Row],[UID]])))</f>
        <v>0</v>
      </c>
      <c r="BW14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9" s="48" t="str">
        <f aca="false">IF(NOT(Tasks[[#This Row],[_IsLeaf]]=1),"",MIN(ProjectFinish,IF(N(Tasks[[#This Row],[Deadline]])&gt;0,Tasks[[#This Row],[Deadline]],2958465),Tasks[[#This Row],[_SuccessorFinishLimit]]))</f>
        <v/>
      </c>
      <c r="BY14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9" s="47" t="b">
        <f aca="false">AND(Tasks[[#This Row],[_IsLeaf]]=1,Tasks[[#This Row],[_LeafProgress]]&lt;1,N(Tasks[[#This Row],[_LeafTotalSlack]])&lt;=CriticalSlackDays)</f>
        <v>0</v>
      </c>
      <c r="CB14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9" s="46" t="n">
        <f aca="false">IF(AND(Tasks[[#This Row],[_IsLeaf]]=1,Tasks[[#This Row],[_LeafWork]]&gt;0),NETWORKDAYS.INTL(ProjectStart,Tasks[[#This Row],[_LeafFcstStart]],WorkWeek,Holidays),0)</f>
        <v>0</v>
      </c>
      <c r="CK14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9" s="46" t="n">
        <f aca="false">IF(AND(Tasks[[#This Row],[_IsLeaf]]=1,Tasks[[#This Row],[_LeafWork]]&gt;0),Tasks[[#This Row],[_LeafWork]]/(Tasks[[#This Row],[_FinishWorkday]]-Tasks[[#This Row],[_StartWorkday]]+1),0)</f>
        <v>0</v>
      </c>
      <c r="CM149" s="46" t="n">
        <f aca="false">Tasks[[#This Row],[_WorkPerWorkday]]*(Tasks[[#This Row],[_StartWorkday]]-1)</f>
        <v>-0</v>
      </c>
      <c r="CN149" s="46" t="n">
        <f aca="false">IF(Tasks[[#This Row],[_IsLeaf]]=1,MAX(N(Tasks[[#This Row],[Duration]]),0.1),0)</f>
        <v>0</v>
      </c>
      <c r="CO149" s="46" t="n">
        <f aca="false">Tasks[[#This Row],[_WeightDur]]*Tasks[[#This Row],[_LeafProgress]]</f>
        <v>0</v>
      </c>
      <c r="CP14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39"/>
      <c r="E150" s="40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0" s="31"/>
      <c r="AF15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0" s="40"/>
      <c r="AI150" s="31"/>
      <c r="AJ15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0" s="40"/>
      <c r="AO150" s="24" t="str">
        <f aca="false">IF(Tasks[[#This Row],[Task Name]]="","",Tasks[[#This Row],[Forecast Start]])</f>
        <v/>
      </c>
      <c r="AP150" s="24" t="str">
        <f aca="false">IF(Tasks[[#This Row],[Task Name]]="","",Tasks[[#This Row],[Forecast Finish]])</f>
        <v/>
      </c>
      <c r="AQ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0" s="42" t="str">
        <f aca="false">IF(Tasks[[#This Row],[Task Name]]="","",Tasks[[#This Row],[Work]])</f>
        <v/>
      </c>
      <c r="AS150" s="43" t="str">
        <f aca="false">IF(Tasks[[#This Row],[Task Name]]="","",Tasks[[#This Row],[Cost]])</f>
        <v/>
      </c>
      <c r="AT150" s="29"/>
      <c r="AU150" s="29"/>
      <c r="AV150" s="39"/>
      <c r="AW150" s="44"/>
      <c r="AX150" s="45"/>
      <c r="AY150" s="38" t="str">
        <f aca="false">IF(OR(Tasks[[#This Row],[Task Name]]="",Tasks[[#This Row],[Baseline Duration]]=""),"",Tasks[[#This Row],[BL Source Duration]]-N(Tasks[[#This Row],[Baseline Duration]]))</f>
        <v/>
      </c>
      <c r="AZ150" s="42" t="str">
        <f aca="false">IF(OR(Tasks[[#This Row],[Task Name]]="",Tasks[[#This Row],[Baseline Work]]=""),"",Tasks[[#This Row],[Work]]-N(Tasks[[#This Row],[Baseline Work]]))</f>
        <v/>
      </c>
      <c r="BA150" s="43" t="str">
        <f aca="false">IF(OR(Tasks[[#This Row],[Task Name]]="",Tasks[[#This Row],[Baseline Cost]]=""),"",Tasks[[#This Row],[Cost]]-N(Tasks[[#This Row],[Baseline Cost]]))</f>
        <v/>
      </c>
      <c r="BB150" s="46" t="str">
        <f aca="false">IF(Tasks[[#This Row],[Task Name]]="","",MAX(1,N(Tasks[[#This Row],[Level]])))</f>
        <v/>
      </c>
      <c r="BC150" s="46" t="n">
        <f aca="false">ROW()-ROW(Tasks[[#Headers],[ID]])</f>
        <v>145</v>
      </c>
      <c r="BD1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0" s="46" t="n">
        <f aca="false">IFERROR(N(INDEX(Tasks[_Level],Tasks[[#This Row],[_Row]]+1)),0)</f>
        <v>0</v>
      </c>
      <c r="BF150" s="47" t="b">
        <f aca="false">AND(Tasks[[#This Row],[Task Name]]&lt;&gt;"",Tasks[[#This Row],[_NextLevel]]&gt;Tasks[[#This Row],[_Level]])</f>
        <v>0</v>
      </c>
      <c r="BG150" s="46" t="n">
        <f aca="false">IF(Tasks[[#This Row],[_IsSummary]],COUNTIF(Tasks[WBS],Tasks[[#This Row],[WBS]]&amp;".*"),0)</f>
        <v>0</v>
      </c>
      <c r="BH150" s="46" t="n">
        <f aca="false">IF(AND(Tasks[[#This Row],[Task Name]]&lt;&gt;"",NOT(Tasks[[#This Row],[_IsSummary]])),1,0)</f>
        <v>0</v>
      </c>
      <c r="BI150" s="46" t="n">
        <f aca="false">IF(N(Tasks[[#This Row],[Pred1 UID]])=0,0,IFERROR(MATCH(Tasks[[#This Row],[Pred1 UID]],Tasks[UID],0),-1))</f>
        <v>0</v>
      </c>
      <c r="BJ150" s="46" t="n">
        <f aca="false">IF(N(Tasks[[#This Row],[Pred2 UID]])=0,0,IFERROR(MATCH(Tasks[[#This Row],[Pred2 UID]],Tasks[UID],0),-1))</f>
        <v>0</v>
      </c>
      <c r="BK15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0" s="46" t="n">
        <f aca="false">IF(NOT(Tasks[[#This Row],[_IsLeaf]]=1),0,IF(N(Tasks[[#This Row],[Actual Finish]])&gt;0,1,MIN(1,N(Tasks[[#This Row],[% Complete]]))))</f>
        <v>0</v>
      </c>
      <c r="BP15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0" s="46" t="n">
        <f aca="false">IF(Tasks[[#This Row],[_LeafWork]]=0,0,Tasks[[#This Row],[_LeafWork]]*IFERROR(INDEX(res_Rate,MATCH(Tasks[[#This Row],[Resource]],res_Name,0)),0))</f>
        <v>0</v>
      </c>
      <c r="BR15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0" s="46" t="n">
        <f aca="false">IF(NOT(Tasks[[#This Row],[_IsLeaf]]=1),0,MAX(_xlfn.MAXIFS(Tasks[_Row],Tasks[Pred1 UID],Tasks[[#This Row],[UID]]),_xlfn.MAXIFS(Tasks[_Row],Tasks[Pred2 UID],Tasks[[#This Row],[UID]])))</f>
        <v>0</v>
      </c>
      <c r="BW15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0" s="48" t="str">
        <f aca="false">IF(NOT(Tasks[[#This Row],[_IsLeaf]]=1),"",MIN(ProjectFinish,IF(N(Tasks[[#This Row],[Deadline]])&gt;0,Tasks[[#This Row],[Deadline]],2958465),Tasks[[#This Row],[_SuccessorFinishLimit]]))</f>
        <v/>
      </c>
      <c r="BY15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0" s="47" t="b">
        <f aca="false">AND(Tasks[[#This Row],[_IsLeaf]]=1,Tasks[[#This Row],[_LeafProgress]]&lt;1,N(Tasks[[#This Row],[_LeafTotalSlack]])&lt;=CriticalSlackDays)</f>
        <v>0</v>
      </c>
      <c r="CB15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0" s="46" t="n">
        <f aca="false">IF(AND(Tasks[[#This Row],[_IsLeaf]]=1,Tasks[[#This Row],[_LeafWork]]&gt;0),NETWORKDAYS.INTL(ProjectStart,Tasks[[#This Row],[_LeafFcstStart]],WorkWeek,Holidays),0)</f>
        <v>0</v>
      </c>
      <c r="CK15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0" s="46" t="n">
        <f aca="false">IF(AND(Tasks[[#This Row],[_IsLeaf]]=1,Tasks[[#This Row],[_LeafWork]]&gt;0),Tasks[[#This Row],[_LeafWork]]/(Tasks[[#This Row],[_FinishWorkday]]-Tasks[[#This Row],[_StartWorkday]]+1),0)</f>
        <v>0</v>
      </c>
      <c r="CM150" s="46" t="n">
        <f aca="false">Tasks[[#This Row],[_WorkPerWorkday]]*(Tasks[[#This Row],[_StartWorkday]]-1)</f>
        <v>-0</v>
      </c>
      <c r="CN150" s="46" t="n">
        <f aca="false">IF(Tasks[[#This Row],[_IsLeaf]]=1,MAX(N(Tasks[[#This Row],[Duration]]),0.1),0)</f>
        <v>0</v>
      </c>
      <c r="CO150" s="46" t="n">
        <f aca="false">Tasks[[#This Row],[_WeightDur]]*Tasks[[#This Row],[_LeafProgress]]</f>
        <v>0</v>
      </c>
      <c r="CP15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39"/>
      <c r="E151" s="40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1" s="31"/>
      <c r="AF15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1" s="40"/>
      <c r="AI151" s="31"/>
      <c r="AJ15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1" s="40"/>
      <c r="AO151" s="24" t="str">
        <f aca="false">IF(Tasks[[#This Row],[Task Name]]="","",Tasks[[#This Row],[Forecast Start]])</f>
        <v/>
      </c>
      <c r="AP151" s="24" t="str">
        <f aca="false">IF(Tasks[[#This Row],[Task Name]]="","",Tasks[[#This Row],[Forecast Finish]])</f>
        <v/>
      </c>
      <c r="AQ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1" s="42" t="str">
        <f aca="false">IF(Tasks[[#This Row],[Task Name]]="","",Tasks[[#This Row],[Work]])</f>
        <v/>
      </c>
      <c r="AS151" s="43" t="str">
        <f aca="false">IF(Tasks[[#This Row],[Task Name]]="","",Tasks[[#This Row],[Cost]])</f>
        <v/>
      </c>
      <c r="AT151" s="29"/>
      <c r="AU151" s="29"/>
      <c r="AV151" s="39"/>
      <c r="AW151" s="44"/>
      <c r="AX151" s="45"/>
      <c r="AY151" s="38" t="str">
        <f aca="false">IF(OR(Tasks[[#This Row],[Task Name]]="",Tasks[[#This Row],[Baseline Duration]]=""),"",Tasks[[#This Row],[BL Source Duration]]-N(Tasks[[#This Row],[Baseline Duration]]))</f>
        <v/>
      </c>
      <c r="AZ151" s="42" t="str">
        <f aca="false">IF(OR(Tasks[[#This Row],[Task Name]]="",Tasks[[#This Row],[Baseline Work]]=""),"",Tasks[[#This Row],[Work]]-N(Tasks[[#This Row],[Baseline Work]]))</f>
        <v/>
      </c>
      <c r="BA151" s="43" t="str">
        <f aca="false">IF(OR(Tasks[[#This Row],[Task Name]]="",Tasks[[#This Row],[Baseline Cost]]=""),"",Tasks[[#This Row],[Cost]]-N(Tasks[[#This Row],[Baseline Cost]]))</f>
        <v/>
      </c>
      <c r="BB151" s="46" t="str">
        <f aca="false">IF(Tasks[[#This Row],[Task Name]]="","",MAX(1,N(Tasks[[#This Row],[Level]])))</f>
        <v/>
      </c>
      <c r="BC151" s="46" t="n">
        <f aca="false">ROW()-ROW(Tasks[[#Headers],[ID]])</f>
        <v>146</v>
      </c>
      <c r="BD1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1" s="46" t="n">
        <f aca="false">IFERROR(N(INDEX(Tasks[_Level],Tasks[[#This Row],[_Row]]+1)),0)</f>
        <v>0</v>
      </c>
      <c r="BF151" s="47" t="b">
        <f aca="false">AND(Tasks[[#This Row],[Task Name]]&lt;&gt;"",Tasks[[#This Row],[_NextLevel]]&gt;Tasks[[#This Row],[_Level]])</f>
        <v>0</v>
      </c>
      <c r="BG151" s="46" t="n">
        <f aca="false">IF(Tasks[[#This Row],[_IsSummary]],COUNTIF(Tasks[WBS],Tasks[[#This Row],[WBS]]&amp;".*"),0)</f>
        <v>0</v>
      </c>
      <c r="BH151" s="46" t="n">
        <f aca="false">IF(AND(Tasks[[#This Row],[Task Name]]&lt;&gt;"",NOT(Tasks[[#This Row],[_IsSummary]])),1,0)</f>
        <v>0</v>
      </c>
      <c r="BI151" s="46" t="n">
        <f aca="false">IF(N(Tasks[[#This Row],[Pred1 UID]])=0,0,IFERROR(MATCH(Tasks[[#This Row],[Pred1 UID]],Tasks[UID],0),-1))</f>
        <v>0</v>
      </c>
      <c r="BJ151" s="46" t="n">
        <f aca="false">IF(N(Tasks[[#This Row],[Pred2 UID]])=0,0,IFERROR(MATCH(Tasks[[#This Row],[Pred2 UID]],Tasks[UID],0),-1))</f>
        <v>0</v>
      </c>
      <c r="BK15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1" s="46" t="n">
        <f aca="false">IF(NOT(Tasks[[#This Row],[_IsLeaf]]=1),0,IF(N(Tasks[[#This Row],[Actual Finish]])&gt;0,1,MIN(1,N(Tasks[[#This Row],[% Complete]]))))</f>
        <v>0</v>
      </c>
      <c r="BP15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1" s="46" t="n">
        <f aca="false">IF(Tasks[[#This Row],[_LeafWork]]=0,0,Tasks[[#This Row],[_LeafWork]]*IFERROR(INDEX(res_Rate,MATCH(Tasks[[#This Row],[Resource]],res_Name,0)),0))</f>
        <v>0</v>
      </c>
      <c r="BR15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1" s="46" t="n">
        <f aca="false">IF(NOT(Tasks[[#This Row],[_IsLeaf]]=1),0,MAX(_xlfn.MAXIFS(Tasks[_Row],Tasks[Pred1 UID],Tasks[[#This Row],[UID]]),_xlfn.MAXIFS(Tasks[_Row],Tasks[Pred2 UID],Tasks[[#This Row],[UID]])))</f>
        <v>0</v>
      </c>
      <c r="BW15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1" s="48" t="str">
        <f aca="false">IF(NOT(Tasks[[#This Row],[_IsLeaf]]=1),"",MIN(ProjectFinish,IF(N(Tasks[[#This Row],[Deadline]])&gt;0,Tasks[[#This Row],[Deadline]],2958465),Tasks[[#This Row],[_SuccessorFinishLimit]]))</f>
        <v/>
      </c>
      <c r="BY15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1" s="47" t="b">
        <f aca="false">AND(Tasks[[#This Row],[_IsLeaf]]=1,Tasks[[#This Row],[_LeafProgress]]&lt;1,N(Tasks[[#This Row],[_LeafTotalSlack]])&lt;=CriticalSlackDays)</f>
        <v>0</v>
      </c>
      <c r="CB15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1" s="46" t="n">
        <f aca="false">IF(AND(Tasks[[#This Row],[_IsLeaf]]=1,Tasks[[#This Row],[_LeafWork]]&gt;0),NETWORKDAYS.INTL(ProjectStart,Tasks[[#This Row],[_LeafFcstStart]],WorkWeek,Holidays),0)</f>
        <v>0</v>
      </c>
      <c r="CK15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1" s="46" t="n">
        <f aca="false">IF(AND(Tasks[[#This Row],[_IsLeaf]]=1,Tasks[[#This Row],[_LeafWork]]&gt;0),Tasks[[#This Row],[_LeafWork]]/(Tasks[[#This Row],[_FinishWorkday]]-Tasks[[#This Row],[_StartWorkday]]+1),0)</f>
        <v>0</v>
      </c>
      <c r="CM151" s="46" t="n">
        <f aca="false">Tasks[[#This Row],[_WorkPerWorkday]]*(Tasks[[#This Row],[_StartWorkday]]-1)</f>
        <v>-0</v>
      </c>
      <c r="CN151" s="46" t="n">
        <f aca="false">IF(Tasks[[#This Row],[_IsLeaf]]=1,MAX(N(Tasks[[#This Row],[Duration]]),0.1),0)</f>
        <v>0</v>
      </c>
      <c r="CO151" s="46" t="n">
        <f aca="false">Tasks[[#This Row],[_WeightDur]]*Tasks[[#This Row],[_LeafProgress]]</f>
        <v>0</v>
      </c>
      <c r="CP15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39"/>
      <c r="E152" s="40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2" s="31"/>
      <c r="AF15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2" s="40"/>
      <c r="AI152" s="31"/>
      <c r="AJ15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2" s="40"/>
      <c r="AO152" s="24" t="str">
        <f aca="false">IF(Tasks[[#This Row],[Task Name]]="","",Tasks[[#This Row],[Forecast Start]])</f>
        <v/>
      </c>
      <c r="AP152" s="24" t="str">
        <f aca="false">IF(Tasks[[#This Row],[Task Name]]="","",Tasks[[#This Row],[Forecast Finish]])</f>
        <v/>
      </c>
      <c r="AQ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2" s="42" t="str">
        <f aca="false">IF(Tasks[[#This Row],[Task Name]]="","",Tasks[[#This Row],[Work]])</f>
        <v/>
      </c>
      <c r="AS152" s="43" t="str">
        <f aca="false">IF(Tasks[[#This Row],[Task Name]]="","",Tasks[[#This Row],[Cost]])</f>
        <v/>
      </c>
      <c r="AT152" s="29"/>
      <c r="AU152" s="29"/>
      <c r="AV152" s="39"/>
      <c r="AW152" s="44"/>
      <c r="AX152" s="45"/>
      <c r="AY152" s="38" t="str">
        <f aca="false">IF(OR(Tasks[[#This Row],[Task Name]]="",Tasks[[#This Row],[Baseline Duration]]=""),"",Tasks[[#This Row],[BL Source Duration]]-N(Tasks[[#This Row],[Baseline Duration]]))</f>
        <v/>
      </c>
      <c r="AZ152" s="42" t="str">
        <f aca="false">IF(OR(Tasks[[#This Row],[Task Name]]="",Tasks[[#This Row],[Baseline Work]]=""),"",Tasks[[#This Row],[Work]]-N(Tasks[[#This Row],[Baseline Work]]))</f>
        <v/>
      </c>
      <c r="BA152" s="43" t="str">
        <f aca="false">IF(OR(Tasks[[#This Row],[Task Name]]="",Tasks[[#This Row],[Baseline Cost]]=""),"",Tasks[[#This Row],[Cost]]-N(Tasks[[#This Row],[Baseline Cost]]))</f>
        <v/>
      </c>
      <c r="BB152" s="46" t="str">
        <f aca="false">IF(Tasks[[#This Row],[Task Name]]="","",MAX(1,N(Tasks[[#This Row],[Level]])))</f>
        <v/>
      </c>
      <c r="BC152" s="46" t="n">
        <f aca="false">ROW()-ROW(Tasks[[#Headers],[ID]])</f>
        <v>147</v>
      </c>
      <c r="BD1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2" s="46" t="n">
        <f aca="false">IFERROR(N(INDEX(Tasks[_Level],Tasks[[#This Row],[_Row]]+1)),0)</f>
        <v>0</v>
      </c>
      <c r="BF152" s="47" t="b">
        <f aca="false">AND(Tasks[[#This Row],[Task Name]]&lt;&gt;"",Tasks[[#This Row],[_NextLevel]]&gt;Tasks[[#This Row],[_Level]])</f>
        <v>0</v>
      </c>
      <c r="BG152" s="46" t="n">
        <f aca="false">IF(Tasks[[#This Row],[_IsSummary]],COUNTIF(Tasks[WBS],Tasks[[#This Row],[WBS]]&amp;".*"),0)</f>
        <v>0</v>
      </c>
      <c r="BH152" s="46" t="n">
        <f aca="false">IF(AND(Tasks[[#This Row],[Task Name]]&lt;&gt;"",NOT(Tasks[[#This Row],[_IsSummary]])),1,0)</f>
        <v>0</v>
      </c>
      <c r="BI152" s="46" t="n">
        <f aca="false">IF(N(Tasks[[#This Row],[Pred1 UID]])=0,0,IFERROR(MATCH(Tasks[[#This Row],[Pred1 UID]],Tasks[UID],0),-1))</f>
        <v>0</v>
      </c>
      <c r="BJ152" s="46" t="n">
        <f aca="false">IF(N(Tasks[[#This Row],[Pred2 UID]])=0,0,IFERROR(MATCH(Tasks[[#This Row],[Pred2 UID]],Tasks[UID],0),-1))</f>
        <v>0</v>
      </c>
      <c r="BK15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2" s="46" t="n">
        <f aca="false">IF(NOT(Tasks[[#This Row],[_IsLeaf]]=1),0,IF(N(Tasks[[#This Row],[Actual Finish]])&gt;0,1,MIN(1,N(Tasks[[#This Row],[% Complete]]))))</f>
        <v>0</v>
      </c>
      <c r="BP15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2" s="46" t="n">
        <f aca="false">IF(Tasks[[#This Row],[_LeafWork]]=0,0,Tasks[[#This Row],[_LeafWork]]*IFERROR(INDEX(res_Rate,MATCH(Tasks[[#This Row],[Resource]],res_Name,0)),0))</f>
        <v>0</v>
      </c>
      <c r="BR15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2" s="46" t="n">
        <f aca="false">IF(NOT(Tasks[[#This Row],[_IsLeaf]]=1),0,MAX(_xlfn.MAXIFS(Tasks[_Row],Tasks[Pred1 UID],Tasks[[#This Row],[UID]]),_xlfn.MAXIFS(Tasks[_Row],Tasks[Pred2 UID],Tasks[[#This Row],[UID]])))</f>
        <v>0</v>
      </c>
      <c r="BW15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2" s="48" t="str">
        <f aca="false">IF(NOT(Tasks[[#This Row],[_IsLeaf]]=1),"",MIN(ProjectFinish,IF(N(Tasks[[#This Row],[Deadline]])&gt;0,Tasks[[#This Row],[Deadline]],2958465),Tasks[[#This Row],[_SuccessorFinishLimit]]))</f>
        <v/>
      </c>
      <c r="BY15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2" s="47" t="b">
        <f aca="false">AND(Tasks[[#This Row],[_IsLeaf]]=1,Tasks[[#This Row],[_LeafProgress]]&lt;1,N(Tasks[[#This Row],[_LeafTotalSlack]])&lt;=CriticalSlackDays)</f>
        <v>0</v>
      </c>
      <c r="CB15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2" s="46" t="n">
        <f aca="false">IF(AND(Tasks[[#This Row],[_IsLeaf]]=1,Tasks[[#This Row],[_LeafWork]]&gt;0),NETWORKDAYS.INTL(ProjectStart,Tasks[[#This Row],[_LeafFcstStart]],WorkWeek,Holidays),0)</f>
        <v>0</v>
      </c>
      <c r="CK15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2" s="46" t="n">
        <f aca="false">IF(AND(Tasks[[#This Row],[_IsLeaf]]=1,Tasks[[#This Row],[_LeafWork]]&gt;0),Tasks[[#This Row],[_LeafWork]]/(Tasks[[#This Row],[_FinishWorkday]]-Tasks[[#This Row],[_StartWorkday]]+1),0)</f>
        <v>0</v>
      </c>
      <c r="CM152" s="46" t="n">
        <f aca="false">Tasks[[#This Row],[_WorkPerWorkday]]*(Tasks[[#This Row],[_StartWorkday]]-1)</f>
        <v>-0</v>
      </c>
      <c r="CN152" s="46" t="n">
        <f aca="false">IF(Tasks[[#This Row],[_IsLeaf]]=1,MAX(N(Tasks[[#This Row],[Duration]]),0.1),0)</f>
        <v>0</v>
      </c>
      <c r="CO152" s="46" t="n">
        <f aca="false">Tasks[[#This Row],[_WeightDur]]*Tasks[[#This Row],[_LeafProgress]]</f>
        <v>0</v>
      </c>
      <c r="CP15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39"/>
      <c r="E153" s="40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3" s="31"/>
      <c r="AF15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3" s="40"/>
      <c r="AI153" s="31"/>
      <c r="AJ15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3" s="40"/>
      <c r="AO153" s="24" t="str">
        <f aca="false">IF(Tasks[[#This Row],[Task Name]]="","",Tasks[[#This Row],[Forecast Start]])</f>
        <v/>
      </c>
      <c r="AP153" s="24" t="str">
        <f aca="false">IF(Tasks[[#This Row],[Task Name]]="","",Tasks[[#This Row],[Forecast Finish]])</f>
        <v/>
      </c>
      <c r="AQ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3" s="42" t="str">
        <f aca="false">IF(Tasks[[#This Row],[Task Name]]="","",Tasks[[#This Row],[Work]])</f>
        <v/>
      </c>
      <c r="AS153" s="43" t="str">
        <f aca="false">IF(Tasks[[#This Row],[Task Name]]="","",Tasks[[#This Row],[Cost]])</f>
        <v/>
      </c>
      <c r="AT153" s="29"/>
      <c r="AU153" s="29"/>
      <c r="AV153" s="39"/>
      <c r="AW153" s="44"/>
      <c r="AX153" s="45"/>
      <c r="AY153" s="38" t="str">
        <f aca="false">IF(OR(Tasks[[#This Row],[Task Name]]="",Tasks[[#This Row],[Baseline Duration]]=""),"",Tasks[[#This Row],[BL Source Duration]]-N(Tasks[[#This Row],[Baseline Duration]]))</f>
        <v/>
      </c>
      <c r="AZ153" s="42" t="str">
        <f aca="false">IF(OR(Tasks[[#This Row],[Task Name]]="",Tasks[[#This Row],[Baseline Work]]=""),"",Tasks[[#This Row],[Work]]-N(Tasks[[#This Row],[Baseline Work]]))</f>
        <v/>
      </c>
      <c r="BA153" s="43" t="str">
        <f aca="false">IF(OR(Tasks[[#This Row],[Task Name]]="",Tasks[[#This Row],[Baseline Cost]]=""),"",Tasks[[#This Row],[Cost]]-N(Tasks[[#This Row],[Baseline Cost]]))</f>
        <v/>
      </c>
      <c r="BB153" s="46" t="str">
        <f aca="false">IF(Tasks[[#This Row],[Task Name]]="","",MAX(1,N(Tasks[[#This Row],[Level]])))</f>
        <v/>
      </c>
      <c r="BC153" s="46" t="n">
        <f aca="false">ROW()-ROW(Tasks[[#Headers],[ID]])</f>
        <v>148</v>
      </c>
      <c r="BD1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3" s="46" t="n">
        <f aca="false">IFERROR(N(INDEX(Tasks[_Level],Tasks[[#This Row],[_Row]]+1)),0)</f>
        <v>0</v>
      </c>
      <c r="BF153" s="47" t="b">
        <f aca="false">AND(Tasks[[#This Row],[Task Name]]&lt;&gt;"",Tasks[[#This Row],[_NextLevel]]&gt;Tasks[[#This Row],[_Level]])</f>
        <v>0</v>
      </c>
      <c r="BG153" s="46" t="n">
        <f aca="false">IF(Tasks[[#This Row],[_IsSummary]],COUNTIF(Tasks[WBS],Tasks[[#This Row],[WBS]]&amp;".*"),0)</f>
        <v>0</v>
      </c>
      <c r="BH153" s="46" t="n">
        <f aca="false">IF(AND(Tasks[[#This Row],[Task Name]]&lt;&gt;"",NOT(Tasks[[#This Row],[_IsSummary]])),1,0)</f>
        <v>0</v>
      </c>
      <c r="BI153" s="46" t="n">
        <f aca="false">IF(N(Tasks[[#This Row],[Pred1 UID]])=0,0,IFERROR(MATCH(Tasks[[#This Row],[Pred1 UID]],Tasks[UID],0),-1))</f>
        <v>0</v>
      </c>
      <c r="BJ153" s="46" t="n">
        <f aca="false">IF(N(Tasks[[#This Row],[Pred2 UID]])=0,0,IFERROR(MATCH(Tasks[[#This Row],[Pred2 UID]],Tasks[UID],0),-1))</f>
        <v>0</v>
      </c>
      <c r="BK15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3" s="46" t="n">
        <f aca="false">IF(NOT(Tasks[[#This Row],[_IsLeaf]]=1),0,IF(N(Tasks[[#This Row],[Actual Finish]])&gt;0,1,MIN(1,N(Tasks[[#This Row],[% Complete]]))))</f>
        <v>0</v>
      </c>
      <c r="BP15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3" s="46" t="n">
        <f aca="false">IF(Tasks[[#This Row],[_LeafWork]]=0,0,Tasks[[#This Row],[_LeafWork]]*IFERROR(INDEX(res_Rate,MATCH(Tasks[[#This Row],[Resource]],res_Name,0)),0))</f>
        <v>0</v>
      </c>
      <c r="BR15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3" s="46" t="n">
        <f aca="false">IF(NOT(Tasks[[#This Row],[_IsLeaf]]=1),0,MAX(_xlfn.MAXIFS(Tasks[_Row],Tasks[Pred1 UID],Tasks[[#This Row],[UID]]),_xlfn.MAXIFS(Tasks[_Row],Tasks[Pred2 UID],Tasks[[#This Row],[UID]])))</f>
        <v>0</v>
      </c>
      <c r="BW15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3" s="48" t="str">
        <f aca="false">IF(NOT(Tasks[[#This Row],[_IsLeaf]]=1),"",MIN(ProjectFinish,IF(N(Tasks[[#This Row],[Deadline]])&gt;0,Tasks[[#This Row],[Deadline]],2958465),Tasks[[#This Row],[_SuccessorFinishLimit]]))</f>
        <v/>
      </c>
      <c r="BY15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3" s="47" t="b">
        <f aca="false">AND(Tasks[[#This Row],[_IsLeaf]]=1,Tasks[[#This Row],[_LeafProgress]]&lt;1,N(Tasks[[#This Row],[_LeafTotalSlack]])&lt;=CriticalSlackDays)</f>
        <v>0</v>
      </c>
      <c r="CB15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3" s="46" t="n">
        <f aca="false">IF(AND(Tasks[[#This Row],[_IsLeaf]]=1,Tasks[[#This Row],[_LeafWork]]&gt;0),NETWORKDAYS.INTL(ProjectStart,Tasks[[#This Row],[_LeafFcstStart]],WorkWeek,Holidays),0)</f>
        <v>0</v>
      </c>
      <c r="CK15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3" s="46" t="n">
        <f aca="false">IF(AND(Tasks[[#This Row],[_IsLeaf]]=1,Tasks[[#This Row],[_LeafWork]]&gt;0),Tasks[[#This Row],[_LeafWork]]/(Tasks[[#This Row],[_FinishWorkday]]-Tasks[[#This Row],[_StartWorkday]]+1),0)</f>
        <v>0</v>
      </c>
      <c r="CM153" s="46" t="n">
        <f aca="false">Tasks[[#This Row],[_WorkPerWorkday]]*(Tasks[[#This Row],[_StartWorkday]]-1)</f>
        <v>-0</v>
      </c>
      <c r="CN153" s="46" t="n">
        <f aca="false">IF(Tasks[[#This Row],[_IsLeaf]]=1,MAX(N(Tasks[[#This Row],[Duration]]),0.1),0)</f>
        <v>0</v>
      </c>
      <c r="CO153" s="46" t="n">
        <f aca="false">Tasks[[#This Row],[_WeightDur]]*Tasks[[#This Row],[_LeafProgress]]</f>
        <v>0</v>
      </c>
      <c r="CP15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39"/>
      <c r="E154" s="40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4" s="31"/>
      <c r="AF15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4" s="40"/>
      <c r="AI154" s="31"/>
      <c r="AJ15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4" s="40"/>
      <c r="AO154" s="24" t="str">
        <f aca="false">IF(Tasks[[#This Row],[Task Name]]="","",Tasks[[#This Row],[Forecast Start]])</f>
        <v/>
      </c>
      <c r="AP154" s="24" t="str">
        <f aca="false">IF(Tasks[[#This Row],[Task Name]]="","",Tasks[[#This Row],[Forecast Finish]])</f>
        <v/>
      </c>
      <c r="AQ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4" s="42" t="str">
        <f aca="false">IF(Tasks[[#This Row],[Task Name]]="","",Tasks[[#This Row],[Work]])</f>
        <v/>
      </c>
      <c r="AS154" s="43" t="str">
        <f aca="false">IF(Tasks[[#This Row],[Task Name]]="","",Tasks[[#This Row],[Cost]])</f>
        <v/>
      </c>
      <c r="AT154" s="29"/>
      <c r="AU154" s="29"/>
      <c r="AV154" s="39"/>
      <c r="AW154" s="44"/>
      <c r="AX154" s="45"/>
      <c r="AY154" s="38" t="str">
        <f aca="false">IF(OR(Tasks[[#This Row],[Task Name]]="",Tasks[[#This Row],[Baseline Duration]]=""),"",Tasks[[#This Row],[BL Source Duration]]-N(Tasks[[#This Row],[Baseline Duration]]))</f>
        <v/>
      </c>
      <c r="AZ154" s="42" t="str">
        <f aca="false">IF(OR(Tasks[[#This Row],[Task Name]]="",Tasks[[#This Row],[Baseline Work]]=""),"",Tasks[[#This Row],[Work]]-N(Tasks[[#This Row],[Baseline Work]]))</f>
        <v/>
      </c>
      <c r="BA154" s="43" t="str">
        <f aca="false">IF(OR(Tasks[[#This Row],[Task Name]]="",Tasks[[#This Row],[Baseline Cost]]=""),"",Tasks[[#This Row],[Cost]]-N(Tasks[[#This Row],[Baseline Cost]]))</f>
        <v/>
      </c>
      <c r="BB154" s="46" t="str">
        <f aca="false">IF(Tasks[[#This Row],[Task Name]]="","",MAX(1,N(Tasks[[#This Row],[Level]])))</f>
        <v/>
      </c>
      <c r="BC154" s="46" t="n">
        <f aca="false">ROW()-ROW(Tasks[[#Headers],[ID]])</f>
        <v>149</v>
      </c>
      <c r="BD1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4" s="46" t="n">
        <f aca="false">IFERROR(N(INDEX(Tasks[_Level],Tasks[[#This Row],[_Row]]+1)),0)</f>
        <v>0</v>
      </c>
      <c r="BF154" s="47" t="b">
        <f aca="false">AND(Tasks[[#This Row],[Task Name]]&lt;&gt;"",Tasks[[#This Row],[_NextLevel]]&gt;Tasks[[#This Row],[_Level]])</f>
        <v>0</v>
      </c>
      <c r="BG154" s="46" t="n">
        <f aca="false">IF(Tasks[[#This Row],[_IsSummary]],COUNTIF(Tasks[WBS],Tasks[[#This Row],[WBS]]&amp;".*"),0)</f>
        <v>0</v>
      </c>
      <c r="BH154" s="46" t="n">
        <f aca="false">IF(AND(Tasks[[#This Row],[Task Name]]&lt;&gt;"",NOT(Tasks[[#This Row],[_IsSummary]])),1,0)</f>
        <v>0</v>
      </c>
      <c r="BI154" s="46" t="n">
        <f aca="false">IF(N(Tasks[[#This Row],[Pred1 UID]])=0,0,IFERROR(MATCH(Tasks[[#This Row],[Pred1 UID]],Tasks[UID],0),-1))</f>
        <v>0</v>
      </c>
      <c r="BJ154" s="46" t="n">
        <f aca="false">IF(N(Tasks[[#This Row],[Pred2 UID]])=0,0,IFERROR(MATCH(Tasks[[#This Row],[Pred2 UID]],Tasks[UID],0),-1))</f>
        <v>0</v>
      </c>
      <c r="BK15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4" s="46" t="n">
        <f aca="false">IF(NOT(Tasks[[#This Row],[_IsLeaf]]=1),0,IF(N(Tasks[[#This Row],[Actual Finish]])&gt;0,1,MIN(1,N(Tasks[[#This Row],[% Complete]]))))</f>
        <v>0</v>
      </c>
      <c r="BP15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4" s="46" t="n">
        <f aca="false">IF(Tasks[[#This Row],[_LeafWork]]=0,0,Tasks[[#This Row],[_LeafWork]]*IFERROR(INDEX(res_Rate,MATCH(Tasks[[#This Row],[Resource]],res_Name,0)),0))</f>
        <v>0</v>
      </c>
      <c r="BR15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4" s="46" t="n">
        <f aca="false">IF(NOT(Tasks[[#This Row],[_IsLeaf]]=1),0,MAX(_xlfn.MAXIFS(Tasks[_Row],Tasks[Pred1 UID],Tasks[[#This Row],[UID]]),_xlfn.MAXIFS(Tasks[_Row],Tasks[Pred2 UID],Tasks[[#This Row],[UID]])))</f>
        <v>0</v>
      </c>
      <c r="BW15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4" s="48" t="str">
        <f aca="false">IF(NOT(Tasks[[#This Row],[_IsLeaf]]=1),"",MIN(ProjectFinish,IF(N(Tasks[[#This Row],[Deadline]])&gt;0,Tasks[[#This Row],[Deadline]],2958465),Tasks[[#This Row],[_SuccessorFinishLimit]]))</f>
        <v/>
      </c>
      <c r="BY15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4" s="47" t="b">
        <f aca="false">AND(Tasks[[#This Row],[_IsLeaf]]=1,Tasks[[#This Row],[_LeafProgress]]&lt;1,N(Tasks[[#This Row],[_LeafTotalSlack]])&lt;=CriticalSlackDays)</f>
        <v>0</v>
      </c>
      <c r="CB15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4" s="46" t="n">
        <f aca="false">IF(AND(Tasks[[#This Row],[_IsLeaf]]=1,Tasks[[#This Row],[_LeafWork]]&gt;0),NETWORKDAYS.INTL(ProjectStart,Tasks[[#This Row],[_LeafFcstStart]],WorkWeek,Holidays),0)</f>
        <v>0</v>
      </c>
      <c r="CK15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4" s="46" t="n">
        <f aca="false">IF(AND(Tasks[[#This Row],[_IsLeaf]]=1,Tasks[[#This Row],[_LeafWork]]&gt;0),Tasks[[#This Row],[_LeafWork]]/(Tasks[[#This Row],[_FinishWorkday]]-Tasks[[#This Row],[_StartWorkday]]+1),0)</f>
        <v>0</v>
      </c>
      <c r="CM154" s="46" t="n">
        <f aca="false">Tasks[[#This Row],[_WorkPerWorkday]]*(Tasks[[#This Row],[_StartWorkday]]-1)</f>
        <v>-0</v>
      </c>
      <c r="CN154" s="46" t="n">
        <f aca="false">IF(Tasks[[#This Row],[_IsLeaf]]=1,MAX(N(Tasks[[#This Row],[Duration]]),0.1),0)</f>
        <v>0</v>
      </c>
      <c r="CO154" s="46" t="n">
        <f aca="false">Tasks[[#This Row],[_WeightDur]]*Tasks[[#This Row],[_LeafProgress]]</f>
        <v>0</v>
      </c>
      <c r="CP15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39"/>
      <c r="E155" s="40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5" s="31"/>
      <c r="AF15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5" s="40"/>
      <c r="AI155" s="31"/>
      <c r="AJ15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5" s="40"/>
      <c r="AO155" s="24" t="str">
        <f aca="false">IF(Tasks[[#This Row],[Task Name]]="","",Tasks[[#This Row],[Forecast Start]])</f>
        <v/>
      </c>
      <c r="AP155" s="24" t="str">
        <f aca="false">IF(Tasks[[#This Row],[Task Name]]="","",Tasks[[#This Row],[Forecast Finish]])</f>
        <v/>
      </c>
      <c r="AQ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5" s="42" t="str">
        <f aca="false">IF(Tasks[[#This Row],[Task Name]]="","",Tasks[[#This Row],[Work]])</f>
        <v/>
      </c>
      <c r="AS155" s="43" t="str">
        <f aca="false">IF(Tasks[[#This Row],[Task Name]]="","",Tasks[[#This Row],[Cost]])</f>
        <v/>
      </c>
      <c r="AT155" s="29"/>
      <c r="AU155" s="29"/>
      <c r="AV155" s="39"/>
      <c r="AW155" s="44"/>
      <c r="AX155" s="45"/>
      <c r="AY155" s="38" t="str">
        <f aca="false">IF(OR(Tasks[[#This Row],[Task Name]]="",Tasks[[#This Row],[Baseline Duration]]=""),"",Tasks[[#This Row],[BL Source Duration]]-N(Tasks[[#This Row],[Baseline Duration]]))</f>
        <v/>
      </c>
      <c r="AZ155" s="42" t="str">
        <f aca="false">IF(OR(Tasks[[#This Row],[Task Name]]="",Tasks[[#This Row],[Baseline Work]]=""),"",Tasks[[#This Row],[Work]]-N(Tasks[[#This Row],[Baseline Work]]))</f>
        <v/>
      </c>
      <c r="BA155" s="43" t="str">
        <f aca="false">IF(OR(Tasks[[#This Row],[Task Name]]="",Tasks[[#This Row],[Baseline Cost]]=""),"",Tasks[[#This Row],[Cost]]-N(Tasks[[#This Row],[Baseline Cost]]))</f>
        <v/>
      </c>
      <c r="BB155" s="46" t="str">
        <f aca="false">IF(Tasks[[#This Row],[Task Name]]="","",MAX(1,N(Tasks[[#This Row],[Level]])))</f>
        <v/>
      </c>
      <c r="BC155" s="46" t="n">
        <f aca="false">ROW()-ROW(Tasks[[#Headers],[ID]])</f>
        <v>150</v>
      </c>
      <c r="BD1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5" s="46" t="n">
        <f aca="false">IFERROR(N(INDEX(Tasks[_Level],Tasks[[#This Row],[_Row]]+1)),0)</f>
        <v>0</v>
      </c>
      <c r="BF155" s="47" t="b">
        <f aca="false">AND(Tasks[[#This Row],[Task Name]]&lt;&gt;"",Tasks[[#This Row],[_NextLevel]]&gt;Tasks[[#This Row],[_Level]])</f>
        <v>0</v>
      </c>
      <c r="BG155" s="46" t="n">
        <f aca="false">IF(Tasks[[#This Row],[_IsSummary]],COUNTIF(Tasks[WBS],Tasks[[#This Row],[WBS]]&amp;".*"),0)</f>
        <v>0</v>
      </c>
      <c r="BH155" s="46" t="n">
        <f aca="false">IF(AND(Tasks[[#This Row],[Task Name]]&lt;&gt;"",NOT(Tasks[[#This Row],[_IsSummary]])),1,0)</f>
        <v>0</v>
      </c>
      <c r="BI155" s="46" t="n">
        <f aca="false">IF(N(Tasks[[#This Row],[Pred1 UID]])=0,0,IFERROR(MATCH(Tasks[[#This Row],[Pred1 UID]],Tasks[UID],0),-1))</f>
        <v>0</v>
      </c>
      <c r="BJ155" s="46" t="n">
        <f aca="false">IF(N(Tasks[[#This Row],[Pred2 UID]])=0,0,IFERROR(MATCH(Tasks[[#This Row],[Pred2 UID]],Tasks[UID],0),-1))</f>
        <v>0</v>
      </c>
      <c r="BK15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5" s="46" t="n">
        <f aca="false">IF(NOT(Tasks[[#This Row],[_IsLeaf]]=1),0,IF(N(Tasks[[#This Row],[Actual Finish]])&gt;0,1,MIN(1,N(Tasks[[#This Row],[% Complete]]))))</f>
        <v>0</v>
      </c>
      <c r="BP15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5" s="46" t="n">
        <f aca="false">IF(Tasks[[#This Row],[_LeafWork]]=0,0,Tasks[[#This Row],[_LeafWork]]*IFERROR(INDEX(res_Rate,MATCH(Tasks[[#This Row],[Resource]],res_Name,0)),0))</f>
        <v>0</v>
      </c>
      <c r="BR15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5" s="46" t="n">
        <f aca="false">IF(NOT(Tasks[[#This Row],[_IsLeaf]]=1),0,MAX(_xlfn.MAXIFS(Tasks[_Row],Tasks[Pred1 UID],Tasks[[#This Row],[UID]]),_xlfn.MAXIFS(Tasks[_Row],Tasks[Pred2 UID],Tasks[[#This Row],[UID]])))</f>
        <v>0</v>
      </c>
      <c r="BW15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5" s="48" t="str">
        <f aca="false">IF(NOT(Tasks[[#This Row],[_IsLeaf]]=1),"",MIN(ProjectFinish,IF(N(Tasks[[#This Row],[Deadline]])&gt;0,Tasks[[#This Row],[Deadline]],2958465),Tasks[[#This Row],[_SuccessorFinishLimit]]))</f>
        <v/>
      </c>
      <c r="BY15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5" s="47" t="b">
        <f aca="false">AND(Tasks[[#This Row],[_IsLeaf]]=1,Tasks[[#This Row],[_LeafProgress]]&lt;1,N(Tasks[[#This Row],[_LeafTotalSlack]])&lt;=CriticalSlackDays)</f>
        <v>0</v>
      </c>
      <c r="CB15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5" s="46" t="n">
        <f aca="false">IF(AND(Tasks[[#This Row],[_IsLeaf]]=1,Tasks[[#This Row],[_LeafWork]]&gt;0),NETWORKDAYS.INTL(ProjectStart,Tasks[[#This Row],[_LeafFcstStart]],WorkWeek,Holidays),0)</f>
        <v>0</v>
      </c>
      <c r="CK15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5" s="46" t="n">
        <f aca="false">IF(AND(Tasks[[#This Row],[_IsLeaf]]=1,Tasks[[#This Row],[_LeafWork]]&gt;0),Tasks[[#This Row],[_LeafWork]]/(Tasks[[#This Row],[_FinishWorkday]]-Tasks[[#This Row],[_StartWorkday]]+1),0)</f>
        <v>0</v>
      </c>
      <c r="CM155" s="46" t="n">
        <f aca="false">Tasks[[#This Row],[_WorkPerWorkday]]*(Tasks[[#This Row],[_StartWorkday]]-1)</f>
        <v>-0</v>
      </c>
      <c r="CN155" s="46" t="n">
        <f aca="false">IF(Tasks[[#This Row],[_IsLeaf]]=1,MAX(N(Tasks[[#This Row],[Duration]]),0.1),0)</f>
        <v>0</v>
      </c>
      <c r="CO155" s="46" t="n">
        <f aca="false">Tasks[[#This Row],[_WeightDur]]*Tasks[[#This Row],[_LeafProgress]]</f>
        <v>0</v>
      </c>
      <c r="CP15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39"/>
      <c r="E156" s="40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6" s="31"/>
      <c r="AF15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6" s="40"/>
      <c r="AI156" s="31"/>
      <c r="AJ15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6" s="40"/>
      <c r="AO156" s="24" t="str">
        <f aca="false">IF(Tasks[[#This Row],[Task Name]]="","",Tasks[[#This Row],[Forecast Start]])</f>
        <v/>
      </c>
      <c r="AP156" s="24" t="str">
        <f aca="false">IF(Tasks[[#This Row],[Task Name]]="","",Tasks[[#This Row],[Forecast Finish]])</f>
        <v/>
      </c>
      <c r="AQ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6" s="42" t="str">
        <f aca="false">IF(Tasks[[#This Row],[Task Name]]="","",Tasks[[#This Row],[Work]])</f>
        <v/>
      </c>
      <c r="AS156" s="43" t="str">
        <f aca="false">IF(Tasks[[#This Row],[Task Name]]="","",Tasks[[#This Row],[Cost]])</f>
        <v/>
      </c>
      <c r="AT156" s="29"/>
      <c r="AU156" s="29"/>
      <c r="AV156" s="39"/>
      <c r="AW156" s="44"/>
      <c r="AX156" s="45"/>
      <c r="AY156" s="38" t="str">
        <f aca="false">IF(OR(Tasks[[#This Row],[Task Name]]="",Tasks[[#This Row],[Baseline Duration]]=""),"",Tasks[[#This Row],[BL Source Duration]]-N(Tasks[[#This Row],[Baseline Duration]]))</f>
        <v/>
      </c>
      <c r="AZ156" s="42" t="str">
        <f aca="false">IF(OR(Tasks[[#This Row],[Task Name]]="",Tasks[[#This Row],[Baseline Work]]=""),"",Tasks[[#This Row],[Work]]-N(Tasks[[#This Row],[Baseline Work]]))</f>
        <v/>
      </c>
      <c r="BA156" s="43" t="str">
        <f aca="false">IF(OR(Tasks[[#This Row],[Task Name]]="",Tasks[[#This Row],[Baseline Cost]]=""),"",Tasks[[#This Row],[Cost]]-N(Tasks[[#This Row],[Baseline Cost]]))</f>
        <v/>
      </c>
      <c r="BB156" s="46" t="str">
        <f aca="false">IF(Tasks[[#This Row],[Task Name]]="","",MAX(1,N(Tasks[[#This Row],[Level]])))</f>
        <v/>
      </c>
      <c r="BC156" s="46" t="n">
        <f aca="false">ROW()-ROW(Tasks[[#Headers],[ID]])</f>
        <v>151</v>
      </c>
      <c r="BD1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6" s="46" t="n">
        <f aca="false">IFERROR(N(INDEX(Tasks[_Level],Tasks[[#This Row],[_Row]]+1)),0)</f>
        <v>0</v>
      </c>
      <c r="BF156" s="47" t="b">
        <f aca="false">AND(Tasks[[#This Row],[Task Name]]&lt;&gt;"",Tasks[[#This Row],[_NextLevel]]&gt;Tasks[[#This Row],[_Level]])</f>
        <v>0</v>
      </c>
      <c r="BG156" s="46" t="n">
        <f aca="false">IF(Tasks[[#This Row],[_IsSummary]],COUNTIF(Tasks[WBS],Tasks[[#This Row],[WBS]]&amp;".*"),0)</f>
        <v>0</v>
      </c>
      <c r="BH156" s="46" t="n">
        <f aca="false">IF(AND(Tasks[[#This Row],[Task Name]]&lt;&gt;"",NOT(Tasks[[#This Row],[_IsSummary]])),1,0)</f>
        <v>0</v>
      </c>
      <c r="BI156" s="46" t="n">
        <f aca="false">IF(N(Tasks[[#This Row],[Pred1 UID]])=0,0,IFERROR(MATCH(Tasks[[#This Row],[Pred1 UID]],Tasks[UID],0),-1))</f>
        <v>0</v>
      </c>
      <c r="BJ156" s="46" t="n">
        <f aca="false">IF(N(Tasks[[#This Row],[Pred2 UID]])=0,0,IFERROR(MATCH(Tasks[[#This Row],[Pred2 UID]],Tasks[UID],0),-1))</f>
        <v>0</v>
      </c>
      <c r="BK15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6" s="46" t="n">
        <f aca="false">IF(NOT(Tasks[[#This Row],[_IsLeaf]]=1),0,IF(N(Tasks[[#This Row],[Actual Finish]])&gt;0,1,MIN(1,N(Tasks[[#This Row],[% Complete]]))))</f>
        <v>0</v>
      </c>
      <c r="BP15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6" s="46" t="n">
        <f aca="false">IF(Tasks[[#This Row],[_LeafWork]]=0,0,Tasks[[#This Row],[_LeafWork]]*IFERROR(INDEX(res_Rate,MATCH(Tasks[[#This Row],[Resource]],res_Name,0)),0))</f>
        <v>0</v>
      </c>
      <c r="BR15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6" s="46" t="n">
        <f aca="false">IF(NOT(Tasks[[#This Row],[_IsLeaf]]=1),0,MAX(_xlfn.MAXIFS(Tasks[_Row],Tasks[Pred1 UID],Tasks[[#This Row],[UID]]),_xlfn.MAXIFS(Tasks[_Row],Tasks[Pred2 UID],Tasks[[#This Row],[UID]])))</f>
        <v>0</v>
      </c>
      <c r="BW15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6" s="48" t="str">
        <f aca="false">IF(NOT(Tasks[[#This Row],[_IsLeaf]]=1),"",MIN(ProjectFinish,IF(N(Tasks[[#This Row],[Deadline]])&gt;0,Tasks[[#This Row],[Deadline]],2958465),Tasks[[#This Row],[_SuccessorFinishLimit]]))</f>
        <v/>
      </c>
      <c r="BY15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6" s="47" t="b">
        <f aca="false">AND(Tasks[[#This Row],[_IsLeaf]]=1,Tasks[[#This Row],[_LeafProgress]]&lt;1,N(Tasks[[#This Row],[_LeafTotalSlack]])&lt;=CriticalSlackDays)</f>
        <v>0</v>
      </c>
      <c r="CB15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6" s="46" t="n">
        <f aca="false">IF(AND(Tasks[[#This Row],[_IsLeaf]]=1,Tasks[[#This Row],[_LeafWork]]&gt;0),NETWORKDAYS.INTL(ProjectStart,Tasks[[#This Row],[_LeafFcstStart]],WorkWeek,Holidays),0)</f>
        <v>0</v>
      </c>
      <c r="CK15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6" s="46" t="n">
        <f aca="false">IF(AND(Tasks[[#This Row],[_IsLeaf]]=1,Tasks[[#This Row],[_LeafWork]]&gt;0),Tasks[[#This Row],[_LeafWork]]/(Tasks[[#This Row],[_FinishWorkday]]-Tasks[[#This Row],[_StartWorkday]]+1),0)</f>
        <v>0</v>
      </c>
      <c r="CM156" s="46" t="n">
        <f aca="false">Tasks[[#This Row],[_WorkPerWorkday]]*(Tasks[[#This Row],[_StartWorkday]]-1)</f>
        <v>-0</v>
      </c>
      <c r="CN156" s="46" t="n">
        <f aca="false">IF(Tasks[[#This Row],[_IsLeaf]]=1,MAX(N(Tasks[[#This Row],[Duration]]),0.1),0)</f>
        <v>0</v>
      </c>
      <c r="CO156" s="46" t="n">
        <f aca="false">Tasks[[#This Row],[_WeightDur]]*Tasks[[#This Row],[_LeafProgress]]</f>
        <v>0</v>
      </c>
      <c r="CP15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39"/>
      <c r="E157" s="40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7" s="31"/>
      <c r="AF15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7" s="40"/>
      <c r="AI157" s="31"/>
      <c r="AJ15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7" s="40"/>
      <c r="AO157" s="24" t="str">
        <f aca="false">IF(Tasks[[#This Row],[Task Name]]="","",Tasks[[#This Row],[Forecast Start]])</f>
        <v/>
      </c>
      <c r="AP157" s="24" t="str">
        <f aca="false">IF(Tasks[[#This Row],[Task Name]]="","",Tasks[[#This Row],[Forecast Finish]])</f>
        <v/>
      </c>
      <c r="AQ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7" s="42" t="str">
        <f aca="false">IF(Tasks[[#This Row],[Task Name]]="","",Tasks[[#This Row],[Work]])</f>
        <v/>
      </c>
      <c r="AS157" s="43" t="str">
        <f aca="false">IF(Tasks[[#This Row],[Task Name]]="","",Tasks[[#This Row],[Cost]])</f>
        <v/>
      </c>
      <c r="AT157" s="29"/>
      <c r="AU157" s="29"/>
      <c r="AV157" s="39"/>
      <c r="AW157" s="44"/>
      <c r="AX157" s="45"/>
      <c r="AY157" s="38" t="str">
        <f aca="false">IF(OR(Tasks[[#This Row],[Task Name]]="",Tasks[[#This Row],[Baseline Duration]]=""),"",Tasks[[#This Row],[BL Source Duration]]-N(Tasks[[#This Row],[Baseline Duration]]))</f>
        <v/>
      </c>
      <c r="AZ157" s="42" t="str">
        <f aca="false">IF(OR(Tasks[[#This Row],[Task Name]]="",Tasks[[#This Row],[Baseline Work]]=""),"",Tasks[[#This Row],[Work]]-N(Tasks[[#This Row],[Baseline Work]]))</f>
        <v/>
      </c>
      <c r="BA157" s="43" t="str">
        <f aca="false">IF(OR(Tasks[[#This Row],[Task Name]]="",Tasks[[#This Row],[Baseline Cost]]=""),"",Tasks[[#This Row],[Cost]]-N(Tasks[[#This Row],[Baseline Cost]]))</f>
        <v/>
      </c>
      <c r="BB157" s="46" t="str">
        <f aca="false">IF(Tasks[[#This Row],[Task Name]]="","",MAX(1,N(Tasks[[#This Row],[Level]])))</f>
        <v/>
      </c>
      <c r="BC157" s="46" t="n">
        <f aca="false">ROW()-ROW(Tasks[[#Headers],[ID]])</f>
        <v>152</v>
      </c>
      <c r="BD1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7" s="46" t="n">
        <f aca="false">IFERROR(N(INDEX(Tasks[_Level],Tasks[[#This Row],[_Row]]+1)),0)</f>
        <v>0</v>
      </c>
      <c r="BF157" s="47" t="b">
        <f aca="false">AND(Tasks[[#This Row],[Task Name]]&lt;&gt;"",Tasks[[#This Row],[_NextLevel]]&gt;Tasks[[#This Row],[_Level]])</f>
        <v>0</v>
      </c>
      <c r="BG157" s="46" t="n">
        <f aca="false">IF(Tasks[[#This Row],[_IsSummary]],COUNTIF(Tasks[WBS],Tasks[[#This Row],[WBS]]&amp;".*"),0)</f>
        <v>0</v>
      </c>
      <c r="BH157" s="46" t="n">
        <f aca="false">IF(AND(Tasks[[#This Row],[Task Name]]&lt;&gt;"",NOT(Tasks[[#This Row],[_IsSummary]])),1,0)</f>
        <v>0</v>
      </c>
      <c r="BI157" s="46" t="n">
        <f aca="false">IF(N(Tasks[[#This Row],[Pred1 UID]])=0,0,IFERROR(MATCH(Tasks[[#This Row],[Pred1 UID]],Tasks[UID],0),-1))</f>
        <v>0</v>
      </c>
      <c r="BJ157" s="46" t="n">
        <f aca="false">IF(N(Tasks[[#This Row],[Pred2 UID]])=0,0,IFERROR(MATCH(Tasks[[#This Row],[Pred2 UID]],Tasks[UID],0),-1))</f>
        <v>0</v>
      </c>
      <c r="BK15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7" s="46" t="n">
        <f aca="false">IF(NOT(Tasks[[#This Row],[_IsLeaf]]=1),0,IF(N(Tasks[[#This Row],[Actual Finish]])&gt;0,1,MIN(1,N(Tasks[[#This Row],[% Complete]]))))</f>
        <v>0</v>
      </c>
      <c r="BP15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7" s="46" t="n">
        <f aca="false">IF(Tasks[[#This Row],[_LeafWork]]=0,0,Tasks[[#This Row],[_LeafWork]]*IFERROR(INDEX(res_Rate,MATCH(Tasks[[#This Row],[Resource]],res_Name,0)),0))</f>
        <v>0</v>
      </c>
      <c r="BR15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7" s="46" t="n">
        <f aca="false">IF(NOT(Tasks[[#This Row],[_IsLeaf]]=1),0,MAX(_xlfn.MAXIFS(Tasks[_Row],Tasks[Pred1 UID],Tasks[[#This Row],[UID]]),_xlfn.MAXIFS(Tasks[_Row],Tasks[Pred2 UID],Tasks[[#This Row],[UID]])))</f>
        <v>0</v>
      </c>
      <c r="BW15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7" s="48" t="str">
        <f aca="false">IF(NOT(Tasks[[#This Row],[_IsLeaf]]=1),"",MIN(ProjectFinish,IF(N(Tasks[[#This Row],[Deadline]])&gt;0,Tasks[[#This Row],[Deadline]],2958465),Tasks[[#This Row],[_SuccessorFinishLimit]]))</f>
        <v/>
      </c>
      <c r="BY15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7" s="47" t="b">
        <f aca="false">AND(Tasks[[#This Row],[_IsLeaf]]=1,Tasks[[#This Row],[_LeafProgress]]&lt;1,N(Tasks[[#This Row],[_LeafTotalSlack]])&lt;=CriticalSlackDays)</f>
        <v>0</v>
      </c>
      <c r="CB15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7" s="46" t="n">
        <f aca="false">IF(AND(Tasks[[#This Row],[_IsLeaf]]=1,Tasks[[#This Row],[_LeafWork]]&gt;0),NETWORKDAYS.INTL(ProjectStart,Tasks[[#This Row],[_LeafFcstStart]],WorkWeek,Holidays),0)</f>
        <v>0</v>
      </c>
      <c r="CK15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7" s="46" t="n">
        <f aca="false">IF(AND(Tasks[[#This Row],[_IsLeaf]]=1,Tasks[[#This Row],[_LeafWork]]&gt;0),Tasks[[#This Row],[_LeafWork]]/(Tasks[[#This Row],[_FinishWorkday]]-Tasks[[#This Row],[_StartWorkday]]+1),0)</f>
        <v>0</v>
      </c>
      <c r="CM157" s="46" t="n">
        <f aca="false">Tasks[[#This Row],[_WorkPerWorkday]]*(Tasks[[#This Row],[_StartWorkday]]-1)</f>
        <v>-0</v>
      </c>
      <c r="CN157" s="46" t="n">
        <f aca="false">IF(Tasks[[#This Row],[_IsLeaf]]=1,MAX(N(Tasks[[#This Row],[Duration]]),0.1),0)</f>
        <v>0</v>
      </c>
      <c r="CO157" s="46" t="n">
        <f aca="false">Tasks[[#This Row],[_WeightDur]]*Tasks[[#This Row],[_LeafProgress]]</f>
        <v>0</v>
      </c>
      <c r="CP15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39"/>
      <c r="E158" s="40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8" s="31"/>
      <c r="AF15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8" s="40"/>
      <c r="AI158" s="31"/>
      <c r="AJ15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8" s="40"/>
      <c r="AO158" s="24" t="str">
        <f aca="false">IF(Tasks[[#This Row],[Task Name]]="","",Tasks[[#This Row],[Forecast Start]])</f>
        <v/>
      </c>
      <c r="AP158" s="24" t="str">
        <f aca="false">IF(Tasks[[#This Row],[Task Name]]="","",Tasks[[#This Row],[Forecast Finish]])</f>
        <v/>
      </c>
      <c r="AQ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8" s="42" t="str">
        <f aca="false">IF(Tasks[[#This Row],[Task Name]]="","",Tasks[[#This Row],[Work]])</f>
        <v/>
      </c>
      <c r="AS158" s="43" t="str">
        <f aca="false">IF(Tasks[[#This Row],[Task Name]]="","",Tasks[[#This Row],[Cost]])</f>
        <v/>
      </c>
      <c r="AT158" s="29"/>
      <c r="AU158" s="29"/>
      <c r="AV158" s="39"/>
      <c r="AW158" s="44"/>
      <c r="AX158" s="45"/>
      <c r="AY158" s="38" t="str">
        <f aca="false">IF(OR(Tasks[[#This Row],[Task Name]]="",Tasks[[#This Row],[Baseline Duration]]=""),"",Tasks[[#This Row],[BL Source Duration]]-N(Tasks[[#This Row],[Baseline Duration]]))</f>
        <v/>
      </c>
      <c r="AZ158" s="42" t="str">
        <f aca="false">IF(OR(Tasks[[#This Row],[Task Name]]="",Tasks[[#This Row],[Baseline Work]]=""),"",Tasks[[#This Row],[Work]]-N(Tasks[[#This Row],[Baseline Work]]))</f>
        <v/>
      </c>
      <c r="BA158" s="43" t="str">
        <f aca="false">IF(OR(Tasks[[#This Row],[Task Name]]="",Tasks[[#This Row],[Baseline Cost]]=""),"",Tasks[[#This Row],[Cost]]-N(Tasks[[#This Row],[Baseline Cost]]))</f>
        <v/>
      </c>
      <c r="BB158" s="46" t="str">
        <f aca="false">IF(Tasks[[#This Row],[Task Name]]="","",MAX(1,N(Tasks[[#This Row],[Level]])))</f>
        <v/>
      </c>
      <c r="BC158" s="46" t="n">
        <f aca="false">ROW()-ROW(Tasks[[#Headers],[ID]])</f>
        <v>153</v>
      </c>
      <c r="BD1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8" s="46" t="n">
        <f aca="false">IFERROR(N(INDEX(Tasks[_Level],Tasks[[#This Row],[_Row]]+1)),0)</f>
        <v>0</v>
      </c>
      <c r="BF158" s="47" t="b">
        <f aca="false">AND(Tasks[[#This Row],[Task Name]]&lt;&gt;"",Tasks[[#This Row],[_NextLevel]]&gt;Tasks[[#This Row],[_Level]])</f>
        <v>0</v>
      </c>
      <c r="BG158" s="46" t="n">
        <f aca="false">IF(Tasks[[#This Row],[_IsSummary]],COUNTIF(Tasks[WBS],Tasks[[#This Row],[WBS]]&amp;".*"),0)</f>
        <v>0</v>
      </c>
      <c r="BH158" s="46" t="n">
        <f aca="false">IF(AND(Tasks[[#This Row],[Task Name]]&lt;&gt;"",NOT(Tasks[[#This Row],[_IsSummary]])),1,0)</f>
        <v>0</v>
      </c>
      <c r="BI158" s="46" t="n">
        <f aca="false">IF(N(Tasks[[#This Row],[Pred1 UID]])=0,0,IFERROR(MATCH(Tasks[[#This Row],[Pred1 UID]],Tasks[UID],0),-1))</f>
        <v>0</v>
      </c>
      <c r="BJ158" s="46" t="n">
        <f aca="false">IF(N(Tasks[[#This Row],[Pred2 UID]])=0,0,IFERROR(MATCH(Tasks[[#This Row],[Pred2 UID]],Tasks[UID],0),-1))</f>
        <v>0</v>
      </c>
      <c r="BK15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8" s="46" t="n">
        <f aca="false">IF(NOT(Tasks[[#This Row],[_IsLeaf]]=1),0,IF(N(Tasks[[#This Row],[Actual Finish]])&gt;0,1,MIN(1,N(Tasks[[#This Row],[% Complete]]))))</f>
        <v>0</v>
      </c>
      <c r="BP15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8" s="46" t="n">
        <f aca="false">IF(Tasks[[#This Row],[_LeafWork]]=0,0,Tasks[[#This Row],[_LeafWork]]*IFERROR(INDEX(res_Rate,MATCH(Tasks[[#This Row],[Resource]],res_Name,0)),0))</f>
        <v>0</v>
      </c>
      <c r="BR15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8" s="46" t="n">
        <f aca="false">IF(NOT(Tasks[[#This Row],[_IsLeaf]]=1),0,MAX(_xlfn.MAXIFS(Tasks[_Row],Tasks[Pred1 UID],Tasks[[#This Row],[UID]]),_xlfn.MAXIFS(Tasks[_Row],Tasks[Pred2 UID],Tasks[[#This Row],[UID]])))</f>
        <v>0</v>
      </c>
      <c r="BW15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8" s="48" t="str">
        <f aca="false">IF(NOT(Tasks[[#This Row],[_IsLeaf]]=1),"",MIN(ProjectFinish,IF(N(Tasks[[#This Row],[Deadline]])&gt;0,Tasks[[#This Row],[Deadline]],2958465),Tasks[[#This Row],[_SuccessorFinishLimit]]))</f>
        <v/>
      </c>
      <c r="BY15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8" s="47" t="b">
        <f aca="false">AND(Tasks[[#This Row],[_IsLeaf]]=1,Tasks[[#This Row],[_LeafProgress]]&lt;1,N(Tasks[[#This Row],[_LeafTotalSlack]])&lt;=CriticalSlackDays)</f>
        <v>0</v>
      </c>
      <c r="CB15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8" s="46" t="n">
        <f aca="false">IF(AND(Tasks[[#This Row],[_IsLeaf]]=1,Tasks[[#This Row],[_LeafWork]]&gt;0),NETWORKDAYS.INTL(ProjectStart,Tasks[[#This Row],[_LeafFcstStart]],WorkWeek,Holidays),0)</f>
        <v>0</v>
      </c>
      <c r="CK15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8" s="46" t="n">
        <f aca="false">IF(AND(Tasks[[#This Row],[_IsLeaf]]=1,Tasks[[#This Row],[_LeafWork]]&gt;0),Tasks[[#This Row],[_LeafWork]]/(Tasks[[#This Row],[_FinishWorkday]]-Tasks[[#This Row],[_StartWorkday]]+1),0)</f>
        <v>0</v>
      </c>
      <c r="CM158" s="46" t="n">
        <f aca="false">Tasks[[#This Row],[_WorkPerWorkday]]*(Tasks[[#This Row],[_StartWorkday]]-1)</f>
        <v>-0</v>
      </c>
      <c r="CN158" s="46" t="n">
        <f aca="false">IF(Tasks[[#This Row],[_IsLeaf]]=1,MAX(N(Tasks[[#This Row],[Duration]]),0.1),0)</f>
        <v>0</v>
      </c>
      <c r="CO158" s="46" t="n">
        <f aca="false">Tasks[[#This Row],[_WeightDur]]*Tasks[[#This Row],[_LeafProgress]]</f>
        <v>0</v>
      </c>
      <c r="CP15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39"/>
      <c r="E159" s="40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9" s="31"/>
      <c r="AF15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9" s="40"/>
      <c r="AI159" s="31"/>
      <c r="AJ15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9" s="40"/>
      <c r="AO159" s="24" t="str">
        <f aca="false">IF(Tasks[[#This Row],[Task Name]]="","",Tasks[[#This Row],[Forecast Start]])</f>
        <v/>
      </c>
      <c r="AP159" s="24" t="str">
        <f aca="false">IF(Tasks[[#This Row],[Task Name]]="","",Tasks[[#This Row],[Forecast Finish]])</f>
        <v/>
      </c>
      <c r="AQ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9" s="42" t="str">
        <f aca="false">IF(Tasks[[#This Row],[Task Name]]="","",Tasks[[#This Row],[Work]])</f>
        <v/>
      </c>
      <c r="AS159" s="43" t="str">
        <f aca="false">IF(Tasks[[#This Row],[Task Name]]="","",Tasks[[#This Row],[Cost]])</f>
        <v/>
      </c>
      <c r="AT159" s="29"/>
      <c r="AU159" s="29"/>
      <c r="AV159" s="39"/>
      <c r="AW159" s="44"/>
      <c r="AX159" s="45"/>
      <c r="AY159" s="38" t="str">
        <f aca="false">IF(OR(Tasks[[#This Row],[Task Name]]="",Tasks[[#This Row],[Baseline Duration]]=""),"",Tasks[[#This Row],[BL Source Duration]]-N(Tasks[[#This Row],[Baseline Duration]]))</f>
        <v/>
      </c>
      <c r="AZ159" s="42" t="str">
        <f aca="false">IF(OR(Tasks[[#This Row],[Task Name]]="",Tasks[[#This Row],[Baseline Work]]=""),"",Tasks[[#This Row],[Work]]-N(Tasks[[#This Row],[Baseline Work]]))</f>
        <v/>
      </c>
      <c r="BA159" s="43" t="str">
        <f aca="false">IF(OR(Tasks[[#This Row],[Task Name]]="",Tasks[[#This Row],[Baseline Cost]]=""),"",Tasks[[#This Row],[Cost]]-N(Tasks[[#This Row],[Baseline Cost]]))</f>
        <v/>
      </c>
      <c r="BB159" s="46" t="str">
        <f aca="false">IF(Tasks[[#This Row],[Task Name]]="","",MAX(1,N(Tasks[[#This Row],[Level]])))</f>
        <v/>
      </c>
      <c r="BC159" s="46" t="n">
        <f aca="false">ROW()-ROW(Tasks[[#Headers],[ID]])</f>
        <v>154</v>
      </c>
      <c r="BD1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9" s="46" t="n">
        <f aca="false">IFERROR(N(INDEX(Tasks[_Level],Tasks[[#This Row],[_Row]]+1)),0)</f>
        <v>0</v>
      </c>
      <c r="BF159" s="47" t="b">
        <f aca="false">AND(Tasks[[#This Row],[Task Name]]&lt;&gt;"",Tasks[[#This Row],[_NextLevel]]&gt;Tasks[[#This Row],[_Level]])</f>
        <v>0</v>
      </c>
      <c r="BG159" s="46" t="n">
        <f aca="false">IF(Tasks[[#This Row],[_IsSummary]],COUNTIF(Tasks[WBS],Tasks[[#This Row],[WBS]]&amp;".*"),0)</f>
        <v>0</v>
      </c>
      <c r="BH159" s="46" t="n">
        <f aca="false">IF(AND(Tasks[[#This Row],[Task Name]]&lt;&gt;"",NOT(Tasks[[#This Row],[_IsSummary]])),1,0)</f>
        <v>0</v>
      </c>
      <c r="BI159" s="46" t="n">
        <f aca="false">IF(N(Tasks[[#This Row],[Pred1 UID]])=0,0,IFERROR(MATCH(Tasks[[#This Row],[Pred1 UID]],Tasks[UID],0),-1))</f>
        <v>0</v>
      </c>
      <c r="BJ159" s="46" t="n">
        <f aca="false">IF(N(Tasks[[#This Row],[Pred2 UID]])=0,0,IFERROR(MATCH(Tasks[[#This Row],[Pred2 UID]],Tasks[UID],0),-1))</f>
        <v>0</v>
      </c>
      <c r="BK15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9" s="46" t="n">
        <f aca="false">IF(NOT(Tasks[[#This Row],[_IsLeaf]]=1),0,IF(N(Tasks[[#This Row],[Actual Finish]])&gt;0,1,MIN(1,N(Tasks[[#This Row],[% Complete]]))))</f>
        <v>0</v>
      </c>
      <c r="BP15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59" s="46" t="n">
        <f aca="false">IF(Tasks[[#This Row],[_LeafWork]]=0,0,Tasks[[#This Row],[_LeafWork]]*IFERROR(INDEX(res_Rate,MATCH(Tasks[[#This Row],[Resource]],res_Name,0)),0))</f>
        <v>0</v>
      </c>
      <c r="BR15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9" s="46" t="n">
        <f aca="false">IF(NOT(Tasks[[#This Row],[_IsLeaf]]=1),0,MAX(_xlfn.MAXIFS(Tasks[_Row],Tasks[Pred1 UID],Tasks[[#This Row],[UID]]),_xlfn.MAXIFS(Tasks[_Row],Tasks[Pred2 UID],Tasks[[#This Row],[UID]])))</f>
        <v>0</v>
      </c>
      <c r="BW15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9" s="48" t="str">
        <f aca="false">IF(NOT(Tasks[[#This Row],[_IsLeaf]]=1),"",MIN(ProjectFinish,IF(N(Tasks[[#This Row],[Deadline]])&gt;0,Tasks[[#This Row],[Deadline]],2958465),Tasks[[#This Row],[_SuccessorFinishLimit]]))</f>
        <v/>
      </c>
      <c r="BY15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9" s="47" t="b">
        <f aca="false">AND(Tasks[[#This Row],[_IsLeaf]]=1,Tasks[[#This Row],[_LeafProgress]]&lt;1,N(Tasks[[#This Row],[_LeafTotalSlack]])&lt;=CriticalSlackDays)</f>
        <v>0</v>
      </c>
      <c r="CB15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9" s="46" t="n">
        <f aca="false">IF(AND(Tasks[[#This Row],[_IsLeaf]]=1,Tasks[[#This Row],[_LeafWork]]&gt;0),NETWORKDAYS.INTL(ProjectStart,Tasks[[#This Row],[_LeafFcstStart]],WorkWeek,Holidays),0)</f>
        <v>0</v>
      </c>
      <c r="CK15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9" s="46" t="n">
        <f aca="false">IF(AND(Tasks[[#This Row],[_IsLeaf]]=1,Tasks[[#This Row],[_LeafWork]]&gt;0),Tasks[[#This Row],[_LeafWork]]/(Tasks[[#This Row],[_FinishWorkday]]-Tasks[[#This Row],[_StartWorkday]]+1),0)</f>
        <v>0</v>
      </c>
      <c r="CM159" s="46" t="n">
        <f aca="false">Tasks[[#This Row],[_WorkPerWorkday]]*(Tasks[[#This Row],[_StartWorkday]]-1)</f>
        <v>-0</v>
      </c>
      <c r="CN159" s="46" t="n">
        <f aca="false">IF(Tasks[[#This Row],[_IsLeaf]]=1,MAX(N(Tasks[[#This Row],[Duration]]),0.1),0)</f>
        <v>0</v>
      </c>
      <c r="CO159" s="46" t="n">
        <f aca="false">Tasks[[#This Row],[_WeightDur]]*Tasks[[#This Row],[_LeafProgress]]</f>
        <v>0</v>
      </c>
      <c r="CP15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39"/>
      <c r="E160" s="40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0" s="31"/>
      <c r="AF16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0" s="40"/>
      <c r="AI160" s="31"/>
      <c r="AJ16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0" s="40"/>
      <c r="AO160" s="24" t="str">
        <f aca="false">IF(Tasks[[#This Row],[Task Name]]="","",Tasks[[#This Row],[Forecast Start]])</f>
        <v/>
      </c>
      <c r="AP160" s="24" t="str">
        <f aca="false">IF(Tasks[[#This Row],[Task Name]]="","",Tasks[[#This Row],[Forecast Finish]])</f>
        <v/>
      </c>
      <c r="AQ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0" s="42" t="str">
        <f aca="false">IF(Tasks[[#This Row],[Task Name]]="","",Tasks[[#This Row],[Work]])</f>
        <v/>
      </c>
      <c r="AS160" s="43" t="str">
        <f aca="false">IF(Tasks[[#This Row],[Task Name]]="","",Tasks[[#This Row],[Cost]])</f>
        <v/>
      </c>
      <c r="AT160" s="29"/>
      <c r="AU160" s="29"/>
      <c r="AV160" s="39"/>
      <c r="AW160" s="44"/>
      <c r="AX160" s="45"/>
      <c r="AY160" s="38" t="str">
        <f aca="false">IF(OR(Tasks[[#This Row],[Task Name]]="",Tasks[[#This Row],[Baseline Duration]]=""),"",Tasks[[#This Row],[BL Source Duration]]-N(Tasks[[#This Row],[Baseline Duration]]))</f>
        <v/>
      </c>
      <c r="AZ160" s="42" t="str">
        <f aca="false">IF(OR(Tasks[[#This Row],[Task Name]]="",Tasks[[#This Row],[Baseline Work]]=""),"",Tasks[[#This Row],[Work]]-N(Tasks[[#This Row],[Baseline Work]]))</f>
        <v/>
      </c>
      <c r="BA160" s="43" t="str">
        <f aca="false">IF(OR(Tasks[[#This Row],[Task Name]]="",Tasks[[#This Row],[Baseline Cost]]=""),"",Tasks[[#This Row],[Cost]]-N(Tasks[[#This Row],[Baseline Cost]]))</f>
        <v/>
      </c>
      <c r="BB160" s="46" t="str">
        <f aca="false">IF(Tasks[[#This Row],[Task Name]]="","",MAX(1,N(Tasks[[#This Row],[Level]])))</f>
        <v/>
      </c>
      <c r="BC160" s="46" t="n">
        <f aca="false">ROW()-ROW(Tasks[[#Headers],[ID]])</f>
        <v>155</v>
      </c>
      <c r="BD1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0" s="46" t="n">
        <f aca="false">IFERROR(N(INDEX(Tasks[_Level],Tasks[[#This Row],[_Row]]+1)),0)</f>
        <v>0</v>
      </c>
      <c r="BF160" s="47" t="b">
        <f aca="false">AND(Tasks[[#This Row],[Task Name]]&lt;&gt;"",Tasks[[#This Row],[_NextLevel]]&gt;Tasks[[#This Row],[_Level]])</f>
        <v>0</v>
      </c>
      <c r="BG160" s="46" t="n">
        <f aca="false">IF(Tasks[[#This Row],[_IsSummary]],COUNTIF(Tasks[WBS],Tasks[[#This Row],[WBS]]&amp;".*"),0)</f>
        <v>0</v>
      </c>
      <c r="BH160" s="46" t="n">
        <f aca="false">IF(AND(Tasks[[#This Row],[Task Name]]&lt;&gt;"",NOT(Tasks[[#This Row],[_IsSummary]])),1,0)</f>
        <v>0</v>
      </c>
      <c r="BI160" s="46" t="n">
        <f aca="false">IF(N(Tasks[[#This Row],[Pred1 UID]])=0,0,IFERROR(MATCH(Tasks[[#This Row],[Pred1 UID]],Tasks[UID],0),-1))</f>
        <v>0</v>
      </c>
      <c r="BJ160" s="46" t="n">
        <f aca="false">IF(N(Tasks[[#This Row],[Pred2 UID]])=0,0,IFERROR(MATCH(Tasks[[#This Row],[Pred2 UID]],Tasks[UID],0),-1))</f>
        <v>0</v>
      </c>
      <c r="BK16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0" s="46" t="n">
        <f aca="false">IF(NOT(Tasks[[#This Row],[_IsLeaf]]=1),0,IF(N(Tasks[[#This Row],[Actual Finish]])&gt;0,1,MIN(1,N(Tasks[[#This Row],[% Complete]]))))</f>
        <v>0</v>
      </c>
      <c r="BP16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0" s="46" t="n">
        <f aca="false">IF(Tasks[[#This Row],[_LeafWork]]=0,0,Tasks[[#This Row],[_LeafWork]]*IFERROR(INDEX(res_Rate,MATCH(Tasks[[#This Row],[Resource]],res_Name,0)),0))</f>
        <v>0</v>
      </c>
      <c r="BR16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0" s="46" t="n">
        <f aca="false">IF(NOT(Tasks[[#This Row],[_IsLeaf]]=1),0,MAX(_xlfn.MAXIFS(Tasks[_Row],Tasks[Pred1 UID],Tasks[[#This Row],[UID]]),_xlfn.MAXIFS(Tasks[_Row],Tasks[Pred2 UID],Tasks[[#This Row],[UID]])))</f>
        <v>0</v>
      </c>
      <c r="BW16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0" s="48" t="str">
        <f aca="false">IF(NOT(Tasks[[#This Row],[_IsLeaf]]=1),"",MIN(ProjectFinish,IF(N(Tasks[[#This Row],[Deadline]])&gt;0,Tasks[[#This Row],[Deadline]],2958465),Tasks[[#This Row],[_SuccessorFinishLimit]]))</f>
        <v/>
      </c>
      <c r="BY16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0" s="47" t="b">
        <f aca="false">AND(Tasks[[#This Row],[_IsLeaf]]=1,Tasks[[#This Row],[_LeafProgress]]&lt;1,N(Tasks[[#This Row],[_LeafTotalSlack]])&lt;=CriticalSlackDays)</f>
        <v>0</v>
      </c>
      <c r="CB16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0" s="46" t="n">
        <f aca="false">IF(AND(Tasks[[#This Row],[_IsLeaf]]=1,Tasks[[#This Row],[_LeafWork]]&gt;0),NETWORKDAYS.INTL(ProjectStart,Tasks[[#This Row],[_LeafFcstStart]],WorkWeek,Holidays),0)</f>
        <v>0</v>
      </c>
      <c r="CK16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0" s="46" t="n">
        <f aca="false">IF(AND(Tasks[[#This Row],[_IsLeaf]]=1,Tasks[[#This Row],[_LeafWork]]&gt;0),Tasks[[#This Row],[_LeafWork]]/(Tasks[[#This Row],[_FinishWorkday]]-Tasks[[#This Row],[_StartWorkday]]+1),0)</f>
        <v>0</v>
      </c>
      <c r="CM160" s="46" t="n">
        <f aca="false">Tasks[[#This Row],[_WorkPerWorkday]]*(Tasks[[#This Row],[_StartWorkday]]-1)</f>
        <v>-0</v>
      </c>
      <c r="CN160" s="46" t="n">
        <f aca="false">IF(Tasks[[#This Row],[_IsLeaf]]=1,MAX(N(Tasks[[#This Row],[Duration]]),0.1),0)</f>
        <v>0</v>
      </c>
      <c r="CO160" s="46" t="n">
        <f aca="false">Tasks[[#This Row],[_WeightDur]]*Tasks[[#This Row],[_LeafProgress]]</f>
        <v>0</v>
      </c>
      <c r="CP16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39"/>
      <c r="E161" s="40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1" s="31"/>
      <c r="AF16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1" s="40"/>
      <c r="AI161" s="31"/>
      <c r="AJ16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1" s="40"/>
      <c r="AO161" s="24" t="str">
        <f aca="false">IF(Tasks[[#This Row],[Task Name]]="","",Tasks[[#This Row],[Forecast Start]])</f>
        <v/>
      </c>
      <c r="AP161" s="24" t="str">
        <f aca="false">IF(Tasks[[#This Row],[Task Name]]="","",Tasks[[#This Row],[Forecast Finish]])</f>
        <v/>
      </c>
      <c r="AQ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1" s="42" t="str">
        <f aca="false">IF(Tasks[[#This Row],[Task Name]]="","",Tasks[[#This Row],[Work]])</f>
        <v/>
      </c>
      <c r="AS161" s="43" t="str">
        <f aca="false">IF(Tasks[[#This Row],[Task Name]]="","",Tasks[[#This Row],[Cost]])</f>
        <v/>
      </c>
      <c r="AT161" s="29"/>
      <c r="AU161" s="29"/>
      <c r="AV161" s="39"/>
      <c r="AW161" s="44"/>
      <c r="AX161" s="45"/>
      <c r="AY161" s="38" t="str">
        <f aca="false">IF(OR(Tasks[[#This Row],[Task Name]]="",Tasks[[#This Row],[Baseline Duration]]=""),"",Tasks[[#This Row],[BL Source Duration]]-N(Tasks[[#This Row],[Baseline Duration]]))</f>
        <v/>
      </c>
      <c r="AZ161" s="42" t="str">
        <f aca="false">IF(OR(Tasks[[#This Row],[Task Name]]="",Tasks[[#This Row],[Baseline Work]]=""),"",Tasks[[#This Row],[Work]]-N(Tasks[[#This Row],[Baseline Work]]))</f>
        <v/>
      </c>
      <c r="BA161" s="43" t="str">
        <f aca="false">IF(OR(Tasks[[#This Row],[Task Name]]="",Tasks[[#This Row],[Baseline Cost]]=""),"",Tasks[[#This Row],[Cost]]-N(Tasks[[#This Row],[Baseline Cost]]))</f>
        <v/>
      </c>
      <c r="BB161" s="46" t="str">
        <f aca="false">IF(Tasks[[#This Row],[Task Name]]="","",MAX(1,N(Tasks[[#This Row],[Level]])))</f>
        <v/>
      </c>
      <c r="BC161" s="46" t="n">
        <f aca="false">ROW()-ROW(Tasks[[#Headers],[ID]])</f>
        <v>156</v>
      </c>
      <c r="BD1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1" s="46" t="n">
        <f aca="false">IFERROR(N(INDEX(Tasks[_Level],Tasks[[#This Row],[_Row]]+1)),0)</f>
        <v>0</v>
      </c>
      <c r="BF161" s="47" t="b">
        <f aca="false">AND(Tasks[[#This Row],[Task Name]]&lt;&gt;"",Tasks[[#This Row],[_NextLevel]]&gt;Tasks[[#This Row],[_Level]])</f>
        <v>0</v>
      </c>
      <c r="BG161" s="46" t="n">
        <f aca="false">IF(Tasks[[#This Row],[_IsSummary]],COUNTIF(Tasks[WBS],Tasks[[#This Row],[WBS]]&amp;".*"),0)</f>
        <v>0</v>
      </c>
      <c r="BH161" s="46" t="n">
        <f aca="false">IF(AND(Tasks[[#This Row],[Task Name]]&lt;&gt;"",NOT(Tasks[[#This Row],[_IsSummary]])),1,0)</f>
        <v>0</v>
      </c>
      <c r="BI161" s="46" t="n">
        <f aca="false">IF(N(Tasks[[#This Row],[Pred1 UID]])=0,0,IFERROR(MATCH(Tasks[[#This Row],[Pred1 UID]],Tasks[UID],0),-1))</f>
        <v>0</v>
      </c>
      <c r="BJ161" s="46" t="n">
        <f aca="false">IF(N(Tasks[[#This Row],[Pred2 UID]])=0,0,IFERROR(MATCH(Tasks[[#This Row],[Pred2 UID]],Tasks[UID],0),-1))</f>
        <v>0</v>
      </c>
      <c r="BK16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1" s="46" t="n">
        <f aca="false">IF(NOT(Tasks[[#This Row],[_IsLeaf]]=1),0,IF(N(Tasks[[#This Row],[Actual Finish]])&gt;0,1,MIN(1,N(Tasks[[#This Row],[% Complete]]))))</f>
        <v>0</v>
      </c>
      <c r="BP16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1" s="46" t="n">
        <f aca="false">IF(Tasks[[#This Row],[_LeafWork]]=0,0,Tasks[[#This Row],[_LeafWork]]*IFERROR(INDEX(res_Rate,MATCH(Tasks[[#This Row],[Resource]],res_Name,0)),0))</f>
        <v>0</v>
      </c>
      <c r="BR16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1" s="46" t="n">
        <f aca="false">IF(NOT(Tasks[[#This Row],[_IsLeaf]]=1),0,MAX(_xlfn.MAXIFS(Tasks[_Row],Tasks[Pred1 UID],Tasks[[#This Row],[UID]]),_xlfn.MAXIFS(Tasks[_Row],Tasks[Pred2 UID],Tasks[[#This Row],[UID]])))</f>
        <v>0</v>
      </c>
      <c r="BW16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1" s="48" t="str">
        <f aca="false">IF(NOT(Tasks[[#This Row],[_IsLeaf]]=1),"",MIN(ProjectFinish,IF(N(Tasks[[#This Row],[Deadline]])&gt;0,Tasks[[#This Row],[Deadline]],2958465),Tasks[[#This Row],[_SuccessorFinishLimit]]))</f>
        <v/>
      </c>
      <c r="BY16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1" s="47" t="b">
        <f aca="false">AND(Tasks[[#This Row],[_IsLeaf]]=1,Tasks[[#This Row],[_LeafProgress]]&lt;1,N(Tasks[[#This Row],[_LeafTotalSlack]])&lt;=CriticalSlackDays)</f>
        <v>0</v>
      </c>
      <c r="CB16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1" s="46" t="n">
        <f aca="false">IF(AND(Tasks[[#This Row],[_IsLeaf]]=1,Tasks[[#This Row],[_LeafWork]]&gt;0),NETWORKDAYS.INTL(ProjectStart,Tasks[[#This Row],[_LeafFcstStart]],WorkWeek,Holidays),0)</f>
        <v>0</v>
      </c>
      <c r="CK16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1" s="46" t="n">
        <f aca="false">IF(AND(Tasks[[#This Row],[_IsLeaf]]=1,Tasks[[#This Row],[_LeafWork]]&gt;0),Tasks[[#This Row],[_LeafWork]]/(Tasks[[#This Row],[_FinishWorkday]]-Tasks[[#This Row],[_StartWorkday]]+1),0)</f>
        <v>0</v>
      </c>
      <c r="CM161" s="46" t="n">
        <f aca="false">Tasks[[#This Row],[_WorkPerWorkday]]*(Tasks[[#This Row],[_StartWorkday]]-1)</f>
        <v>-0</v>
      </c>
      <c r="CN161" s="46" t="n">
        <f aca="false">IF(Tasks[[#This Row],[_IsLeaf]]=1,MAX(N(Tasks[[#This Row],[Duration]]),0.1),0)</f>
        <v>0</v>
      </c>
      <c r="CO161" s="46" t="n">
        <f aca="false">Tasks[[#This Row],[_WeightDur]]*Tasks[[#This Row],[_LeafProgress]]</f>
        <v>0</v>
      </c>
      <c r="CP16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39"/>
      <c r="E162" s="40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2" s="31"/>
      <c r="AF16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2" s="40"/>
      <c r="AI162" s="31"/>
      <c r="AJ16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2" s="40"/>
      <c r="AO162" s="24" t="str">
        <f aca="false">IF(Tasks[[#This Row],[Task Name]]="","",Tasks[[#This Row],[Forecast Start]])</f>
        <v/>
      </c>
      <c r="AP162" s="24" t="str">
        <f aca="false">IF(Tasks[[#This Row],[Task Name]]="","",Tasks[[#This Row],[Forecast Finish]])</f>
        <v/>
      </c>
      <c r="AQ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2" s="42" t="str">
        <f aca="false">IF(Tasks[[#This Row],[Task Name]]="","",Tasks[[#This Row],[Work]])</f>
        <v/>
      </c>
      <c r="AS162" s="43" t="str">
        <f aca="false">IF(Tasks[[#This Row],[Task Name]]="","",Tasks[[#This Row],[Cost]])</f>
        <v/>
      </c>
      <c r="AT162" s="29"/>
      <c r="AU162" s="29"/>
      <c r="AV162" s="39"/>
      <c r="AW162" s="44"/>
      <c r="AX162" s="45"/>
      <c r="AY162" s="38" t="str">
        <f aca="false">IF(OR(Tasks[[#This Row],[Task Name]]="",Tasks[[#This Row],[Baseline Duration]]=""),"",Tasks[[#This Row],[BL Source Duration]]-N(Tasks[[#This Row],[Baseline Duration]]))</f>
        <v/>
      </c>
      <c r="AZ162" s="42" t="str">
        <f aca="false">IF(OR(Tasks[[#This Row],[Task Name]]="",Tasks[[#This Row],[Baseline Work]]=""),"",Tasks[[#This Row],[Work]]-N(Tasks[[#This Row],[Baseline Work]]))</f>
        <v/>
      </c>
      <c r="BA162" s="43" t="str">
        <f aca="false">IF(OR(Tasks[[#This Row],[Task Name]]="",Tasks[[#This Row],[Baseline Cost]]=""),"",Tasks[[#This Row],[Cost]]-N(Tasks[[#This Row],[Baseline Cost]]))</f>
        <v/>
      </c>
      <c r="BB162" s="46" t="str">
        <f aca="false">IF(Tasks[[#This Row],[Task Name]]="","",MAX(1,N(Tasks[[#This Row],[Level]])))</f>
        <v/>
      </c>
      <c r="BC162" s="46" t="n">
        <f aca="false">ROW()-ROW(Tasks[[#Headers],[ID]])</f>
        <v>157</v>
      </c>
      <c r="BD1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2" s="46" t="n">
        <f aca="false">IFERROR(N(INDEX(Tasks[_Level],Tasks[[#This Row],[_Row]]+1)),0)</f>
        <v>0</v>
      </c>
      <c r="BF162" s="47" t="b">
        <f aca="false">AND(Tasks[[#This Row],[Task Name]]&lt;&gt;"",Tasks[[#This Row],[_NextLevel]]&gt;Tasks[[#This Row],[_Level]])</f>
        <v>0</v>
      </c>
      <c r="BG162" s="46" t="n">
        <f aca="false">IF(Tasks[[#This Row],[_IsSummary]],COUNTIF(Tasks[WBS],Tasks[[#This Row],[WBS]]&amp;".*"),0)</f>
        <v>0</v>
      </c>
      <c r="BH162" s="46" t="n">
        <f aca="false">IF(AND(Tasks[[#This Row],[Task Name]]&lt;&gt;"",NOT(Tasks[[#This Row],[_IsSummary]])),1,0)</f>
        <v>0</v>
      </c>
      <c r="BI162" s="46" t="n">
        <f aca="false">IF(N(Tasks[[#This Row],[Pred1 UID]])=0,0,IFERROR(MATCH(Tasks[[#This Row],[Pred1 UID]],Tasks[UID],0),-1))</f>
        <v>0</v>
      </c>
      <c r="BJ162" s="46" t="n">
        <f aca="false">IF(N(Tasks[[#This Row],[Pred2 UID]])=0,0,IFERROR(MATCH(Tasks[[#This Row],[Pred2 UID]],Tasks[UID],0),-1))</f>
        <v>0</v>
      </c>
      <c r="BK16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2" s="46" t="n">
        <f aca="false">IF(NOT(Tasks[[#This Row],[_IsLeaf]]=1),0,IF(N(Tasks[[#This Row],[Actual Finish]])&gt;0,1,MIN(1,N(Tasks[[#This Row],[% Complete]]))))</f>
        <v>0</v>
      </c>
      <c r="BP16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2" s="46" t="n">
        <f aca="false">IF(Tasks[[#This Row],[_LeafWork]]=0,0,Tasks[[#This Row],[_LeafWork]]*IFERROR(INDEX(res_Rate,MATCH(Tasks[[#This Row],[Resource]],res_Name,0)),0))</f>
        <v>0</v>
      </c>
      <c r="BR16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2" s="46" t="n">
        <f aca="false">IF(NOT(Tasks[[#This Row],[_IsLeaf]]=1),0,MAX(_xlfn.MAXIFS(Tasks[_Row],Tasks[Pred1 UID],Tasks[[#This Row],[UID]]),_xlfn.MAXIFS(Tasks[_Row],Tasks[Pred2 UID],Tasks[[#This Row],[UID]])))</f>
        <v>0</v>
      </c>
      <c r="BW16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2" s="48" t="str">
        <f aca="false">IF(NOT(Tasks[[#This Row],[_IsLeaf]]=1),"",MIN(ProjectFinish,IF(N(Tasks[[#This Row],[Deadline]])&gt;0,Tasks[[#This Row],[Deadline]],2958465),Tasks[[#This Row],[_SuccessorFinishLimit]]))</f>
        <v/>
      </c>
      <c r="BY16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2" s="47" t="b">
        <f aca="false">AND(Tasks[[#This Row],[_IsLeaf]]=1,Tasks[[#This Row],[_LeafProgress]]&lt;1,N(Tasks[[#This Row],[_LeafTotalSlack]])&lt;=CriticalSlackDays)</f>
        <v>0</v>
      </c>
      <c r="CB16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2" s="46" t="n">
        <f aca="false">IF(AND(Tasks[[#This Row],[_IsLeaf]]=1,Tasks[[#This Row],[_LeafWork]]&gt;0),NETWORKDAYS.INTL(ProjectStart,Tasks[[#This Row],[_LeafFcstStart]],WorkWeek,Holidays),0)</f>
        <v>0</v>
      </c>
      <c r="CK16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2" s="46" t="n">
        <f aca="false">IF(AND(Tasks[[#This Row],[_IsLeaf]]=1,Tasks[[#This Row],[_LeafWork]]&gt;0),Tasks[[#This Row],[_LeafWork]]/(Tasks[[#This Row],[_FinishWorkday]]-Tasks[[#This Row],[_StartWorkday]]+1),0)</f>
        <v>0</v>
      </c>
      <c r="CM162" s="46" t="n">
        <f aca="false">Tasks[[#This Row],[_WorkPerWorkday]]*(Tasks[[#This Row],[_StartWorkday]]-1)</f>
        <v>-0</v>
      </c>
      <c r="CN162" s="46" t="n">
        <f aca="false">IF(Tasks[[#This Row],[_IsLeaf]]=1,MAX(N(Tasks[[#This Row],[Duration]]),0.1),0)</f>
        <v>0</v>
      </c>
      <c r="CO162" s="46" t="n">
        <f aca="false">Tasks[[#This Row],[_WeightDur]]*Tasks[[#This Row],[_LeafProgress]]</f>
        <v>0</v>
      </c>
      <c r="CP16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39"/>
      <c r="E163" s="40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3" s="31"/>
      <c r="AF16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3" s="40"/>
      <c r="AI163" s="31"/>
      <c r="AJ16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3" s="40"/>
      <c r="AO163" s="24" t="str">
        <f aca="false">IF(Tasks[[#This Row],[Task Name]]="","",Tasks[[#This Row],[Forecast Start]])</f>
        <v/>
      </c>
      <c r="AP163" s="24" t="str">
        <f aca="false">IF(Tasks[[#This Row],[Task Name]]="","",Tasks[[#This Row],[Forecast Finish]])</f>
        <v/>
      </c>
      <c r="AQ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3" s="42" t="str">
        <f aca="false">IF(Tasks[[#This Row],[Task Name]]="","",Tasks[[#This Row],[Work]])</f>
        <v/>
      </c>
      <c r="AS163" s="43" t="str">
        <f aca="false">IF(Tasks[[#This Row],[Task Name]]="","",Tasks[[#This Row],[Cost]])</f>
        <v/>
      </c>
      <c r="AT163" s="29"/>
      <c r="AU163" s="29"/>
      <c r="AV163" s="39"/>
      <c r="AW163" s="44"/>
      <c r="AX163" s="45"/>
      <c r="AY163" s="38" t="str">
        <f aca="false">IF(OR(Tasks[[#This Row],[Task Name]]="",Tasks[[#This Row],[Baseline Duration]]=""),"",Tasks[[#This Row],[BL Source Duration]]-N(Tasks[[#This Row],[Baseline Duration]]))</f>
        <v/>
      </c>
      <c r="AZ163" s="42" t="str">
        <f aca="false">IF(OR(Tasks[[#This Row],[Task Name]]="",Tasks[[#This Row],[Baseline Work]]=""),"",Tasks[[#This Row],[Work]]-N(Tasks[[#This Row],[Baseline Work]]))</f>
        <v/>
      </c>
      <c r="BA163" s="43" t="str">
        <f aca="false">IF(OR(Tasks[[#This Row],[Task Name]]="",Tasks[[#This Row],[Baseline Cost]]=""),"",Tasks[[#This Row],[Cost]]-N(Tasks[[#This Row],[Baseline Cost]]))</f>
        <v/>
      </c>
      <c r="BB163" s="46" t="str">
        <f aca="false">IF(Tasks[[#This Row],[Task Name]]="","",MAX(1,N(Tasks[[#This Row],[Level]])))</f>
        <v/>
      </c>
      <c r="BC163" s="46" t="n">
        <f aca="false">ROW()-ROW(Tasks[[#Headers],[ID]])</f>
        <v>158</v>
      </c>
      <c r="BD1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3" s="46" t="n">
        <f aca="false">IFERROR(N(INDEX(Tasks[_Level],Tasks[[#This Row],[_Row]]+1)),0)</f>
        <v>0</v>
      </c>
      <c r="BF163" s="47" t="b">
        <f aca="false">AND(Tasks[[#This Row],[Task Name]]&lt;&gt;"",Tasks[[#This Row],[_NextLevel]]&gt;Tasks[[#This Row],[_Level]])</f>
        <v>0</v>
      </c>
      <c r="BG163" s="46" t="n">
        <f aca="false">IF(Tasks[[#This Row],[_IsSummary]],COUNTIF(Tasks[WBS],Tasks[[#This Row],[WBS]]&amp;".*"),0)</f>
        <v>0</v>
      </c>
      <c r="BH163" s="46" t="n">
        <f aca="false">IF(AND(Tasks[[#This Row],[Task Name]]&lt;&gt;"",NOT(Tasks[[#This Row],[_IsSummary]])),1,0)</f>
        <v>0</v>
      </c>
      <c r="BI163" s="46" t="n">
        <f aca="false">IF(N(Tasks[[#This Row],[Pred1 UID]])=0,0,IFERROR(MATCH(Tasks[[#This Row],[Pred1 UID]],Tasks[UID],0),-1))</f>
        <v>0</v>
      </c>
      <c r="BJ163" s="46" t="n">
        <f aca="false">IF(N(Tasks[[#This Row],[Pred2 UID]])=0,0,IFERROR(MATCH(Tasks[[#This Row],[Pred2 UID]],Tasks[UID],0),-1))</f>
        <v>0</v>
      </c>
      <c r="BK16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3" s="46" t="n">
        <f aca="false">IF(NOT(Tasks[[#This Row],[_IsLeaf]]=1),0,IF(N(Tasks[[#This Row],[Actual Finish]])&gt;0,1,MIN(1,N(Tasks[[#This Row],[% Complete]]))))</f>
        <v>0</v>
      </c>
      <c r="BP16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3" s="46" t="n">
        <f aca="false">IF(Tasks[[#This Row],[_LeafWork]]=0,0,Tasks[[#This Row],[_LeafWork]]*IFERROR(INDEX(res_Rate,MATCH(Tasks[[#This Row],[Resource]],res_Name,0)),0))</f>
        <v>0</v>
      </c>
      <c r="BR16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3" s="46" t="n">
        <f aca="false">IF(NOT(Tasks[[#This Row],[_IsLeaf]]=1),0,MAX(_xlfn.MAXIFS(Tasks[_Row],Tasks[Pred1 UID],Tasks[[#This Row],[UID]]),_xlfn.MAXIFS(Tasks[_Row],Tasks[Pred2 UID],Tasks[[#This Row],[UID]])))</f>
        <v>0</v>
      </c>
      <c r="BW16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3" s="48" t="str">
        <f aca="false">IF(NOT(Tasks[[#This Row],[_IsLeaf]]=1),"",MIN(ProjectFinish,IF(N(Tasks[[#This Row],[Deadline]])&gt;0,Tasks[[#This Row],[Deadline]],2958465),Tasks[[#This Row],[_SuccessorFinishLimit]]))</f>
        <v/>
      </c>
      <c r="BY16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3" s="47" t="b">
        <f aca="false">AND(Tasks[[#This Row],[_IsLeaf]]=1,Tasks[[#This Row],[_LeafProgress]]&lt;1,N(Tasks[[#This Row],[_LeafTotalSlack]])&lt;=CriticalSlackDays)</f>
        <v>0</v>
      </c>
      <c r="CB16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3" s="46" t="n">
        <f aca="false">IF(AND(Tasks[[#This Row],[_IsLeaf]]=1,Tasks[[#This Row],[_LeafWork]]&gt;0),NETWORKDAYS.INTL(ProjectStart,Tasks[[#This Row],[_LeafFcstStart]],WorkWeek,Holidays),0)</f>
        <v>0</v>
      </c>
      <c r="CK16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3" s="46" t="n">
        <f aca="false">IF(AND(Tasks[[#This Row],[_IsLeaf]]=1,Tasks[[#This Row],[_LeafWork]]&gt;0),Tasks[[#This Row],[_LeafWork]]/(Tasks[[#This Row],[_FinishWorkday]]-Tasks[[#This Row],[_StartWorkday]]+1),0)</f>
        <v>0</v>
      </c>
      <c r="CM163" s="46" t="n">
        <f aca="false">Tasks[[#This Row],[_WorkPerWorkday]]*(Tasks[[#This Row],[_StartWorkday]]-1)</f>
        <v>-0</v>
      </c>
      <c r="CN163" s="46" t="n">
        <f aca="false">IF(Tasks[[#This Row],[_IsLeaf]]=1,MAX(N(Tasks[[#This Row],[Duration]]),0.1),0)</f>
        <v>0</v>
      </c>
      <c r="CO163" s="46" t="n">
        <f aca="false">Tasks[[#This Row],[_WeightDur]]*Tasks[[#This Row],[_LeafProgress]]</f>
        <v>0</v>
      </c>
      <c r="CP16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39"/>
      <c r="E164" s="40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4" s="31"/>
      <c r="AF16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4" s="40"/>
      <c r="AI164" s="31"/>
      <c r="AJ16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4" s="40"/>
      <c r="AO164" s="24" t="str">
        <f aca="false">IF(Tasks[[#This Row],[Task Name]]="","",Tasks[[#This Row],[Forecast Start]])</f>
        <v/>
      </c>
      <c r="AP164" s="24" t="str">
        <f aca="false">IF(Tasks[[#This Row],[Task Name]]="","",Tasks[[#This Row],[Forecast Finish]])</f>
        <v/>
      </c>
      <c r="AQ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4" s="42" t="str">
        <f aca="false">IF(Tasks[[#This Row],[Task Name]]="","",Tasks[[#This Row],[Work]])</f>
        <v/>
      </c>
      <c r="AS164" s="43" t="str">
        <f aca="false">IF(Tasks[[#This Row],[Task Name]]="","",Tasks[[#This Row],[Cost]])</f>
        <v/>
      </c>
      <c r="AT164" s="29"/>
      <c r="AU164" s="29"/>
      <c r="AV164" s="39"/>
      <c r="AW164" s="44"/>
      <c r="AX164" s="45"/>
      <c r="AY164" s="38" t="str">
        <f aca="false">IF(OR(Tasks[[#This Row],[Task Name]]="",Tasks[[#This Row],[Baseline Duration]]=""),"",Tasks[[#This Row],[BL Source Duration]]-N(Tasks[[#This Row],[Baseline Duration]]))</f>
        <v/>
      </c>
      <c r="AZ164" s="42" t="str">
        <f aca="false">IF(OR(Tasks[[#This Row],[Task Name]]="",Tasks[[#This Row],[Baseline Work]]=""),"",Tasks[[#This Row],[Work]]-N(Tasks[[#This Row],[Baseline Work]]))</f>
        <v/>
      </c>
      <c r="BA164" s="43" t="str">
        <f aca="false">IF(OR(Tasks[[#This Row],[Task Name]]="",Tasks[[#This Row],[Baseline Cost]]=""),"",Tasks[[#This Row],[Cost]]-N(Tasks[[#This Row],[Baseline Cost]]))</f>
        <v/>
      </c>
      <c r="BB164" s="46" t="str">
        <f aca="false">IF(Tasks[[#This Row],[Task Name]]="","",MAX(1,N(Tasks[[#This Row],[Level]])))</f>
        <v/>
      </c>
      <c r="BC164" s="46" t="n">
        <f aca="false">ROW()-ROW(Tasks[[#Headers],[ID]])</f>
        <v>159</v>
      </c>
      <c r="BD1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4" s="46" t="n">
        <f aca="false">IFERROR(N(INDEX(Tasks[_Level],Tasks[[#This Row],[_Row]]+1)),0)</f>
        <v>0</v>
      </c>
      <c r="BF164" s="47" t="b">
        <f aca="false">AND(Tasks[[#This Row],[Task Name]]&lt;&gt;"",Tasks[[#This Row],[_NextLevel]]&gt;Tasks[[#This Row],[_Level]])</f>
        <v>0</v>
      </c>
      <c r="BG164" s="46" t="n">
        <f aca="false">IF(Tasks[[#This Row],[_IsSummary]],COUNTIF(Tasks[WBS],Tasks[[#This Row],[WBS]]&amp;".*"),0)</f>
        <v>0</v>
      </c>
      <c r="BH164" s="46" t="n">
        <f aca="false">IF(AND(Tasks[[#This Row],[Task Name]]&lt;&gt;"",NOT(Tasks[[#This Row],[_IsSummary]])),1,0)</f>
        <v>0</v>
      </c>
      <c r="BI164" s="46" t="n">
        <f aca="false">IF(N(Tasks[[#This Row],[Pred1 UID]])=0,0,IFERROR(MATCH(Tasks[[#This Row],[Pred1 UID]],Tasks[UID],0),-1))</f>
        <v>0</v>
      </c>
      <c r="BJ164" s="46" t="n">
        <f aca="false">IF(N(Tasks[[#This Row],[Pred2 UID]])=0,0,IFERROR(MATCH(Tasks[[#This Row],[Pred2 UID]],Tasks[UID],0),-1))</f>
        <v>0</v>
      </c>
      <c r="BK16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4" s="46" t="n">
        <f aca="false">IF(NOT(Tasks[[#This Row],[_IsLeaf]]=1),0,IF(N(Tasks[[#This Row],[Actual Finish]])&gt;0,1,MIN(1,N(Tasks[[#This Row],[% Complete]]))))</f>
        <v>0</v>
      </c>
      <c r="BP16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4" s="46" t="n">
        <f aca="false">IF(Tasks[[#This Row],[_LeafWork]]=0,0,Tasks[[#This Row],[_LeafWork]]*IFERROR(INDEX(res_Rate,MATCH(Tasks[[#This Row],[Resource]],res_Name,0)),0))</f>
        <v>0</v>
      </c>
      <c r="BR16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4" s="46" t="n">
        <f aca="false">IF(NOT(Tasks[[#This Row],[_IsLeaf]]=1),0,MAX(_xlfn.MAXIFS(Tasks[_Row],Tasks[Pred1 UID],Tasks[[#This Row],[UID]]),_xlfn.MAXIFS(Tasks[_Row],Tasks[Pred2 UID],Tasks[[#This Row],[UID]])))</f>
        <v>0</v>
      </c>
      <c r="BW16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4" s="48" t="str">
        <f aca="false">IF(NOT(Tasks[[#This Row],[_IsLeaf]]=1),"",MIN(ProjectFinish,IF(N(Tasks[[#This Row],[Deadline]])&gt;0,Tasks[[#This Row],[Deadline]],2958465),Tasks[[#This Row],[_SuccessorFinishLimit]]))</f>
        <v/>
      </c>
      <c r="BY16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4" s="47" t="b">
        <f aca="false">AND(Tasks[[#This Row],[_IsLeaf]]=1,Tasks[[#This Row],[_LeafProgress]]&lt;1,N(Tasks[[#This Row],[_LeafTotalSlack]])&lt;=CriticalSlackDays)</f>
        <v>0</v>
      </c>
      <c r="CB16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4" s="46" t="n">
        <f aca="false">IF(AND(Tasks[[#This Row],[_IsLeaf]]=1,Tasks[[#This Row],[_LeafWork]]&gt;0),NETWORKDAYS.INTL(ProjectStart,Tasks[[#This Row],[_LeafFcstStart]],WorkWeek,Holidays),0)</f>
        <v>0</v>
      </c>
      <c r="CK16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4" s="46" t="n">
        <f aca="false">IF(AND(Tasks[[#This Row],[_IsLeaf]]=1,Tasks[[#This Row],[_LeafWork]]&gt;0),Tasks[[#This Row],[_LeafWork]]/(Tasks[[#This Row],[_FinishWorkday]]-Tasks[[#This Row],[_StartWorkday]]+1),0)</f>
        <v>0</v>
      </c>
      <c r="CM164" s="46" t="n">
        <f aca="false">Tasks[[#This Row],[_WorkPerWorkday]]*(Tasks[[#This Row],[_StartWorkday]]-1)</f>
        <v>-0</v>
      </c>
      <c r="CN164" s="46" t="n">
        <f aca="false">IF(Tasks[[#This Row],[_IsLeaf]]=1,MAX(N(Tasks[[#This Row],[Duration]]),0.1),0)</f>
        <v>0</v>
      </c>
      <c r="CO164" s="46" t="n">
        <f aca="false">Tasks[[#This Row],[_WeightDur]]*Tasks[[#This Row],[_LeafProgress]]</f>
        <v>0</v>
      </c>
      <c r="CP16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39"/>
      <c r="E165" s="40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5" s="31"/>
      <c r="AF16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5" s="40"/>
      <c r="AI165" s="31"/>
      <c r="AJ16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5" s="40"/>
      <c r="AO165" s="24" t="str">
        <f aca="false">IF(Tasks[[#This Row],[Task Name]]="","",Tasks[[#This Row],[Forecast Start]])</f>
        <v/>
      </c>
      <c r="AP165" s="24" t="str">
        <f aca="false">IF(Tasks[[#This Row],[Task Name]]="","",Tasks[[#This Row],[Forecast Finish]])</f>
        <v/>
      </c>
      <c r="AQ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5" s="42" t="str">
        <f aca="false">IF(Tasks[[#This Row],[Task Name]]="","",Tasks[[#This Row],[Work]])</f>
        <v/>
      </c>
      <c r="AS165" s="43" t="str">
        <f aca="false">IF(Tasks[[#This Row],[Task Name]]="","",Tasks[[#This Row],[Cost]])</f>
        <v/>
      </c>
      <c r="AT165" s="29"/>
      <c r="AU165" s="29"/>
      <c r="AV165" s="39"/>
      <c r="AW165" s="44"/>
      <c r="AX165" s="45"/>
      <c r="AY165" s="38" t="str">
        <f aca="false">IF(OR(Tasks[[#This Row],[Task Name]]="",Tasks[[#This Row],[Baseline Duration]]=""),"",Tasks[[#This Row],[BL Source Duration]]-N(Tasks[[#This Row],[Baseline Duration]]))</f>
        <v/>
      </c>
      <c r="AZ165" s="42" t="str">
        <f aca="false">IF(OR(Tasks[[#This Row],[Task Name]]="",Tasks[[#This Row],[Baseline Work]]=""),"",Tasks[[#This Row],[Work]]-N(Tasks[[#This Row],[Baseline Work]]))</f>
        <v/>
      </c>
      <c r="BA165" s="43" t="str">
        <f aca="false">IF(OR(Tasks[[#This Row],[Task Name]]="",Tasks[[#This Row],[Baseline Cost]]=""),"",Tasks[[#This Row],[Cost]]-N(Tasks[[#This Row],[Baseline Cost]]))</f>
        <v/>
      </c>
      <c r="BB165" s="46" t="str">
        <f aca="false">IF(Tasks[[#This Row],[Task Name]]="","",MAX(1,N(Tasks[[#This Row],[Level]])))</f>
        <v/>
      </c>
      <c r="BC165" s="46" t="n">
        <f aca="false">ROW()-ROW(Tasks[[#Headers],[ID]])</f>
        <v>160</v>
      </c>
      <c r="BD1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5" s="46" t="n">
        <f aca="false">IFERROR(N(INDEX(Tasks[_Level],Tasks[[#This Row],[_Row]]+1)),0)</f>
        <v>0</v>
      </c>
      <c r="BF165" s="47" t="b">
        <f aca="false">AND(Tasks[[#This Row],[Task Name]]&lt;&gt;"",Tasks[[#This Row],[_NextLevel]]&gt;Tasks[[#This Row],[_Level]])</f>
        <v>0</v>
      </c>
      <c r="BG165" s="46" t="n">
        <f aca="false">IF(Tasks[[#This Row],[_IsSummary]],COUNTIF(Tasks[WBS],Tasks[[#This Row],[WBS]]&amp;".*"),0)</f>
        <v>0</v>
      </c>
      <c r="BH165" s="46" t="n">
        <f aca="false">IF(AND(Tasks[[#This Row],[Task Name]]&lt;&gt;"",NOT(Tasks[[#This Row],[_IsSummary]])),1,0)</f>
        <v>0</v>
      </c>
      <c r="BI165" s="46" t="n">
        <f aca="false">IF(N(Tasks[[#This Row],[Pred1 UID]])=0,0,IFERROR(MATCH(Tasks[[#This Row],[Pred1 UID]],Tasks[UID],0),-1))</f>
        <v>0</v>
      </c>
      <c r="BJ165" s="46" t="n">
        <f aca="false">IF(N(Tasks[[#This Row],[Pred2 UID]])=0,0,IFERROR(MATCH(Tasks[[#This Row],[Pred2 UID]],Tasks[UID],0),-1))</f>
        <v>0</v>
      </c>
      <c r="BK16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5" s="46" t="n">
        <f aca="false">IF(NOT(Tasks[[#This Row],[_IsLeaf]]=1),0,IF(N(Tasks[[#This Row],[Actual Finish]])&gt;0,1,MIN(1,N(Tasks[[#This Row],[% Complete]]))))</f>
        <v>0</v>
      </c>
      <c r="BP16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5" s="46" t="n">
        <f aca="false">IF(Tasks[[#This Row],[_LeafWork]]=0,0,Tasks[[#This Row],[_LeafWork]]*IFERROR(INDEX(res_Rate,MATCH(Tasks[[#This Row],[Resource]],res_Name,0)),0))</f>
        <v>0</v>
      </c>
      <c r="BR16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5" s="46" t="n">
        <f aca="false">IF(NOT(Tasks[[#This Row],[_IsLeaf]]=1),0,MAX(_xlfn.MAXIFS(Tasks[_Row],Tasks[Pred1 UID],Tasks[[#This Row],[UID]]),_xlfn.MAXIFS(Tasks[_Row],Tasks[Pred2 UID],Tasks[[#This Row],[UID]])))</f>
        <v>0</v>
      </c>
      <c r="BW16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5" s="48" t="str">
        <f aca="false">IF(NOT(Tasks[[#This Row],[_IsLeaf]]=1),"",MIN(ProjectFinish,IF(N(Tasks[[#This Row],[Deadline]])&gt;0,Tasks[[#This Row],[Deadline]],2958465),Tasks[[#This Row],[_SuccessorFinishLimit]]))</f>
        <v/>
      </c>
      <c r="BY16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5" s="47" t="b">
        <f aca="false">AND(Tasks[[#This Row],[_IsLeaf]]=1,Tasks[[#This Row],[_LeafProgress]]&lt;1,N(Tasks[[#This Row],[_LeafTotalSlack]])&lt;=CriticalSlackDays)</f>
        <v>0</v>
      </c>
      <c r="CB16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5" s="46" t="n">
        <f aca="false">IF(AND(Tasks[[#This Row],[_IsLeaf]]=1,Tasks[[#This Row],[_LeafWork]]&gt;0),NETWORKDAYS.INTL(ProjectStart,Tasks[[#This Row],[_LeafFcstStart]],WorkWeek,Holidays),0)</f>
        <v>0</v>
      </c>
      <c r="CK16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5" s="46" t="n">
        <f aca="false">IF(AND(Tasks[[#This Row],[_IsLeaf]]=1,Tasks[[#This Row],[_LeafWork]]&gt;0),Tasks[[#This Row],[_LeafWork]]/(Tasks[[#This Row],[_FinishWorkday]]-Tasks[[#This Row],[_StartWorkday]]+1),0)</f>
        <v>0</v>
      </c>
      <c r="CM165" s="46" t="n">
        <f aca="false">Tasks[[#This Row],[_WorkPerWorkday]]*(Tasks[[#This Row],[_StartWorkday]]-1)</f>
        <v>-0</v>
      </c>
      <c r="CN165" s="46" t="n">
        <f aca="false">IF(Tasks[[#This Row],[_IsLeaf]]=1,MAX(N(Tasks[[#This Row],[Duration]]),0.1),0)</f>
        <v>0</v>
      </c>
      <c r="CO165" s="46" t="n">
        <f aca="false">Tasks[[#This Row],[_WeightDur]]*Tasks[[#This Row],[_LeafProgress]]</f>
        <v>0</v>
      </c>
      <c r="CP16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39"/>
      <c r="E166" s="40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6" s="31"/>
      <c r="AF16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6" s="40"/>
      <c r="AI166" s="31"/>
      <c r="AJ16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6" s="40"/>
      <c r="AO166" s="24" t="str">
        <f aca="false">IF(Tasks[[#This Row],[Task Name]]="","",Tasks[[#This Row],[Forecast Start]])</f>
        <v/>
      </c>
      <c r="AP166" s="24" t="str">
        <f aca="false">IF(Tasks[[#This Row],[Task Name]]="","",Tasks[[#This Row],[Forecast Finish]])</f>
        <v/>
      </c>
      <c r="AQ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6" s="42" t="str">
        <f aca="false">IF(Tasks[[#This Row],[Task Name]]="","",Tasks[[#This Row],[Work]])</f>
        <v/>
      </c>
      <c r="AS166" s="43" t="str">
        <f aca="false">IF(Tasks[[#This Row],[Task Name]]="","",Tasks[[#This Row],[Cost]])</f>
        <v/>
      </c>
      <c r="AT166" s="29"/>
      <c r="AU166" s="29"/>
      <c r="AV166" s="39"/>
      <c r="AW166" s="44"/>
      <c r="AX166" s="45"/>
      <c r="AY166" s="38" t="str">
        <f aca="false">IF(OR(Tasks[[#This Row],[Task Name]]="",Tasks[[#This Row],[Baseline Duration]]=""),"",Tasks[[#This Row],[BL Source Duration]]-N(Tasks[[#This Row],[Baseline Duration]]))</f>
        <v/>
      </c>
      <c r="AZ166" s="42" t="str">
        <f aca="false">IF(OR(Tasks[[#This Row],[Task Name]]="",Tasks[[#This Row],[Baseline Work]]=""),"",Tasks[[#This Row],[Work]]-N(Tasks[[#This Row],[Baseline Work]]))</f>
        <v/>
      </c>
      <c r="BA166" s="43" t="str">
        <f aca="false">IF(OR(Tasks[[#This Row],[Task Name]]="",Tasks[[#This Row],[Baseline Cost]]=""),"",Tasks[[#This Row],[Cost]]-N(Tasks[[#This Row],[Baseline Cost]]))</f>
        <v/>
      </c>
      <c r="BB166" s="46" t="str">
        <f aca="false">IF(Tasks[[#This Row],[Task Name]]="","",MAX(1,N(Tasks[[#This Row],[Level]])))</f>
        <v/>
      </c>
      <c r="BC166" s="46" t="n">
        <f aca="false">ROW()-ROW(Tasks[[#Headers],[ID]])</f>
        <v>161</v>
      </c>
      <c r="BD1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6" s="46" t="n">
        <f aca="false">IFERROR(N(INDEX(Tasks[_Level],Tasks[[#This Row],[_Row]]+1)),0)</f>
        <v>0</v>
      </c>
      <c r="BF166" s="47" t="b">
        <f aca="false">AND(Tasks[[#This Row],[Task Name]]&lt;&gt;"",Tasks[[#This Row],[_NextLevel]]&gt;Tasks[[#This Row],[_Level]])</f>
        <v>0</v>
      </c>
      <c r="BG166" s="46" t="n">
        <f aca="false">IF(Tasks[[#This Row],[_IsSummary]],COUNTIF(Tasks[WBS],Tasks[[#This Row],[WBS]]&amp;".*"),0)</f>
        <v>0</v>
      </c>
      <c r="BH166" s="46" t="n">
        <f aca="false">IF(AND(Tasks[[#This Row],[Task Name]]&lt;&gt;"",NOT(Tasks[[#This Row],[_IsSummary]])),1,0)</f>
        <v>0</v>
      </c>
      <c r="BI166" s="46" t="n">
        <f aca="false">IF(N(Tasks[[#This Row],[Pred1 UID]])=0,0,IFERROR(MATCH(Tasks[[#This Row],[Pred1 UID]],Tasks[UID],0),-1))</f>
        <v>0</v>
      </c>
      <c r="BJ166" s="46" t="n">
        <f aca="false">IF(N(Tasks[[#This Row],[Pred2 UID]])=0,0,IFERROR(MATCH(Tasks[[#This Row],[Pred2 UID]],Tasks[UID],0),-1))</f>
        <v>0</v>
      </c>
      <c r="BK16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6" s="46" t="n">
        <f aca="false">IF(NOT(Tasks[[#This Row],[_IsLeaf]]=1),0,IF(N(Tasks[[#This Row],[Actual Finish]])&gt;0,1,MIN(1,N(Tasks[[#This Row],[% Complete]]))))</f>
        <v>0</v>
      </c>
      <c r="BP16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6" s="46" t="n">
        <f aca="false">IF(Tasks[[#This Row],[_LeafWork]]=0,0,Tasks[[#This Row],[_LeafWork]]*IFERROR(INDEX(res_Rate,MATCH(Tasks[[#This Row],[Resource]],res_Name,0)),0))</f>
        <v>0</v>
      </c>
      <c r="BR16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6" s="46" t="n">
        <f aca="false">IF(NOT(Tasks[[#This Row],[_IsLeaf]]=1),0,MAX(_xlfn.MAXIFS(Tasks[_Row],Tasks[Pred1 UID],Tasks[[#This Row],[UID]]),_xlfn.MAXIFS(Tasks[_Row],Tasks[Pred2 UID],Tasks[[#This Row],[UID]])))</f>
        <v>0</v>
      </c>
      <c r="BW16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6" s="48" t="str">
        <f aca="false">IF(NOT(Tasks[[#This Row],[_IsLeaf]]=1),"",MIN(ProjectFinish,IF(N(Tasks[[#This Row],[Deadline]])&gt;0,Tasks[[#This Row],[Deadline]],2958465),Tasks[[#This Row],[_SuccessorFinishLimit]]))</f>
        <v/>
      </c>
      <c r="BY16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6" s="47" t="b">
        <f aca="false">AND(Tasks[[#This Row],[_IsLeaf]]=1,Tasks[[#This Row],[_LeafProgress]]&lt;1,N(Tasks[[#This Row],[_LeafTotalSlack]])&lt;=CriticalSlackDays)</f>
        <v>0</v>
      </c>
      <c r="CB16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6" s="46" t="n">
        <f aca="false">IF(AND(Tasks[[#This Row],[_IsLeaf]]=1,Tasks[[#This Row],[_LeafWork]]&gt;0),NETWORKDAYS.INTL(ProjectStart,Tasks[[#This Row],[_LeafFcstStart]],WorkWeek,Holidays),0)</f>
        <v>0</v>
      </c>
      <c r="CK16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6" s="46" t="n">
        <f aca="false">IF(AND(Tasks[[#This Row],[_IsLeaf]]=1,Tasks[[#This Row],[_LeafWork]]&gt;0),Tasks[[#This Row],[_LeafWork]]/(Tasks[[#This Row],[_FinishWorkday]]-Tasks[[#This Row],[_StartWorkday]]+1),0)</f>
        <v>0</v>
      </c>
      <c r="CM166" s="46" t="n">
        <f aca="false">Tasks[[#This Row],[_WorkPerWorkday]]*(Tasks[[#This Row],[_StartWorkday]]-1)</f>
        <v>-0</v>
      </c>
      <c r="CN166" s="46" t="n">
        <f aca="false">IF(Tasks[[#This Row],[_IsLeaf]]=1,MAX(N(Tasks[[#This Row],[Duration]]),0.1),0)</f>
        <v>0</v>
      </c>
      <c r="CO166" s="46" t="n">
        <f aca="false">Tasks[[#This Row],[_WeightDur]]*Tasks[[#This Row],[_LeafProgress]]</f>
        <v>0</v>
      </c>
      <c r="CP16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39"/>
      <c r="E167" s="40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7" s="31"/>
      <c r="AF16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7" s="40"/>
      <c r="AI167" s="31"/>
      <c r="AJ16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7" s="40"/>
      <c r="AO167" s="24" t="str">
        <f aca="false">IF(Tasks[[#This Row],[Task Name]]="","",Tasks[[#This Row],[Forecast Start]])</f>
        <v/>
      </c>
      <c r="AP167" s="24" t="str">
        <f aca="false">IF(Tasks[[#This Row],[Task Name]]="","",Tasks[[#This Row],[Forecast Finish]])</f>
        <v/>
      </c>
      <c r="AQ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7" s="42" t="str">
        <f aca="false">IF(Tasks[[#This Row],[Task Name]]="","",Tasks[[#This Row],[Work]])</f>
        <v/>
      </c>
      <c r="AS167" s="43" t="str">
        <f aca="false">IF(Tasks[[#This Row],[Task Name]]="","",Tasks[[#This Row],[Cost]])</f>
        <v/>
      </c>
      <c r="AT167" s="29"/>
      <c r="AU167" s="29"/>
      <c r="AV167" s="39"/>
      <c r="AW167" s="44"/>
      <c r="AX167" s="45"/>
      <c r="AY167" s="38" t="str">
        <f aca="false">IF(OR(Tasks[[#This Row],[Task Name]]="",Tasks[[#This Row],[Baseline Duration]]=""),"",Tasks[[#This Row],[BL Source Duration]]-N(Tasks[[#This Row],[Baseline Duration]]))</f>
        <v/>
      </c>
      <c r="AZ167" s="42" t="str">
        <f aca="false">IF(OR(Tasks[[#This Row],[Task Name]]="",Tasks[[#This Row],[Baseline Work]]=""),"",Tasks[[#This Row],[Work]]-N(Tasks[[#This Row],[Baseline Work]]))</f>
        <v/>
      </c>
      <c r="BA167" s="43" t="str">
        <f aca="false">IF(OR(Tasks[[#This Row],[Task Name]]="",Tasks[[#This Row],[Baseline Cost]]=""),"",Tasks[[#This Row],[Cost]]-N(Tasks[[#This Row],[Baseline Cost]]))</f>
        <v/>
      </c>
      <c r="BB167" s="46" t="str">
        <f aca="false">IF(Tasks[[#This Row],[Task Name]]="","",MAX(1,N(Tasks[[#This Row],[Level]])))</f>
        <v/>
      </c>
      <c r="BC167" s="46" t="n">
        <f aca="false">ROW()-ROW(Tasks[[#Headers],[ID]])</f>
        <v>162</v>
      </c>
      <c r="BD1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7" s="46" t="n">
        <f aca="false">IFERROR(N(INDEX(Tasks[_Level],Tasks[[#This Row],[_Row]]+1)),0)</f>
        <v>0</v>
      </c>
      <c r="BF167" s="47" t="b">
        <f aca="false">AND(Tasks[[#This Row],[Task Name]]&lt;&gt;"",Tasks[[#This Row],[_NextLevel]]&gt;Tasks[[#This Row],[_Level]])</f>
        <v>0</v>
      </c>
      <c r="BG167" s="46" t="n">
        <f aca="false">IF(Tasks[[#This Row],[_IsSummary]],COUNTIF(Tasks[WBS],Tasks[[#This Row],[WBS]]&amp;".*"),0)</f>
        <v>0</v>
      </c>
      <c r="BH167" s="46" t="n">
        <f aca="false">IF(AND(Tasks[[#This Row],[Task Name]]&lt;&gt;"",NOT(Tasks[[#This Row],[_IsSummary]])),1,0)</f>
        <v>0</v>
      </c>
      <c r="BI167" s="46" t="n">
        <f aca="false">IF(N(Tasks[[#This Row],[Pred1 UID]])=0,0,IFERROR(MATCH(Tasks[[#This Row],[Pred1 UID]],Tasks[UID],0),-1))</f>
        <v>0</v>
      </c>
      <c r="BJ167" s="46" t="n">
        <f aca="false">IF(N(Tasks[[#This Row],[Pred2 UID]])=0,0,IFERROR(MATCH(Tasks[[#This Row],[Pred2 UID]],Tasks[UID],0),-1))</f>
        <v>0</v>
      </c>
      <c r="BK16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7" s="46" t="n">
        <f aca="false">IF(NOT(Tasks[[#This Row],[_IsLeaf]]=1),0,IF(N(Tasks[[#This Row],[Actual Finish]])&gt;0,1,MIN(1,N(Tasks[[#This Row],[% Complete]]))))</f>
        <v>0</v>
      </c>
      <c r="BP16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7" s="46" t="n">
        <f aca="false">IF(Tasks[[#This Row],[_LeafWork]]=0,0,Tasks[[#This Row],[_LeafWork]]*IFERROR(INDEX(res_Rate,MATCH(Tasks[[#This Row],[Resource]],res_Name,0)),0))</f>
        <v>0</v>
      </c>
      <c r="BR16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7" s="46" t="n">
        <f aca="false">IF(NOT(Tasks[[#This Row],[_IsLeaf]]=1),0,MAX(_xlfn.MAXIFS(Tasks[_Row],Tasks[Pred1 UID],Tasks[[#This Row],[UID]]),_xlfn.MAXIFS(Tasks[_Row],Tasks[Pred2 UID],Tasks[[#This Row],[UID]])))</f>
        <v>0</v>
      </c>
      <c r="BW16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7" s="48" t="str">
        <f aca="false">IF(NOT(Tasks[[#This Row],[_IsLeaf]]=1),"",MIN(ProjectFinish,IF(N(Tasks[[#This Row],[Deadline]])&gt;0,Tasks[[#This Row],[Deadline]],2958465),Tasks[[#This Row],[_SuccessorFinishLimit]]))</f>
        <v/>
      </c>
      <c r="BY16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7" s="47" t="b">
        <f aca="false">AND(Tasks[[#This Row],[_IsLeaf]]=1,Tasks[[#This Row],[_LeafProgress]]&lt;1,N(Tasks[[#This Row],[_LeafTotalSlack]])&lt;=CriticalSlackDays)</f>
        <v>0</v>
      </c>
      <c r="CB16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7" s="46" t="n">
        <f aca="false">IF(AND(Tasks[[#This Row],[_IsLeaf]]=1,Tasks[[#This Row],[_LeafWork]]&gt;0),NETWORKDAYS.INTL(ProjectStart,Tasks[[#This Row],[_LeafFcstStart]],WorkWeek,Holidays),0)</f>
        <v>0</v>
      </c>
      <c r="CK16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7" s="46" t="n">
        <f aca="false">IF(AND(Tasks[[#This Row],[_IsLeaf]]=1,Tasks[[#This Row],[_LeafWork]]&gt;0),Tasks[[#This Row],[_LeafWork]]/(Tasks[[#This Row],[_FinishWorkday]]-Tasks[[#This Row],[_StartWorkday]]+1),0)</f>
        <v>0</v>
      </c>
      <c r="CM167" s="46" t="n">
        <f aca="false">Tasks[[#This Row],[_WorkPerWorkday]]*(Tasks[[#This Row],[_StartWorkday]]-1)</f>
        <v>-0</v>
      </c>
      <c r="CN167" s="46" t="n">
        <f aca="false">IF(Tasks[[#This Row],[_IsLeaf]]=1,MAX(N(Tasks[[#This Row],[Duration]]),0.1),0)</f>
        <v>0</v>
      </c>
      <c r="CO167" s="46" t="n">
        <f aca="false">Tasks[[#This Row],[_WeightDur]]*Tasks[[#This Row],[_LeafProgress]]</f>
        <v>0</v>
      </c>
      <c r="CP16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39"/>
      <c r="E168" s="40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8" s="31"/>
      <c r="AF16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8" s="40"/>
      <c r="AI168" s="31"/>
      <c r="AJ16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8" s="40"/>
      <c r="AO168" s="24" t="str">
        <f aca="false">IF(Tasks[[#This Row],[Task Name]]="","",Tasks[[#This Row],[Forecast Start]])</f>
        <v/>
      </c>
      <c r="AP168" s="24" t="str">
        <f aca="false">IF(Tasks[[#This Row],[Task Name]]="","",Tasks[[#This Row],[Forecast Finish]])</f>
        <v/>
      </c>
      <c r="AQ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8" s="42" t="str">
        <f aca="false">IF(Tasks[[#This Row],[Task Name]]="","",Tasks[[#This Row],[Work]])</f>
        <v/>
      </c>
      <c r="AS168" s="43" t="str">
        <f aca="false">IF(Tasks[[#This Row],[Task Name]]="","",Tasks[[#This Row],[Cost]])</f>
        <v/>
      </c>
      <c r="AT168" s="29"/>
      <c r="AU168" s="29"/>
      <c r="AV168" s="39"/>
      <c r="AW168" s="44"/>
      <c r="AX168" s="45"/>
      <c r="AY168" s="38" t="str">
        <f aca="false">IF(OR(Tasks[[#This Row],[Task Name]]="",Tasks[[#This Row],[Baseline Duration]]=""),"",Tasks[[#This Row],[BL Source Duration]]-N(Tasks[[#This Row],[Baseline Duration]]))</f>
        <v/>
      </c>
      <c r="AZ168" s="42" t="str">
        <f aca="false">IF(OR(Tasks[[#This Row],[Task Name]]="",Tasks[[#This Row],[Baseline Work]]=""),"",Tasks[[#This Row],[Work]]-N(Tasks[[#This Row],[Baseline Work]]))</f>
        <v/>
      </c>
      <c r="BA168" s="43" t="str">
        <f aca="false">IF(OR(Tasks[[#This Row],[Task Name]]="",Tasks[[#This Row],[Baseline Cost]]=""),"",Tasks[[#This Row],[Cost]]-N(Tasks[[#This Row],[Baseline Cost]]))</f>
        <v/>
      </c>
      <c r="BB168" s="46" t="str">
        <f aca="false">IF(Tasks[[#This Row],[Task Name]]="","",MAX(1,N(Tasks[[#This Row],[Level]])))</f>
        <v/>
      </c>
      <c r="BC168" s="46" t="n">
        <f aca="false">ROW()-ROW(Tasks[[#Headers],[ID]])</f>
        <v>163</v>
      </c>
      <c r="BD1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8" s="46" t="n">
        <f aca="false">IFERROR(N(INDEX(Tasks[_Level],Tasks[[#This Row],[_Row]]+1)),0)</f>
        <v>0</v>
      </c>
      <c r="BF168" s="47" t="b">
        <f aca="false">AND(Tasks[[#This Row],[Task Name]]&lt;&gt;"",Tasks[[#This Row],[_NextLevel]]&gt;Tasks[[#This Row],[_Level]])</f>
        <v>0</v>
      </c>
      <c r="BG168" s="46" t="n">
        <f aca="false">IF(Tasks[[#This Row],[_IsSummary]],COUNTIF(Tasks[WBS],Tasks[[#This Row],[WBS]]&amp;".*"),0)</f>
        <v>0</v>
      </c>
      <c r="BH168" s="46" t="n">
        <f aca="false">IF(AND(Tasks[[#This Row],[Task Name]]&lt;&gt;"",NOT(Tasks[[#This Row],[_IsSummary]])),1,0)</f>
        <v>0</v>
      </c>
      <c r="BI168" s="46" t="n">
        <f aca="false">IF(N(Tasks[[#This Row],[Pred1 UID]])=0,0,IFERROR(MATCH(Tasks[[#This Row],[Pred1 UID]],Tasks[UID],0),-1))</f>
        <v>0</v>
      </c>
      <c r="BJ168" s="46" t="n">
        <f aca="false">IF(N(Tasks[[#This Row],[Pred2 UID]])=0,0,IFERROR(MATCH(Tasks[[#This Row],[Pred2 UID]],Tasks[UID],0),-1))</f>
        <v>0</v>
      </c>
      <c r="BK16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8" s="46" t="n">
        <f aca="false">IF(NOT(Tasks[[#This Row],[_IsLeaf]]=1),0,IF(N(Tasks[[#This Row],[Actual Finish]])&gt;0,1,MIN(1,N(Tasks[[#This Row],[% Complete]]))))</f>
        <v>0</v>
      </c>
      <c r="BP16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8" s="46" t="n">
        <f aca="false">IF(Tasks[[#This Row],[_LeafWork]]=0,0,Tasks[[#This Row],[_LeafWork]]*IFERROR(INDEX(res_Rate,MATCH(Tasks[[#This Row],[Resource]],res_Name,0)),0))</f>
        <v>0</v>
      </c>
      <c r="BR16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8" s="46" t="n">
        <f aca="false">IF(NOT(Tasks[[#This Row],[_IsLeaf]]=1),0,MAX(_xlfn.MAXIFS(Tasks[_Row],Tasks[Pred1 UID],Tasks[[#This Row],[UID]]),_xlfn.MAXIFS(Tasks[_Row],Tasks[Pred2 UID],Tasks[[#This Row],[UID]])))</f>
        <v>0</v>
      </c>
      <c r="BW16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8" s="48" t="str">
        <f aca="false">IF(NOT(Tasks[[#This Row],[_IsLeaf]]=1),"",MIN(ProjectFinish,IF(N(Tasks[[#This Row],[Deadline]])&gt;0,Tasks[[#This Row],[Deadline]],2958465),Tasks[[#This Row],[_SuccessorFinishLimit]]))</f>
        <v/>
      </c>
      <c r="BY16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8" s="47" t="b">
        <f aca="false">AND(Tasks[[#This Row],[_IsLeaf]]=1,Tasks[[#This Row],[_LeafProgress]]&lt;1,N(Tasks[[#This Row],[_LeafTotalSlack]])&lt;=CriticalSlackDays)</f>
        <v>0</v>
      </c>
      <c r="CB16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8" s="46" t="n">
        <f aca="false">IF(AND(Tasks[[#This Row],[_IsLeaf]]=1,Tasks[[#This Row],[_LeafWork]]&gt;0),NETWORKDAYS.INTL(ProjectStart,Tasks[[#This Row],[_LeafFcstStart]],WorkWeek,Holidays),0)</f>
        <v>0</v>
      </c>
      <c r="CK16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8" s="46" t="n">
        <f aca="false">IF(AND(Tasks[[#This Row],[_IsLeaf]]=1,Tasks[[#This Row],[_LeafWork]]&gt;0),Tasks[[#This Row],[_LeafWork]]/(Tasks[[#This Row],[_FinishWorkday]]-Tasks[[#This Row],[_StartWorkday]]+1),0)</f>
        <v>0</v>
      </c>
      <c r="CM168" s="46" t="n">
        <f aca="false">Tasks[[#This Row],[_WorkPerWorkday]]*(Tasks[[#This Row],[_StartWorkday]]-1)</f>
        <v>-0</v>
      </c>
      <c r="CN168" s="46" t="n">
        <f aca="false">IF(Tasks[[#This Row],[_IsLeaf]]=1,MAX(N(Tasks[[#This Row],[Duration]]),0.1),0)</f>
        <v>0</v>
      </c>
      <c r="CO168" s="46" t="n">
        <f aca="false">Tasks[[#This Row],[_WeightDur]]*Tasks[[#This Row],[_LeafProgress]]</f>
        <v>0</v>
      </c>
      <c r="CP16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39"/>
      <c r="E169" s="40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9" s="31"/>
      <c r="AF16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9" s="40"/>
      <c r="AI169" s="31"/>
      <c r="AJ16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9" s="40"/>
      <c r="AO169" s="24" t="str">
        <f aca="false">IF(Tasks[[#This Row],[Task Name]]="","",Tasks[[#This Row],[Forecast Start]])</f>
        <v/>
      </c>
      <c r="AP169" s="24" t="str">
        <f aca="false">IF(Tasks[[#This Row],[Task Name]]="","",Tasks[[#This Row],[Forecast Finish]])</f>
        <v/>
      </c>
      <c r="AQ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9" s="42" t="str">
        <f aca="false">IF(Tasks[[#This Row],[Task Name]]="","",Tasks[[#This Row],[Work]])</f>
        <v/>
      </c>
      <c r="AS169" s="43" t="str">
        <f aca="false">IF(Tasks[[#This Row],[Task Name]]="","",Tasks[[#This Row],[Cost]])</f>
        <v/>
      </c>
      <c r="AT169" s="29"/>
      <c r="AU169" s="29"/>
      <c r="AV169" s="39"/>
      <c r="AW169" s="44"/>
      <c r="AX169" s="45"/>
      <c r="AY169" s="38" t="str">
        <f aca="false">IF(OR(Tasks[[#This Row],[Task Name]]="",Tasks[[#This Row],[Baseline Duration]]=""),"",Tasks[[#This Row],[BL Source Duration]]-N(Tasks[[#This Row],[Baseline Duration]]))</f>
        <v/>
      </c>
      <c r="AZ169" s="42" t="str">
        <f aca="false">IF(OR(Tasks[[#This Row],[Task Name]]="",Tasks[[#This Row],[Baseline Work]]=""),"",Tasks[[#This Row],[Work]]-N(Tasks[[#This Row],[Baseline Work]]))</f>
        <v/>
      </c>
      <c r="BA169" s="43" t="str">
        <f aca="false">IF(OR(Tasks[[#This Row],[Task Name]]="",Tasks[[#This Row],[Baseline Cost]]=""),"",Tasks[[#This Row],[Cost]]-N(Tasks[[#This Row],[Baseline Cost]]))</f>
        <v/>
      </c>
      <c r="BB169" s="46" t="str">
        <f aca="false">IF(Tasks[[#This Row],[Task Name]]="","",MAX(1,N(Tasks[[#This Row],[Level]])))</f>
        <v/>
      </c>
      <c r="BC169" s="46" t="n">
        <f aca="false">ROW()-ROW(Tasks[[#Headers],[ID]])</f>
        <v>164</v>
      </c>
      <c r="BD1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9" s="46" t="n">
        <f aca="false">IFERROR(N(INDEX(Tasks[_Level],Tasks[[#This Row],[_Row]]+1)),0)</f>
        <v>0</v>
      </c>
      <c r="BF169" s="47" t="b">
        <f aca="false">AND(Tasks[[#This Row],[Task Name]]&lt;&gt;"",Tasks[[#This Row],[_NextLevel]]&gt;Tasks[[#This Row],[_Level]])</f>
        <v>0</v>
      </c>
      <c r="BG169" s="46" t="n">
        <f aca="false">IF(Tasks[[#This Row],[_IsSummary]],COUNTIF(Tasks[WBS],Tasks[[#This Row],[WBS]]&amp;".*"),0)</f>
        <v>0</v>
      </c>
      <c r="BH169" s="46" t="n">
        <f aca="false">IF(AND(Tasks[[#This Row],[Task Name]]&lt;&gt;"",NOT(Tasks[[#This Row],[_IsSummary]])),1,0)</f>
        <v>0</v>
      </c>
      <c r="BI169" s="46" t="n">
        <f aca="false">IF(N(Tasks[[#This Row],[Pred1 UID]])=0,0,IFERROR(MATCH(Tasks[[#This Row],[Pred1 UID]],Tasks[UID],0),-1))</f>
        <v>0</v>
      </c>
      <c r="BJ169" s="46" t="n">
        <f aca="false">IF(N(Tasks[[#This Row],[Pred2 UID]])=0,0,IFERROR(MATCH(Tasks[[#This Row],[Pred2 UID]],Tasks[UID],0),-1))</f>
        <v>0</v>
      </c>
      <c r="BK16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9" s="46" t="n">
        <f aca="false">IF(NOT(Tasks[[#This Row],[_IsLeaf]]=1),0,IF(N(Tasks[[#This Row],[Actual Finish]])&gt;0,1,MIN(1,N(Tasks[[#This Row],[% Complete]]))))</f>
        <v>0</v>
      </c>
      <c r="BP16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69" s="46" t="n">
        <f aca="false">IF(Tasks[[#This Row],[_LeafWork]]=0,0,Tasks[[#This Row],[_LeafWork]]*IFERROR(INDEX(res_Rate,MATCH(Tasks[[#This Row],[Resource]],res_Name,0)),0))</f>
        <v>0</v>
      </c>
      <c r="BR16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9" s="46" t="n">
        <f aca="false">IF(NOT(Tasks[[#This Row],[_IsLeaf]]=1),0,MAX(_xlfn.MAXIFS(Tasks[_Row],Tasks[Pred1 UID],Tasks[[#This Row],[UID]]),_xlfn.MAXIFS(Tasks[_Row],Tasks[Pred2 UID],Tasks[[#This Row],[UID]])))</f>
        <v>0</v>
      </c>
      <c r="BW16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9" s="48" t="str">
        <f aca="false">IF(NOT(Tasks[[#This Row],[_IsLeaf]]=1),"",MIN(ProjectFinish,IF(N(Tasks[[#This Row],[Deadline]])&gt;0,Tasks[[#This Row],[Deadline]],2958465),Tasks[[#This Row],[_SuccessorFinishLimit]]))</f>
        <v/>
      </c>
      <c r="BY16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9" s="47" t="b">
        <f aca="false">AND(Tasks[[#This Row],[_IsLeaf]]=1,Tasks[[#This Row],[_LeafProgress]]&lt;1,N(Tasks[[#This Row],[_LeafTotalSlack]])&lt;=CriticalSlackDays)</f>
        <v>0</v>
      </c>
      <c r="CB16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9" s="46" t="n">
        <f aca="false">IF(AND(Tasks[[#This Row],[_IsLeaf]]=1,Tasks[[#This Row],[_LeafWork]]&gt;0),NETWORKDAYS.INTL(ProjectStart,Tasks[[#This Row],[_LeafFcstStart]],WorkWeek,Holidays),0)</f>
        <v>0</v>
      </c>
      <c r="CK16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9" s="46" t="n">
        <f aca="false">IF(AND(Tasks[[#This Row],[_IsLeaf]]=1,Tasks[[#This Row],[_LeafWork]]&gt;0),Tasks[[#This Row],[_LeafWork]]/(Tasks[[#This Row],[_FinishWorkday]]-Tasks[[#This Row],[_StartWorkday]]+1),0)</f>
        <v>0</v>
      </c>
      <c r="CM169" s="46" t="n">
        <f aca="false">Tasks[[#This Row],[_WorkPerWorkday]]*(Tasks[[#This Row],[_StartWorkday]]-1)</f>
        <v>-0</v>
      </c>
      <c r="CN169" s="46" t="n">
        <f aca="false">IF(Tasks[[#This Row],[_IsLeaf]]=1,MAX(N(Tasks[[#This Row],[Duration]]),0.1),0)</f>
        <v>0</v>
      </c>
      <c r="CO169" s="46" t="n">
        <f aca="false">Tasks[[#This Row],[_WeightDur]]*Tasks[[#This Row],[_LeafProgress]]</f>
        <v>0</v>
      </c>
      <c r="CP16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39"/>
      <c r="E170" s="40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0" s="31"/>
      <c r="AF17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0" s="40"/>
      <c r="AI170" s="31"/>
      <c r="AJ17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0" s="40"/>
      <c r="AO170" s="24" t="str">
        <f aca="false">IF(Tasks[[#This Row],[Task Name]]="","",Tasks[[#This Row],[Forecast Start]])</f>
        <v/>
      </c>
      <c r="AP170" s="24" t="str">
        <f aca="false">IF(Tasks[[#This Row],[Task Name]]="","",Tasks[[#This Row],[Forecast Finish]])</f>
        <v/>
      </c>
      <c r="AQ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0" s="42" t="str">
        <f aca="false">IF(Tasks[[#This Row],[Task Name]]="","",Tasks[[#This Row],[Work]])</f>
        <v/>
      </c>
      <c r="AS170" s="43" t="str">
        <f aca="false">IF(Tasks[[#This Row],[Task Name]]="","",Tasks[[#This Row],[Cost]])</f>
        <v/>
      </c>
      <c r="AT170" s="29"/>
      <c r="AU170" s="29"/>
      <c r="AV170" s="39"/>
      <c r="AW170" s="44"/>
      <c r="AX170" s="45"/>
      <c r="AY170" s="38" t="str">
        <f aca="false">IF(OR(Tasks[[#This Row],[Task Name]]="",Tasks[[#This Row],[Baseline Duration]]=""),"",Tasks[[#This Row],[BL Source Duration]]-N(Tasks[[#This Row],[Baseline Duration]]))</f>
        <v/>
      </c>
      <c r="AZ170" s="42" t="str">
        <f aca="false">IF(OR(Tasks[[#This Row],[Task Name]]="",Tasks[[#This Row],[Baseline Work]]=""),"",Tasks[[#This Row],[Work]]-N(Tasks[[#This Row],[Baseline Work]]))</f>
        <v/>
      </c>
      <c r="BA170" s="43" t="str">
        <f aca="false">IF(OR(Tasks[[#This Row],[Task Name]]="",Tasks[[#This Row],[Baseline Cost]]=""),"",Tasks[[#This Row],[Cost]]-N(Tasks[[#This Row],[Baseline Cost]]))</f>
        <v/>
      </c>
      <c r="BB170" s="46" t="str">
        <f aca="false">IF(Tasks[[#This Row],[Task Name]]="","",MAX(1,N(Tasks[[#This Row],[Level]])))</f>
        <v/>
      </c>
      <c r="BC170" s="46" t="n">
        <f aca="false">ROW()-ROW(Tasks[[#Headers],[ID]])</f>
        <v>165</v>
      </c>
      <c r="BD1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0" s="46" t="n">
        <f aca="false">IFERROR(N(INDEX(Tasks[_Level],Tasks[[#This Row],[_Row]]+1)),0)</f>
        <v>0</v>
      </c>
      <c r="BF170" s="47" t="b">
        <f aca="false">AND(Tasks[[#This Row],[Task Name]]&lt;&gt;"",Tasks[[#This Row],[_NextLevel]]&gt;Tasks[[#This Row],[_Level]])</f>
        <v>0</v>
      </c>
      <c r="BG170" s="46" t="n">
        <f aca="false">IF(Tasks[[#This Row],[_IsSummary]],COUNTIF(Tasks[WBS],Tasks[[#This Row],[WBS]]&amp;".*"),0)</f>
        <v>0</v>
      </c>
      <c r="BH170" s="46" t="n">
        <f aca="false">IF(AND(Tasks[[#This Row],[Task Name]]&lt;&gt;"",NOT(Tasks[[#This Row],[_IsSummary]])),1,0)</f>
        <v>0</v>
      </c>
      <c r="BI170" s="46" t="n">
        <f aca="false">IF(N(Tasks[[#This Row],[Pred1 UID]])=0,0,IFERROR(MATCH(Tasks[[#This Row],[Pred1 UID]],Tasks[UID],0),-1))</f>
        <v>0</v>
      </c>
      <c r="BJ170" s="46" t="n">
        <f aca="false">IF(N(Tasks[[#This Row],[Pred2 UID]])=0,0,IFERROR(MATCH(Tasks[[#This Row],[Pred2 UID]],Tasks[UID],0),-1))</f>
        <v>0</v>
      </c>
      <c r="BK17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0" s="46" t="n">
        <f aca="false">IF(NOT(Tasks[[#This Row],[_IsLeaf]]=1),0,IF(N(Tasks[[#This Row],[Actual Finish]])&gt;0,1,MIN(1,N(Tasks[[#This Row],[% Complete]]))))</f>
        <v>0</v>
      </c>
      <c r="BP17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0" s="46" t="n">
        <f aca="false">IF(Tasks[[#This Row],[_LeafWork]]=0,0,Tasks[[#This Row],[_LeafWork]]*IFERROR(INDEX(res_Rate,MATCH(Tasks[[#This Row],[Resource]],res_Name,0)),0))</f>
        <v>0</v>
      </c>
      <c r="BR17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0" s="46" t="n">
        <f aca="false">IF(NOT(Tasks[[#This Row],[_IsLeaf]]=1),0,MAX(_xlfn.MAXIFS(Tasks[_Row],Tasks[Pred1 UID],Tasks[[#This Row],[UID]]),_xlfn.MAXIFS(Tasks[_Row],Tasks[Pred2 UID],Tasks[[#This Row],[UID]])))</f>
        <v>0</v>
      </c>
      <c r="BW17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0" s="48" t="str">
        <f aca="false">IF(NOT(Tasks[[#This Row],[_IsLeaf]]=1),"",MIN(ProjectFinish,IF(N(Tasks[[#This Row],[Deadline]])&gt;0,Tasks[[#This Row],[Deadline]],2958465),Tasks[[#This Row],[_SuccessorFinishLimit]]))</f>
        <v/>
      </c>
      <c r="BY17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0" s="47" t="b">
        <f aca="false">AND(Tasks[[#This Row],[_IsLeaf]]=1,Tasks[[#This Row],[_LeafProgress]]&lt;1,N(Tasks[[#This Row],[_LeafTotalSlack]])&lt;=CriticalSlackDays)</f>
        <v>0</v>
      </c>
      <c r="CB17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0" s="46" t="n">
        <f aca="false">IF(AND(Tasks[[#This Row],[_IsLeaf]]=1,Tasks[[#This Row],[_LeafWork]]&gt;0),NETWORKDAYS.INTL(ProjectStart,Tasks[[#This Row],[_LeafFcstStart]],WorkWeek,Holidays),0)</f>
        <v>0</v>
      </c>
      <c r="CK17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0" s="46" t="n">
        <f aca="false">IF(AND(Tasks[[#This Row],[_IsLeaf]]=1,Tasks[[#This Row],[_LeafWork]]&gt;0),Tasks[[#This Row],[_LeafWork]]/(Tasks[[#This Row],[_FinishWorkday]]-Tasks[[#This Row],[_StartWorkday]]+1),0)</f>
        <v>0</v>
      </c>
      <c r="CM170" s="46" t="n">
        <f aca="false">Tasks[[#This Row],[_WorkPerWorkday]]*(Tasks[[#This Row],[_StartWorkday]]-1)</f>
        <v>-0</v>
      </c>
      <c r="CN170" s="46" t="n">
        <f aca="false">IF(Tasks[[#This Row],[_IsLeaf]]=1,MAX(N(Tasks[[#This Row],[Duration]]),0.1),0)</f>
        <v>0</v>
      </c>
      <c r="CO170" s="46" t="n">
        <f aca="false">Tasks[[#This Row],[_WeightDur]]*Tasks[[#This Row],[_LeafProgress]]</f>
        <v>0</v>
      </c>
      <c r="CP17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39"/>
      <c r="E171" s="40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1" s="31"/>
      <c r="AF17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1" s="40"/>
      <c r="AI171" s="31"/>
      <c r="AJ17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1" s="40"/>
      <c r="AO171" s="24" t="str">
        <f aca="false">IF(Tasks[[#This Row],[Task Name]]="","",Tasks[[#This Row],[Forecast Start]])</f>
        <v/>
      </c>
      <c r="AP171" s="24" t="str">
        <f aca="false">IF(Tasks[[#This Row],[Task Name]]="","",Tasks[[#This Row],[Forecast Finish]])</f>
        <v/>
      </c>
      <c r="AQ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1" s="42" t="str">
        <f aca="false">IF(Tasks[[#This Row],[Task Name]]="","",Tasks[[#This Row],[Work]])</f>
        <v/>
      </c>
      <c r="AS171" s="43" t="str">
        <f aca="false">IF(Tasks[[#This Row],[Task Name]]="","",Tasks[[#This Row],[Cost]])</f>
        <v/>
      </c>
      <c r="AT171" s="29"/>
      <c r="AU171" s="29"/>
      <c r="AV171" s="39"/>
      <c r="AW171" s="44"/>
      <c r="AX171" s="45"/>
      <c r="AY171" s="38" t="str">
        <f aca="false">IF(OR(Tasks[[#This Row],[Task Name]]="",Tasks[[#This Row],[Baseline Duration]]=""),"",Tasks[[#This Row],[BL Source Duration]]-N(Tasks[[#This Row],[Baseline Duration]]))</f>
        <v/>
      </c>
      <c r="AZ171" s="42" t="str">
        <f aca="false">IF(OR(Tasks[[#This Row],[Task Name]]="",Tasks[[#This Row],[Baseline Work]]=""),"",Tasks[[#This Row],[Work]]-N(Tasks[[#This Row],[Baseline Work]]))</f>
        <v/>
      </c>
      <c r="BA171" s="43" t="str">
        <f aca="false">IF(OR(Tasks[[#This Row],[Task Name]]="",Tasks[[#This Row],[Baseline Cost]]=""),"",Tasks[[#This Row],[Cost]]-N(Tasks[[#This Row],[Baseline Cost]]))</f>
        <v/>
      </c>
      <c r="BB171" s="46" t="str">
        <f aca="false">IF(Tasks[[#This Row],[Task Name]]="","",MAX(1,N(Tasks[[#This Row],[Level]])))</f>
        <v/>
      </c>
      <c r="BC171" s="46" t="n">
        <f aca="false">ROW()-ROW(Tasks[[#Headers],[ID]])</f>
        <v>166</v>
      </c>
      <c r="BD1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1" s="46" t="n">
        <f aca="false">IFERROR(N(INDEX(Tasks[_Level],Tasks[[#This Row],[_Row]]+1)),0)</f>
        <v>0</v>
      </c>
      <c r="BF171" s="47" t="b">
        <f aca="false">AND(Tasks[[#This Row],[Task Name]]&lt;&gt;"",Tasks[[#This Row],[_NextLevel]]&gt;Tasks[[#This Row],[_Level]])</f>
        <v>0</v>
      </c>
      <c r="BG171" s="46" t="n">
        <f aca="false">IF(Tasks[[#This Row],[_IsSummary]],COUNTIF(Tasks[WBS],Tasks[[#This Row],[WBS]]&amp;".*"),0)</f>
        <v>0</v>
      </c>
      <c r="BH171" s="46" t="n">
        <f aca="false">IF(AND(Tasks[[#This Row],[Task Name]]&lt;&gt;"",NOT(Tasks[[#This Row],[_IsSummary]])),1,0)</f>
        <v>0</v>
      </c>
      <c r="BI171" s="46" t="n">
        <f aca="false">IF(N(Tasks[[#This Row],[Pred1 UID]])=0,0,IFERROR(MATCH(Tasks[[#This Row],[Pred1 UID]],Tasks[UID],0),-1))</f>
        <v>0</v>
      </c>
      <c r="BJ171" s="46" t="n">
        <f aca="false">IF(N(Tasks[[#This Row],[Pred2 UID]])=0,0,IFERROR(MATCH(Tasks[[#This Row],[Pred2 UID]],Tasks[UID],0),-1))</f>
        <v>0</v>
      </c>
      <c r="BK17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1" s="46" t="n">
        <f aca="false">IF(NOT(Tasks[[#This Row],[_IsLeaf]]=1),0,IF(N(Tasks[[#This Row],[Actual Finish]])&gt;0,1,MIN(1,N(Tasks[[#This Row],[% Complete]]))))</f>
        <v>0</v>
      </c>
      <c r="BP17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1" s="46" t="n">
        <f aca="false">IF(Tasks[[#This Row],[_LeafWork]]=0,0,Tasks[[#This Row],[_LeafWork]]*IFERROR(INDEX(res_Rate,MATCH(Tasks[[#This Row],[Resource]],res_Name,0)),0))</f>
        <v>0</v>
      </c>
      <c r="BR17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1" s="46" t="n">
        <f aca="false">IF(NOT(Tasks[[#This Row],[_IsLeaf]]=1),0,MAX(_xlfn.MAXIFS(Tasks[_Row],Tasks[Pred1 UID],Tasks[[#This Row],[UID]]),_xlfn.MAXIFS(Tasks[_Row],Tasks[Pred2 UID],Tasks[[#This Row],[UID]])))</f>
        <v>0</v>
      </c>
      <c r="BW17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1" s="48" t="str">
        <f aca="false">IF(NOT(Tasks[[#This Row],[_IsLeaf]]=1),"",MIN(ProjectFinish,IF(N(Tasks[[#This Row],[Deadline]])&gt;0,Tasks[[#This Row],[Deadline]],2958465),Tasks[[#This Row],[_SuccessorFinishLimit]]))</f>
        <v/>
      </c>
      <c r="BY17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1" s="47" t="b">
        <f aca="false">AND(Tasks[[#This Row],[_IsLeaf]]=1,Tasks[[#This Row],[_LeafProgress]]&lt;1,N(Tasks[[#This Row],[_LeafTotalSlack]])&lt;=CriticalSlackDays)</f>
        <v>0</v>
      </c>
      <c r="CB17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1" s="46" t="n">
        <f aca="false">IF(AND(Tasks[[#This Row],[_IsLeaf]]=1,Tasks[[#This Row],[_LeafWork]]&gt;0),NETWORKDAYS.INTL(ProjectStart,Tasks[[#This Row],[_LeafFcstStart]],WorkWeek,Holidays),0)</f>
        <v>0</v>
      </c>
      <c r="CK17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1" s="46" t="n">
        <f aca="false">IF(AND(Tasks[[#This Row],[_IsLeaf]]=1,Tasks[[#This Row],[_LeafWork]]&gt;0),Tasks[[#This Row],[_LeafWork]]/(Tasks[[#This Row],[_FinishWorkday]]-Tasks[[#This Row],[_StartWorkday]]+1),0)</f>
        <v>0</v>
      </c>
      <c r="CM171" s="46" t="n">
        <f aca="false">Tasks[[#This Row],[_WorkPerWorkday]]*(Tasks[[#This Row],[_StartWorkday]]-1)</f>
        <v>-0</v>
      </c>
      <c r="CN171" s="46" t="n">
        <f aca="false">IF(Tasks[[#This Row],[_IsLeaf]]=1,MAX(N(Tasks[[#This Row],[Duration]]),0.1),0)</f>
        <v>0</v>
      </c>
      <c r="CO171" s="46" t="n">
        <f aca="false">Tasks[[#This Row],[_WeightDur]]*Tasks[[#This Row],[_LeafProgress]]</f>
        <v>0</v>
      </c>
      <c r="CP17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39"/>
      <c r="E172" s="40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2" s="31"/>
      <c r="AF17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2" s="40"/>
      <c r="AI172" s="31"/>
      <c r="AJ17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2" s="40"/>
      <c r="AO172" s="24" t="str">
        <f aca="false">IF(Tasks[[#This Row],[Task Name]]="","",Tasks[[#This Row],[Forecast Start]])</f>
        <v/>
      </c>
      <c r="AP172" s="24" t="str">
        <f aca="false">IF(Tasks[[#This Row],[Task Name]]="","",Tasks[[#This Row],[Forecast Finish]])</f>
        <v/>
      </c>
      <c r="AQ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2" s="42" t="str">
        <f aca="false">IF(Tasks[[#This Row],[Task Name]]="","",Tasks[[#This Row],[Work]])</f>
        <v/>
      </c>
      <c r="AS172" s="43" t="str">
        <f aca="false">IF(Tasks[[#This Row],[Task Name]]="","",Tasks[[#This Row],[Cost]])</f>
        <v/>
      </c>
      <c r="AT172" s="29"/>
      <c r="AU172" s="29"/>
      <c r="AV172" s="39"/>
      <c r="AW172" s="44"/>
      <c r="AX172" s="45"/>
      <c r="AY172" s="38" t="str">
        <f aca="false">IF(OR(Tasks[[#This Row],[Task Name]]="",Tasks[[#This Row],[Baseline Duration]]=""),"",Tasks[[#This Row],[BL Source Duration]]-N(Tasks[[#This Row],[Baseline Duration]]))</f>
        <v/>
      </c>
      <c r="AZ172" s="42" t="str">
        <f aca="false">IF(OR(Tasks[[#This Row],[Task Name]]="",Tasks[[#This Row],[Baseline Work]]=""),"",Tasks[[#This Row],[Work]]-N(Tasks[[#This Row],[Baseline Work]]))</f>
        <v/>
      </c>
      <c r="BA172" s="43" t="str">
        <f aca="false">IF(OR(Tasks[[#This Row],[Task Name]]="",Tasks[[#This Row],[Baseline Cost]]=""),"",Tasks[[#This Row],[Cost]]-N(Tasks[[#This Row],[Baseline Cost]]))</f>
        <v/>
      </c>
      <c r="BB172" s="46" t="str">
        <f aca="false">IF(Tasks[[#This Row],[Task Name]]="","",MAX(1,N(Tasks[[#This Row],[Level]])))</f>
        <v/>
      </c>
      <c r="BC172" s="46" t="n">
        <f aca="false">ROW()-ROW(Tasks[[#Headers],[ID]])</f>
        <v>167</v>
      </c>
      <c r="BD1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2" s="46" t="n">
        <f aca="false">IFERROR(N(INDEX(Tasks[_Level],Tasks[[#This Row],[_Row]]+1)),0)</f>
        <v>0</v>
      </c>
      <c r="BF172" s="47" t="b">
        <f aca="false">AND(Tasks[[#This Row],[Task Name]]&lt;&gt;"",Tasks[[#This Row],[_NextLevel]]&gt;Tasks[[#This Row],[_Level]])</f>
        <v>0</v>
      </c>
      <c r="BG172" s="46" t="n">
        <f aca="false">IF(Tasks[[#This Row],[_IsSummary]],COUNTIF(Tasks[WBS],Tasks[[#This Row],[WBS]]&amp;".*"),0)</f>
        <v>0</v>
      </c>
      <c r="BH172" s="46" t="n">
        <f aca="false">IF(AND(Tasks[[#This Row],[Task Name]]&lt;&gt;"",NOT(Tasks[[#This Row],[_IsSummary]])),1,0)</f>
        <v>0</v>
      </c>
      <c r="BI172" s="46" t="n">
        <f aca="false">IF(N(Tasks[[#This Row],[Pred1 UID]])=0,0,IFERROR(MATCH(Tasks[[#This Row],[Pred1 UID]],Tasks[UID],0),-1))</f>
        <v>0</v>
      </c>
      <c r="BJ172" s="46" t="n">
        <f aca="false">IF(N(Tasks[[#This Row],[Pred2 UID]])=0,0,IFERROR(MATCH(Tasks[[#This Row],[Pred2 UID]],Tasks[UID],0),-1))</f>
        <v>0</v>
      </c>
      <c r="BK17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2" s="46" t="n">
        <f aca="false">IF(NOT(Tasks[[#This Row],[_IsLeaf]]=1),0,IF(N(Tasks[[#This Row],[Actual Finish]])&gt;0,1,MIN(1,N(Tasks[[#This Row],[% Complete]]))))</f>
        <v>0</v>
      </c>
      <c r="BP17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2" s="46" t="n">
        <f aca="false">IF(Tasks[[#This Row],[_LeafWork]]=0,0,Tasks[[#This Row],[_LeafWork]]*IFERROR(INDEX(res_Rate,MATCH(Tasks[[#This Row],[Resource]],res_Name,0)),0))</f>
        <v>0</v>
      </c>
      <c r="BR17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2" s="46" t="n">
        <f aca="false">IF(NOT(Tasks[[#This Row],[_IsLeaf]]=1),0,MAX(_xlfn.MAXIFS(Tasks[_Row],Tasks[Pred1 UID],Tasks[[#This Row],[UID]]),_xlfn.MAXIFS(Tasks[_Row],Tasks[Pred2 UID],Tasks[[#This Row],[UID]])))</f>
        <v>0</v>
      </c>
      <c r="BW17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2" s="48" t="str">
        <f aca="false">IF(NOT(Tasks[[#This Row],[_IsLeaf]]=1),"",MIN(ProjectFinish,IF(N(Tasks[[#This Row],[Deadline]])&gt;0,Tasks[[#This Row],[Deadline]],2958465),Tasks[[#This Row],[_SuccessorFinishLimit]]))</f>
        <v/>
      </c>
      <c r="BY17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2" s="47" t="b">
        <f aca="false">AND(Tasks[[#This Row],[_IsLeaf]]=1,Tasks[[#This Row],[_LeafProgress]]&lt;1,N(Tasks[[#This Row],[_LeafTotalSlack]])&lt;=CriticalSlackDays)</f>
        <v>0</v>
      </c>
      <c r="CB17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2" s="46" t="n">
        <f aca="false">IF(AND(Tasks[[#This Row],[_IsLeaf]]=1,Tasks[[#This Row],[_LeafWork]]&gt;0),NETWORKDAYS.INTL(ProjectStart,Tasks[[#This Row],[_LeafFcstStart]],WorkWeek,Holidays),0)</f>
        <v>0</v>
      </c>
      <c r="CK17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2" s="46" t="n">
        <f aca="false">IF(AND(Tasks[[#This Row],[_IsLeaf]]=1,Tasks[[#This Row],[_LeafWork]]&gt;0),Tasks[[#This Row],[_LeafWork]]/(Tasks[[#This Row],[_FinishWorkday]]-Tasks[[#This Row],[_StartWorkday]]+1),0)</f>
        <v>0</v>
      </c>
      <c r="CM172" s="46" t="n">
        <f aca="false">Tasks[[#This Row],[_WorkPerWorkday]]*(Tasks[[#This Row],[_StartWorkday]]-1)</f>
        <v>-0</v>
      </c>
      <c r="CN172" s="46" t="n">
        <f aca="false">IF(Tasks[[#This Row],[_IsLeaf]]=1,MAX(N(Tasks[[#This Row],[Duration]]),0.1),0)</f>
        <v>0</v>
      </c>
      <c r="CO172" s="46" t="n">
        <f aca="false">Tasks[[#This Row],[_WeightDur]]*Tasks[[#This Row],[_LeafProgress]]</f>
        <v>0</v>
      </c>
      <c r="CP17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39"/>
      <c r="E173" s="40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3" s="31"/>
      <c r="AF17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3" s="40"/>
      <c r="AI173" s="31"/>
      <c r="AJ17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3" s="40"/>
      <c r="AO173" s="24" t="str">
        <f aca="false">IF(Tasks[[#This Row],[Task Name]]="","",Tasks[[#This Row],[Forecast Start]])</f>
        <v/>
      </c>
      <c r="AP173" s="24" t="str">
        <f aca="false">IF(Tasks[[#This Row],[Task Name]]="","",Tasks[[#This Row],[Forecast Finish]])</f>
        <v/>
      </c>
      <c r="AQ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3" s="42" t="str">
        <f aca="false">IF(Tasks[[#This Row],[Task Name]]="","",Tasks[[#This Row],[Work]])</f>
        <v/>
      </c>
      <c r="AS173" s="43" t="str">
        <f aca="false">IF(Tasks[[#This Row],[Task Name]]="","",Tasks[[#This Row],[Cost]])</f>
        <v/>
      </c>
      <c r="AT173" s="29"/>
      <c r="AU173" s="29"/>
      <c r="AV173" s="39"/>
      <c r="AW173" s="44"/>
      <c r="AX173" s="45"/>
      <c r="AY173" s="38" t="str">
        <f aca="false">IF(OR(Tasks[[#This Row],[Task Name]]="",Tasks[[#This Row],[Baseline Duration]]=""),"",Tasks[[#This Row],[BL Source Duration]]-N(Tasks[[#This Row],[Baseline Duration]]))</f>
        <v/>
      </c>
      <c r="AZ173" s="42" t="str">
        <f aca="false">IF(OR(Tasks[[#This Row],[Task Name]]="",Tasks[[#This Row],[Baseline Work]]=""),"",Tasks[[#This Row],[Work]]-N(Tasks[[#This Row],[Baseline Work]]))</f>
        <v/>
      </c>
      <c r="BA173" s="43" t="str">
        <f aca="false">IF(OR(Tasks[[#This Row],[Task Name]]="",Tasks[[#This Row],[Baseline Cost]]=""),"",Tasks[[#This Row],[Cost]]-N(Tasks[[#This Row],[Baseline Cost]]))</f>
        <v/>
      </c>
      <c r="BB173" s="46" t="str">
        <f aca="false">IF(Tasks[[#This Row],[Task Name]]="","",MAX(1,N(Tasks[[#This Row],[Level]])))</f>
        <v/>
      </c>
      <c r="BC173" s="46" t="n">
        <f aca="false">ROW()-ROW(Tasks[[#Headers],[ID]])</f>
        <v>168</v>
      </c>
      <c r="BD1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3" s="46" t="n">
        <f aca="false">IFERROR(N(INDEX(Tasks[_Level],Tasks[[#This Row],[_Row]]+1)),0)</f>
        <v>0</v>
      </c>
      <c r="BF173" s="47" t="b">
        <f aca="false">AND(Tasks[[#This Row],[Task Name]]&lt;&gt;"",Tasks[[#This Row],[_NextLevel]]&gt;Tasks[[#This Row],[_Level]])</f>
        <v>0</v>
      </c>
      <c r="BG173" s="46" t="n">
        <f aca="false">IF(Tasks[[#This Row],[_IsSummary]],COUNTIF(Tasks[WBS],Tasks[[#This Row],[WBS]]&amp;".*"),0)</f>
        <v>0</v>
      </c>
      <c r="BH173" s="46" t="n">
        <f aca="false">IF(AND(Tasks[[#This Row],[Task Name]]&lt;&gt;"",NOT(Tasks[[#This Row],[_IsSummary]])),1,0)</f>
        <v>0</v>
      </c>
      <c r="BI173" s="46" t="n">
        <f aca="false">IF(N(Tasks[[#This Row],[Pred1 UID]])=0,0,IFERROR(MATCH(Tasks[[#This Row],[Pred1 UID]],Tasks[UID],0),-1))</f>
        <v>0</v>
      </c>
      <c r="BJ173" s="46" t="n">
        <f aca="false">IF(N(Tasks[[#This Row],[Pred2 UID]])=0,0,IFERROR(MATCH(Tasks[[#This Row],[Pred2 UID]],Tasks[UID],0),-1))</f>
        <v>0</v>
      </c>
      <c r="BK17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3" s="46" t="n">
        <f aca="false">IF(NOT(Tasks[[#This Row],[_IsLeaf]]=1),0,IF(N(Tasks[[#This Row],[Actual Finish]])&gt;0,1,MIN(1,N(Tasks[[#This Row],[% Complete]]))))</f>
        <v>0</v>
      </c>
      <c r="BP17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3" s="46" t="n">
        <f aca="false">IF(Tasks[[#This Row],[_LeafWork]]=0,0,Tasks[[#This Row],[_LeafWork]]*IFERROR(INDEX(res_Rate,MATCH(Tasks[[#This Row],[Resource]],res_Name,0)),0))</f>
        <v>0</v>
      </c>
      <c r="BR17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3" s="46" t="n">
        <f aca="false">IF(NOT(Tasks[[#This Row],[_IsLeaf]]=1),0,MAX(_xlfn.MAXIFS(Tasks[_Row],Tasks[Pred1 UID],Tasks[[#This Row],[UID]]),_xlfn.MAXIFS(Tasks[_Row],Tasks[Pred2 UID],Tasks[[#This Row],[UID]])))</f>
        <v>0</v>
      </c>
      <c r="BW17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3" s="48" t="str">
        <f aca="false">IF(NOT(Tasks[[#This Row],[_IsLeaf]]=1),"",MIN(ProjectFinish,IF(N(Tasks[[#This Row],[Deadline]])&gt;0,Tasks[[#This Row],[Deadline]],2958465),Tasks[[#This Row],[_SuccessorFinishLimit]]))</f>
        <v/>
      </c>
      <c r="BY17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3" s="47" t="b">
        <f aca="false">AND(Tasks[[#This Row],[_IsLeaf]]=1,Tasks[[#This Row],[_LeafProgress]]&lt;1,N(Tasks[[#This Row],[_LeafTotalSlack]])&lt;=CriticalSlackDays)</f>
        <v>0</v>
      </c>
      <c r="CB17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3" s="46" t="n">
        <f aca="false">IF(AND(Tasks[[#This Row],[_IsLeaf]]=1,Tasks[[#This Row],[_LeafWork]]&gt;0),NETWORKDAYS.INTL(ProjectStart,Tasks[[#This Row],[_LeafFcstStart]],WorkWeek,Holidays),0)</f>
        <v>0</v>
      </c>
      <c r="CK17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3" s="46" t="n">
        <f aca="false">IF(AND(Tasks[[#This Row],[_IsLeaf]]=1,Tasks[[#This Row],[_LeafWork]]&gt;0),Tasks[[#This Row],[_LeafWork]]/(Tasks[[#This Row],[_FinishWorkday]]-Tasks[[#This Row],[_StartWorkday]]+1),0)</f>
        <v>0</v>
      </c>
      <c r="CM173" s="46" t="n">
        <f aca="false">Tasks[[#This Row],[_WorkPerWorkday]]*(Tasks[[#This Row],[_StartWorkday]]-1)</f>
        <v>-0</v>
      </c>
      <c r="CN173" s="46" t="n">
        <f aca="false">IF(Tasks[[#This Row],[_IsLeaf]]=1,MAX(N(Tasks[[#This Row],[Duration]]),0.1),0)</f>
        <v>0</v>
      </c>
      <c r="CO173" s="46" t="n">
        <f aca="false">Tasks[[#This Row],[_WeightDur]]*Tasks[[#This Row],[_LeafProgress]]</f>
        <v>0</v>
      </c>
      <c r="CP17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39"/>
      <c r="E174" s="40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4" s="31"/>
      <c r="AF17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4" s="40"/>
      <c r="AI174" s="31"/>
      <c r="AJ17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4" s="40"/>
      <c r="AO174" s="24" t="str">
        <f aca="false">IF(Tasks[[#This Row],[Task Name]]="","",Tasks[[#This Row],[Forecast Start]])</f>
        <v/>
      </c>
      <c r="AP174" s="24" t="str">
        <f aca="false">IF(Tasks[[#This Row],[Task Name]]="","",Tasks[[#This Row],[Forecast Finish]])</f>
        <v/>
      </c>
      <c r="AQ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4" s="42" t="str">
        <f aca="false">IF(Tasks[[#This Row],[Task Name]]="","",Tasks[[#This Row],[Work]])</f>
        <v/>
      </c>
      <c r="AS174" s="43" t="str">
        <f aca="false">IF(Tasks[[#This Row],[Task Name]]="","",Tasks[[#This Row],[Cost]])</f>
        <v/>
      </c>
      <c r="AT174" s="29"/>
      <c r="AU174" s="29"/>
      <c r="AV174" s="39"/>
      <c r="AW174" s="44"/>
      <c r="AX174" s="45"/>
      <c r="AY174" s="38" t="str">
        <f aca="false">IF(OR(Tasks[[#This Row],[Task Name]]="",Tasks[[#This Row],[Baseline Duration]]=""),"",Tasks[[#This Row],[BL Source Duration]]-N(Tasks[[#This Row],[Baseline Duration]]))</f>
        <v/>
      </c>
      <c r="AZ174" s="42" t="str">
        <f aca="false">IF(OR(Tasks[[#This Row],[Task Name]]="",Tasks[[#This Row],[Baseline Work]]=""),"",Tasks[[#This Row],[Work]]-N(Tasks[[#This Row],[Baseline Work]]))</f>
        <v/>
      </c>
      <c r="BA174" s="43" t="str">
        <f aca="false">IF(OR(Tasks[[#This Row],[Task Name]]="",Tasks[[#This Row],[Baseline Cost]]=""),"",Tasks[[#This Row],[Cost]]-N(Tasks[[#This Row],[Baseline Cost]]))</f>
        <v/>
      </c>
      <c r="BB174" s="46" t="str">
        <f aca="false">IF(Tasks[[#This Row],[Task Name]]="","",MAX(1,N(Tasks[[#This Row],[Level]])))</f>
        <v/>
      </c>
      <c r="BC174" s="46" t="n">
        <f aca="false">ROW()-ROW(Tasks[[#Headers],[ID]])</f>
        <v>169</v>
      </c>
      <c r="BD1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4" s="46" t="n">
        <f aca="false">IFERROR(N(INDEX(Tasks[_Level],Tasks[[#This Row],[_Row]]+1)),0)</f>
        <v>0</v>
      </c>
      <c r="BF174" s="47" t="b">
        <f aca="false">AND(Tasks[[#This Row],[Task Name]]&lt;&gt;"",Tasks[[#This Row],[_NextLevel]]&gt;Tasks[[#This Row],[_Level]])</f>
        <v>0</v>
      </c>
      <c r="BG174" s="46" t="n">
        <f aca="false">IF(Tasks[[#This Row],[_IsSummary]],COUNTIF(Tasks[WBS],Tasks[[#This Row],[WBS]]&amp;".*"),0)</f>
        <v>0</v>
      </c>
      <c r="BH174" s="46" t="n">
        <f aca="false">IF(AND(Tasks[[#This Row],[Task Name]]&lt;&gt;"",NOT(Tasks[[#This Row],[_IsSummary]])),1,0)</f>
        <v>0</v>
      </c>
      <c r="BI174" s="46" t="n">
        <f aca="false">IF(N(Tasks[[#This Row],[Pred1 UID]])=0,0,IFERROR(MATCH(Tasks[[#This Row],[Pred1 UID]],Tasks[UID],0),-1))</f>
        <v>0</v>
      </c>
      <c r="BJ174" s="46" t="n">
        <f aca="false">IF(N(Tasks[[#This Row],[Pred2 UID]])=0,0,IFERROR(MATCH(Tasks[[#This Row],[Pred2 UID]],Tasks[UID],0),-1))</f>
        <v>0</v>
      </c>
      <c r="BK17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4" s="46" t="n">
        <f aca="false">IF(NOT(Tasks[[#This Row],[_IsLeaf]]=1),0,IF(N(Tasks[[#This Row],[Actual Finish]])&gt;0,1,MIN(1,N(Tasks[[#This Row],[% Complete]]))))</f>
        <v>0</v>
      </c>
      <c r="BP17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4" s="46" t="n">
        <f aca="false">IF(Tasks[[#This Row],[_LeafWork]]=0,0,Tasks[[#This Row],[_LeafWork]]*IFERROR(INDEX(res_Rate,MATCH(Tasks[[#This Row],[Resource]],res_Name,0)),0))</f>
        <v>0</v>
      </c>
      <c r="BR17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4" s="46" t="n">
        <f aca="false">IF(NOT(Tasks[[#This Row],[_IsLeaf]]=1),0,MAX(_xlfn.MAXIFS(Tasks[_Row],Tasks[Pred1 UID],Tasks[[#This Row],[UID]]),_xlfn.MAXIFS(Tasks[_Row],Tasks[Pred2 UID],Tasks[[#This Row],[UID]])))</f>
        <v>0</v>
      </c>
      <c r="BW17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4" s="48" t="str">
        <f aca="false">IF(NOT(Tasks[[#This Row],[_IsLeaf]]=1),"",MIN(ProjectFinish,IF(N(Tasks[[#This Row],[Deadline]])&gt;0,Tasks[[#This Row],[Deadline]],2958465),Tasks[[#This Row],[_SuccessorFinishLimit]]))</f>
        <v/>
      </c>
      <c r="BY17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4" s="47" t="b">
        <f aca="false">AND(Tasks[[#This Row],[_IsLeaf]]=1,Tasks[[#This Row],[_LeafProgress]]&lt;1,N(Tasks[[#This Row],[_LeafTotalSlack]])&lt;=CriticalSlackDays)</f>
        <v>0</v>
      </c>
      <c r="CB17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4" s="46" t="n">
        <f aca="false">IF(AND(Tasks[[#This Row],[_IsLeaf]]=1,Tasks[[#This Row],[_LeafWork]]&gt;0),NETWORKDAYS.INTL(ProjectStart,Tasks[[#This Row],[_LeafFcstStart]],WorkWeek,Holidays),0)</f>
        <v>0</v>
      </c>
      <c r="CK17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4" s="46" t="n">
        <f aca="false">IF(AND(Tasks[[#This Row],[_IsLeaf]]=1,Tasks[[#This Row],[_LeafWork]]&gt;0),Tasks[[#This Row],[_LeafWork]]/(Tasks[[#This Row],[_FinishWorkday]]-Tasks[[#This Row],[_StartWorkday]]+1),0)</f>
        <v>0</v>
      </c>
      <c r="CM174" s="46" t="n">
        <f aca="false">Tasks[[#This Row],[_WorkPerWorkday]]*(Tasks[[#This Row],[_StartWorkday]]-1)</f>
        <v>-0</v>
      </c>
      <c r="CN174" s="46" t="n">
        <f aca="false">IF(Tasks[[#This Row],[_IsLeaf]]=1,MAX(N(Tasks[[#This Row],[Duration]]),0.1),0)</f>
        <v>0</v>
      </c>
      <c r="CO174" s="46" t="n">
        <f aca="false">Tasks[[#This Row],[_WeightDur]]*Tasks[[#This Row],[_LeafProgress]]</f>
        <v>0</v>
      </c>
      <c r="CP17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39"/>
      <c r="E175" s="40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5" s="31"/>
      <c r="AF17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5" s="40"/>
      <c r="AI175" s="31"/>
      <c r="AJ17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5" s="40"/>
      <c r="AO175" s="24" t="str">
        <f aca="false">IF(Tasks[[#This Row],[Task Name]]="","",Tasks[[#This Row],[Forecast Start]])</f>
        <v/>
      </c>
      <c r="AP175" s="24" t="str">
        <f aca="false">IF(Tasks[[#This Row],[Task Name]]="","",Tasks[[#This Row],[Forecast Finish]])</f>
        <v/>
      </c>
      <c r="AQ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5" s="42" t="str">
        <f aca="false">IF(Tasks[[#This Row],[Task Name]]="","",Tasks[[#This Row],[Work]])</f>
        <v/>
      </c>
      <c r="AS175" s="43" t="str">
        <f aca="false">IF(Tasks[[#This Row],[Task Name]]="","",Tasks[[#This Row],[Cost]])</f>
        <v/>
      </c>
      <c r="AT175" s="29"/>
      <c r="AU175" s="29"/>
      <c r="AV175" s="39"/>
      <c r="AW175" s="44"/>
      <c r="AX175" s="45"/>
      <c r="AY175" s="38" t="str">
        <f aca="false">IF(OR(Tasks[[#This Row],[Task Name]]="",Tasks[[#This Row],[Baseline Duration]]=""),"",Tasks[[#This Row],[BL Source Duration]]-N(Tasks[[#This Row],[Baseline Duration]]))</f>
        <v/>
      </c>
      <c r="AZ175" s="42" t="str">
        <f aca="false">IF(OR(Tasks[[#This Row],[Task Name]]="",Tasks[[#This Row],[Baseline Work]]=""),"",Tasks[[#This Row],[Work]]-N(Tasks[[#This Row],[Baseline Work]]))</f>
        <v/>
      </c>
      <c r="BA175" s="43" t="str">
        <f aca="false">IF(OR(Tasks[[#This Row],[Task Name]]="",Tasks[[#This Row],[Baseline Cost]]=""),"",Tasks[[#This Row],[Cost]]-N(Tasks[[#This Row],[Baseline Cost]]))</f>
        <v/>
      </c>
      <c r="BB175" s="46" t="str">
        <f aca="false">IF(Tasks[[#This Row],[Task Name]]="","",MAX(1,N(Tasks[[#This Row],[Level]])))</f>
        <v/>
      </c>
      <c r="BC175" s="46" t="n">
        <f aca="false">ROW()-ROW(Tasks[[#Headers],[ID]])</f>
        <v>170</v>
      </c>
      <c r="BD1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5" s="46" t="n">
        <f aca="false">IFERROR(N(INDEX(Tasks[_Level],Tasks[[#This Row],[_Row]]+1)),0)</f>
        <v>0</v>
      </c>
      <c r="BF175" s="47" t="b">
        <f aca="false">AND(Tasks[[#This Row],[Task Name]]&lt;&gt;"",Tasks[[#This Row],[_NextLevel]]&gt;Tasks[[#This Row],[_Level]])</f>
        <v>0</v>
      </c>
      <c r="BG175" s="46" t="n">
        <f aca="false">IF(Tasks[[#This Row],[_IsSummary]],COUNTIF(Tasks[WBS],Tasks[[#This Row],[WBS]]&amp;".*"),0)</f>
        <v>0</v>
      </c>
      <c r="BH175" s="46" t="n">
        <f aca="false">IF(AND(Tasks[[#This Row],[Task Name]]&lt;&gt;"",NOT(Tasks[[#This Row],[_IsSummary]])),1,0)</f>
        <v>0</v>
      </c>
      <c r="BI175" s="46" t="n">
        <f aca="false">IF(N(Tasks[[#This Row],[Pred1 UID]])=0,0,IFERROR(MATCH(Tasks[[#This Row],[Pred1 UID]],Tasks[UID],0),-1))</f>
        <v>0</v>
      </c>
      <c r="BJ175" s="46" t="n">
        <f aca="false">IF(N(Tasks[[#This Row],[Pred2 UID]])=0,0,IFERROR(MATCH(Tasks[[#This Row],[Pred2 UID]],Tasks[UID],0),-1))</f>
        <v>0</v>
      </c>
      <c r="BK17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5" s="46" t="n">
        <f aca="false">IF(NOT(Tasks[[#This Row],[_IsLeaf]]=1),0,IF(N(Tasks[[#This Row],[Actual Finish]])&gt;0,1,MIN(1,N(Tasks[[#This Row],[% Complete]]))))</f>
        <v>0</v>
      </c>
      <c r="BP17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5" s="46" t="n">
        <f aca="false">IF(Tasks[[#This Row],[_LeafWork]]=0,0,Tasks[[#This Row],[_LeafWork]]*IFERROR(INDEX(res_Rate,MATCH(Tasks[[#This Row],[Resource]],res_Name,0)),0))</f>
        <v>0</v>
      </c>
      <c r="BR17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5" s="46" t="n">
        <f aca="false">IF(NOT(Tasks[[#This Row],[_IsLeaf]]=1),0,MAX(_xlfn.MAXIFS(Tasks[_Row],Tasks[Pred1 UID],Tasks[[#This Row],[UID]]),_xlfn.MAXIFS(Tasks[_Row],Tasks[Pred2 UID],Tasks[[#This Row],[UID]])))</f>
        <v>0</v>
      </c>
      <c r="BW17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5" s="48" t="str">
        <f aca="false">IF(NOT(Tasks[[#This Row],[_IsLeaf]]=1),"",MIN(ProjectFinish,IF(N(Tasks[[#This Row],[Deadline]])&gt;0,Tasks[[#This Row],[Deadline]],2958465),Tasks[[#This Row],[_SuccessorFinishLimit]]))</f>
        <v/>
      </c>
      <c r="BY17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5" s="47" t="b">
        <f aca="false">AND(Tasks[[#This Row],[_IsLeaf]]=1,Tasks[[#This Row],[_LeafProgress]]&lt;1,N(Tasks[[#This Row],[_LeafTotalSlack]])&lt;=CriticalSlackDays)</f>
        <v>0</v>
      </c>
      <c r="CB17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5" s="46" t="n">
        <f aca="false">IF(AND(Tasks[[#This Row],[_IsLeaf]]=1,Tasks[[#This Row],[_LeafWork]]&gt;0),NETWORKDAYS.INTL(ProjectStart,Tasks[[#This Row],[_LeafFcstStart]],WorkWeek,Holidays),0)</f>
        <v>0</v>
      </c>
      <c r="CK17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5" s="46" t="n">
        <f aca="false">IF(AND(Tasks[[#This Row],[_IsLeaf]]=1,Tasks[[#This Row],[_LeafWork]]&gt;0),Tasks[[#This Row],[_LeafWork]]/(Tasks[[#This Row],[_FinishWorkday]]-Tasks[[#This Row],[_StartWorkday]]+1),0)</f>
        <v>0</v>
      </c>
      <c r="CM175" s="46" t="n">
        <f aca="false">Tasks[[#This Row],[_WorkPerWorkday]]*(Tasks[[#This Row],[_StartWorkday]]-1)</f>
        <v>-0</v>
      </c>
      <c r="CN175" s="46" t="n">
        <f aca="false">IF(Tasks[[#This Row],[_IsLeaf]]=1,MAX(N(Tasks[[#This Row],[Duration]]),0.1),0)</f>
        <v>0</v>
      </c>
      <c r="CO175" s="46" t="n">
        <f aca="false">Tasks[[#This Row],[_WeightDur]]*Tasks[[#This Row],[_LeafProgress]]</f>
        <v>0</v>
      </c>
      <c r="CP17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39"/>
      <c r="E176" s="40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6" s="31"/>
      <c r="AF17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6" s="40"/>
      <c r="AI176" s="31"/>
      <c r="AJ17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6" s="40"/>
      <c r="AO176" s="24" t="str">
        <f aca="false">IF(Tasks[[#This Row],[Task Name]]="","",Tasks[[#This Row],[Forecast Start]])</f>
        <v/>
      </c>
      <c r="AP176" s="24" t="str">
        <f aca="false">IF(Tasks[[#This Row],[Task Name]]="","",Tasks[[#This Row],[Forecast Finish]])</f>
        <v/>
      </c>
      <c r="AQ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6" s="42" t="str">
        <f aca="false">IF(Tasks[[#This Row],[Task Name]]="","",Tasks[[#This Row],[Work]])</f>
        <v/>
      </c>
      <c r="AS176" s="43" t="str">
        <f aca="false">IF(Tasks[[#This Row],[Task Name]]="","",Tasks[[#This Row],[Cost]])</f>
        <v/>
      </c>
      <c r="AT176" s="29"/>
      <c r="AU176" s="29"/>
      <c r="AV176" s="39"/>
      <c r="AW176" s="44"/>
      <c r="AX176" s="45"/>
      <c r="AY176" s="38" t="str">
        <f aca="false">IF(OR(Tasks[[#This Row],[Task Name]]="",Tasks[[#This Row],[Baseline Duration]]=""),"",Tasks[[#This Row],[BL Source Duration]]-N(Tasks[[#This Row],[Baseline Duration]]))</f>
        <v/>
      </c>
      <c r="AZ176" s="42" t="str">
        <f aca="false">IF(OR(Tasks[[#This Row],[Task Name]]="",Tasks[[#This Row],[Baseline Work]]=""),"",Tasks[[#This Row],[Work]]-N(Tasks[[#This Row],[Baseline Work]]))</f>
        <v/>
      </c>
      <c r="BA176" s="43" t="str">
        <f aca="false">IF(OR(Tasks[[#This Row],[Task Name]]="",Tasks[[#This Row],[Baseline Cost]]=""),"",Tasks[[#This Row],[Cost]]-N(Tasks[[#This Row],[Baseline Cost]]))</f>
        <v/>
      </c>
      <c r="BB176" s="46" t="str">
        <f aca="false">IF(Tasks[[#This Row],[Task Name]]="","",MAX(1,N(Tasks[[#This Row],[Level]])))</f>
        <v/>
      </c>
      <c r="BC176" s="46" t="n">
        <f aca="false">ROW()-ROW(Tasks[[#Headers],[ID]])</f>
        <v>171</v>
      </c>
      <c r="BD1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6" s="46" t="n">
        <f aca="false">IFERROR(N(INDEX(Tasks[_Level],Tasks[[#This Row],[_Row]]+1)),0)</f>
        <v>0</v>
      </c>
      <c r="BF176" s="47" t="b">
        <f aca="false">AND(Tasks[[#This Row],[Task Name]]&lt;&gt;"",Tasks[[#This Row],[_NextLevel]]&gt;Tasks[[#This Row],[_Level]])</f>
        <v>0</v>
      </c>
      <c r="BG176" s="46" t="n">
        <f aca="false">IF(Tasks[[#This Row],[_IsSummary]],COUNTIF(Tasks[WBS],Tasks[[#This Row],[WBS]]&amp;".*"),0)</f>
        <v>0</v>
      </c>
      <c r="BH176" s="46" t="n">
        <f aca="false">IF(AND(Tasks[[#This Row],[Task Name]]&lt;&gt;"",NOT(Tasks[[#This Row],[_IsSummary]])),1,0)</f>
        <v>0</v>
      </c>
      <c r="BI176" s="46" t="n">
        <f aca="false">IF(N(Tasks[[#This Row],[Pred1 UID]])=0,0,IFERROR(MATCH(Tasks[[#This Row],[Pred1 UID]],Tasks[UID],0),-1))</f>
        <v>0</v>
      </c>
      <c r="BJ176" s="46" t="n">
        <f aca="false">IF(N(Tasks[[#This Row],[Pred2 UID]])=0,0,IFERROR(MATCH(Tasks[[#This Row],[Pred2 UID]],Tasks[UID],0),-1))</f>
        <v>0</v>
      </c>
      <c r="BK17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6" s="46" t="n">
        <f aca="false">IF(NOT(Tasks[[#This Row],[_IsLeaf]]=1),0,IF(N(Tasks[[#This Row],[Actual Finish]])&gt;0,1,MIN(1,N(Tasks[[#This Row],[% Complete]]))))</f>
        <v>0</v>
      </c>
      <c r="BP17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6" s="46" t="n">
        <f aca="false">IF(Tasks[[#This Row],[_LeafWork]]=0,0,Tasks[[#This Row],[_LeafWork]]*IFERROR(INDEX(res_Rate,MATCH(Tasks[[#This Row],[Resource]],res_Name,0)),0))</f>
        <v>0</v>
      </c>
      <c r="BR17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6" s="46" t="n">
        <f aca="false">IF(NOT(Tasks[[#This Row],[_IsLeaf]]=1),0,MAX(_xlfn.MAXIFS(Tasks[_Row],Tasks[Pred1 UID],Tasks[[#This Row],[UID]]),_xlfn.MAXIFS(Tasks[_Row],Tasks[Pred2 UID],Tasks[[#This Row],[UID]])))</f>
        <v>0</v>
      </c>
      <c r="BW17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6" s="48" t="str">
        <f aca="false">IF(NOT(Tasks[[#This Row],[_IsLeaf]]=1),"",MIN(ProjectFinish,IF(N(Tasks[[#This Row],[Deadline]])&gt;0,Tasks[[#This Row],[Deadline]],2958465),Tasks[[#This Row],[_SuccessorFinishLimit]]))</f>
        <v/>
      </c>
      <c r="BY17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6" s="47" t="b">
        <f aca="false">AND(Tasks[[#This Row],[_IsLeaf]]=1,Tasks[[#This Row],[_LeafProgress]]&lt;1,N(Tasks[[#This Row],[_LeafTotalSlack]])&lt;=CriticalSlackDays)</f>
        <v>0</v>
      </c>
      <c r="CB17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6" s="46" t="n">
        <f aca="false">IF(AND(Tasks[[#This Row],[_IsLeaf]]=1,Tasks[[#This Row],[_LeafWork]]&gt;0),NETWORKDAYS.INTL(ProjectStart,Tasks[[#This Row],[_LeafFcstStart]],WorkWeek,Holidays),0)</f>
        <v>0</v>
      </c>
      <c r="CK17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6" s="46" t="n">
        <f aca="false">IF(AND(Tasks[[#This Row],[_IsLeaf]]=1,Tasks[[#This Row],[_LeafWork]]&gt;0),Tasks[[#This Row],[_LeafWork]]/(Tasks[[#This Row],[_FinishWorkday]]-Tasks[[#This Row],[_StartWorkday]]+1),0)</f>
        <v>0</v>
      </c>
      <c r="CM176" s="46" t="n">
        <f aca="false">Tasks[[#This Row],[_WorkPerWorkday]]*(Tasks[[#This Row],[_StartWorkday]]-1)</f>
        <v>-0</v>
      </c>
      <c r="CN176" s="46" t="n">
        <f aca="false">IF(Tasks[[#This Row],[_IsLeaf]]=1,MAX(N(Tasks[[#This Row],[Duration]]),0.1),0)</f>
        <v>0</v>
      </c>
      <c r="CO176" s="46" t="n">
        <f aca="false">Tasks[[#This Row],[_WeightDur]]*Tasks[[#This Row],[_LeafProgress]]</f>
        <v>0</v>
      </c>
      <c r="CP17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39"/>
      <c r="E177" s="40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7" s="31"/>
      <c r="AF17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7" s="40"/>
      <c r="AI177" s="31"/>
      <c r="AJ17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7" s="40"/>
      <c r="AO177" s="24" t="str">
        <f aca="false">IF(Tasks[[#This Row],[Task Name]]="","",Tasks[[#This Row],[Forecast Start]])</f>
        <v/>
      </c>
      <c r="AP177" s="24" t="str">
        <f aca="false">IF(Tasks[[#This Row],[Task Name]]="","",Tasks[[#This Row],[Forecast Finish]])</f>
        <v/>
      </c>
      <c r="AQ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7" s="42" t="str">
        <f aca="false">IF(Tasks[[#This Row],[Task Name]]="","",Tasks[[#This Row],[Work]])</f>
        <v/>
      </c>
      <c r="AS177" s="43" t="str">
        <f aca="false">IF(Tasks[[#This Row],[Task Name]]="","",Tasks[[#This Row],[Cost]])</f>
        <v/>
      </c>
      <c r="AT177" s="29"/>
      <c r="AU177" s="29"/>
      <c r="AV177" s="39"/>
      <c r="AW177" s="44"/>
      <c r="AX177" s="45"/>
      <c r="AY177" s="38" t="str">
        <f aca="false">IF(OR(Tasks[[#This Row],[Task Name]]="",Tasks[[#This Row],[Baseline Duration]]=""),"",Tasks[[#This Row],[BL Source Duration]]-N(Tasks[[#This Row],[Baseline Duration]]))</f>
        <v/>
      </c>
      <c r="AZ177" s="42" t="str">
        <f aca="false">IF(OR(Tasks[[#This Row],[Task Name]]="",Tasks[[#This Row],[Baseline Work]]=""),"",Tasks[[#This Row],[Work]]-N(Tasks[[#This Row],[Baseline Work]]))</f>
        <v/>
      </c>
      <c r="BA177" s="43" t="str">
        <f aca="false">IF(OR(Tasks[[#This Row],[Task Name]]="",Tasks[[#This Row],[Baseline Cost]]=""),"",Tasks[[#This Row],[Cost]]-N(Tasks[[#This Row],[Baseline Cost]]))</f>
        <v/>
      </c>
      <c r="BB177" s="46" t="str">
        <f aca="false">IF(Tasks[[#This Row],[Task Name]]="","",MAX(1,N(Tasks[[#This Row],[Level]])))</f>
        <v/>
      </c>
      <c r="BC177" s="46" t="n">
        <f aca="false">ROW()-ROW(Tasks[[#Headers],[ID]])</f>
        <v>172</v>
      </c>
      <c r="BD1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7" s="46" t="n">
        <f aca="false">IFERROR(N(INDEX(Tasks[_Level],Tasks[[#This Row],[_Row]]+1)),0)</f>
        <v>0</v>
      </c>
      <c r="BF177" s="47" t="b">
        <f aca="false">AND(Tasks[[#This Row],[Task Name]]&lt;&gt;"",Tasks[[#This Row],[_NextLevel]]&gt;Tasks[[#This Row],[_Level]])</f>
        <v>0</v>
      </c>
      <c r="BG177" s="46" t="n">
        <f aca="false">IF(Tasks[[#This Row],[_IsSummary]],COUNTIF(Tasks[WBS],Tasks[[#This Row],[WBS]]&amp;".*"),0)</f>
        <v>0</v>
      </c>
      <c r="BH177" s="46" t="n">
        <f aca="false">IF(AND(Tasks[[#This Row],[Task Name]]&lt;&gt;"",NOT(Tasks[[#This Row],[_IsSummary]])),1,0)</f>
        <v>0</v>
      </c>
      <c r="BI177" s="46" t="n">
        <f aca="false">IF(N(Tasks[[#This Row],[Pred1 UID]])=0,0,IFERROR(MATCH(Tasks[[#This Row],[Pred1 UID]],Tasks[UID],0),-1))</f>
        <v>0</v>
      </c>
      <c r="BJ177" s="46" t="n">
        <f aca="false">IF(N(Tasks[[#This Row],[Pred2 UID]])=0,0,IFERROR(MATCH(Tasks[[#This Row],[Pred2 UID]],Tasks[UID],0),-1))</f>
        <v>0</v>
      </c>
      <c r="BK17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7" s="46" t="n">
        <f aca="false">IF(NOT(Tasks[[#This Row],[_IsLeaf]]=1),0,IF(N(Tasks[[#This Row],[Actual Finish]])&gt;0,1,MIN(1,N(Tasks[[#This Row],[% Complete]]))))</f>
        <v>0</v>
      </c>
      <c r="BP17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7" s="46" t="n">
        <f aca="false">IF(Tasks[[#This Row],[_LeafWork]]=0,0,Tasks[[#This Row],[_LeafWork]]*IFERROR(INDEX(res_Rate,MATCH(Tasks[[#This Row],[Resource]],res_Name,0)),0))</f>
        <v>0</v>
      </c>
      <c r="BR17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7" s="46" t="n">
        <f aca="false">IF(NOT(Tasks[[#This Row],[_IsLeaf]]=1),0,MAX(_xlfn.MAXIFS(Tasks[_Row],Tasks[Pred1 UID],Tasks[[#This Row],[UID]]),_xlfn.MAXIFS(Tasks[_Row],Tasks[Pred2 UID],Tasks[[#This Row],[UID]])))</f>
        <v>0</v>
      </c>
      <c r="BW17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7" s="48" t="str">
        <f aca="false">IF(NOT(Tasks[[#This Row],[_IsLeaf]]=1),"",MIN(ProjectFinish,IF(N(Tasks[[#This Row],[Deadline]])&gt;0,Tasks[[#This Row],[Deadline]],2958465),Tasks[[#This Row],[_SuccessorFinishLimit]]))</f>
        <v/>
      </c>
      <c r="BY17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7" s="47" t="b">
        <f aca="false">AND(Tasks[[#This Row],[_IsLeaf]]=1,Tasks[[#This Row],[_LeafProgress]]&lt;1,N(Tasks[[#This Row],[_LeafTotalSlack]])&lt;=CriticalSlackDays)</f>
        <v>0</v>
      </c>
      <c r="CB17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7" s="46" t="n">
        <f aca="false">IF(AND(Tasks[[#This Row],[_IsLeaf]]=1,Tasks[[#This Row],[_LeafWork]]&gt;0),NETWORKDAYS.INTL(ProjectStart,Tasks[[#This Row],[_LeafFcstStart]],WorkWeek,Holidays),0)</f>
        <v>0</v>
      </c>
      <c r="CK17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7" s="46" t="n">
        <f aca="false">IF(AND(Tasks[[#This Row],[_IsLeaf]]=1,Tasks[[#This Row],[_LeafWork]]&gt;0),Tasks[[#This Row],[_LeafWork]]/(Tasks[[#This Row],[_FinishWorkday]]-Tasks[[#This Row],[_StartWorkday]]+1),0)</f>
        <v>0</v>
      </c>
      <c r="CM177" s="46" t="n">
        <f aca="false">Tasks[[#This Row],[_WorkPerWorkday]]*(Tasks[[#This Row],[_StartWorkday]]-1)</f>
        <v>-0</v>
      </c>
      <c r="CN177" s="46" t="n">
        <f aca="false">IF(Tasks[[#This Row],[_IsLeaf]]=1,MAX(N(Tasks[[#This Row],[Duration]]),0.1),0)</f>
        <v>0</v>
      </c>
      <c r="CO177" s="46" t="n">
        <f aca="false">Tasks[[#This Row],[_WeightDur]]*Tasks[[#This Row],[_LeafProgress]]</f>
        <v>0</v>
      </c>
      <c r="CP17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39"/>
      <c r="E178" s="40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8" s="31"/>
      <c r="AF17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8" s="40"/>
      <c r="AI178" s="31"/>
      <c r="AJ17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8" s="40"/>
      <c r="AO178" s="24" t="str">
        <f aca="false">IF(Tasks[[#This Row],[Task Name]]="","",Tasks[[#This Row],[Forecast Start]])</f>
        <v/>
      </c>
      <c r="AP178" s="24" t="str">
        <f aca="false">IF(Tasks[[#This Row],[Task Name]]="","",Tasks[[#This Row],[Forecast Finish]])</f>
        <v/>
      </c>
      <c r="AQ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8" s="42" t="str">
        <f aca="false">IF(Tasks[[#This Row],[Task Name]]="","",Tasks[[#This Row],[Work]])</f>
        <v/>
      </c>
      <c r="AS178" s="43" t="str">
        <f aca="false">IF(Tasks[[#This Row],[Task Name]]="","",Tasks[[#This Row],[Cost]])</f>
        <v/>
      </c>
      <c r="AT178" s="29"/>
      <c r="AU178" s="29"/>
      <c r="AV178" s="39"/>
      <c r="AW178" s="44"/>
      <c r="AX178" s="45"/>
      <c r="AY178" s="38" t="str">
        <f aca="false">IF(OR(Tasks[[#This Row],[Task Name]]="",Tasks[[#This Row],[Baseline Duration]]=""),"",Tasks[[#This Row],[BL Source Duration]]-N(Tasks[[#This Row],[Baseline Duration]]))</f>
        <v/>
      </c>
      <c r="AZ178" s="42" t="str">
        <f aca="false">IF(OR(Tasks[[#This Row],[Task Name]]="",Tasks[[#This Row],[Baseline Work]]=""),"",Tasks[[#This Row],[Work]]-N(Tasks[[#This Row],[Baseline Work]]))</f>
        <v/>
      </c>
      <c r="BA178" s="43" t="str">
        <f aca="false">IF(OR(Tasks[[#This Row],[Task Name]]="",Tasks[[#This Row],[Baseline Cost]]=""),"",Tasks[[#This Row],[Cost]]-N(Tasks[[#This Row],[Baseline Cost]]))</f>
        <v/>
      </c>
      <c r="BB178" s="46" t="str">
        <f aca="false">IF(Tasks[[#This Row],[Task Name]]="","",MAX(1,N(Tasks[[#This Row],[Level]])))</f>
        <v/>
      </c>
      <c r="BC178" s="46" t="n">
        <f aca="false">ROW()-ROW(Tasks[[#Headers],[ID]])</f>
        <v>173</v>
      </c>
      <c r="BD1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8" s="46" t="n">
        <f aca="false">IFERROR(N(INDEX(Tasks[_Level],Tasks[[#This Row],[_Row]]+1)),0)</f>
        <v>0</v>
      </c>
      <c r="BF178" s="47" t="b">
        <f aca="false">AND(Tasks[[#This Row],[Task Name]]&lt;&gt;"",Tasks[[#This Row],[_NextLevel]]&gt;Tasks[[#This Row],[_Level]])</f>
        <v>0</v>
      </c>
      <c r="BG178" s="46" t="n">
        <f aca="false">IF(Tasks[[#This Row],[_IsSummary]],COUNTIF(Tasks[WBS],Tasks[[#This Row],[WBS]]&amp;".*"),0)</f>
        <v>0</v>
      </c>
      <c r="BH178" s="46" t="n">
        <f aca="false">IF(AND(Tasks[[#This Row],[Task Name]]&lt;&gt;"",NOT(Tasks[[#This Row],[_IsSummary]])),1,0)</f>
        <v>0</v>
      </c>
      <c r="BI178" s="46" t="n">
        <f aca="false">IF(N(Tasks[[#This Row],[Pred1 UID]])=0,0,IFERROR(MATCH(Tasks[[#This Row],[Pred1 UID]],Tasks[UID],0),-1))</f>
        <v>0</v>
      </c>
      <c r="BJ178" s="46" t="n">
        <f aca="false">IF(N(Tasks[[#This Row],[Pred2 UID]])=0,0,IFERROR(MATCH(Tasks[[#This Row],[Pred2 UID]],Tasks[UID],0),-1))</f>
        <v>0</v>
      </c>
      <c r="BK17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8" s="46" t="n">
        <f aca="false">IF(NOT(Tasks[[#This Row],[_IsLeaf]]=1),0,IF(N(Tasks[[#This Row],[Actual Finish]])&gt;0,1,MIN(1,N(Tasks[[#This Row],[% Complete]]))))</f>
        <v>0</v>
      </c>
      <c r="BP17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8" s="46" t="n">
        <f aca="false">IF(Tasks[[#This Row],[_LeafWork]]=0,0,Tasks[[#This Row],[_LeafWork]]*IFERROR(INDEX(res_Rate,MATCH(Tasks[[#This Row],[Resource]],res_Name,0)),0))</f>
        <v>0</v>
      </c>
      <c r="BR17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8" s="46" t="n">
        <f aca="false">IF(NOT(Tasks[[#This Row],[_IsLeaf]]=1),0,MAX(_xlfn.MAXIFS(Tasks[_Row],Tasks[Pred1 UID],Tasks[[#This Row],[UID]]),_xlfn.MAXIFS(Tasks[_Row],Tasks[Pred2 UID],Tasks[[#This Row],[UID]])))</f>
        <v>0</v>
      </c>
      <c r="BW17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8" s="48" t="str">
        <f aca="false">IF(NOT(Tasks[[#This Row],[_IsLeaf]]=1),"",MIN(ProjectFinish,IF(N(Tasks[[#This Row],[Deadline]])&gt;0,Tasks[[#This Row],[Deadline]],2958465),Tasks[[#This Row],[_SuccessorFinishLimit]]))</f>
        <v/>
      </c>
      <c r="BY17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8" s="47" t="b">
        <f aca="false">AND(Tasks[[#This Row],[_IsLeaf]]=1,Tasks[[#This Row],[_LeafProgress]]&lt;1,N(Tasks[[#This Row],[_LeafTotalSlack]])&lt;=CriticalSlackDays)</f>
        <v>0</v>
      </c>
      <c r="CB17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8" s="46" t="n">
        <f aca="false">IF(AND(Tasks[[#This Row],[_IsLeaf]]=1,Tasks[[#This Row],[_LeafWork]]&gt;0),NETWORKDAYS.INTL(ProjectStart,Tasks[[#This Row],[_LeafFcstStart]],WorkWeek,Holidays),0)</f>
        <v>0</v>
      </c>
      <c r="CK17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8" s="46" t="n">
        <f aca="false">IF(AND(Tasks[[#This Row],[_IsLeaf]]=1,Tasks[[#This Row],[_LeafWork]]&gt;0),Tasks[[#This Row],[_LeafWork]]/(Tasks[[#This Row],[_FinishWorkday]]-Tasks[[#This Row],[_StartWorkday]]+1),0)</f>
        <v>0</v>
      </c>
      <c r="CM178" s="46" t="n">
        <f aca="false">Tasks[[#This Row],[_WorkPerWorkday]]*(Tasks[[#This Row],[_StartWorkday]]-1)</f>
        <v>-0</v>
      </c>
      <c r="CN178" s="46" t="n">
        <f aca="false">IF(Tasks[[#This Row],[_IsLeaf]]=1,MAX(N(Tasks[[#This Row],[Duration]]),0.1),0)</f>
        <v>0</v>
      </c>
      <c r="CO178" s="46" t="n">
        <f aca="false">Tasks[[#This Row],[_WeightDur]]*Tasks[[#This Row],[_LeafProgress]]</f>
        <v>0</v>
      </c>
      <c r="CP17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39"/>
      <c r="E179" s="40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9" s="31"/>
      <c r="AF17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9" s="40"/>
      <c r="AI179" s="31"/>
      <c r="AJ17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9" s="40"/>
      <c r="AO179" s="24" t="str">
        <f aca="false">IF(Tasks[[#This Row],[Task Name]]="","",Tasks[[#This Row],[Forecast Start]])</f>
        <v/>
      </c>
      <c r="AP179" s="24" t="str">
        <f aca="false">IF(Tasks[[#This Row],[Task Name]]="","",Tasks[[#This Row],[Forecast Finish]])</f>
        <v/>
      </c>
      <c r="AQ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9" s="42" t="str">
        <f aca="false">IF(Tasks[[#This Row],[Task Name]]="","",Tasks[[#This Row],[Work]])</f>
        <v/>
      </c>
      <c r="AS179" s="43" t="str">
        <f aca="false">IF(Tasks[[#This Row],[Task Name]]="","",Tasks[[#This Row],[Cost]])</f>
        <v/>
      </c>
      <c r="AT179" s="29"/>
      <c r="AU179" s="29"/>
      <c r="AV179" s="39"/>
      <c r="AW179" s="44"/>
      <c r="AX179" s="45"/>
      <c r="AY179" s="38" t="str">
        <f aca="false">IF(OR(Tasks[[#This Row],[Task Name]]="",Tasks[[#This Row],[Baseline Duration]]=""),"",Tasks[[#This Row],[BL Source Duration]]-N(Tasks[[#This Row],[Baseline Duration]]))</f>
        <v/>
      </c>
      <c r="AZ179" s="42" t="str">
        <f aca="false">IF(OR(Tasks[[#This Row],[Task Name]]="",Tasks[[#This Row],[Baseline Work]]=""),"",Tasks[[#This Row],[Work]]-N(Tasks[[#This Row],[Baseline Work]]))</f>
        <v/>
      </c>
      <c r="BA179" s="43" t="str">
        <f aca="false">IF(OR(Tasks[[#This Row],[Task Name]]="",Tasks[[#This Row],[Baseline Cost]]=""),"",Tasks[[#This Row],[Cost]]-N(Tasks[[#This Row],[Baseline Cost]]))</f>
        <v/>
      </c>
      <c r="BB179" s="46" t="str">
        <f aca="false">IF(Tasks[[#This Row],[Task Name]]="","",MAX(1,N(Tasks[[#This Row],[Level]])))</f>
        <v/>
      </c>
      <c r="BC179" s="46" t="n">
        <f aca="false">ROW()-ROW(Tasks[[#Headers],[ID]])</f>
        <v>174</v>
      </c>
      <c r="BD1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9" s="46" t="n">
        <f aca="false">IFERROR(N(INDEX(Tasks[_Level],Tasks[[#This Row],[_Row]]+1)),0)</f>
        <v>0</v>
      </c>
      <c r="BF179" s="47" t="b">
        <f aca="false">AND(Tasks[[#This Row],[Task Name]]&lt;&gt;"",Tasks[[#This Row],[_NextLevel]]&gt;Tasks[[#This Row],[_Level]])</f>
        <v>0</v>
      </c>
      <c r="BG179" s="46" t="n">
        <f aca="false">IF(Tasks[[#This Row],[_IsSummary]],COUNTIF(Tasks[WBS],Tasks[[#This Row],[WBS]]&amp;".*"),0)</f>
        <v>0</v>
      </c>
      <c r="BH179" s="46" t="n">
        <f aca="false">IF(AND(Tasks[[#This Row],[Task Name]]&lt;&gt;"",NOT(Tasks[[#This Row],[_IsSummary]])),1,0)</f>
        <v>0</v>
      </c>
      <c r="BI179" s="46" t="n">
        <f aca="false">IF(N(Tasks[[#This Row],[Pred1 UID]])=0,0,IFERROR(MATCH(Tasks[[#This Row],[Pred1 UID]],Tasks[UID],0),-1))</f>
        <v>0</v>
      </c>
      <c r="BJ179" s="46" t="n">
        <f aca="false">IF(N(Tasks[[#This Row],[Pred2 UID]])=0,0,IFERROR(MATCH(Tasks[[#This Row],[Pred2 UID]],Tasks[UID],0),-1))</f>
        <v>0</v>
      </c>
      <c r="BK17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9" s="46" t="n">
        <f aca="false">IF(NOT(Tasks[[#This Row],[_IsLeaf]]=1),0,IF(N(Tasks[[#This Row],[Actual Finish]])&gt;0,1,MIN(1,N(Tasks[[#This Row],[% Complete]]))))</f>
        <v>0</v>
      </c>
      <c r="BP17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79" s="46" t="n">
        <f aca="false">IF(Tasks[[#This Row],[_LeafWork]]=0,0,Tasks[[#This Row],[_LeafWork]]*IFERROR(INDEX(res_Rate,MATCH(Tasks[[#This Row],[Resource]],res_Name,0)),0))</f>
        <v>0</v>
      </c>
      <c r="BR17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9" s="46" t="n">
        <f aca="false">IF(NOT(Tasks[[#This Row],[_IsLeaf]]=1),0,MAX(_xlfn.MAXIFS(Tasks[_Row],Tasks[Pred1 UID],Tasks[[#This Row],[UID]]),_xlfn.MAXIFS(Tasks[_Row],Tasks[Pred2 UID],Tasks[[#This Row],[UID]])))</f>
        <v>0</v>
      </c>
      <c r="BW17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9" s="48" t="str">
        <f aca="false">IF(NOT(Tasks[[#This Row],[_IsLeaf]]=1),"",MIN(ProjectFinish,IF(N(Tasks[[#This Row],[Deadline]])&gt;0,Tasks[[#This Row],[Deadline]],2958465),Tasks[[#This Row],[_SuccessorFinishLimit]]))</f>
        <v/>
      </c>
      <c r="BY17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9" s="47" t="b">
        <f aca="false">AND(Tasks[[#This Row],[_IsLeaf]]=1,Tasks[[#This Row],[_LeafProgress]]&lt;1,N(Tasks[[#This Row],[_LeafTotalSlack]])&lt;=CriticalSlackDays)</f>
        <v>0</v>
      </c>
      <c r="CB17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9" s="46" t="n">
        <f aca="false">IF(AND(Tasks[[#This Row],[_IsLeaf]]=1,Tasks[[#This Row],[_LeafWork]]&gt;0),NETWORKDAYS.INTL(ProjectStart,Tasks[[#This Row],[_LeafFcstStart]],WorkWeek,Holidays),0)</f>
        <v>0</v>
      </c>
      <c r="CK17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9" s="46" t="n">
        <f aca="false">IF(AND(Tasks[[#This Row],[_IsLeaf]]=1,Tasks[[#This Row],[_LeafWork]]&gt;0),Tasks[[#This Row],[_LeafWork]]/(Tasks[[#This Row],[_FinishWorkday]]-Tasks[[#This Row],[_StartWorkday]]+1),0)</f>
        <v>0</v>
      </c>
      <c r="CM179" s="46" t="n">
        <f aca="false">Tasks[[#This Row],[_WorkPerWorkday]]*(Tasks[[#This Row],[_StartWorkday]]-1)</f>
        <v>-0</v>
      </c>
      <c r="CN179" s="46" t="n">
        <f aca="false">IF(Tasks[[#This Row],[_IsLeaf]]=1,MAX(N(Tasks[[#This Row],[Duration]]),0.1),0)</f>
        <v>0</v>
      </c>
      <c r="CO179" s="46" t="n">
        <f aca="false">Tasks[[#This Row],[_WeightDur]]*Tasks[[#This Row],[_LeafProgress]]</f>
        <v>0</v>
      </c>
      <c r="CP17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39"/>
      <c r="E180" s="40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0" s="31"/>
      <c r="AF18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0" s="40"/>
      <c r="AI180" s="31"/>
      <c r="AJ18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0" s="40"/>
      <c r="AO180" s="24" t="str">
        <f aca="false">IF(Tasks[[#This Row],[Task Name]]="","",Tasks[[#This Row],[Forecast Start]])</f>
        <v/>
      </c>
      <c r="AP180" s="24" t="str">
        <f aca="false">IF(Tasks[[#This Row],[Task Name]]="","",Tasks[[#This Row],[Forecast Finish]])</f>
        <v/>
      </c>
      <c r="AQ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0" s="42" t="str">
        <f aca="false">IF(Tasks[[#This Row],[Task Name]]="","",Tasks[[#This Row],[Work]])</f>
        <v/>
      </c>
      <c r="AS180" s="43" t="str">
        <f aca="false">IF(Tasks[[#This Row],[Task Name]]="","",Tasks[[#This Row],[Cost]])</f>
        <v/>
      </c>
      <c r="AT180" s="29"/>
      <c r="AU180" s="29"/>
      <c r="AV180" s="39"/>
      <c r="AW180" s="44"/>
      <c r="AX180" s="45"/>
      <c r="AY180" s="38" t="str">
        <f aca="false">IF(OR(Tasks[[#This Row],[Task Name]]="",Tasks[[#This Row],[Baseline Duration]]=""),"",Tasks[[#This Row],[BL Source Duration]]-N(Tasks[[#This Row],[Baseline Duration]]))</f>
        <v/>
      </c>
      <c r="AZ180" s="42" t="str">
        <f aca="false">IF(OR(Tasks[[#This Row],[Task Name]]="",Tasks[[#This Row],[Baseline Work]]=""),"",Tasks[[#This Row],[Work]]-N(Tasks[[#This Row],[Baseline Work]]))</f>
        <v/>
      </c>
      <c r="BA180" s="43" t="str">
        <f aca="false">IF(OR(Tasks[[#This Row],[Task Name]]="",Tasks[[#This Row],[Baseline Cost]]=""),"",Tasks[[#This Row],[Cost]]-N(Tasks[[#This Row],[Baseline Cost]]))</f>
        <v/>
      </c>
      <c r="BB180" s="46" t="str">
        <f aca="false">IF(Tasks[[#This Row],[Task Name]]="","",MAX(1,N(Tasks[[#This Row],[Level]])))</f>
        <v/>
      </c>
      <c r="BC180" s="46" t="n">
        <f aca="false">ROW()-ROW(Tasks[[#Headers],[ID]])</f>
        <v>175</v>
      </c>
      <c r="BD1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0" s="46" t="n">
        <f aca="false">IFERROR(N(INDEX(Tasks[_Level],Tasks[[#This Row],[_Row]]+1)),0)</f>
        <v>0</v>
      </c>
      <c r="BF180" s="47" t="b">
        <f aca="false">AND(Tasks[[#This Row],[Task Name]]&lt;&gt;"",Tasks[[#This Row],[_NextLevel]]&gt;Tasks[[#This Row],[_Level]])</f>
        <v>0</v>
      </c>
      <c r="BG180" s="46" t="n">
        <f aca="false">IF(Tasks[[#This Row],[_IsSummary]],COUNTIF(Tasks[WBS],Tasks[[#This Row],[WBS]]&amp;".*"),0)</f>
        <v>0</v>
      </c>
      <c r="BH180" s="46" t="n">
        <f aca="false">IF(AND(Tasks[[#This Row],[Task Name]]&lt;&gt;"",NOT(Tasks[[#This Row],[_IsSummary]])),1,0)</f>
        <v>0</v>
      </c>
      <c r="BI180" s="46" t="n">
        <f aca="false">IF(N(Tasks[[#This Row],[Pred1 UID]])=0,0,IFERROR(MATCH(Tasks[[#This Row],[Pred1 UID]],Tasks[UID],0),-1))</f>
        <v>0</v>
      </c>
      <c r="BJ180" s="46" t="n">
        <f aca="false">IF(N(Tasks[[#This Row],[Pred2 UID]])=0,0,IFERROR(MATCH(Tasks[[#This Row],[Pred2 UID]],Tasks[UID],0),-1))</f>
        <v>0</v>
      </c>
      <c r="BK18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0" s="46" t="n">
        <f aca="false">IF(NOT(Tasks[[#This Row],[_IsLeaf]]=1),0,IF(N(Tasks[[#This Row],[Actual Finish]])&gt;0,1,MIN(1,N(Tasks[[#This Row],[% Complete]]))))</f>
        <v>0</v>
      </c>
      <c r="BP18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0" s="46" t="n">
        <f aca="false">IF(Tasks[[#This Row],[_LeafWork]]=0,0,Tasks[[#This Row],[_LeafWork]]*IFERROR(INDEX(res_Rate,MATCH(Tasks[[#This Row],[Resource]],res_Name,0)),0))</f>
        <v>0</v>
      </c>
      <c r="BR18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0" s="46" t="n">
        <f aca="false">IF(NOT(Tasks[[#This Row],[_IsLeaf]]=1),0,MAX(_xlfn.MAXIFS(Tasks[_Row],Tasks[Pred1 UID],Tasks[[#This Row],[UID]]),_xlfn.MAXIFS(Tasks[_Row],Tasks[Pred2 UID],Tasks[[#This Row],[UID]])))</f>
        <v>0</v>
      </c>
      <c r="BW18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0" s="48" t="str">
        <f aca="false">IF(NOT(Tasks[[#This Row],[_IsLeaf]]=1),"",MIN(ProjectFinish,IF(N(Tasks[[#This Row],[Deadline]])&gt;0,Tasks[[#This Row],[Deadline]],2958465),Tasks[[#This Row],[_SuccessorFinishLimit]]))</f>
        <v/>
      </c>
      <c r="BY18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0" s="47" t="b">
        <f aca="false">AND(Tasks[[#This Row],[_IsLeaf]]=1,Tasks[[#This Row],[_LeafProgress]]&lt;1,N(Tasks[[#This Row],[_LeafTotalSlack]])&lt;=CriticalSlackDays)</f>
        <v>0</v>
      </c>
      <c r="CB18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0" s="46" t="n">
        <f aca="false">IF(AND(Tasks[[#This Row],[_IsLeaf]]=1,Tasks[[#This Row],[_LeafWork]]&gt;0),NETWORKDAYS.INTL(ProjectStart,Tasks[[#This Row],[_LeafFcstStart]],WorkWeek,Holidays),0)</f>
        <v>0</v>
      </c>
      <c r="CK18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0" s="46" t="n">
        <f aca="false">IF(AND(Tasks[[#This Row],[_IsLeaf]]=1,Tasks[[#This Row],[_LeafWork]]&gt;0),Tasks[[#This Row],[_LeafWork]]/(Tasks[[#This Row],[_FinishWorkday]]-Tasks[[#This Row],[_StartWorkday]]+1),0)</f>
        <v>0</v>
      </c>
      <c r="CM180" s="46" t="n">
        <f aca="false">Tasks[[#This Row],[_WorkPerWorkday]]*(Tasks[[#This Row],[_StartWorkday]]-1)</f>
        <v>-0</v>
      </c>
      <c r="CN180" s="46" t="n">
        <f aca="false">IF(Tasks[[#This Row],[_IsLeaf]]=1,MAX(N(Tasks[[#This Row],[Duration]]),0.1),0)</f>
        <v>0</v>
      </c>
      <c r="CO180" s="46" t="n">
        <f aca="false">Tasks[[#This Row],[_WeightDur]]*Tasks[[#This Row],[_LeafProgress]]</f>
        <v>0</v>
      </c>
      <c r="CP18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39"/>
      <c r="E181" s="40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1" s="31"/>
      <c r="AF18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1" s="40"/>
      <c r="AI181" s="31"/>
      <c r="AJ18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1" s="40"/>
      <c r="AO181" s="24" t="str">
        <f aca="false">IF(Tasks[[#This Row],[Task Name]]="","",Tasks[[#This Row],[Forecast Start]])</f>
        <v/>
      </c>
      <c r="AP181" s="24" t="str">
        <f aca="false">IF(Tasks[[#This Row],[Task Name]]="","",Tasks[[#This Row],[Forecast Finish]])</f>
        <v/>
      </c>
      <c r="AQ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1" s="42" t="str">
        <f aca="false">IF(Tasks[[#This Row],[Task Name]]="","",Tasks[[#This Row],[Work]])</f>
        <v/>
      </c>
      <c r="AS181" s="43" t="str">
        <f aca="false">IF(Tasks[[#This Row],[Task Name]]="","",Tasks[[#This Row],[Cost]])</f>
        <v/>
      </c>
      <c r="AT181" s="29"/>
      <c r="AU181" s="29"/>
      <c r="AV181" s="39"/>
      <c r="AW181" s="44"/>
      <c r="AX181" s="45"/>
      <c r="AY181" s="38" t="str">
        <f aca="false">IF(OR(Tasks[[#This Row],[Task Name]]="",Tasks[[#This Row],[Baseline Duration]]=""),"",Tasks[[#This Row],[BL Source Duration]]-N(Tasks[[#This Row],[Baseline Duration]]))</f>
        <v/>
      </c>
      <c r="AZ181" s="42" t="str">
        <f aca="false">IF(OR(Tasks[[#This Row],[Task Name]]="",Tasks[[#This Row],[Baseline Work]]=""),"",Tasks[[#This Row],[Work]]-N(Tasks[[#This Row],[Baseline Work]]))</f>
        <v/>
      </c>
      <c r="BA181" s="43" t="str">
        <f aca="false">IF(OR(Tasks[[#This Row],[Task Name]]="",Tasks[[#This Row],[Baseline Cost]]=""),"",Tasks[[#This Row],[Cost]]-N(Tasks[[#This Row],[Baseline Cost]]))</f>
        <v/>
      </c>
      <c r="BB181" s="46" t="str">
        <f aca="false">IF(Tasks[[#This Row],[Task Name]]="","",MAX(1,N(Tasks[[#This Row],[Level]])))</f>
        <v/>
      </c>
      <c r="BC181" s="46" t="n">
        <f aca="false">ROW()-ROW(Tasks[[#Headers],[ID]])</f>
        <v>176</v>
      </c>
      <c r="BD1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1" s="46" t="n">
        <f aca="false">IFERROR(N(INDEX(Tasks[_Level],Tasks[[#This Row],[_Row]]+1)),0)</f>
        <v>0</v>
      </c>
      <c r="BF181" s="47" t="b">
        <f aca="false">AND(Tasks[[#This Row],[Task Name]]&lt;&gt;"",Tasks[[#This Row],[_NextLevel]]&gt;Tasks[[#This Row],[_Level]])</f>
        <v>0</v>
      </c>
      <c r="BG181" s="46" t="n">
        <f aca="false">IF(Tasks[[#This Row],[_IsSummary]],COUNTIF(Tasks[WBS],Tasks[[#This Row],[WBS]]&amp;".*"),0)</f>
        <v>0</v>
      </c>
      <c r="BH181" s="46" t="n">
        <f aca="false">IF(AND(Tasks[[#This Row],[Task Name]]&lt;&gt;"",NOT(Tasks[[#This Row],[_IsSummary]])),1,0)</f>
        <v>0</v>
      </c>
      <c r="BI181" s="46" t="n">
        <f aca="false">IF(N(Tasks[[#This Row],[Pred1 UID]])=0,0,IFERROR(MATCH(Tasks[[#This Row],[Pred1 UID]],Tasks[UID],0),-1))</f>
        <v>0</v>
      </c>
      <c r="BJ181" s="46" t="n">
        <f aca="false">IF(N(Tasks[[#This Row],[Pred2 UID]])=0,0,IFERROR(MATCH(Tasks[[#This Row],[Pred2 UID]],Tasks[UID],0),-1))</f>
        <v>0</v>
      </c>
      <c r="BK18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1" s="46" t="n">
        <f aca="false">IF(NOT(Tasks[[#This Row],[_IsLeaf]]=1),0,IF(N(Tasks[[#This Row],[Actual Finish]])&gt;0,1,MIN(1,N(Tasks[[#This Row],[% Complete]]))))</f>
        <v>0</v>
      </c>
      <c r="BP18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1" s="46" t="n">
        <f aca="false">IF(Tasks[[#This Row],[_LeafWork]]=0,0,Tasks[[#This Row],[_LeafWork]]*IFERROR(INDEX(res_Rate,MATCH(Tasks[[#This Row],[Resource]],res_Name,0)),0))</f>
        <v>0</v>
      </c>
      <c r="BR18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1" s="46" t="n">
        <f aca="false">IF(NOT(Tasks[[#This Row],[_IsLeaf]]=1),0,MAX(_xlfn.MAXIFS(Tasks[_Row],Tasks[Pred1 UID],Tasks[[#This Row],[UID]]),_xlfn.MAXIFS(Tasks[_Row],Tasks[Pred2 UID],Tasks[[#This Row],[UID]])))</f>
        <v>0</v>
      </c>
      <c r="BW18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1" s="48" t="str">
        <f aca="false">IF(NOT(Tasks[[#This Row],[_IsLeaf]]=1),"",MIN(ProjectFinish,IF(N(Tasks[[#This Row],[Deadline]])&gt;0,Tasks[[#This Row],[Deadline]],2958465),Tasks[[#This Row],[_SuccessorFinishLimit]]))</f>
        <v/>
      </c>
      <c r="BY18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1" s="47" t="b">
        <f aca="false">AND(Tasks[[#This Row],[_IsLeaf]]=1,Tasks[[#This Row],[_LeafProgress]]&lt;1,N(Tasks[[#This Row],[_LeafTotalSlack]])&lt;=CriticalSlackDays)</f>
        <v>0</v>
      </c>
      <c r="CB18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1" s="46" t="n">
        <f aca="false">IF(AND(Tasks[[#This Row],[_IsLeaf]]=1,Tasks[[#This Row],[_LeafWork]]&gt;0),NETWORKDAYS.INTL(ProjectStart,Tasks[[#This Row],[_LeafFcstStart]],WorkWeek,Holidays),0)</f>
        <v>0</v>
      </c>
      <c r="CK18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1" s="46" t="n">
        <f aca="false">IF(AND(Tasks[[#This Row],[_IsLeaf]]=1,Tasks[[#This Row],[_LeafWork]]&gt;0),Tasks[[#This Row],[_LeafWork]]/(Tasks[[#This Row],[_FinishWorkday]]-Tasks[[#This Row],[_StartWorkday]]+1),0)</f>
        <v>0</v>
      </c>
      <c r="CM181" s="46" t="n">
        <f aca="false">Tasks[[#This Row],[_WorkPerWorkday]]*(Tasks[[#This Row],[_StartWorkday]]-1)</f>
        <v>-0</v>
      </c>
      <c r="CN181" s="46" t="n">
        <f aca="false">IF(Tasks[[#This Row],[_IsLeaf]]=1,MAX(N(Tasks[[#This Row],[Duration]]),0.1),0)</f>
        <v>0</v>
      </c>
      <c r="CO181" s="46" t="n">
        <f aca="false">Tasks[[#This Row],[_WeightDur]]*Tasks[[#This Row],[_LeafProgress]]</f>
        <v>0</v>
      </c>
      <c r="CP18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39"/>
      <c r="E182" s="40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2" s="31"/>
      <c r="AF18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2" s="40"/>
      <c r="AI182" s="31"/>
      <c r="AJ18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2" s="40"/>
      <c r="AO182" s="24" t="str">
        <f aca="false">IF(Tasks[[#This Row],[Task Name]]="","",Tasks[[#This Row],[Forecast Start]])</f>
        <v/>
      </c>
      <c r="AP182" s="24" t="str">
        <f aca="false">IF(Tasks[[#This Row],[Task Name]]="","",Tasks[[#This Row],[Forecast Finish]])</f>
        <v/>
      </c>
      <c r="AQ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2" s="42" t="str">
        <f aca="false">IF(Tasks[[#This Row],[Task Name]]="","",Tasks[[#This Row],[Work]])</f>
        <v/>
      </c>
      <c r="AS182" s="43" t="str">
        <f aca="false">IF(Tasks[[#This Row],[Task Name]]="","",Tasks[[#This Row],[Cost]])</f>
        <v/>
      </c>
      <c r="AT182" s="29"/>
      <c r="AU182" s="29"/>
      <c r="AV182" s="39"/>
      <c r="AW182" s="44"/>
      <c r="AX182" s="45"/>
      <c r="AY182" s="38" t="str">
        <f aca="false">IF(OR(Tasks[[#This Row],[Task Name]]="",Tasks[[#This Row],[Baseline Duration]]=""),"",Tasks[[#This Row],[BL Source Duration]]-N(Tasks[[#This Row],[Baseline Duration]]))</f>
        <v/>
      </c>
      <c r="AZ182" s="42" t="str">
        <f aca="false">IF(OR(Tasks[[#This Row],[Task Name]]="",Tasks[[#This Row],[Baseline Work]]=""),"",Tasks[[#This Row],[Work]]-N(Tasks[[#This Row],[Baseline Work]]))</f>
        <v/>
      </c>
      <c r="BA182" s="43" t="str">
        <f aca="false">IF(OR(Tasks[[#This Row],[Task Name]]="",Tasks[[#This Row],[Baseline Cost]]=""),"",Tasks[[#This Row],[Cost]]-N(Tasks[[#This Row],[Baseline Cost]]))</f>
        <v/>
      </c>
      <c r="BB182" s="46" t="str">
        <f aca="false">IF(Tasks[[#This Row],[Task Name]]="","",MAX(1,N(Tasks[[#This Row],[Level]])))</f>
        <v/>
      </c>
      <c r="BC182" s="46" t="n">
        <f aca="false">ROW()-ROW(Tasks[[#Headers],[ID]])</f>
        <v>177</v>
      </c>
      <c r="BD1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2" s="46" t="n">
        <f aca="false">IFERROR(N(INDEX(Tasks[_Level],Tasks[[#This Row],[_Row]]+1)),0)</f>
        <v>0</v>
      </c>
      <c r="BF182" s="47" t="b">
        <f aca="false">AND(Tasks[[#This Row],[Task Name]]&lt;&gt;"",Tasks[[#This Row],[_NextLevel]]&gt;Tasks[[#This Row],[_Level]])</f>
        <v>0</v>
      </c>
      <c r="BG182" s="46" t="n">
        <f aca="false">IF(Tasks[[#This Row],[_IsSummary]],COUNTIF(Tasks[WBS],Tasks[[#This Row],[WBS]]&amp;".*"),0)</f>
        <v>0</v>
      </c>
      <c r="BH182" s="46" t="n">
        <f aca="false">IF(AND(Tasks[[#This Row],[Task Name]]&lt;&gt;"",NOT(Tasks[[#This Row],[_IsSummary]])),1,0)</f>
        <v>0</v>
      </c>
      <c r="BI182" s="46" t="n">
        <f aca="false">IF(N(Tasks[[#This Row],[Pred1 UID]])=0,0,IFERROR(MATCH(Tasks[[#This Row],[Pred1 UID]],Tasks[UID],0),-1))</f>
        <v>0</v>
      </c>
      <c r="BJ182" s="46" t="n">
        <f aca="false">IF(N(Tasks[[#This Row],[Pred2 UID]])=0,0,IFERROR(MATCH(Tasks[[#This Row],[Pred2 UID]],Tasks[UID],0),-1))</f>
        <v>0</v>
      </c>
      <c r="BK18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2" s="46" t="n">
        <f aca="false">IF(NOT(Tasks[[#This Row],[_IsLeaf]]=1),0,IF(N(Tasks[[#This Row],[Actual Finish]])&gt;0,1,MIN(1,N(Tasks[[#This Row],[% Complete]]))))</f>
        <v>0</v>
      </c>
      <c r="BP18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2" s="46" t="n">
        <f aca="false">IF(Tasks[[#This Row],[_LeafWork]]=0,0,Tasks[[#This Row],[_LeafWork]]*IFERROR(INDEX(res_Rate,MATCH(Tasks[[#This Row],[Resource]],res_Name,0)),0))</f>
        <v>0</v>
      </c>
      <c r="BR18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2" s="46" t="n">
        <f aca="false">IF(NOT(Tasks[[#This Row],[_IsLeaf]]=1),0,MAX(_xlfn.MAXIFS(Tasks[_Row],Tasks[Pred1 UID],Tasks[[#This Row],[UID]]),_xlfn.MAXIFS(Tasks[_Row],Tasks[Pred2 UID],Tasks[[#This Row],[UID]])))</f>
        <v>0</v>
      </c>
      <c r="BW18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2" s="48" t="str">
        <f aca="false">IF(NOT(Tasks[[#This Row],[_IsLeaf]]=1),"",MIN(ProjectFinish,IF(N(Tasks[[#This Row],[Deadline]])&gt;0,Tasks[[#This Row],[Deadline]],2958465),Tasks[[#This Row],[_SuccessorFinishLimit]]))</f>
        <v/>
      </c>
      <c r="BY18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2" s="47" t="b">
        <f aca="false">AND(Tasks[[#This Row],[_IsLeaf]]=1,Tasks[[#This Row],[_LeafProgress]]&lt;1,N(Tasks[[#This Row],[_LeafTotalSlack]])&lt;=CriticalSlackDays)</f>
        <v>0</v>
      </c>
      <c r="CB18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2" s="46" t="n">
        <f aca="false">IF(AND(Tasks[[#This Row],[_IsLeaf]]=1,Tasks[[#This Row],[_LeafWork]]&gt;0),NETWORKDAYS.INTL(ProjectStart,Tasks[[#This Row],[_LeafFcstStart]],WorkWeek,Holidays),0)</f>
        <v>0</v>
      </c>
      <c r="CK18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2" s="46" t="n">
        <f aca="false">IF(AND(Tasks[[#This Row],[_IsLeaf]]=1,Tasks[[#This Row],[_LeafWork]]&gt;0),Tasks[[#This Row],[_LeafWork]]/(Tasks[[#This Row],[_FinishWorkday]]-Tasks[[#This Row],[_StartWorkday]]+1),0)</f>
        <v>0</v>
      </c>
      <c r="CM182" s="46" t="n">
        <f aca="false">Tasks[[#This Row],[_WorkPerWorkday]]*(Tasks[[#This Row],[_StartWorkday]]-1)</f>
        <v>-0</v>
      </c>
      <c r="CN182" s="46" t="n">
        <f aca="false">IF(Tasks[[#This Row],[_IsLeaf]]=1,MAX(N(Tasks[[#This Row],[Duration]]),0.1),0)</f>
        <v>0</v>
      </c>
      <c r="CO182" s="46" t="n">
        <f aca="false">Tasks[[#This Row],[_WeightDur]]*Tasks[[#This Row],[_LeafProgress]]</f>
        <v>0</v>
      </c>
      <c r="CP18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39"/>
      <c r="E183" s="40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3" s="31"/>
      <c r="AF18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3" s="40"/>
      <c r="AI183" s="31"/>
      <c r="AJ18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3" s="40"/>
      <c r="AO183" s="24" t="str">
        <f aca="false">IF(Tasks[[#This Row],[Task Name]]="","",Tasks[[#This Row],[Forecast Start]])</f>
        <v/>
      </c>
      <c r="AP183" s="24" t="str">
        <f aca="false">IF(Tasks[[#This Row],[Task Name]]="","",Tasks[[#This Row],[Forecast Finish]])</f>
        <v/>
      </c>
      <c r="AQ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3" s="42" t="str">
        <f aca="false">IF(Tasks[[#This Row],[Task Name]]="","",Tasks[[#This Row],[Work]])</f>
        <v/>
      </c>
      <c r="AS183" s="43" t="str">
        <f aca="false">IF(Tasks[[#This Row],[Task Name]]="","",Tasks[[#This Row],[Cost]])</f>
        <v/>
      </c>
      <c r="AT183" s="29"/>
      <c r="AU183" s="29"/>
      <c r="AV183" s="39"/>
      <c r="AW183" s="44"/>
      <c r="AX183" s="45"/>
      <c r="AY183" s="38" t="str">
        <f aca="false">IF(OR(Tasks[[#This Row],[Task Name]]="",Tasks[[#This Row],[Baseline Duration]]=""),"",Tasks[[#This Row],[BL Source Duration]]-N(Tasks[[#This Row],[Baseline Duration]]))</f>
        <v/>
      </c>
      <c r="AZ183" s="42" t="str">
        <f aca="false">IF(OR(Tasks[[#This Row],[Task Name]]="",Tasks[[#This Row],[Baseline Work]]=""),"",Tasks[[#This Row],[Work]]-N(Tasks[[#This Row],[Baseline Work]]))</f>
        <v/>
      </c>
      <c r="BA183" s="43" t="str">
        <f aca="false">IF(OR(Tasks[[#This Row],[Task Name]]="",Tasks[[#This Row],[Baseline Cost]]=""),"",Tasks[[#This Row],[Cost]]-N(Tasks[[#This Row],[Baseline Cost]]))</f>
        <v/>
      </c>
      <c r="BB183" s="46" t="str">
        <f aca="false">IF(Tasks[[#This Row],[Task Name]]="","",MAX(1,N(Tasks[[#This Row],[Level]])))</f>
        <v/>
      </c>
      <c r="BC183" s="46" t="n">
        <f aca="false">ROW()-ROW(Tasks[[#Headers],[ID]])</f>
        <v>178</v>
      </c>
      <c r="BD1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3" s="46" t="n">
        <f aca="false">IFERROR(N(INDEX(Tasks[_Level],Tasks[[#This Row],[_Row]]+1)),0)</f>
        <v>0</v>
      </c>
      <c r="BF183" s="47" t="b">
        <f aca="false">AND(Tasks[[#This Row],[Task Name]]&lt;&gt;"",Tasks[[#This Row],[_NextLevel]]&gt;Tasks[[#This Row],[_Level]])</f>
        <v>0</v>
      </c>
      <c r="BG183" s="46" t="n">
        <f aca="false">IF(Tasks[[#This Row],[_IsSummary]],COUNTIF(Tasks[WBS],Tasks[[#This Row],[WBS]]&amp;".*"),0)</f>
        <v>0</v>
      </c>
      <c r="BH183" s="46" t="n">
        <f aca="false">IF(AND(Tasks[[#This Row],[Task Name]]&lt;&gt;"",NOT(Tasks[[#This Row],[_IsSummary]])),1,0)</f>
        <v>0</v>
      </c>
      <c r="BI183" s="46" t="n">
        <f aca="false">IF(N(Tasks[[#This Row],[Pred1 UID]])=0,0,IFERROR(MATCH(Tasks[[#This Row],[Pred1 UID]],Tasks[UID],0),-1))</f>
        <v>0</v>
      </c>
      <c r="BJ183" s="46" t="n">
        <f aca="false">IF(N(Tasks[[#This Row],[Pred2 UID]])=0,0,IFERROR(MATCH(Tasks[[#This Row],[Pred2 UID]],Tasks[UID],0),-1))</f>
        <v>0</v>
      </c>
      <c r="BK18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3" s="46" t="n">
        <f aca="false">IF(NOT(Tasks[[#This Row],[_IsLeaf]]=1),0,IF(N(Tasks[[#This Row],[Actual Finish]])&gt;0,1,MIN(1,N(Tasks[[#This Row],[% Complete]]))))</f>
        <v>0</v>
      </c>
      <c r="BP18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3" s="46" t="n">
        <f aca="false">IF(Tasks[[#This Row],[_LeafWork]]=0,0,Tasks[[#This Row],[_LeafWork]]*IFERROR(INDEX(res_Rate,MATCH(Tasks[[#This Row],[Resource]],res_Name,0)),0))</f>
        <v>0</v>
      </c>
      <c r="BR18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3" s="46" t="n">
        <f aca="false">IF(NOT(Tasks[[#This Row],[_IsLeaf]]=1),0,MAX(_xlfn.MAXIFS(Tasks[_Row],Tasks[Pred1 UID],Tasks[[#This Row],[UID]]),_xlfn.MAXIFS(Tasks[_Row],Tasks[Pred2 UID],Tasks[[#This Row],[UID]])))</f>
        <v>0</v>
      </c>
      <c r="BW18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3" s="48" t="str">
        <f aca="false">IF(NOT(Tasks[[#This Row],[_IsLeaf]]=1),"",MIN(ProjectFinish,IF(N(Tasks[[#This Row],[Deadline]])&gt;0,Tasks[[#This Row],[Deadline]],2958465),Tasks[[#This Row],[_SuccessorFinishLimit]]))</f>
        <v/>
      </c>
      <c r="BY18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3" s="47" t="b">
        <f aca="false">AND(Tasks[[#This Row],[_IsLeaf]]=1,Tasks[[#This Row],[_LeafProgress]]&lt;1,N(Tasks[[#This Row],[_LeafTotalSlack]])&lt;=CriticalSlackDays)</f>
        <v>0</v>
      </c>
      <c r="CB18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3" s="46" t="n">
        <f aca="false">IF(AND(Tasks[[#This Row],[_IsLeaf]]=1,Tasks[[#This Row],[_LeafWork]]&gt;0),NETWORKDAYS.INTL(ProjectStart,Tasks[[#This Row],[_LeafFcstStart]],WorkWeek,Holidays),0)</f>
        <v>0</v>
      </c>
      <c r="CK18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3" s="46" t="n">
        <f aca="false">IF(AND(Tasks[[#This Row],[_IsLeaf]]=1,Tasks[[#This Row],[_LeafWork]]&gt;0),Tasks[[#This Row],[_LeafWork]]/(Tasks[[#This Row],[_FinishWorkday]]-Tasks[[#This Row],[_StartWorkday]]+1),0)</f>
        <v>0</v>
      </c>
      <c r="CM183" s="46" t="n">
        <f aca="false">Tasks[[#This Row],[_WorkPerWorkday]]*(Tasks[[#This Row],[_StartWorkday]]-1)</f>
        <v>-0</v>
      </c>
      <c r="CN183" s="46" t="n">
        <f aca="false">IF(Tasks[[#This Row],[_IsLeaf]]=1,MAX(N(Tasks[[#This Row],[Duration]]),0.1),0)</f>
        <v>0</v>
      </c>
      <c r="CO183" s="46" t="n">
        <f aca="false">Tasks[[#This Row],[_WeightDur]]*Tasks[[#This Row],[_LeafProgress]]</f>
        <v>0</v>
      </c>
      <c r="CP18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39"/>
      <c r="E184" s="40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4" s="31"/>
      <c r="AF18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4" s="40"/>
      <c r="AI184" s="31"/>
      <c r="AJ18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4" s="40"/>
      <c r="AO184" s="24" t="str">
        <f aca="false">IF(Tasks[[#This Row],[Task Name]]="","",Tasks[[#This Row],[Forecast Start]])</f>
        <v/>
      </c>
      <c r="AP184" s="24" t="str">
        <f aca="false">IF(Tasks[[#This Row],[Task Name]]="","",Tasks[[#This Row],[Forecast Finish]])</f>
        <v/>
      </c>
      <c r="AQ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4" s="42" t="str">
        <f aca="false">IF(Tasks[[#This Row],[Task Name]]="","",Tasks[[#This Row],[Work]])</f>
        <v/>
      </c>
      <c r="AS184" s="43" t="str">
        <f aca="false">IF(Tasks[[#This Row],[Task Name]]="","",Tasks[[#This Row],[Cost]])</f>
        <v/>
      </c>
      <c r="AT184" s="29"/>
      <c r="AU184" s="29"/>
      <c r="AV184" s="39"/>
      <c r="AW184" s="44"/>
      <c r="AX184" s="45"/>
      <c r="AY184" s="38" t="str">
        <f aca="false">IF(OR(Tasks[[#This Row],[Task Name]]="",Tasks[[#This Row],[Baseline Duration]]=""),"",Tasks[[#This Row],[BL Source Duration]]-N(Tasks[[#This Row],[Baseline Duration]]))</f>
        <v/>
      </c>
      <c r="AZ184" s="42" t="str">
        <f aca="false">IF(OR(Tasks[[#This Row],[Task Name]]="",Tasks[[#This Row],[Baseline Work]]=""),"",Tasks[[#This Row],[Work]]-N(Tasks[[#This Row],[Baseline Work]]))</f>
        <v/>
      </c>
      <c r="BA184" s="43" t="str">
        <f aca="false">IF(OR(Tasks[[#This Row],[Task Name]]="",Tasks[[#This Row],[Baseline Cost]]=""),"",Tasks[[#This Row],[Cost]]-N(Tasks[[#This Row],[Baseline Cost]]))</f>
        <v/>
      </c>
      <c r="BB184" s="46" t="str">
        <f aca="false">IF(Tasks[[#This Row],[Task Name]]="","",MAX(1,N(Tasks[[#This Row],[Level]])))</f>
        <v/>
      </c>
      <c r="BC184" s="46" t="n">
        <f aca="false">ROW()-ROW(Tasks[[#Headers],[ID]])</f>
        <v>179</v>
      </c>
      <c r="BD1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4" s="46" t="n">
        <f aca="false">IFERROR(N(INDEX(Tasks[_Level],Tasks[[#This Row],[_Row]]+1)),0)</f>
        <v>0</v>
      </c>
      <c r="BF184" s="47" t="b">
        <f aca="false">AND(Tasks[[#This Row],[Task Name]]&lt;&gt;"",Tasks[[#This Row],[_NextLevel]]&gt;Tasks[[#This Row],[_Level]])</f>
        <v>0</v>
      </c>
      <c r="BG184" s="46" t="n">
        <f aca="false">IF(Tasks[[#This Row],[_IsSummary]],COUNTIF(Tasks[WBS],Tasks[[#This Row],[WBS]]&amp;".*"),0)</f>
        <v>0</v>
      </c>
      <c r="BH184" s="46" t="n">
        <f aca="false">IF(AND(Tasks[[#This Row],[Task Name]]&lt;&gt;"",NOT(Tasks[[#This Row],[_IsSummary]])),1,0)</f>
        <v>0</v>
      </c>
      <c r="BI184" s="46" t="n">
        <f aca="false">IF(N(Tasks[[#This Row],[Pred1 UID]])=0,0,IFERROR(MATCH(Tasks[[#This Row],[Pred1 UID]],Tasks[UID],0),-1))</f>
        <v>0</v>
      </c>
      <c r="BJ184" s="46" t="n">
        <f aca="false">IF(N(Tasks[[#This Row],[Pred2 UID]])=0,0,IFERROR(MATCH(Tasks[[#This Row],[Pred2 UID]],Tasks[UID],0),-1))</f>
        <v>0</v>
      </c>
      <c r="BK18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4" s="46" t="n">
        <f aca="false">IF(NOT(Tasks[[#This Row],[_IsLeaf]]=1),0,IF(N(Tasks[[#This Row],[Actual Finish]])&gt;0,1,MIN(1,N(Tasks[[#This Row],[% Complete]]))))</f>
        <v>0</v>
      </c>
      <c r="BP18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4" s="46" t="n">
        <f aca="false">IF(Tasks[[#This Row],[_LeafWork]]=0,0,Tasks[[#This Row],[_LeafWork]]*IFERROR(INDEX(res_Rate,MATCH(Tasks[[#This Row],[Resource]],res_Name,0)),0))</f>
        <v>0</v>
      </c>
      <c r="BR18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4" s="46" t="n">
        <f aca="false">IF(NOT(Tasks[[#This Row],[_IsLeaf]]=1),0,MAX(_xlfn.MAXIFS(Tasks[_Row],Tasks[Pred1 UID],Tasks[[#This Row],[UID]]),_xlfn.MAXIFS(Tasks[_Row],Tasks[Pred2 UID],Tasks[[#This Row],[UID]])))</f>
        <v>0</v>
      </c>
      <c r="BW18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4" s="48" t="str">
        <f aca="false">IF(NOT(Tasks[[#This Row],[_IsLeaf]]=1),"",MIN(ProjectFinish,IF(N(Tasks[[#This Row],[Deadline]])&gt;0,Tasks[[#This Row],[Deadline]],2958465),Tasks[[#This Row],[_SuccessorFinishLimit]]))</f>
        <v/>
      </c>
      <c r="BY18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4" s="47" t="b">
        <f aca="false">AND(Tasks[[#This Row],[_IsLeaf]]=1,Tasks[[#This Row],[_LeafProgress]]&lt;1,N(Tasks[[#This Row],[_LeafTotalSlack]])&lt;=CriticalSlackDays)</f>
        <v>0</v>
      </c>
      <c r="CB18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4" s="46" t="n">
        <f aca="false">IF(AND(Tasks[[#This Row],[_IsLeaf]]=1,Tasks[[#This Row],[_LeafWork]]&gt;0),NETWORKDAYS.INTL(ProjectStart,Tasks[[#This Row],[_LeafFcstStart]],WorkWeek,Holidays),0)</f>
        <v>0</v>
      </c>
      <c r="CK18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4" s="46" t="n">
        <f aca="false">IF(AND(Tasks[[#This Row],[_IsLeaf]]=1,Tasks[[#This Row],[_LeafWork]]&gt;0),Tasks[[#This Row],[_LeafWork]]/(Tasks[[#This Row],[_FinishWorkday]]-Tasks[[#This Row],[_StartWorkday]]+1),0)</f>
        <v>0</v>
      </c>
      <c r="CM184" s="46" t="n">
        <f aca="false">Tasks[[#This Row],[_WorkPerWorkday]]*(Tasks[[#This Row],[_StartWorkday]]-1)</f>
        <v>-0</v>
      </c>
      <c r="CN184" s="46" t="n">
        <f aca="false">IF(Tasks[[#This Row],[_IsLeaf]]=1,MAX(N(Tasks[[#This Row],[Duration]]),0.1),0)</f>
        <v>0</v>
      </c>
      <c r="CO184" s="46" t="n">
        <f aca="false">Tasks[[#This Row],[_WeightDur]]*Tasks[[#This Row],[_LeafProgress]]</f>
        <v>0</v>
      </c>
      <c r="CP18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39"/>
      <c r="E185" s="40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5" s="31"/>
      <c r="AF18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5" s="40"/>
      <c r="AI185" s="31"/>
      <c r="AJ18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5" s="40"/>
      <c r="AO185" s="24" t="str">
        <f aca="false">IF(Tasks[[#This Row],[Task Name]]="","",Tasks[[#This Row],[Forecast Start]])</f>
        <v/>
      </c>
      <c r="AP185" s="24" t="str">
        <f aca="false">IF(Tasks[[#This Row],[Task Name]]="","",Tasks[[#This Row],[Forecast Finish]])</f>
        <v/>
      </c>
      <c r="AQ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5" s="42" t="str">
        <f aca="false">IF(Tasks[[#This Row],[Task Name]]="","",Tasks[[#This Row],[Work]])</f>
        <v/>
      </c>
      <c r="AS185" s="43" t="str">
        <f aca="false">IF(Tasks[[#This Row],[Task Name]]="","",Tasks[[#This Row],[Cost]])</f>
        <v/>
      </c>
      <c r="AT185" s="29"/>
      <c r="AU185" s="29"/>
      <c r="AV185" s="39"/>
      <c r="AW185" s="44"/>
      <c r="AX185" s="45"/>
      <c r="AY185" s="38" t="str">
        <f aca="false">IF(OR(Tasks[[#This Row],[Task Name]]="",Tasks[[#This Row],[Baseline Duration]]=""),"",Tasks[[#This Row],[BL Source Duration]]-N(Tasks[[#This Row],[Baseline Duration]]))</f>
        <v/>
      </c>
      <c r="AZ185" s="42" t="str">
        <f aca="false">IF(OR(Tasks[[#This Row],[Task Name]]="",Tasks[[#This Row],[Baseline Work]]=""),"",Tasks[[#This Row],[Work]]-N(Tasks[[#This Row],[Baseline Work]]))</f>
        <v/>
      </c>
      <c r="BA185" s="43" t="str">
        <f aca="false">IF(OR(Tasks[[#This Row],[Task Name]]="",Tasks[[#This Row],[Baseline Cost]]=""),"",Tasks[[#This Row],[Cost]]-N(Tasks[[#This Row],[Baseline Cost]]))</f>
        <v/>
      </c>
      <c r="BB185" s="46" t="str">
        <f aca="false">IF(Tasks[[#This Row],[Task Name]]="","",MAX(1,N(Tasks[[#This Row],[Level]])))</f>
        <v/>
      </c>
      <c r="BC185" s="46" t="n">
        <f aca="false">ROW()-ROW(Tasks[[#Headers],[ID]])</f>
        <v>180</v>
      </c>
      <c r="BD1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5" s="46" t="n">
        <f aca="false">IFERROR(N(INDEX(Tasks[_Level],Tasks[[#This Row],[_Row]]+1)),0)</f>
        <v>0</v>
      </c>
      <c r="BF185" s="47" t="b">
        <f aca="false">AND(Tasks[[#This Row],[Task Name]]&lt;&gt;"",Tasks[[#This Row],[_NextLevel]]&gt;Tasks[[#This Row],[_Level]])</f>
        <v>0</v>
      </c>
      <c r="BG185" s="46" t="n">
        <f aca="false">IF(Tasks[[#This Row],[_IsSummary]],COUNTIF(Tasks[WBS],Tasks[[#This Row],[WBS]]&amp;".*"),0)</f>
        <v>0</v>
      </c>
      <c r="BH185" s="46" t="n">
        <f aca="false">IF(AND(Tasks[[#This Row],[Task Name]]&lt;&gt;"",NOT(Tasks[[#This Row],[_IsSummary]])),1,0)</f>
        <v>0</v>
      </c>
      <c r="BI185" s="46" t="n">
        <f aca="false">IF(N(Tasks[[#This Row],[Pred1 UID]])=0,0,IFERROR(MATCH(Tasks[[#This Row],[Pred1 UID]],Tasks[UID],0),-1))</f>
        <v>0</v>
      </c>
      <c r="BJ185" s="46" t="n">
        <f aca="false">IF(N(Tasks[[#This Row],[Pred2 UID]])=0,0,IFERROR(MATCH(Tasks[[#This Row],[Pred2 UID]],Tasks[UID],0),-1))</f>
        <v>0</v>
      </c>
      <c r="BK18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5" s="46" t="n">
        <f aca="false">IF(NOT(Tasks[[#This Row],[_IsLeaf]]=1),0,IF(N(Tasks[[#This Row],[Actual Finish]])&gt;0,1,MIN(1,N(Tasks[[#This Row],[% Complete]]))))</f>
        <v>0</v>
      </c>
      <c r="BP18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5" s="46" t="n">
        <f aca="false">IF(Tasks[[#This Row],[_LeafWork]]=0,0,Tasks[[#This Row],[_LeafWork]]*IFERROR(INDEX(res_Rate,MATCH(Tasks[[#This Row],[Resource]],res_Name,0)),0))</f>
        <v>0</v>
      </c>
      <c r="BR18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5" s="46" t="n">
        <f aca="false">IF(NOT(Tasks[[#This Row],[_IsLeaf]]=1),0,MAX(_xlfn.MAXIFS(Tasks[_Row],Tasks[Pred1 UID],Tasks[[#This Row],[UID]]),_xlfn.MAXIFS(Tasks[_Row],Tasks[Pred2 UID],Tasks[[#This Row],[UID]])))</f>
        <v>0</v>
      </c>
      <c r="BW18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5" s="48" t="str">
        <f aca="false">IF(NOT(Tasks[[#This Row],[_IsLeaf]]=1),"",MIN(ProjectFinish,IF(N(Tasks[[#This Row],[Deadline]])&gt;0,Tasks[[#This Row],[Deadline]],2958465),Tasks[[#This Row],[_SuccessorFinishLimit]]))</f>
        <v/>
      </c>
      <c r="BY18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5" s="47" t="b">
        <f aca="false">AND(Tasks[[#This Row],[_IsLeaf]]=1,Tasks[[#This Row],[_LeafProgress]]&lt;1,N(Tasks[[#This Row],[_LeafTotalSlack]])&lt;=CriticalSlackDays)</f>
        <v>0</v>
      </c>
      <c r="CB18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5" s="46" t="n">
        <f aca="false">IF(AND(Tasks[[#This Row],[_IsLeaf]]=1,Tasks[[#This Row],[_LeafWork]]&gt;0),NETWORKDAYS.INTL(ProjectStart,Tasks[[#This Row],[_LeafFcstStart]],WorkWeek,Holidays),0)</f>
        <v>0</v>
      </c>
      <c r="CK18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5" s="46" t="n">
        <f aca="false">IF(AND(Tasks[[#This Row],[_IsLeaf]]=1,Tasks[[#This Row],[_LeafWork]]&gt;0),Tasks[[#This Row],[_LeafWork]]/(Tasks[[#This Row],[_FinishWorkday]]-Tasks[[#This Row],[_StartWorkday]]+1),0)</f>
        <v>0</v>
      </c>
      <c r="CM185" s="46" t="n">
        <f aca="false">Tasks[[#This Row],[_WorkPerWorkday]]*(Tasks[[#This Row],[_StartWorkday]]-1)</f>
        <v>-0</v>
      </c>
      <c r="CN185" s="46" t="n">
        <f aca="false">IF(Tasks[[#This Row],[_IsLeaf]]=1,MAX(N(Tasks[[#This Row],[Duration]]),0.1),0)</f>
        <v>0</v>
      </c>
      <c r="CO185" s="46" t="n">
        <f aca="false">Tasks[[#This Row],[_WeightDur]]*Tasks[[#This Row],[_LeafProgress]]</f>
        <v>0</v>
      </c>
      <c r="CP18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39"/>
      <c r="E186" s="40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6" s="31"/>
      <c r="AF18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6" s="40"/>
      <c r="AI186" s="31"/>
      <c r="AJ18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6" s="40"/>
      <c r="AO186" s="24" t="str">
        <f aca="false">IF(Tasks[[#This Row],[Task Name]]="","",Tasks[[#This Row],[Forecast Start]])</f>
        <v/>
      </c>
      <c r="AP186" s="24" t="str">
        <f aca="false">IF(Tasks[[#This Row],[Task Name]]="","",Tasks[[#This Row],[Forecast Finish]])</f>
        <v/>
      </c>
      <c r="AQ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6" s="42" t="str">
        <f aca="false">IF(Tasks[[#This Row],[Task Name]]="","",Tasks[[#This Row],[Work]])</f>
        <v/>
      </c>
      <c r="AS186" s="43" t="str">
        <f aca="false">IF(Tasks[[#This Row],[Task Name]]="","",Tasks[[#This Row],[Cost]])</f>
        <v/>
      </c>
      <c r="AT186" s="29"/>
      <c r="AU186" s="29"/>
      <c r="AV186" s="39"/>
      <c r="AW186" s="44"/>
      <c r="AX186" s="45"/>
      <c r="AY186" s="38" t="str">
        <f aca="false">IF(OR(Tasks[[#This Row],[Task Name]]="",Tasks[[#This Row],[Baseline Duration]]=""),"",Tasks[[#This Row],[BL Source Duration]]-N(Tasks[[#This Row],[Baseline Duration]]))</f>
        <v/>
      </c>
      <c r="AZ186" s="42" t="str">
        <f aca="false">IF(OR(Tasks[[#This Row],[Task Name]]="",Tasks[[#This Row],[Baseline Work]]=""),"",Tasks[[#This Row],[Work]]-N(Tasks[[#This Row],[Baseline Work]]))</f>
        <v/>
      </c>
      <c r="BA186" s="43" t="str">
        <f aca="false">IF(OR(Tasks[[#This Row],[Task Name]]="",Tasks[[#This Row],[Baseline Cost]]=""),"",Tasks[[#This Row],[Cost]]-N(Tasks[[#This Row],[Baseline Cost]]))</f>
        <v/>
      </c>
      <c r="BB186" s="46" t="str">
        <f aca="false">IF(Tasks[[#This Row],[Task Name]]="","",MAX(1,N(Tasks[[#This Row],[Level]])))</f>
        <v/>
      </c>
      <c r="BC186" s="46" t="n">
        <f aca="false">ROW()-ROW(Tasks[[#Headers],[ID]])</f>
        <v>181</v>
      </c>
      <c r="BD1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6" s="46" t="n">
        <f aca="false">IFERROR(N(INDEX(Tasks[_Level],Tasks[[#This Row],[_Row]]+1)),0)</f>
        <v>0</v>
      </c>
      <c r="BF186" s="47" t="b">
        <f aca="false">AND(Tasks[[#This Row],[Task Name]]&lt;&gt;"",Tasks[[#This Row],[_NextLevel]]&gt;Tasks[[#This Row],[_Level]])</f>
        <v>0</v>
      </c>
      <c r="BG186" s="46" t="n">
        <f aca="false">IF(Tasks[[#This Row],[_IsSummary]],COUNTIF(Tasks[WBS],Tasks[[#This Row],[WBS]]&amp;".*"),0)</f>
        <v>0</v>
      </c>
      <c r="BH186" s="46" t="n">
        <f aca="false">IF(AND(Tasks[[#This Row],[Task Name]]&lt;&gt;"",NOT(Tasks[[#This Row],[_IsSummary]])),1,0)</f>
        <v>0</v>
      </c>
      <c r="BI186" s="46" t="n">
        <f aca="false">IF(N(Tasks[[#This Row],[Pred1 UID]])=0,0,IFERROR(MATCH(Tasks[[#This Row],[Pred1 UID]],Tasks[UID],0),-1))</f>
        <v>0</v>
      </c>
      <c r="BJ186" s="46" t="n">
        <f aca="false">IF(N(Tasks[[#This Row],[Pred2 UID]])=0,0,IFERROR(MATCH(Tasks[[#This Row],[Pred2 UID]],Tasks[UID],0),-1))</f>
        <v>0</v>
      </c>
      <c r="BK18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6" s="46" t="n">
        <f aca="false">IF(NOT(Tasks[[#This Row],[_IsLeaf]]=1),0,IF(N(Tasks[[#This Row],[Actual Finish]])&gt;0,1,MIN(1,N(Tasks[[#This Row],[% Complete]]))))</f>
        <v>0</v>
      </c>
      <c r="BP18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6" s="46" t="n">
        <f aca="false">IF(Tasks[[#This Row],[_LeafWork]]=0,0,Tasks[[#This Row],[_LeafWork]]*IFERROR(INDEX(res_Rate,MATCH(Tasks[[#This Row],[Resource]],res_Name,0)),0))</f>
        <v>0</v>
      </c>
      <c r="BR18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6" s="46" t="n">
        <f aca="false">IF(NOT(Tasks[[#This Row],[_IsLeaf]]=1),0,MAX(_xlfn.MAXIFS(Tasks[_Row],Tasks[Pred1 UID],Tasks[[#This Row],[UID]]),_xlfn.MAXIFS(Tasks[_Row],Tasks[Pred2 UID],Tasks[[#This Row],[UID]])))</f>
        <v>0</v>
      </c>
      <c r="BW18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6" s="48" t="str">
        <f aca="false">IF(NOT(Tasks[[#This Row],[_IsLeaf]]=1),"",MIN(ProjectFinish,IF(N(Tasks[[#This Row],[Deadline]])&gt;0,Tasks[[#This Row],[Deadline]],2958465),Tasks[[#This Row],[_SuccessorFinishLimit]]))</f>
        <v/>
      </c>
      <c r="BY18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6" s="47" t="b">
        <f aca="false">AND(Tasks[[#This Row],[_IsLeaf]]=1,Tasks[[#This Row],[_LeafProgress]]&lt;1,N(Tasks[[#This Row],[_LeafTotalSlack]])&lt;=CriticalSlackDays)</f>
        <v>0</v>
      </c>
      <c r="CB18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6" s="46" t="n">
        <f aca="false">IF(AND(Tasks[[#This Row],[_IsLeaf]]=1,Tasks[[#This Row],[_LeafWork]]&gt;0),NETWORKDAYS.INTL(ProjectStart,Tasks[[#This Row],[_LeafFcstStart]],WorkWeek,Holidays),0)</f>
        <v>0</v>
      </c>
      <c r="CK18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6" s="46" t="n">
        <f aca="false">IF(AND(Tasks[[#This Row],[_IsLeaf]]=1,Tasks[[#This Row],[_LeafWork]]&gt;0),Tasks[[#This Row],[_LeafWork]]/(Tasks[[#This Row],[_FinishWorkday]]-Tasks[[#This Row],[_StartWorkday]]+1),0)</f>
        <v>0</v>
      </c>
      <c r="CM186" s="46" t="n">
        <f aca="false">Tasks[[#This Row],[_WorkPerWorkday]]*(Tasks[[#This Row],[_StartWorkday]]-1)</f>
        <v>-0</v>
      </c>
      <c r="CN186" s="46" t="n">
        <f aca="false">IF(Tasks[[#This Row],[_IsLeaf]]=1,MAX(N(Tasks[[#This Row],[Duration]]),0.1),0)</f>
        <v>0</v>
      </c>
      <c r="CO186" s="46" t="n">
        <f aca="false">Tasks[[#This Row],[_WeightDur]]*Tasks[[#This Row],[_LeafProgress]]</f>
        <v>0</v>
      </c>
      <c r="CP18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39"/>
      <c r="E187" s="40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7" s="31"/>
      <c r="AF18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7" s="40"/>
      <c r="AI187" s="31"/>
      <c r="AJ18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7" s="40"/>
      <c r="AO187" s="24" t="str">
        <f aca="false">IF(Tasks[[#This Row],[Task Name]]="","",Tasks[[#This Row],[Forecast Start]])</f>
        <v/>
      </c>
      <c r="AP187" s="24" t="str">
        <f aca="false">IF(Tasks[[#This Row],[Task Name]]="","",Tasks[[#This Row],[Forecast Finish]])</f>
        <v/>
      </c>
      <c r="AQ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7" s="42" t="str">
        <f aca="false">IF(Tasks[[#This Row],[Task Name]]="","",Tasks[[#This Row],[Work]])</f>
        <v/>
      </c>
      <c r="AS187" s="43" t="str">
        <f aca="false">IF(Tasks[[#This Row],[Task Name]]="","",Tasks[[#This Row],[Cost]])</f>
        <v/>
      </c>
      <c r="AT187" s="29"/>
      <c r="AU187" s="29"/>
      <c r="AV187" s="39"/>
      <c r="AW187" s="44"/>
      <c r="AX187" s="45"/>
      <c r="AY187" s="38" t="str">
        <f aca="false">IF(OR(Tasks[[#This Row],[Task Name]]="",Tasks[[#This Row],[Baseline Duration]]=""),"",Tasks[[#This Row],[BL Source Duration]]-N(Tasks[[#This Row],[Baseline Duration]]))</f>
        <v/>
      </c>
      <c r="AZ187" s="42" t="str">
        <f aca="false">IF(OR(Tasks[[#This Row],[Task Name]]="",Tasks[[#This Row],[Baseline Work]]=""),"",Tasks[[#This Row],[Work]]-N(Tasks[[#This Row],[Baseline Work]]))</f>
        <v/>
      </c>
      <c r="BA187" s="43" t="str">
        <f aca="false">IF(OR(Tasks[[#This Row],[Task Name]]="",Tasks[[#This Row],[Baseline Cost]]=""),"",Tasks[[#This Row],[Cost]]-N(Tasks[[#This Row],[Baseline Cost]]))</f>
        <v/>
      </c>
      <c r="BB187" s="46" t="str">
        <f aca="false">IF(Tasks[[#This Row],[Task Name]]="","",MAX(1,N(Tasks[[#This Row],[Level]])))</f>
        <v/>
      </c>
      <c r="BC187" s="46" t="n">
        <f aca="false">ROW()-ROW(Tasks[[#Headers],[ID]])</f>
        <v>182</v>
      </c>
      <c r="BD1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7" s="46" t="n">
        <f aca="false">IFERROR(N(INDEX(Tasks[_Level],Tasks[[#This Row],[_Row]]+1)),0)</f>
        <v>0</v>
      </c>
      <c r="BF187" s="47" t="b">
        <f aca="false">AND(Tasks[[#This Row],[Task Name]]&lt;&gt;"",Tasks[[#This Row],[_NextLevel]]&gt;Tasks[[#This Row],[_Level]])</f>
        <v>0</v>
      </c>
      <c r="BG187" s="46" t="n">
        <f aca="false">IF(Tasks[[#This Row],[_IsSummary]],COUNTIF(Tasks[WBS],Tasks[[#This Row],[WBS]]&amp;".*"),0)</f>
        <v>0</v>
      </c>
      <c r="BH187" s="46" t="n">
        <f aca="false">IF(AND(Tasks[[#This Row],[Task Name]]&lt;&gt;"",NOT(Tasks[[#This Row],[_IsSummary]])),1,0)</f>
        <v>0</v>
      </c>
      <c r="BI187" s="46" t="n">
        <f aca="false">IF(N(Tasks[[#This Row],[Pred1 UID]])=0,0,IFERROR(MATCH(Tasks[[#This Row],[Pred1 UID]],Tasks[UID],0),-1))</f>
        <v>0</v>
      </c>
      <c r="BJ187" s="46" t="n">
        <f aca="false">IF(N(Tasks[[#This Row],[Pred2 UID]])=0,0,IFERROR(MATCH(Tasks[[#This Row],[Pred2 UID]],Tasks[UID],0),-1))</f>
        <v>0</v>
      </c>
      <c r="BK18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7" s="46" t="n">
        <f aca="false">IF(NOT(Tasks[[#This Row],[_IsLeaf]]=1),0,IF(N(Tasks[[#This Row],[Actual Finish]])&gt;0,1,MIN(1,N(Tasks[[#This Row],[% Complete]]))))</f>
        <v>0</v>
      </c>
      <c r="BP18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7" s="46" t="n">
        <f aca="false">IF(Tasks[[#This Row],[_LeafWork]]=0,0,Tasks[[#This Row],[_LeafWork]]*IFERROR(INDEX(res_Rate,MATCH(Tasks[[#This Row],[Resource]],res_Name,0)),0))</f>
        <v>0</v>
      </c>
      <c r="BR18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7" s="46" t="n">
        <f aca="false">IF(NOT(Tasks[[#This Row],[_IsLeaf]]=1),0,MAX(_xlfn.MAXIFS(Tasks[_Row],Tasks[Pred1 UID],Tasks[[#This Row],[UID]]),_xlfn.MAXIFS(Tasks[_Row],Tasks[Pred2 UID],Tasks[[#This Row],[UID]])))</f>
        <v>0</v>
      </c>
      <c r="BW18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7" s="48" t="str">
        <f aca="false">IF(NOT(Tasks[[#This Row],[_IsLeaf]]=1),"",MIN(ProjectFinish,IF(N(Tasks[[#This Row],[Deadline]])&gt;0,Tasks[[#This Row],[Deadline]],2958465),Tasks[[#This Row],[_SuccessorFinishLimit]]))</f>
        <v/>
      </c>
      <c r="BY18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7" s="47" t="b">
        <f aca="false">AND(Tasks[[#This Row],[_IsLeaf]]=1,Tasks[[#This Row],[_LeafProgress]]&lt;1,N(Tasks[[#This Row],[_LeafTotalSlack]])&lt;=CriticalSlackDays)</f>
        <v>0</v>
      </c>
      <c r="CB18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7" s="46" t="n">
        <f aca="false">IF(AND(Tasks[[#This Row],[_IsLeaf]]=1,Tasks[[#This Row],[_LeafWork]]&gt;0),NETWORKDAYS.INTL(ProjectStart,Tasks[[#This Row],[_LeafFcstStart]],WorkWeek,Holidays),0)</f>
        <v>0</v>
      </c>
      <c r="CK18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7" s="46" t="n">
        <f aca="false">IF(AND(Tasks[[#This Row],[_IsLeaf]]=1,Tasks[[#This Row],[_LeafWork]]&gt;0),Tasks[[#This Row],[_LeafWork]]/(Tasks[[#This Row],[_FinishWorkday]]-Tasks[[#This Row],[_StartWorkday]]+1),0)</f>
        <v>0</v>
      </c>
      <c r="CM187" s="46" t="n">
        <f aca="false">Tasks[[#This Row],[_WorkPerWorkday]]*(Tasks[[#This Row],[_StartWorkday]]-1)</f>
        <v>-0</v>
      </c>
      <c r="CN187" s="46" t="n">
        <f aca="false">IF(Tasks[[#This Row],[_IsLeaf]]=1,MAX(N(Tasks[[#This Row],[Duration]]),0.1),0)</f>
        <v>0</v>
      </c>
      <c r="CO187" s="46" t="n">
        <f aca="false">Tasks[[#This Row],[_WeightDur]]*Tasks[[#This Row],[_LeafProgress]]</f>
        <v>0</v>
      </c>
      <c r="CP18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39"/>
      <c r="E188" s="40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8" s="31"/>
      <c r="AF18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8" s="40"/>
      <c r="AI188" s="31"/>
      <c r="AJ18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8" s="40"/>
      <c r="AO188" s="24" t="str">
        <f aca="false">IF(Tasks[[#This Row],[Task Name]]="","",Tasks[[#This Row],[Forecast Start]])</f>
        <v/>
      </c>
      <c r="AP188" s="24" t="str">
        <f aca="false">IF(Tasks[[#This Row],[Task Name]]="","",Tasks[[#This Row],[Forecast Finish]])</f>
        <v/>
      </c>
      <c r="AQ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8" s="42" t="str">
        <f aca="false">IF(Tasks[[#This Row],[Task Name]]="","",Tasks[[#This Row],[Work]])</f>
        <v/>
      </c>
      <c r="AS188" s="43" t="str">
        <f aca="false">IF(Tasks[[#This Row],[Task Name]]="","",Tasks[[#This Row],[Cost]])</f>
        <v/>
      </c>
      <c r="AT188" s="29"/>
      <c r="AU188" s="29"/>
      <c r="AV188" s="39"/>
      <c r="AW188" s="44"/>
      <c r="AX188" s="45"/>
      <c r="AY188" s="38" t="str">
        <f aca="false">IF(OR(Tasks[[#This Row],[Task Name]]="",Tasks[[#This Row],[Baseline Duration]]=""),"",Tasks[[#This Row],[BL Source Duration]]-N(Tasks[[#This Row],[Baseline Duration]]))</f>
        <v/>
      </c>
      <c r="AZ188" s="42" t="str">
        <f aca="false">IF(OR(Tasks[[#This Row],[Task Name]]="",Tasks[[#This Row],[Baseline Work]]=""),"",Tasks[[#This Row],[Work]]-N(Tasks[[#This Row],[Baseline Work]]))</f>
        <v/>
      </c>
      <c r="BA188" s="43" t="str">
        <f aca="false">IF(OR(Tasks[[#This Row],[Task Name]]="",Tasks[[#This Row],[Baseline Cost]]=""),"",Tasks[[#This Row],[Cost]]-N(Tasks[[#This Row],[Baseline Cost]]))</f>
        <v/>
      </c>
      <c r="BB188" s="46" t="str">
        <f aca="false">IF(Tasks[[#This Row],[Task Name]]="","",MAX(1,N(Tasks[[#This Row],[Level]])))</f>
        <v/>
      </c>
      <c r="BC188" s="46" t="n">
        <f aca="false">ROW()-ROW(Tasks[[#Headers],[ID]])</f>
        <v>183</v>
      </c>
      <c r="BD1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8" s="46" t="n">
        <f aca="false">IFERROR(N(INDEX(Tasks[_Level],Tasks[[#This Row],[_Row]]+1)),0)</f>
        <v>0</v>
      </c>
      <c r="BF188" s="47" t="b">
        <f aca="false">AND(Tasks[[#This Row],[Task Name]]&lt;&gt;"",Tasks[[#This Row],[_NextLevel]]&gt;Tasks[[#This Row],[_Level]])</f>
        <v>0</v>
      </c>
      <c r="BG188" s="46" t="n">
        <f aca="false">IF(Tasks[[#This Row],[_IsSummary]],COUNTIF(Tasks[WBS],Tasks[[#This Row],[WBS]]&amp;".*"),0)</f>
        <v>0</v>
      </c>
      <c r="BH188" s="46" t="n">
        <f aca="false">IF(AND(Tasks[[#This Row],[Task Name]]&lt;&gt;"",NOT(Tasks[[#This Row],[_IsSummary]])),1,0)</f>
        <v>0</v>
      </c>
      <c r="BI188" s="46" t="n">
        <f aca="false">IF(N(Tasks[[#This Row],[Pred1 UID]])=0,0,IFERROR(MATCH(Tasks[[#This Row],[Pred1 UID]],Tasks[UID],0),-1))</f>
        <v>0</v>
      </c>
      <c r="BJ188" s="46" t="n">
        <f aca="false">IF(N(Tasks[[#This Row],[Pred2 UID]])=0,0,IFERROR(MATCH(Tasks[[#This Row],[Pred2 UID]],Tasks[UID],0),-1))</f>
        <v>0</v>
      </c>
      <c r="BK18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8" s="46" t="n">
        <f aca="false">IF(NOT(Tasks[[#This Row],[_IsLeaf]]=1),0,IF(N(Tasks[[#This Row],[Actual Finish]])&gt;0,1,MIN(1,N(Tasks[[#This Row],[% Complete]]))))</f>
        <v>0</v>
      </c>
      <c r="BP18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8" s="46" t="n">
        <f aca="false">IF(Tasks[[#This Row],[_LeafWork]]=0,0,Tasks[[#This Row],[_LeafWork]]*IFERROR(INDEX(res_Rate,MATCH(Tasks[[#This Row],[Resource]],res_Name,0)),0))</f>
        <v>0</v>
      </c>
      <c r="BR18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8" s="46" t="n">
        <f aca="false">IF(NOT(Tasks[[#This Row],[_IsLeaf]]=1),0,MAX(_xlfn.MAXIFS(Tasks[_Row],Tasks[Pred1 UID],Tasks[[#This Row],[UID]]),_xlfn.MAXIFS(Tasks[_Row],Tasks[Pred2 UID],Tasks[[#This Row],[UID]])))</f>
        <v>0</v>
      </c>
      <c r="BW18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8" s="48" t="str">
        <f aca="false">IF(NOT(Tasks[[#This Row],[_IsLeaf]]=1),"",MIN(ProjectFinish,IF(N(Tasks[[#This Row],[Deadline]])&gt;0,Tasks[[#This Row],[Deadline]],2958465),Tasks[[#This Row],[_SuccessorFinishLimit]]))</f>
        <v/>
      </c>
      <c r="BY18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8" s="47" t="b">
        <f aca="false">AND(Tasks[[#This Row],[_IsLeaf]]=1,Tasks[[#This Row],[_LeafProgress]]&lt;1,N(Tasks[[#This Row],[_LeafTotalSlack]])&lt;=CriticalSlackDays)</f>
        <v>0</v>
      </c>
      <c r="CB18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8" s="46" t="n">
        <f aca="false">IF(AND(Tasks[[#This Row],[_IsLeaf]]=1,Tasks[[#This Row],[_LeafWork]]&gt;0),NETWORKDAYS.INTL(ProjectStart,Tasks[[#This Row],[_LeafFcstStart]],WorkWeek,Holidays),0)</f>
        <v>0</v>
      </c>
      <c r="CK18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8" s="46" t="n">
        <f aca="false">IF(AND(Tasks[[#This Row],[_IsLeaf]]=1,Tasks[[#This Row],[_LeafWork]]&gt;0),Tasks[[#This Row],[_LeafWork]]/(Tasks[[#This Row],[_FinishWorkday]]-Tasks[[#This Row],[_StartWorkday]]+1),0)</f>
        <v>0</v>
      </c>
      <c r="CM188" s="46" t="n">
        <f aca="false">Tasks[[#This Row],[_WorkPerWorkday]]*(Tasks[[#This Row],[_StartWorkday]]-1)</f>
        <v>-0</v>
      </c>
      <c r="CN188" s="46" t="n">
        <f aca="false">IF(Tasks[[#This Row],[_IsLeaf]]=1,MAX(N(Tasks[[#This Row],[Duration]]),0.1),0)</f>
        <v>0</v>
      </c>
      <c r="CO188" s="46" t="n">
        <f aca="false">Tasks[[#This Row],[_WeightDur]]*Tasks[[#This Row],[_LeafProgress]]</f>
        <v>0</v>
      </c>
      <c r="CP18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39"/>
      <c r="E189" s="40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9" s="31"/>
      <c r="AF18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9" s="40"/>
      <c r="AI189" s="31"/>
      <c r="AJ18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9" s="40"/>
      <c r="AO189" s="24" t="str">
        <f aca="false">IF(Tasks[[#This Row],[Task Name]]="","",Tasks[[#This Row],[Forecast Start]])</f>
        <v/>
      </c>
      <c r="AP189" s="24" t="str">
        <f aca="false">IF(Tasks[[#This Row],[Task Name]]="","",Tasks[[#This Row],[Forecast Finish]])</f>
        <v/>
      </c>
      <c r="AQ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9" s="42" t="str">
        <f aca="false">IF(Tasks[[#This Row],[Task Name]]="","",Tasks[[#This Row],[Work]])</f>
        <v/>
      </c>
      <c r="AS189" s="43" t="str">
        <f aca="false">IF(Tasks[[#This Row],[Task Name]]="","",Tasks[[#This Row],[Cost]])</f>
        <v/>
      </c>
      <c r="AT189" s="29"/>
      <c r="AU189" s="29"/>
      <c r="AV189" s="39"/>
      <c r="AW189" s="44"/>
      <c r="AX189" s="45"/>
      <c r="AY189" s="38" t="str">
        <f aca="false">IF(OR(Tasks[[#This Row],[Task Name]]="",Tasks[[#This Row],[Baseline Duration]]=""),"",Tasks[[#This Row],[BL Source Duration]]-N(Tasks[[#This Row],[Baseline Duration]]))</f>
        <v/>
      </c>
      <c r="AZ189" s="42" t="str">
        <f aca="false">IF(OR(Tasks[[#This Row],[Task Name]]="",Tasks[[#This Row],[Baseline Work]]=""),"",Tasks[[#This Row],[Work]]-N(Tasks[[#This Row],[Baseline Work]]))</f>
        <v/>
      </c>
      <c r="BA189" s="43" t="str">
        <f aca="false">IF(OR(Tasks[[#This Row],[Task Name]]="",Tasks[[#This Row],[Baseline Cost]]=""),"",Tasks[[#This Row],[Cost]]-N(Tasks[[#This Row],[Baseline Cost]]))</f>
        <v/>
      </c>
      <c r="BB189" s="46" t="str">
        <f aca="false">IF(Tasks[[#This Row],[Task Name]]="","",MAX(1,N(Tasks[[#This Row],[Level]])))</f>
        <v/>
      </c>
      <c r="BC189" s="46" t="n">
        <f aca="false">ROW()-ROW(Tasks[[#Headers],[ID]])</f>
        <v>184</v>
      </c>
      <c r="BD1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9" s="46" t="n">
        <f aca="false">IFERROR(N(INDEX(Tasks[_Level],Tasks[[#This Row],[_Row]]+1)),0)</f>
        <v>0</v>
      </c>
      <c r="BF189" s="47" t="b">
        <f aca="false">AND(Tasks[[#This Row],[Task Name]]&lt;&gt;"",Tasks[[#This Row],[_NextLevel]]&gt;Tasks[[#This Row],[_Level]])</f>
        <v>0</v>
      </c>
      <c r="BG189" s="46" t="n">
        <f aca="false">IF(Tasks[[#This Row],[_IsSummary]],COUNTIF(Tasks[WBS],Tasks[[#This Row],[WBS]]&amp;".*"),0)</f>
        <v>0</v>
      </c>
      <c r="BH189" s="46" t="n">
        <f aca="false">IF(AND(Tasks[[#This Row],[Task Name]]&lt;&gt;"",NOT(Tasks[[#This Row],[_IsSummary]])),1,0)</f>
        <v>0</v>
      </c>
      <c r="BI189" s="46" t="n">
        <f aca="false">IF(N(Tasks[[#This Row],[Pred1 UID]])=0,0,IFERROR(MATCH(Tasks[[#This Row],[Pred1 UID]],Tasks[UID],0),-1))</f>
        <v>0</v>
      </c>
      <c r="BJ189" s="46" t="n">
        <f aca="false">IF(N(Tasks[[#This Row],[Pred2 UID]])=0,0,IFERROR(MATCH(Tasks[[#This Row],[Pred2 UID]],Tasks[UID],0),-1))</f>
        <v>0</v>
      </c>
      <c r="BK18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9" s="46" t="n">
        <f aca="false">IF(NOT(Tasks[[#This Row],[_IsLeaf]]=1),0,IF(N(Tasks[[#This Row],[Actual Finish]])&gt;0,1,MIN(1,N(Tasks[[#This Row],[% Complete]]))))</f>
        <v>0</v>
      </c>
      <c r="BP18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89" s="46" t="n">
        <f aca="false">IF(Tasks[[#This Row],[_LeafWork]]=0,0,Tasks[[#This Row],[_LeafWork]]*IFERROR(INDEX(res_Rate,MATCH(Tasks[[#This Row],[Resource]],res_Name,0)),0))</f>
        <v>0</v>
      </c>
      <c r="BR18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9" s="46" t="n">
        <f aca="false">IF(NOT(Tasks[[#This Row],[_IsLeaf]]=1),0,MAX(_xlfn.MAXIFS(Tasks[_Row],Tasks[Pred1 UID],Tasks[[#This Row],[UID]]),_xlfn.MAXIFS(Tasks[_Row],Tasks[Pred2 UID],Tasks[[#This Row],[UID]])))</f>
        <v>0</v>
      </c>
      <c r="BW18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9" s="48" t="str">
        <f aca="false">IF(NOT(Tasks[[#This Row],[_IsLeaf]]=1),"",MIN(ProjectFinish,IF(N(Tasks[[#This Row],[Deadline]])&gt;0,Tasks[[#This Row],[Deadline]],2958465),Tasks[[#This Row],[_SuccessorFinishLimit]]))</f>
        <v/>
      </c>
      <c r="BY18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9" s="47" t="b">
        <f aca="false">AND(Tasks[[#This Row],[_IsLeaf]]=1,Tasks[[#This Row],[_LeafProgress]]&lt;1,N(Tasks[[#This Row],[_LeafTotalSlack]])&lt;=CriticalSlackDays)</f>
        <v>0</v>
      </c>
      <c r="CB18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9" s="46" t="n">
        <f aca="false">IF(AND(Tasks[[#This Row],[_IsLeaf]]=1,Tasks[[#This Row],[_LeafWork]]&gt;0),NETWORKDAYS.INTL(ProjectStart,Tasks[[#This Row],[_LeafFcstStart]],WorkWeek,Holidays),0)</f>
        <v>0</v>
      </c>
      <c r="CK18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9" s="46" t="n">
        <f aca="false">IF(AND(Tasks[[#This Row],[_IsLeaf]]=1,Tasks[[#This Row],[_LeafWork]]&gt;0),Tasks[[#This Row],[_LeafWork]]/(Tasks[[#This Row],[_FinishWorkday]]-Tasks[[#This Row],[_StartWorkday]]+1),0)</f>
        <v>0</v>
      </c>
      <c r="CM189" s="46" t="n">
        <f aca="false">Tasks[[#This Row],[_WorkPerWorkday]]*(Tasks[[#This Row],[_StartWorkday]]-1)</f>
        <v>-0</v>
      </c>
      <c r="CN189" s="46" t="n">
        <f aca="false">IF(Tasks[[#This Row],[_IsLeaf]]=1,MAX(N(Tasks[[#This Row],[Duration]]),0.1),0)</f>
        <v>0</v>
      </c>
      <c r="CO189" s="46" t="n">
        <f aca="false">Tasks[[#This Row],[_WeightDur]]*Tasks[[#This Row],[_LeafProgress]]</f>
        <v>0</v>
      </c>
      <c r="CP18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39"/>
      <c r="E190" s="40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0" s="31"/>
      <c r="AF19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0" s="40"/>
      <c r="AI190" s="31"/>
      <c r="AJ19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0" s="40"/>
      <c r="AO190" s="24" t="str">
        <f aca="false">IF(Tasks[[#This Row],[Task Name]]="","",Tasks[[#This Row],[Forecast Start]])</f>
        <v/>
      </c>
      <c r="AP190" s="24" t="str">
        <f aca="false">IF(Tasks[[#This Row],[Task Name]]="","",Tasks[[#This Row],[Forecast Finish]])</f>
        <v/>
      </c>
      <c r="AQ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0" s="42" t="str">
        <f aca="false">IF(Tasks[[#This Row],[Task Name]]="","",Tasks[[#This Row],[Work]])</f>
        <v/>
      </c>
      <c r="AS190" s="43" t="str">
        <f aca="false">IF(Tasks[[#This Row],[Task Name]]="","",Tasks[[#This Row],[Cost]])</f>
        <v/>
      </c>
      <c r="AT190" s="29"/>
      <c r="AU190" s="29"/>
      <c r="AV190" s="39"/>
      <c r="AW190" s="44"/>
      <c r="AX190" s="45"/>
      <c r="AY190" s="38" t="str">
        <f aca="false">IF(OR(Tasks[[#This Row],[Task Name]]="",Tasks[[#This Row],[Baseline Duration]]=""),"",Tasks[[#This Row],[BL Source Duration]]-N(Tasks[[#This Row],[Baseline Duration]]))</f>
        <v/>
      </c>
      <c r="AZ190" s="42" t="str">
        <f aca="false">IF(OR(Tasks[[#This Row],[Task Name]]="",Tasks[[#This Row],[Baseline Work]]=""),"",Tasks[[#This Row],[Work]]-N(Tasks[[#This Row],[Baseline Work]]))</f>
        <v/>
      </c>
      <c r="BA190" s="43" t="str">
        <f aca="false">IF(OR(Tasks[[#This Row],[Task Name]]="",Tasks[[#This Row],[Baseline Cost]]=""),"",Tasks[[#This Row],[Cost]]-N(Tasks[[#This Row],[Baseline Cost]]))</f>
        <v/>
      </c>
      <c r="BB190" s="46" t="str">
        <f aca="false">IF(Tasks[[#This Row],[Task Name]]="","",MAX(1,N(Tasks[[#This Row],[Level]])))</f>
        <v/>
      </c>
      <c r="BC190" s="46" t="n">
        <f aca="false">ROW()-ROW(Tasks[[#Headers],[ID]])</f>
        <v>185</v>
      </c>
      <c r="BD1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0" s="46" t="n">
        <f aca="false">IFERROR(N(INDEX(Tasks[_Level],Tasks[[#This Row],[_Row]]+1)),0)</f>
        <v>0</v>
      </c>
      <c r="BF190" s="47" t="b">
        <f aca="false">AND(Tasks[[#This Row],[Task Name]]&lt;&gt;"",Tasks[[#This Row],[_NextLevel]]&gt;Tasks[[#This Row],[_Level]])</f>
        <v>0</v>
      </c>
      <c r="BG190" s="46" t="n">
        <f aca="false">IF(Tasks[[#This Row],[_IsSummary]],COUNTIF(Tasks[WBS],Tasks[[#This Row],[WBS]]&amp;".*"),0)</f>
        <v>0</v>
      </c>
      <c r="BH190" s="46" t="n">
        <f aca="false">IF(AND(Tasks[[#This Row],[Task Name]]&lt;&gt;"",NOT(Tasks[[#This Row],[_IsSummary]])),1,0)</f>
        <v>0</v>
      </c>
      <c r="BI190" s="46" t="n">
        <f aca="false">IF(N(Tasks[[#This Row],[Pred1 UID]])=0,0,IFERROR(MATCH(Tasks[[#This Row],[Pred1 UID]],Tasks[UID],0),-1))</f>
        <v>0</v>
      </c>
      <c r="BJ190" s="46" t="n">
        <f aca="false">IF(N(Tasks[[#This Row],[Pred2 UID]])=0,0,IFERROR(MATCH(Tasks[[#This Row],[Pred2 UID]],Tasks[UID],0),-1))</f>
        <v>0</v>
      </c>
      <c r="BK19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0" s="46" t="n">
        <f aca="false">IF(NOT(Tasks[[#This Row],[_IsLeaf]]=1),0,IF(N(Tasks[[#This Row],[Actual Finish]])&gt;0,1,MIN(1,N(Tasks[[#This Row],[% Complete]]))))</f>
        <v>0</v>
      </c>
      <c r="BP19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0" s="46" t="n">
        <f aca="false">IF(Tasks[[#This Row],[_LeafWork]]=0,0,Tasks[[#This Row],[_LeafWork]]*IFERROR(INDEX(res_Rate,MATCH(Tasks[[#This Row],[Resource]],res_Name,0)),0))</f>
        <v>0</v>
      </c>
      <c r="BR19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0" s="46" t="n">
        <f aca="false">IF(NOT(Tasks[[#This Row],[_IsLeaf]]=1),0,MAX(_xlfn.MAXIFS(Tasks[_Row],Tasks[Pred1 UID],Tasks[[#This Row],[UID]]),_xlfn.MAXIFS(Tasks[_Row],Tasks[Pred2 UID],Tasks[[#This Row],[UID]])))</f>
        <v>0</v>
      </c>
      <c r="BW19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0" s="48" t="str">
        <f aca="false">IF(NOT(Tasks[[#This Row],[_IsLeaf]]=1),"",MIN(ProjectFinish,IF(N(Tasks[[#This Row],[Deadline]])&gt;0,Tasks[[#This Row],[Deadline]],2958465),Tasks[[#This Row],[_SuccessorFinishLimit]]))</f>
        <v/>
      </c>
      <c r="BY19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0" s="47" t="b">
        <f aca="false">AND(Tasks[[#This Row],[_IsLeaf]]=1,Tasks[[#This Row],[_LeafProgress]]&lt;1,N(Tasks[[#This Row],[_LeafTotalSlack]])&lt;=CriticalSlackDays)</f>
        <v>0</v>
      </c>
      <c r="CB19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0" s="46" t="n">
        <f aca="false">IF(AND(Tasks[[#This Row],[_IsLeaf]]=1,Tasks[[#This Row],[_LeafWork]]&gt;0),NETWORKDAYS.INTL(ProjectStart,Tasks[[#This Row],[_LeafFcstStart]],WorkWeek,Holidays),0)</f>
        <v>0</v>
      </c>
      <c r="CK19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0" s="46" t="n">
        <f aca="false">IF(AND(Tasks[[#This Row],[_IsLeaf]]=1,Tasks[[#This Row],[_LeafWork]]&gt;0),Tasks[[#This Row],[_LeafWork]]/(Tasks[[#This Row],[_FinishWorkday]]-Tasks[[#This Row],[_StartWorkday]]+1),0)</f>
        <v>0</v>
      </c>
      <c r="CM190" s="46" t="n">
        <f aca="false">Tasks[[#This Row],[_WorkPerWorkday]]*(Tasks[[#This Row],[_StartWorkday]]-1)</f>
        <v>-0</v>
      </c>
      <c r="CN190" s="46" t="n">
        <f aca="false">IF(Tasks[[#This Row],[_IsLeaf]]=1,MAX(N(Tasks[[#This Row],[Duration]]),0.1),0)</f>
        <v>0</v>
      </c>
      <c r="CO190" s="46" t="n">
        <f aca="false">Tasks[[#This Row],[_WeightDur]]*Tasks[[#This Row],[_LeafProgress]]</f>
        <v>0</v>
      </c>
      <c r="CP19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39"/>
      <c r="E191" s="40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1" s="31"/>
      <c r="AF19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1" s="40"/>
      <c r="AI191" s="31"/>
      <c r="AJ19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1" s="40"/>
      <c r="AO191" s="24" t="str">
        <f aca="false">IF(Tasks[[#This Row],[Task Name]]="","",Tasks[[#This Row],[Forecast Start]])</f>
        <v/>
      </c>
      <c r="AP191" s="24" t="str">
        <f aca="false">IF(Tasks[[#This Row],[Task Name]]="","",Tasks[[#This Row],[Forecast Finish]])</f>
        <v/>
      </c>
      <c r="AQ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1" s="42" t="str">
        <f aca="false">IF(Tasks[[#This Row],[Task Name]]="","",Tasks[[#This Row],[Work]])</f>
        <v/>
      </c>
      <c r="AS191" s="43" t="str">
        <f aca="false">IF(Tasks[[#This Row],[Task Name]]="","",Tasks[[#This Row],[Cost]])</f>
        <v/>
      </c>
      <c r="AT191" s="29"/>
      <c r="AU191" s="29"/>
      <c r="AV191" s="39"/>
      <c r="AW191" s="44"/>
      <c r="AX191" s="45"/>
      <c r="AY191" s="38" t="str">
        <f aca="false">IF(OR(Tasks[[#This Row],[Task Name]]="",Tasks[[#This Row],[Baseline Duration]]=""),"",Tasks[[#This Row],[BL Source Duration]]-N(Tasks[[#This Row],[Baseline Duration]]))</f>
        <v/>
      </c>
      <c r="AZ191" s="42" t="str">
        <f aca="false">IF(OR(Tasks[[#This Row],[Task Name]]="",Tasks[[#This Row],[Baseline Work]]=""),"",Tasks[[#This Row],[Work]]-N(Tasks[[#This Row],[Baseline Work]]))</f>
        <v/>
      </c>
      <c r="BA191" s="43" t="str">
        <f aca="false">IF(OR(Tasks[[#This Row],[Task Name]]="",Tasks[[#This Row],[Baseline Cost]]=""),"",Tasks[[#This Row],[Cost]]-N(Tasks[[#This Row],[Baseline Cost]]))</f>
        <v/>
      </c>
      <c r="BB191" s="46" t="str">
        <f aca="false">IF(Tasks[[#This Row],[Task Name]]="","",MAX(1,N(Tasks[[#This Row],[Level]])))</f>
        <v/>
      </c>
      <c r="BC191" s="46" t="n">
        <f aca="false">ROW()-ROW(Tasks[[#Headers],[ID]])</f>
        <v>186</v>
      </c>
      <c r="BD1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1" s="46" t="n">
        <f aca="false">IFERROR(N(INDEX(Tasks[_Level],Tasks[[#This Row],[_Row]]+1)),0)</f>
        <v>0</v>
      </c>
      <c r="BF191" s="47" t="b">
        <f aca="false">AND(Tasks[[#This Row],[Task Name]]&lt;&gt;"",Tasks[[#This Row],[_NextLevel]]&gt;Tasks[[#This Row],[_Level]])</f>
        <v>0</v>
      </c>
      <c r="BG191" s="46" t="n">
        <f aca="false">IF(Tasks[[#This Row],[_IsSummary]],COUNTIF(Tasks[WBS],Tasks[[#This Row],[WBS]]&amp;".*"),0)</f>
        <v>0</v>
      </c>
      <c r="BH191" s="46" t="n">
        <f aca="false">IF(AND(Tasks[[#This Row],[Task Name]]&lt;&gt;"",NOT(Tasks[[#This Row],[_IsSummary]])),1,0)</f>
        <v>0</v>
      </c>
      <c r="BI191" s="46" t="n">
        <f aca="false">IF(N(Tasks[[#This Row],[Pred1 UID]])=0,0,IFERROR(MATCH(Tasks[[#This Row],[Pred1 UID]],Tasks[UID],0),-1))</f>
        <v>0</v>
      </c>
      <c r="BJ191" s="46" t="n">
        <f aca="false">IF(N(Tasks[[#This Row],[Pred2 UID]])=0,0,IFERROR(MATCH(Tasks[[#This Row],[Pred2 UID]],Tasks[UID],0),-1))</f>
        <v>0</v>
      </c>
      <c r="BK19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1" s="46" t="n">
        <f aca="false">IF(NOT(Tasks[[#This Row],[_IsLeaf]]=1),0,IF(N(Tasks[[#This Row],[Actual Finish]])&gt;0,1,MIN(1,N(Tasks[[#This Row],[% Complete]]))))</f>
        <v>0</v>
      </c>
      <c r="BP19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1" s="46" t="n">
        <f aca="false">IF(Tasks[[#This Row],[_LeafWork]]=0,0,Tasks[[#This Row],[_LeafWork]]*IFERROR(INDEX(res_Rate,MATCH(Tasks[[#This Row],[Resource]],res_Name,0)),0))</f>
        <v>0</v>
      </c>
      <c r="BR19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1" s="46" t="n">
        <f aca="false">IF(NOT(Tasks[[#This Row],[_IsLeaf]]=1),0,MAX(_xlfn.MAXIFS(Tasks[_Row],Tasks[Pred1 UID],Tasks[[#This Row],[UID]]),_xlfn.MAXIFS(Tasks[_Row],Tasks[Pred2 UID],Tasks[[#This Row],[UID]])))</f>
        <v>0</v>
      </c>
      <c r="BW19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1" s="48" t="str">
        <f aca="false">IF(NOT(Tasks[[#This Row],[_IsLeaf]]=1),"",MIN(ProjectFinish,IF(N(Tasks[[#This Row],[Deadline]])&gt;0,Tasks[[#This Row],[Deadline]],2958465),Tasks[[#This Row],[_SuccessorFinishLimit]]))</f>
        <v/>
      </c>
      <c r="BY19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1" s="47" t="b">
        <f aca="false">AND(Tasks[[#This Row],[_IsLeaf]]=1,Tasks[[#This Row],[_LeafProgress]]&lt;1,N(Tasks[[#This Row],[_LeafTotalSlack]])&lt;=CriticalSlackDays)</f>
        <v>0</v>
      </c>
      <c r="CB19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1" s="46" t="n">
        <f aca="false">IF(AND(Tasks[[#This Row],[_IsLeaf]]=1,Tasks[[#This Row],[_LeafWork]]&gt;0),NETWORKDAYS.INTL(ProjectStart,Tasks[[#This Row],[_LeafFcstStart]],WorkWeek,Holidays),0)</f>
        <v>0</v>
      </c>
      <c r="CK19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1" s="46" t="n">
        <f aca="false">IF(AND(Tasks[[#This Row],[_IsLeaf]]=1,Tasks[[#This Row],[_LeafWork]]&gt;0),Tasks[[#This Row],[_LeafWork]]/(Tasks[[#This Row],[_FinishWorkday]]-Tasks[[#This Row],[_StartWorkday]]+1),0)</f>
        <v>0</v>
      </c>
      <c r="CM191" s="46" t="n">
        <f aca="false">Tasks[[#This Row],[_WorkPerWorkday]]*(Tasks[[#This Row],[_StartWorkday]]-1)</f>
        <v>-0</v>
      </c>
      <c r="CN191" s="46" t="n">
        <f aca="false">IF(Tasks[[#This Row],[_IsLeaf]]=1,MAX(N(Tasks[[#This Row],[Duration]]),0.1),0)</f>
        <v>0</v>
      </c>
      <c r="CO191" s="46" t="n">
        <f aca="false">Tasks[[#This Row],[_WeightDur]]*Tasks[[#This Row],[_LeafProgress]]</f>
        <v>0</v>
      </c>
      <c r="CP19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39"/>
      <c r="E192" s="40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2" s="31"/>
      <c r="AF19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2" s="40"/>
      <c r="AI192" s="31"/>
      <c r="AJ19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2" s="40"/>
      <c r="AO192" s="24" t="str">
        <f aca="false">IF(Tasks[[#This Row],[Task Name]]="","",Tasks[[#This Row],[Forecast Start]])</f>
        <v/>
      </c>
      <c r="AP192" s="24" t="str">
        <f aca="false">IF(Tasks[[#This Row],[Task Name]]="","",Tasks[[#This Row],[Forecast Finish]])</f>
        <v/>
      </c>
      <c r="AQ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2" s="42" t="str">
        <f aca="false">IF(Tasks[[#This Row],[Task Name]]="","",Tasks[[#This Row],[Work]])</f>
        <v/>
      </c>
      <c r="AS192" s="43" t="str">
        <f aca="false">IF(Tasks[[#This Row],[Task Name]]="","",Tasks[[#This Row],[Cost]])</f>
        <v/>
      </c>
      <c r="AT192" s="29"/>
      <c r="AU192" s="29"/>
      <c r="AV192" s="39"/>
      <c r="AW192" s="44"/>
      <c r="AX192" s="45"/>
      <c r="AY192" s="38" t="str">
        <f aca="false">IF(OR(Tasks[[#This Row],[Task Name]]="",Tasks[[#This Row],[Baseline Duration]]=""),"",Tasks[[#This Row],[BL Source Duration]]-N(Tasks[[#This Row],[Baseline Duration]]))</f>
        <v/>
      </c>
      <c r="AZ192" s="42" t="str">
        <f aca="false">IF(OR(Tasks[[#This Row],[Task Name]]="",Tasks[[#This Row],[Baseline Work]]=""),"",Tasks[[#This Row],[Work]]-N(Tasks[[#This Row],[Baseline Work]]))</f>
        <v/>
      </c>
      <c r="BA192" s="43" t="str">
        <f aca="false">IF(OR(Tasks[[#This Row],[Task Name]]="",Tasks[[#This Row],[Baseline Cost]]=""),"",Tasks[[#This Row],[Cost]]-N(Tasks[[#This Row],[Baseline Cost]]))</f>
        <v/>
      </c>
      <c r="BB192" s="46" t="str">
        <f aca="false">IF(Tasks[[#This Row],[Task Name]]="","",MAX(1,N(Tasks[[#This Row],[Level]])))</f>
        <v/>
      </c>
      <c r="BC192" s="46" t="n">
        <f aca="false">ROW()-ROW(Tasks[[#Headers],[ID]])</f>
        <v>187</v>
      </c>
      <c r="BD1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2" s="46" t="n">
        <f aca="false">IFERROR(N(INDEX(Tasks[_Level],Tasks[[#This Row],[_Row]]+1)),0)</f>
        <v>0</v>
      </c>
      <c r="BF192" s="47" t="b">
        <f aca="false">AND(Tasks[[#This Row],[Task Name]]&lt;&gt;"",Tasks[[#This Row],[_NextLevel]]&gt;Tasks[[#This Row],[_Level]])</f>
        <v>0</v>
      </c>
      <c r="BG192" s="46" t="n">
        <f aca="false">IF(Tasks[[#This Row],[_IsSummary]],COUNTIF(Tasks[WBS],Tasks[[#This Row],[WBS]]&amp;".*"),0)</f>
        <v>0</v>
      </c>
      <c r="BH192" s="46" t="n">
        <f aca="false">IF(AND(Tasks[[#This Row],[Task Name]]&lt;&gt;"",NOT(Tasks[[#This Row],[_IsSummary]])),1,0)</f>
        <v>0</v>
      </c>
      <c r="BI192" s="46" t="n">
        <f aca="false">IF(N(Tasks[[#This Row],[Pred1 UID]])=0,0,IFERROR(MATCH(Tasks[[#This Row],[Pred1 UID]],Tasks[UID],0),-1))</f>
        <v>0</v>
      </c>
      <c r="BJ192" s="46" t="n">
        <f aca="false">IF(N(Tasks[[#This Row],[Pred2 UID]])=0,0,IFERROR(MATCH(Tasks[[#This Row],[Pred2 UID]],Tasks[UID],0),-1))</f>
        <v>0</v>
      </c>
      <c r="BK19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2" s="46" t="n">
        <f aca="false">IF(NOT(Tasks[[#This Row],[_IsLeaf]]=1),0,IF(N(Tasks[[#This Row],[Actual Finish]])&gt;0,1,MIN(1,N(Tasks[[#This Row],[% Complete]]))))</f>
        <v>0</v>
      </c>
      <c r="BP19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2" s="46" t="n">
        <f aca="false">IF(Tasks[[#This Row],[_LeafWork]]=0,0,Tasks[[#This Row],[_LeafWork]]*IFERROR(INDEX(res_Rate,MATCH(Tasks[[#This Row],[Resource]],res_Name,0)),0))</f>
        <v>0</v>
      </c>
      <c r="BR19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2" s="46" t="n">
        <f aca="false">IF(NOT(Tasks[[#This Row],[_IsLeaf]]=1),0,MAX(_xlfn.MAXIFS(Tasks[_Row],Tasks[Pred1 UID],Tasks[[#This Row],[UID]]),_xlfn.MAXIFS(Tasks[_Row],Tasks[Pred2 UID],Tasks[[#This Row],[UID]])))</f>
        <v>0</v>
      </c>
      <c r="BW19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2" s="48" t="str">
        <f aca="false">IF(NOT(Tasks[[#This Row],[_IsLeaf]]=1),"",MIN(ProjectFinish,IF(N(Tasks[[#This Row],[Deadline]])&gt;0,Tasks[[#This Row],[Deadline]],2958465),Tasks[[#This Row],[_SuccessorFinishLimit]]))</f>
        <v/>
      </c>
      <c r="BY19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2" s="47" t="b">
        <f aca="false">AND(Tasks[[#This Row],[_IsLeaf]]=1,Tasks[[#This Row],[_LeafProgress]]&lt;1,N(Tasks[[#This Row],[_LeafTotalSlack]])&lt;=CriticalSlackDays)</f>
        <v>0</v>
      </c>
      <c r="CB19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2" s="46" t="n">
        <f aca="false">IF(AND(Tasks[[#This Row],[_IsLeaf]]=1,Tasks[[#This Row],[_LeafWork]]&gt;0),NETWORKDAYS.INTL(ProjectStart,Tasks[[#This Row],[_LeafFcstStart]],WorkWeek,Holidays),0)</f>
        <v>0</v>
      </c>
      <c r="CK19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2" s="46" t="n">
        <f aca="false">IF(AND(Tasks[[#This Row],[_IsLeaf]]=1,Tasks[[#This Row],[_LeafWork]]&gt;0),Tasks[[#This Row],[_LeafWork]]/(Tasks[[#This Row],[_FinishWorkday]]-Tasks[[#This Row],[_StartWorkday]]+1),0)</f>
        <v>0</v>
      </c>
      <c r="CM192" s="46" t="n">
        <f aca="false">Tasks[[#This Row],[_WorkPerWorkday]]*(Tasks[[#This Row],[_StartWorkday]]-1)</f>
        <v>-0</v>
      </c>
      <c r="CN192" s="46" t="n">
        <f aca="false">IF(Tasks[[#This Row],[_IsLeaf]]=1,MAX(N(Tasks[[#This Row],[Duration]]),0.1),0)</f>
        <v>0</v>
      </c>
      <c r="CO192" s="46" t="n">
        <f aca="false">Tasks[[#This Row],[_WeightDur]]*Tasks[[#This Row],[_LeafProgress]]</f>
        <v>0</v>
      </c>
      <c r="CP19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39"/>
      <c r="E193" s="40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3" s="31"/>
      <c r="AF19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3" s="40"/>
      <c r="AI193" s="31"/>
      <c r="AJ19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3" s="40"/>
      <c r="AO193" s="24" t="str">
        <f aca="false">IF(Tasks[[#This Row],[Task Name]]="","",Tasks[[#This Row],[Forecast Start]])</f>
        <v/>
      </c>
      <c r="AP193" s="24" t="str">
        <f aca="false">IF(Tasks[[#This Row],[Task Name]]="","",Tasks[[#This Row],[Forecast Finish]])</f>
        <v/>
      </c>
      <c r="AQ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3" s="42" t="str">
        <f aca="false">IF(Tasks[[#This Row],[Task Name]]="","",Tasks[[#This Row],[Work]])</f>
        <v/>
      </c>
      <c r="AS193" s="43" t="str">
        <f aca="false">IF(Tasks[[#This Row],[Task Name]]="","",Tasks[[#This Row],[Cost]])</f>
        <v/>
      </c>
      <c r="AT193" s="29"/>
      <c r="AU193" s="29"/>
      <c r="AV193" s="39"/>
      <c r="AW193" s="44"/>
      <c r="AX193" s="45"/>
      <c r="AY193" s="38" t="str">
        <f aca="false">IF(OR(Tasks[[#This Row],[Task Name]]="",Tasks[[#This Row],[Baseline Duration]]=""),"",Tasks[[#This Row],[BL Source Duration]]-N(Tasks[[#This Row],[Baseline Duration]]))</f>
        <v/>
      </c>
      <c r="AZ193" s="42" t="str">
        <f aca="false">IF(OR(Tasks[[#This Row],[Task Name]]="",Tasks[[#This Row],[Baseline Work]]=""),"",Tasks[[#This Row],[Work]]-N(Tasks[[#This Row],[Baseline Work]]))</f>
        <v/>
      </c>
      <c r="BA193" s="43" t="str">
        <f aca="false">IF(OR(Tasks[[#This Row],[Task Name]]="",Tasks[[#This Row],[Baseline Cost]]=""),"",Tasks[[#This Row],[Cost]]-N(Tasks[[#This Row],[Baseline Cost]]))</f>
        <v/>
      </c>
      <c r="BB193" s="46" t="str">
        <f aca="false">IF(Tasks[[#This Row],[Task Name]]="","",MAX(1,N(Tasks[[#This Row],[Level]])))</f>
        <v/>
      </c>
      <c r="BC193" s="46" t="n">
        <f aca="false">ROW()-ROW(Tasks[[#Headers],[ID]])</f>
        <v>188</v>
      </c>
      <c r="BD1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3" s="46" t="n">
        <f aca="false">IFERROR(N(INDEX(Tasks[_Level],Tasks[[#This Row],[_Row]]+1)),0)</f>
        <v>0</v>
      </c>
      <c r="BF193" s="47" t="b">
        <f aca="false">AND(Tasks[[#This Row],[Task Name]]&lt;&gt;"",Tasks[[#This Row],[_NextLevel]]&gt;Tasks[[#This Row],[_Level]])</f>
        <v>0</v>
      </c>
      <c r="BG193" s="46" t="n">
        <f aca="false">IF(Tasks[[#This Row],[_IsSummary]],COUNTIF(Tasks[WBS],Tasks[[#This Row],[WBS]]&amp;".*"),0)</f>
        <v>0</v>
      </c>
      <c r="BH193" s="46" t="n">
        <f aca="false">IF(AND(Tasks[[#This Row],[Task Name]]&lt;&gt;"",NOT(Tasks[[#This Row],[_IsSummary]])),1,0)</f>
        <v>0</v>
      </c>
      <c r="BI193" s="46" t="n">
        <f aca="false">IF(N(Tasks[[#This Row],[Pred1 UID]])=0,0,IFERROR(MATCH(Tasks[[#This Row],[Pred1 UID]],Tasks[UID],0),-1))</f>
        <v>0</v>
      </c>
      <c r="BJ193" s="46" t="n">
        <f aca="false">IF(N(Tasks[[#This Row],[Pred2 UID]])=0,0,IFERROR(MATCH(Tasks[[#This Row],[Pred2 UID]],Tasks[UID],0),-1))</f>
        <v>0</v>
      </c>
      <c r="BK19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3" s="46" t="n">
        <f aca="false">IF(NOT(Tasks[[#This Row],[_IsLeaf]]=1),0,IF(N(Tasks[[#This Row],[Actual Finish]])&gt;0,1,MIN(1,N(Tasks[[#This Row],[% Complete]]))))</f>
        <v>0</v>
      </c>
      <c r="BP19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3" s="46" t="n">
        <f aca="false">IF(Tasks[[#This Row],[_LeafWork]]=0,0,Tasks[[#This Row],[_LeafWork]]*IFERROR(INDEX(res_Rate,MATCH(Tasks[[#This Row],[Resource]],res_Name,0)),0))</f>
        <v>0</v>
      </c>
      <c r="BR19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3" s="46" t="n">
        <f aca="false">IF(NOT(Tasks[[#This Row],[_IsLeaf]]=1),0,MAX(_xlfn.MAXIFS(Tasks[_Row],Tasks[Pred1 UID],Tasks[[#This Row],[UID]]),_xlfn.MAXIFS(Tasks[_Row],Tasks[Pred2 UID],Tasks[[#This Row],[UID]])))</f>
        <v>0</v>
      </c>
      <c r="BW19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3" s="48" t="str">
        <f aca="false">IF(NOT(Tasks[[#This Row],[_IsLeaf]]=1),"",MIN(ProjectFinish,IF(N(Tasks[[#This Row],[Deadline]])&gt;0,Tasks[[#This Row],[Deadline]],2958465),Tasks[[#This Row],[_SuccessorFinishLimit]]))</f>
        <v/>
      </c>
      <c r="BY19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3" s="47" t="b">
        <f aca="false">AND(Tasks[[#This Row],[_IsLeaf]]=1,Tasks[[#This Row],[_LeafProgress]]&lt;1,N(Tasks[[#This Row],[_LeafTotalSlack]])&lt;=CriticalSlackDays)</f>
        <v>0</v>
      </c>
      <c r="CB19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3" s="46" t="n">
        <f aca="false">IF(AND(Tasks[[#This Row],[_IsLeaf]]=1,Tasks[[#This Row],[_LeafWork]]&gt;0),NETWORKDAYS.INTL(ProjectStart,Tasks[[#This Row],[_LeafFcstStart]],WorkWeek,Holidays),0)</f>
        <v>0</v>
      </c>
      <c r="CK19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3" s="46" t="n">
        <f aca="false">IF(AND(Tasks[[#This Row],[_IsLeaf]]=1,Tasks[[#This Row],[_LeafWork]]&gt;0),Tasks[[#This Row],[_LeafWork]]/(Tasks[[#This Row],[_FinishWorkday]]-Tasks[[#This Row],[_StartWorkday]]+1),0)</f>
        <v>0</v>
      </c>
      <c r="CM193" s="46" t="n">
        <f aca="false">Tasks[[#This Row],[_WorkPerWorkday]]*(Tasks[[#This Row],[_StartWorkday]]-1)</f>
        <v>-0</v>
      </c>
      <c r="CN193" s="46" t="n">
        <f aca="false">IF(Tasks[[#This Row],[_IsLeaf]]=1,MAX(N(Tasks[[#This Row],[Duration]]),0.1),0)</f>
        <v>0</v>
      </c>
      <c r="CO193" s="46" t="n">
        <f aca="false">Tasks[[#This Row],[_WeightDur]]*Tasks[[#This Row],[_LeafProgress]]</f>
        <v>0</v>
      </c>
      <c r="CP19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39"/>
      <c r="E194" s="40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4" s="31"/>
      <c r="AF19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4" s="40"/>
      <c r="AI194" s="31"/>
      <c r="AJ19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4" s="40"/>
      <c r="AO194" s="24" t="str">
        <f aca="false">IF(Tasks[[#This Row],[Task Name]]="","",Tasks[[#This Row],[Forecast Start]])</f>
        <v/>
      </c>
      <c r="AP194" s="24" t="str">
        <f aca="false">IF(Tasks[[#This Row],[Task Name]]="","",Tasks[[#This Row],[Forecast Finish]])</f>
        <v/>
      </c>
      <c r="AQ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4" s="42" t="str">
        <f aca="false">IF(Tasks[[#This Row],[Task Name]]="","",Tasks[[#This Row],[Work]])</f>
        <v/>
      </c>
      <c r="AS194" s="43" t="str">
        <f aca="false">IF(Tasks[[#This Row],[Task Name]]="","",Tasks[[#This Row],[Cost]])</f>
        <v/>
      </c>
      <c r="AT194" s="29"/>
      <c r="AU194" s="29"/>
      <c r="AV194" s="39"/>
      <c r="AW194" s="44"/>
      <c r="AX194" s="45"/>
      <c r="AY194" s="38" t="str">
        <f aca="false">IF(OR(Tasks[[#This Row],[Task Name]]="",Tasks[[#This Row],[Baseline Duration]]=""),"",Tasks[[#This Row],[BL Source Duration]]-N(Tasks[[#This Row],[Baseline Duration]]))</f>
        <v/>
      </c>
      <c r="AZ194" s="42" t="str">
        <f aca="false">IF(OR(Tasks[[#This Row],[Task Name]]="",Tasks[[#This Row],[Baseline Work]]=""),"",Tasks[[#This Row],[Work]]-N(Tasks[[#This Row],[Baseline Work]]))</f>
        <v/>
      </c>
      <c r="BA194" s="43" t="str">
        <f aca="false">IF(OR(Tasks[[#This Row],[Task Name]]="",Tasks[[#This Row],[Baseline Cost]]=""),"",Tasks[[#This Row],[Cost]]-N(Tasks[[#This Row],[Baseline Cost]]))</f>
        <v/>
      </c>
      <c r="BB194" s="46" t="str">
        <f aca="false">IF(Tasks[[#This Row],[Task Name]]="","",MAX(1,N(Tasks[[#This Row],[Level]])))</f>
        <v/>
      </c>
      <c r="BC194" s="46" t="n">
        <f aca="false">ROW()-ROW(Tasks[[#Headers],[ID]])</f>
        <v>189</v>
      </c>
      <c r="BD1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4" s="46" t="n">
        <f aca="false">IFERROR(N(INDEX(Tasks[_Level],Tasks[[#This Row],[_Row]]+1)),0)</f>
        <v>0</v>
      </c>
      <c r="BF194" s="47" t="b">
        <f aca="false">AND(Tasks[[#This Row],[Task Name]]&lt;&gt;"",Tasks[[#This Row],[_NextLevel]]&gt;Tasks[[#This Row],[_Level]])</f>
        <v>0</v>
      </c>
      <c r="BG194" s="46" t="n">
        <f aca="false">IF(Tasks[[#This Row],[_IsSummary]],COUNTIF(Tasks[WBS],Tasks[[#This Row],[WBS]]&amp;".*"),0)</f>
        <v>0</v>
      </c>
      <c r="BH194" s="46" t="n">
        <f aca="false">IF(AND(Tasks[[#This Row],[Task Name]]&lt;&gt;"",NOT(Tasks[[#This Row],[_IsSummary]])),1,0)</f>
        <v>0</v>
      </c>
      <c r="BI194" s="46" t="n">
        <f aca="false">IF(N(Tasks[[#This Row],[Pred1 UID]])=0,0,IFERROR(MATCH(Tasks[[#This Row],[Pred1 UID]],Tasks[UID],0),-1))</f>
        <v>0</v>
      </c>
      <c r="BJ194" s="46" t="n">
        <f aca="false">IF(N(Tasks[[#This Row],[Pred2 UID]])=0,0,IFERROR(MATCH(Tasks[[#This Row],[Pred2 UID]],Tasks[UID],0),-1))</f>
        <v>0</v>
      </c>
      <c r="BK19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4" s="46" t="n">
        <f aca="false">IF(NOT(Tasks[[#This Row],[_IsLeaf]]=1),0,IF(N(Tasks[[#This Row],[Actual Finish]])&gt;0,1,MIN(1,N(Tasks[[#This Row],[% Complete]]))))</f>
        <v>0</v>
      </c>
      <c r="BP19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4" s="46" t="n">
        <f aca="false">IF(Tasks[[#This Row],[_LeafWork]]=0,0,Tasks[[#This Row],[_LeafWork]]*IFERROR(INDEX(res_Rate,MATCH(Tasks[[#This Row],[Resource]],res_Name,0)),0))</f>
        <v>0</v>
      </c>
      <c r="BR19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4" s="46" t="n">
        <f aca="false">IF(NOT(Tasks[[#This Row],[_IsLeaf]]=1),0,MAX(_xlfn.MAXIFS(Tasks[_Row],Tasks[Pred1 UID],Tasks[[#This Row],[UID]]),_xlfn.MAXIFS(Tasks[_Row],Tasks[Pred2 UID],Tasks[[#This Row],[UID]])))</f>
        <v>0</v>
      </c>
      <c r="BW19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4" s="48" t="str">
        <f aca="false">IF(NOT(Tasks[[#This Row],[_IsLeaf]]=1),"",MIN(ProjectFinish,IF(N(Tasks[[#This Row],[Deadline]])&gt;0,Tasks[[#This Row],[Deadline]],2958465),Tasks[[#This Row],[_SuccessorFinishLimit]]))</f>
        <v/>
      </c>
      <c r="BY19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4" s="47" t="b">
        <f aca="false">AND(Tasks[[#This Row],[_IsLeaf]]=1,Tasks[[#This Row],[_LeafProgress]]&lt;1,N(Tasks[[#This Row],[_LeafTotalSlack]])&lt;=CriticalSlackDays)</f>
        <v>0</v>
      </c>
      <c r="CB19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4" s="46" t="n">
        <f aca="false">IF(AND(Tasks[[#This Row],[_IsLeaf]]=1,Tasks[[#This Row],[_LeafWork]]&gt;0),NETWORKDAYS.INTL(ProjectStart,Tasks[[#This Row],[_LeafFcstStart]],WorkWeek,Holidays),0)</f>
        <v>0</v>
      </c>
      <c r="CK19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4" s="46" t="n">
        <f aca="false">IF(AND(Tasks[[#This Row],[_IsLeaf]]=1,Tasks[[#This Row],[_LeafWork]]&gt;0),Tasks[[#This Row],[_LeafWork]]/(Tasks[[#This Row],[_FinishWorkday]]-Tasks[[#This Row],[_StartWorkday]]+1),0)</f>
        <v>0</v>
      </c>
      <c r="CM194" s="46" t="n">
        <f aca="false">Tasks[[#This Row],[_WorkPerWorkday]]*(Tasks[[#This Row],[_StartWorkday]]-1)</f>
        <v>-0</v>
      </c>
      <c r="CN194" s="46" t="n">
        <f aca="false">IF(Tasks[[#This Row],[_IsLeaf]]=1,MAX(N(Tasks[[#This Row],[Duration]]),0.1),0)</f>
        <v>0</v>
      </c>
      <c r="CO194" s="46" t="n">
        <f aca="false">Tasks[[#This Row],[_WeightDur]]*Tasks[[#This Row],[_LeafProgress]]</f>
        <v>0</v>
      </c>
      <c r="CP19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39"/>
      <c r="E195" s="40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5" s="31"/>
      <c r="AF19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5" s="40"/>
      <c r="AI195" s="31"/>
      <c r="AJ19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5" s="40"/>
      <c r="AO195" s="24" t="str">
        <f aca="false">IF(Tasks[[#This Row],[Task Name]]="","",Tasks[[#This Row],[Forecast Start]])</f>
        <v/>
      </c>
      <c r="AP195" s="24" t="str">
        <f aca="false">IF(Tasks[[#This Row],[Task Name]]="","",Tasks[[#This Row],[Forecast Finish]])</f>
        <v/>
      </c>
      <c r="AQ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5" s="42" t="str">
        <f aca="false">IF(Tasks[[#This Row],[Task Name]]="","",Tasks[[#This Row],[Work]])</f>
        <v/>
      </c>
      <c r="AS195" s="43" t="str">
        <f aca="false">IF(Tasks[[#This Row],[Task Name]]="","",Tasks[[#This Row],[Cost]])</f>
        <v/>
      </c>
      <c r="AT195" s="29"/>
      <c r="AU195" s="29"/>
      <c r="AV195" s="39"/>
      <c r="AW195" s="44"/>
      <c r="AX195" s="45"/>
      <c r="AY195" s="38" t="str">
        <f aca="false">IF(OR(Tasks[[#This Row],[Task Name]]="",Tasks[[#This Row],[Baseline Duration]]=""),"",Tasks[[#This Row],[BL Source Duration]]-N(Tasks[[#This Row],[Baseline Duration]]))</f>
        <v/>
      </c>
      <c r="AZ195" s="42" t="str">
        <f aca="false">IF(OR(Tasks[[#This Row],[Task Name]]="",Tasks[[#This Row],[Baseline Work]]=""),"",Tasks[[#This Row],[Work]]-N(Tasks[[#This Row],[Baseline Work]]))</f>
        <v/>
      </c>
      <c r="BA195" s="43" t="str">
        <f aca="false">IF(OR(Tasks[[#This Row],[Task Name]]="",Tasks[[#This Row],[Baseline Cost]]=""),"",Tasks[[#This Row],[Cost]]-N(Tasks[[#This Row],[Baseline Cost]]))</f>
        <v/>
      </c>
      <c r="BB195" s="46" t="str">
        <f aca="false">IF(Tasks[[#This Row],[Task Name]]="","",MAX(1,N(Tasks[[#This Row],[Level]])))</f>
        <v/>
      </c>
      <c r="BC195" s="46" t="n">
        <f aca="false">ROW()-ROW(Tasks[[#Headers],[ID]])</f>
        <v>190</v>
      </c>
      <c r="BD1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5" s="46" t="n">
        <f aca="false">IFERROR(N(INDEX(Tasks[_Level],Tasks[[#This Row],[_Row]]+1)),0)</f>
        <v>0</v>
      </c>
      <c r="BF195" s="47" t="b">
        <f aca="false">AND(Tasks[[#This Row],[Task Name]]&lt;&gt;"",Tasks[[#This Row],[_NextLevel]]&gt;Tasks[[#This Row],[_Level]])</f>
        <v>0</v>
      </c>
      <c r="BG195" s="46" t="n">
        <f aca="false">IF(Tasks[[#This Row],[_IsSummary]],COUNTIF(Tasks[WBS],Tasks[[#This Row],[WBS]]&amp;".*"),0)</f>
        <v>0</v>
      </c>
      <c r="BH195" s="46" t="n">
        <f aca="false">IF(AND(Tasks[[#This Row],[Task Name]]&lt;&gt;"",NOT(Tasks[[#This Row],[_IsSummary]])),1,0)</f>
        <v>0</v>
      </c>
      <c r="BI195" s="46" t="n">
        <f aca="false">IF(N(Tasks[[#This Row],[Pred1 UID]])=0,0,IFERROR(MATCH(Tasks[[#This Row],[Pred1 UID]],Tasks[UID],0),-1))</f>
        <v>0</v>
      </c>
      <c r="BJ195" s="46" t="n">
        <f aca="false">IF(N(Tasks[[#This Row],[Pred2 UID]])=0,0,IFERROR(MATCH(Tasks[[#This Row],[Pred2 UID]],Tasks[UID],0),-1))</f>
        <v>0</v>
      </c>
      <c r="BK19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5" s="46" t="n">
        <f aca="false">IF(NOT(Tasks[[#This Row],[_IsLeaf]]=1),0,IF(N(Tasks[[#This Row],[Actual Finish]])&gt;0,1,MIN(1,N(Tasks[[#This Row],[% Complete]]))))</f>
        <v>0</v>
      </c>
      <c r="BP19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5" s="46" t="n">
        <f aca="false">IF(Tasks[[#This Row],[_LeafWork]]=0,0,Tasks[[#This Row],[_LeafWork]]*IFERROR(INDEX(res_Rate,MATCH(Tasks[[#This Row],[Resource]],res_Name,0)),0))</f>
        <v>0</v>
      </c>
      <c r="BR19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5" s="46" t="n">
        <f aca="false">IF(NOT(Tasks[[#This Row],[_IsLeaf]]=1),0,MAX(_xlfn.MAXIFS(Tasks[_Row],Tasks[Pred1 UID],Tasks[[#This Row],[UID]]),_xlfn.MAXIFS(Tasks[_Row],Tasks[Pred2 UID],Tasks[[#This Row],[UID]])))</f>
        <v>0</v>
      </c>
      <c r="BW19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5" s="48" t="str">
        <f aca="false">IF(NOT(Tasks[[#This Row],[_IsLeaf]]=1),"",MIN(ProjectFinish,IF(N(Tasks[[#This Row],[Deadline]])&gt;0,Tasks[[#This Row],[Deadline]],2958465),Tasks[[#This Row],[_SuccessorFinishLimit]]))</f>
        <v/>
      </c>
      <c r="BY19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5" s="47" t="b">
        <f aca="false">AND(Tasks[[#This Row],[_IsLeaf]]=1,Tasks[[#This Row],[_LeafProgress]]&lt;1,N(Tasks[[#This Row],[_LeafTotalSlack]])&lt;=CriticalSlackDays)</f>
        <v>0</v>
      </c>
      <c r="CB19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5" s="46" t="n">
        <f aca="false">IF(AND(Tasks[[#This Row],[_IsLeaf]]=1,Tasks[[#This Row],[_LeafWork]]&gt;0),NETWORKDAYS.INTL(ProjectStart,Tasks[[#This Row],[_LeafFcstStart]],WorkWeek,Holidays),0)</f>
        <v>0</v>
      </c>
      <c r="CK19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5" s="46" t="n">
        <f aca="false">IF(AND(Tasks[[#This Row],[_IsLeaf]]=1,Tasks[[#This Row],[_LeafWork]]&gt;0),Tasks[[#This Row],[_LeafWork]]/(Tasks[[#This Row],[_FinishWorkday]]-Tasks[[#This Row],[_StartWorkday]]+1),0)</f>
        <v>0</v>
      </c>
      <c r="CM195" s="46" t="n">
        <f aca="false">Tasks[[#This Row],[_WorkPerWorkday]]*(Tasks[[#This Row],[_StartWorkday]]-1)</f>
        <v>-0</v>
      </c>
      <c r="CN195" s="46" t="n">
        <f aca="false">IF(Tasks[[#This Row],[_IsLeaf]]=1,MAX(N(Tasks[[#This Row],[Duration]]),0.1),0)</f>
        <v>0</v>
      </c>
      <c r="CO195" s="46" t="n">
        <f aca="false">Tasks[[#This Row],[_WeightDur]]*Tasks[[#This Row],[_LeafProgress]]</f>
        <v>0</v>
      </c>
      <c r="CP19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39"/>
      <c r="E196" s="40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6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6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6" s="31"/>
      <c r="AF19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6" s="40"/>
      <c r="AI196" s="31"/>
      <c r="AJ19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6" s="40"/>
      <c r="AO196" s="24" t="str">
        <f aca="false">IF(Tasks[[#This Row],[Task Name]]="","",Tasks[[#This Row],[Forecast Start]])</f>
        <v/>
      </c>
      <c r="AP196" s="24" t="str">
        <f aca="false">IF(Tasks[[#This Row],[Task Name]]="","",Tasks[[#This Row],[Forecast Finish]])</f>
        <v/>
      </c>
      <c r="AQ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6" s="42" t="str">
        <f aca="false">IF(Tasks[[#This Row],[Task Name]]="","",Tasks[[#This Row],[Work]])</f>
        <v/>
      </c>
      <c r="AS196" s="43" t="str">
        <f aca="false">IF(Tasks[[#This Row],[Task Name]]="","",Tasks[[#This Row],[Cost]])</f>
        <v/>
      </c>
      <c r="AT196" s="29"/>
      <c r="AU196" s="29"/>
      <c r="AV196" s="39"/>
      <c r="AW196" s="44"/>
      <c r="AX196" s="45"/>
      <c r="AY196" s="38" t="str">
        <f aca="false">IF(OR(Tasks[[#This Row],[Task Name]]="",Tasks[[#This Row],[Baseline Duration]]=""),"",Tasks[[#This Row],[BL Source Duration]]-N(Tasks[[#This Row],[Baseline Duration]]))</f>
        <v/>
      </c>
      <c r="AZ196" s="42" t="str">
        <f aca="false">IF(OR(Tasks[[#This Row],[Task Name]]="",Tasks[[#This Row],[Baseline Work]]=""),"",Tasks[[#This Row],[Work]]-N(Tasks[[#This Row],[Baseline Work]]))</f>
        <v/>
      </c>
      <c r="BA196" s="43" t="str">
        <f aca="false">IF(OR(Tasks[[#This Row],[Task Name]]="",Tasks[[#This Row],[Baseline Cost]]=""),"",Tasks[[#This Row],[Cost]]-N(Tasks[[#This Row],[Baseline Cost]]))</f>
        <v/>
      </c>
      <c r="BB196" s="46" t="str">
        <f aca="false">IF(Tasks[[#This Row],[Task Name]]="","",MAX(1,N(Tasks[[#This Row],[Level]])))</f>
        <v/>
      </c>
      <c r="BC196" s="46" t="n">
        <f aca="false">ROW()-ROW(Tasks[[#Headers],[ID]])</f>
        <v>191</v>
      </c>
      <c r="BD1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6" s="46" t="n">
        <f aca="false">IFERROR(N(INDEX(Tasks[_Level],Tasks[[#This Row],[_Row]]+1)),0)</f>
        <v>0</v>
      </c>
      <c r="BF196" s="47" t="b">
        <f aca="false">AND(Tasks[[#This Row],[Task Name]]&lt;&gt;"",Tasks[[#This Row],[_NextLevel]]&gt;Tasks[[#This Row],[_Level]])</f>
        <v>0</v>
      </c>
      <c r="BG196" s="46" t="n">
        <f aca="false">IF(Tasks[[#This Row],[_IsSummary]],COUNTIF(Tasks[WBS],Tasks[[#This Row],[WBS]]&amp;".*"),0)</f>
        <v>0</v>
      </c>
      <c r="BH196" s="46" t="n">
        <f aca="false">IF(AND(Tasks[[#This Row],[Task Name]]&lt;&gt;"",NOT(Tasks[[#This Row],[_IsSummary]])),1,0)</f>
        <v>0</v>
      </c>
      <c r="BI196" s="46" t="n">
        <f aca="false">IF(N(Tasks[[#This Row],[Pred1 UID]])=0,0,IFERROR(MATCH(Tasks[[#This Row],[Pred1 UID]],Tasks[UID],0),-1))</f>
        <v>0</v>
      </c>
      <c r="BJ196" s="46" t="n">
        <f aca="false">IF(N(Tasks[[#This Row],[Pred2 UID]])=0,0,IFERROR(MATCH(Tasks[[#This Row],[Pred2 UID]],Tasks[UID],0),-1))</f>
        <v>0</v>
      </c>
      <c r="BK19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6" s="46" t="n">
        <f aca="false">IF(NOT(Tasks[[#This Row],[_IsLeaf]]=1),0,IF(N(Tasks[[#This Row],[Actual Finish]])&gt;0,1,MIN(1,N(Tasks[[#This Row],[% Complete]]))))</f>
        <v>0</v>
      </c>
      <c r="BP19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6" s="46" t="n">
        <f aca="false">IF(Tasks[[#This Row],[_LeafWork]]=0,0,Tasks[[#This Row],[_LeafWork]]*IFERROR(INDEX(res_Rate,MATCH(Tasks[[#This Row],[Resource]],res_Name,0)),0))</f>
        <v>0</v>
      </c>
      <c r="BR196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6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6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6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6" s="46" t="n">
        <f aca="false">IF(NOT(Tasks[[#This Row],[_IsLeaf]]=1),0,MAX(_xlfn.MAXIFS(Tasks[_Row],Tasks[Pred1 UID],Tasks[[#This Row],[UID]]),_xlfn.MAXIFS(Tasks[_Row],Tasks[Pred2 UID],Tasks[[#This Row],[UID]])))</f>
        <v>0</v>
      </c>
      <c r="BW196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6" s="48" t="str">
        <f aca="false">IF(NOT(Tasks[[#This Row],[_IsLeaf]]=1),"",MIN(ProjectFinish,IF(N(Tasks[[#This Row],[Deadline]])&gt;0,Tasks[[#This Row],[Deadline]],2958465),Tasks[[#This Row],[_SuccessorFinishLimit]]))</f>
        <v/>
      </c>
      <c r="BY196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6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6" s="47" t="b">
        <f aca="false">AND(Tasks[[#This Row],[_IsLeaf]]=1,Tasks[[#This Row],[_LeafProgress]]&lt;1,N(Tasks[[#This Row],[_LeafTotalSlack]])&lt;=CriticalSlackDays)</f>
        <v>0</v>
      </c>
      <c r="CB19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6" s="46" t="n">
        <f aca="false">IF(AND(Tasks[[#This Row],[_IsLeaf]]=1,Tasks[[#This Row],[_LeafWork]]&gt;0),NETWORKDAYS.INTL(ProjectStart,Tasks[[#This Row],[_LeafFcstStart]],WorkWeek,Holidays),0)</f>
        <v>0</v>
      </c>
      <c r="CK19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6" s="46" t="n">
        <f aca="false">IF(AND(Tasks[[#This Row],[_IsLeaf]]=1,Tasks[[#This Row],[_LeafWork]]&gt;0),Tasks[[#This Row],[_LeafWork]]/(Tasks[[#This Row],[_FinishWorkday]]-Tasks[[#This Row],[_StartWorkday]]+1),0)</f>
        <v>0</v>
      </c>
      <c r="CM196" s="46" t="n">
        <f aca="false">Tasks[[#This Row],[_WorkPerWorkday]]*(Tasks[[#This Row],[_StartWorkday]]-1)</f>
        <v>-0</v>
      </c>
      <c r="CN196" s="46" t="n">
        <f aca="false">IF(Tasks[[#This Row],[_IsLeaf]]=1,MAX(N(Tasks[[#This Row],[Duration]]),0.1),0)</f>
        <v>0</v>
      </c>
      <c r="CO196" s="46" t="n">
        <f aca="false">Tasks[[#This Row],[_WeightDur]]*Tasks[[#This Row],[_LeafProgress]]</f>
        <v>0</v>
      </c>
      <c r="CP196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6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39"/>
      <c r="E197" s="40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7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7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7" s="31"/>
      <c r="AF19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7" s="40"/>
      <c r="AI197" s="31"/>
      <c r="AJ19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7" s="40"/>
      <c r="AO197" s="24" t="str">
        <f aca="false">IF(Tasks[[#This Row],[Task Name]]="","",Tasks[[#This Row],[Forecast Start]])</f>
        <v/>
      </c>
      <c r="AP197" s="24" t="str">
        <f aca="false">IF(Tasks[[#This Row],[Task Name]]="","",Tasks[[#This Row],[Forecast Finish]])</f>
        <v/>
      </c>
      <c r="AQ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7" s="42" t="str">
        <f aca="false">IF(Tasks[[#This Row],[Task Name]]="","",Tasks[[#This Row],[Work]])</f>
        <v/>
      </c>
      <c r="AS197" s="43" t="str">
        <f aca="false">IF(Tasks[[#This Row],[Task Name]]="","",Tasks[[#This Row],[Cost]])</f>
        <v/>
      </c>
      <c r="AT197" s="29"/>
      <c r="AU197" s="29"/>
      <c r="AV197" s="39"/>
      <c r="AW197" s="44"/>
      <c r="AX197" s="45"/>
      <c r="AY197" s="38" t="str">
        <f aca="false">IF(OR(Tasks[[#This Row],[Task Name]]="",Tasks[[#This Row],[Baseline Duration]]=""),"",Tasks[[#This Row],[BL Source Duration]]-N(Tasks[[#This Row],[Baseline Duration]]))</f>
        <v/>
      </c>
      <c r="AZ197" s="42" t="str">
        <f aca="false">IF(OR(Tasks[[#This Row],[Task Name]]="",Tasks[[#This Row],[Baseline Work]]=""),"",Tasks[[#This Row],[Work]]-N(Tasks[[#This Row],[Baseline Work]]))</f>
        <v/>
      </c>
      <c r="BA197" s="43" t="str">
        <f aca="false">IF(OR(Tasks[[#This Row],[Task Name]]="",Tasks[[#This Row],[Baseline Cost]]=""),"",Tasks[[#This Row],[Cost]]-N(Tasks[[#This Row],[Baseline Cost]]))</f>
        <v/>
      </c>
      <c r="BB197" s="46" t="str">
        <f aca="false">IF(Tasks[[#This Row],[Task Name]]="","",MAX(1,N(Tasks[[#This Row],[Level]])))</f>
        <v/>
      </c>
      <c r="BC197" s="46" t="n">
        <f aca="false">ROW()-ROW(Tasks[[#Headers],[ID]])</f>
        <v>192</v>
      </c>
      <c r="BD1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7" s="46" t="n">
        <f aca="false">IFERROR(N(INDEX(Tasks[_Level],Tasks[[#This Row],[_Row]]+1)),0)</f>
        <v>0</v>
      </c>
      <c r="BF197" s="47" t="b">
        <f aca="false">AND(Tasks[[#This Row],[Task Name]]&lt;&gt;"",Tasks[[#This Row],[_NextLevel]]&gt;Tasks[[#This Row],[_Level]])</f>
        <v>0</v>
      </c>
      <c r="BG197" s="46" t="n">
        <f aca="false">IF(Tasks[[#This Row],[_IsSummary]],COUNTIF(Tasks[WBS],Tasks[[#This Row],[WBS]]&amp;".*"),0)</f>
        <v>0</v>
      </c>
      <c r="BH197" s="46" t="n">
        <f aca="false">IF(AND(Tasks[[#This Row],[Task Name]]&lt;&gt;"",NOT(Tasks[[#This Row],[_IsSummary]])),1,0)</f>
        <v>0</v>
      </c>
      <c r="BI197" s="46" t="n">
        <f aca="false">IF(N(Tasks[[#This Row],[Pred1 UID]])=0,0,IFERROR(MATCH(Tasks[[#This Row],[Pred1 UID]],Tasks[UID],0),-1))</f>
        <v>0</v>
      </c>
      <c r="BJ197" s="46" t="n">
        <f aca="false">IF(N(Tasks[[#This Row],[Pred2 UID]])=0,0,IFERROR(MATCH(Tasks[[#This Row],[Pred2 UID]],Tasks[UID],0),-1))</f>
        <v>0</v>
      </c>
      <c r="BK19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7" s="46" t="n">
        <f aca="false">IF(NOT(Tasks[[#This Row],[_IsLeaf]]=1),0,IF(N(Tasks[[#This Row],[Actual Finish]])&gt;0,1,MIN(1,N(Tasks[[#This Row],[% Complete]]))))</f>
        <v>0</v>
      </c>
      <c r="BP19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7" s="46" t="n">
        <f aca="false">IF(Tasks[[#This Row],[_LeafWork]]=0,0,Tasks[[#This Row],[_LeafWork]]*IFERROR(INDEX(res_Rate,MATCH(Tasks[[#This Row],[Resource]],res_Name,0)),0))</f>
        <v>0</v>
      </c>
      <c r="BR197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7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7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7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7" s="46" t="n">
        <f aca="false">IF(NOT(Tasks[[#This Row],[_IsLeaf]]=1),0,MAX(_xlfn.MAXIFS(Tasks[_Row],Tasks[Pred1 UID],Tasks[[#This Row],[UID]]),_xlfn.MAXIFS(Tasks[_Row],Tasks[Pred2 UID],Tasks[[#This Row],[UID]])))</f>
        <v>0</v>
      </c>
      <c r="BW197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7" s="48" t="str">
        <f aca="false">IF(NOT(Tasks[[#This Row],[_IsLeaf]]=1),"",MIN(ProjectFinish,IF(N(Tasks[[#This Row],[Deadline]])&gt;0,Tasks[[#This Row],[Deadline]],2958465),Tasks[[#This Row],[_SuccessorFinishLimit]]))</f>
        <v/>
      </c>
      <c r="BY197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7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7" s="47" t="b">
        <f aca="false">AND(Tasks[[#This Row],[_IsLeaf]]=1,Tasks[[#This Row],[_LeafProgress]]&lt;1,N(Tasks[[#This Row],[_LeafTotalSlack]])&lt;=CriticalSlackDays)</f>
        <v>0</v>
      </c>
      <c r="CB19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7" s="46" t="n">
        <f aca="false">IF(AND(Tasks[[#This Row],[_IsLeaf]]=1,Tasks[[#This Row],[_LeafWork]]&gt;0),NETWORKDAYS.INTL(ProjectStart,Tasks[[#This Row],[_LeafFcstStart]],WorkWeek,Holidays),0)</f>
        <v>0</v>
      </c>
      <c r="CK19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7" s="46" t="n">
        <f aca="false">IF(AND(Tasks[[#This Row],[_IsLeaf]]=1,Tasks[[#This Row],[_LeafWork]]&gt;0),Tasks[[#This Row],[_LeafWork]]/(Tasks[[#This Row],[_FinishWorkday]]-Tasks[[#This Row],[_StartWorkday]]+1),0)</f>
        <v>0</v>
      </c>
      <c r="CM197" s="46" t="n">
        <f aca="false">Tasks[[#This Row],[_WorkPerWorkday]]*(Tasks[[#This Row],[_StartWorkday]]-1)</f>
        <v>-0</v>
      </c>
      <c r="CN197" s="46" t="n">
        <f aca="false">IF(Tasks[[#This Row],[_IsLeaf]]=1,MAX(N(Tasks[[#This Row],[Duration]]),0.1),0)</f>
        <v>0</v>
      </c>
      <c r="CO197" s="46" t="n">
        <f aca="false">Tasks[[#This Row],[_WeightDur]]*Tasks[[#This Row],[_LeafProgress]]</f>
        <v>0</v>
      </c>
      <c r="CP197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7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39"/>
      <c r="E198" s="40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8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8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8" s="31"/>
      <c r="AF19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8" s="40"/>
      <c r="AI198" s="31"/>
      <c r="AJ19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8" s="40"/>
      <c r="AO198" s="24" t="str">
        <f aca="false">IF(Tasks[[#This Row],[Task Name]]="","",Tasks[[#This Row],[Forecast Start]])</f>
        <v/>
      </c>
      <c r="AP198" s="24" t="str">
        <f aca="false">IF(Tasks[[#This Row],[Task Name]]="","",Tasks[[#This Row],[Forecast Finish]])</f>
        <v/>
      </c>
      <c r="AQ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8" s="42" t="str">
        <f aca="false">IF(Tasks[[#This Row],[Task Name]]="","",Tasks[[#This Row],[Work]])</f>
        <v/>
      </c>
      <c r="AS198" s="43" t="str">
        <f aca="false">IF(Tasks[[#This Row],[Task Name]]="","",Tasks[[#This Row],[Cost]])</f>
        <v/>
      </c>
      <c r="AT198" s="29"/>
      <c r="AU198" s="29"/>
      <c r="AV198" s="39"/>
      <c r="AW198" s="44"/>
      <c r="AX198" s="45"/>
      <c r="AY198" s="38" t="str">
        <f aca="false">IF(OR(Tasks[[#This Row],[Task Name]]="",Tasks[[#This Row],[Baseline Duration]]=""),"",Tasks[[#This Row],[BL Source Duration]]-N(Tasks[[#This Row],[Baseline Duration]]))</f>
        <v/>
      </c>
      <c r="AZ198" s="42" t="str">
        <f aca="false">IF(OR(Tasks[[#This Row],[Task Name]]="",Tasks[[#This Row],[Baseline Work]]=""),"",Tasks[[#This Row],[Work]]-N(Tasks[[#This Row],[Baseline Work]]))</f>
        <v/>
      </c>
      <c r="BA198" s="43" t="str">
        <f aca="false">IF(OR(Tasks[[#This Row],[Task Name]]="",Tasks[[#This Row],[Baseline Cost]]=""),"",Tasks[[#This Row],[Cost]]-N(Tasks[[#This Row],[Baseline Cost]]))</f>
        <v/>
      </c>
      <c r="BB198" s="46" t="str">
        <f aca="false">IF(Tasks[[#This Row],[Task Name]]="","",MAX(1,N(Tasks[[#This Row],[Level]])))</f>
        <v/>
      </c>
      <c r="BC198" s="46" t="n">
        <f aca="false">ROW()-ROW(Tasks[[#Headers],[ID]])</f>
        <v>193</v>
      </c>
      <c r="BD1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8" s="46" t="n">
        <f aca="false">IFERROR(N(INDEX(Tasks[_Level],Tasks[[#This Row],[_Row]]+1)),0)</f>
        <v>0</v>
      </c>
      <c r="BF198" s="47" t="b">
        <f aca="false">AND(Tasks[[#This Row],[Task Name]]&lt;&gt;"",Tasks[[#This Row],[_NextLevel]]&gt;Tasks[[#This Row],[_Level]])</f>
        <v>0</v>
      </c>
      <c r="BG198" s="46" t="n">
        <f aca="false">IF(Tasks[[#This Row],[_IsSummary]],COUNTIF(Tasks[WBS],Tasks[[#This Row],[WBS]]&amp;".*"),0)</f>
        <v>0</v>
      </c>
      <c r="BH198" s="46" t="n">
        <f aca="false">IF(AND(Tasks[[#This Row],[Task Name]]&lt;&gt;"",NOT(Tasks[[#This Row],[_IsSummary]])),1,0)</f>
        <v>0</v>
      </c>
      <c r="BI198" s="46" t="n">
        <f aca="false">IF(N(Tasks[[#This Row],[Pred1 UID]])=0,0,IFERROR(MATCH(Tasks[[#This Row],[Pred1 UID]],Tasks[UID],0),-1))</f>
        <v>0</v>
      </c>
      <c r="BJ198" s="46" t="n">
        <f aca="false">IF(N(Tasks[[#This Row],[Pred2 UID]])=0,0,IFERROR(MATCH(Tasks[[#This Row],[Pred2 UID]],Tasks[UID],0),-1))</f>
        <v>0</v>
      </c>
      <c r="BK19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8" s="46" t="n">
        <f aca="false">IF(NOT(Tasks[[#This Row],[_IsLeaf]]=1),0,IF(N(Tasks[[#This Row],[Actual Finish]])&gt;0,1,MIN(1,N(Tasks[[#This Row],[% Complete]]))))</f>
        <v>0</v>
      </c>
      <c r="BP19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8" s="46" t="n">
        <f aca="false">IF(Tasks[[#This Row],[_LeafWork]]=0,0,Tasks[[#This Row],[_LeafWork]]*IFERROR(INDEX(res_Rate,MATCH(Tasks[[#This Row],[Resource]],res_Name,0)),0))</f>
        <v>0</v>
      </c>
      <c r="BR198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8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8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8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8" s="46" t="n">
        <f aca="false">IF(NOT(Tasks[[#This Row],[_IsLeaf]]=1),0,MAX(_xlfn.MAXIFS(Tasks[_Row],Tasks[Pred1 UID],Tasks[[#This Row],[UID]]),_xlfn.MAXIFS(Tasks[_Row],Tasks[Pred2 UID],Tasks[[#This Row],[UID]])))</f>
        <v>0</v>
      </c>
      <c r="BW198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8" s="48" t="str">
        <f aca="false">IF(NOT(Tasks[[#This Row],[_IsLeaf]]=1),"",MIN(ProjectFinish,IF(N(Tasks[[#This Row],[Deadline]])&gt;0,Tasks[[#This Row],[Deadline]],2958465),Tasks[[#This Row],[_SuccessorFinishLimit]]))</f>
        <v/>
      </c>
      <c r="BY198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8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8" s="47" t="b">
        <f aca="false">AND(Tasks[[#This Row],[_IsLeaf]]=1,Tasks[[#This Row],[_LeafProgress]]&lt;1,N(Tasks[[#This Row],[_LeafTotalSlack]])&lt;=CriticalSlackDays)</f>
        <v>0</v>
      </c>
      <c r="CB19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8" s="46" t="n">
        <f aca="false">IF(AND(Tasks[[#This Row],[_IsLeaf]]=1,Tasks[[#This Row],[_LeafWork]]&gt;0),NETWORKDAYS.INTL(ProjectStart,Tasks[[#This Row],[_LeafFcstStart]],WorkWeek,Holidays),0)</f>
        <v>0</v>
      </c>
      <c r="CK19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8" s="46" t="n">
        <f aca="false">IF(AND(Tasks[[#This Row],[_IsLeaf]]=1,Tasks[[#This Row],[_LeafWork]]&gt;0),Tasks[[#This Row],[_LeafWork]]/(Tasks[[#This Row],[_FinishWorkday]]-Tasks[[#This Row],[_StartWorkday]]+1),0)</f>
        <v>0</v>
      </c>
      <c r="CM198" s="46" t="n">
        <f aca="false">Tasks[[#This Row],[_WorkPerWorkday]]*(Tasks[[#This Row],[_StartWorkday]]-1)</f>
        <v>-0</v>
      </c>
      <c r="CN198" s="46" t="n">
        <f aca="false">IF(Tasks[[#This Row],[_IsLeaf]]=1,MAX(N(Tasks[[#This Row],[Duration]]),0.1),0)</f>
        <v>0</v>
      </c>
      <c r="CO198" s="46" t="n">
        <f aca="false">Tasks[[#This Row],[_WeightDur]]*Tasks[[#This Row],[_LeafProgress]]</f>
        <v>0</v>
      </c>
      <c r="CP198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8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39"/>
      <c r="E199" s="40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9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9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9" s="31"/>
      <c r="AF19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9" s="40"/>
      <c r="AI199" s="31"/>
      <c r="AJ19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9" s="40"/>
      <c r="AO199" s="24" t="str">
        <f aca="false">IF(Tasks[[#This Row],[Task Name]]="","",Tasks[[#This Row],[Forecast Start]])</f>
        <v/>
      </c>
      <c r="AP199" s="24" t="str">
        <f aca="false">IF(Tasks[[#This Row],[Task Name]]="","",Tasks[[#This Row],[Forecast Finish]])</f>
        <v/>
      </c>
      <c r="AQ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9" s="42" t="str">
        <f aca="false">IF(Tasks[[#This Row],[Task Name]]="","",Tasks[[#This Row],[Work]])</f>
        <v/>
      </c>
      <c r="AS199" s="43" t="str">
        <f aca="false">IF(Tasks[[#This Row],[Task Name]]="","",Tasks[[#This Row],[Cost]])</f>
        <v/>
      </c>
      <c r="AT199" s="29"/>
      <c r="AU199" s="29"/>
      <c r="AV199" s="39"/>
      <c r="AW199" s="44"/>
      <c r="AX199" s="45"/>
      <c r="AY199" s="38" t="str">
        <f aca="false">IF(OR(Tasks[[#This Row],[Task Name]]="",Tasks[[#This Row],[Baseline Duration]]=""),"",Tasks[[#This Row],[BL Source Duration]]-N(Tasks[[#This Row],[Baseline Duration]]))</f>
        <v/>
      </c>
      <c r="AZ199" s="42" t="str">
        <f aca="false">IF(OR(Tasks[[#This Row],[Task Name]]="",Tasks[[#This Row],[Baseline Work]]=""),"",Tasks[[#This Row],[Work]]-N(Tasks[[#This Row],[Baseline Work]]))</f>
        <v/>
      </c>
      <c r="BA199" s="43" t="str">
        <f aca="false">IF(OR(Tasks[[#This Row],[Task Name]]="",Tasks[[#This Row],[Baseline Cost]]=""),"",Tasks[[#This Row],[Cost]]-N(Tasks[[#This Row],[Baseline Cost]]))</f>
        <v/>
      </c>
      <c r="BB199" s="46" t="str">
        <f aca="false">IF(Tasks[[#This Row],[Task Name]]="","",MAX(1,N(Tasks[[#This Row],[Level]])))</f>
        <v/>
      </c>
      <c r="BC199" s="46" t="n">
        <f aca="false">ROW()-ROW(Tasks[[#Headers],[ID]])</f>
        <v>194</v>
      </c>
      <c r="BD1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9" s="46" t="n">
        <f aca="false">IFERROR(N(INDEX(Tasks[_Level],Tasks[[#This Row],[_Row]]+1)),0)</f>
        <v>0</v>
      </c>
      <c r="BF199" s="47" t="b">
        <f aca="false">AND(Tasks[[#This Row],[Task Name]]&lt;&gt;"",Tasks[[#This Row],[_NextLevel]]&gt;Tasks[[#This Row],[_Level]])</f>
        <v>0</v>
      </c>
      <c r="BG199" s="46" t="n">
        <f aca="false">IF(Tasks[[#This Row],[_IsSummary]],COUNTIF(Tasks[WBS],Tasks[[#This Row],[WBS]]&amp;".*"),0)</f>
        <v>0</v>
      </c>
      <c r="BH199" s="46" t="n">
        <f aca="false">IF(AND(Tasks[[#This Row],[Task Name]]&lt;&gt;"",NOT(Tasks[[#This Row],[_IsSummary]])),1,0)</f>
        <v>0</v>
      </c>
      <c r="BI199" s="46" t="n">
        <f aca="false">IF(N(Tasks[[#This Row],[Pred1 UID]])=0,0,IFERROR(MATCH(Tasks[[#This Row],[Pred1 UID]],Tasks[UID],0),-1))</f>
        <v>0</v>
      </c>
      <c r="BJ199" s="46" t="n">
        <f aca="false">IF(N(Tasks[[#This Row],[Pred2 UID]])=0,0,IFERROR(MATCH(Tasks[[#This Row],[Pred2 UID]],Tasks[UID],0),-1))</f>
        <v>0</v>
      </c>
      <c r="BK19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9" s="46" t="n">
        <f aca="false">IF(NOT(Tasks[[#This Row],[_IsLeaf]]=1),0,IF(N(Tasks[[#This Row],[Actual Finish]])&gt;0,1,MIN(1,N(Tasks[[#This Row],[% Complete]]))))</f>
        <v>0</v>
      </c>
      <c r="BP19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199" s="46" t="n">
        <f aca="false">IF(Tasks[[#This Row],[_LeafWork]]=0,0,Tasks[[#This Row],[_LeafWork]]*IFERROR(INDEX(res_Rate,MATCH(Tasks[[#This Row],[Resource]],res_Name,0)),0))</f>
        <v>0</v>
      </c>
      <c r="BR199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9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9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9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9" s="46" t="n">
        <f aca="false">IF(NOT(Tasks[[#This Row],[_IsLeaf]]=1),0,MAX(_xlfn.MAXIFS(Tasks[_Row],Tasks[Pred1 UID],Tasks[[#This Row],[UID]]),_xlfn.MAXIFS(Tasks[_Row],Tasks[Pred2 UID],Tasks[[#This Row],[UID]])))</f>
        <v>0</v>
      </c>
      <c r="BW199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9" s="48" t="str">
        <f aca="false">IF(NOT(Tasks[[#This Row],[_IsLeaf]]=1),"",MIN(ProjectFinish,IF(N(Tasks[[#This Row],[Deadline]])&gt;0,Tasks[[#This Row],[Deadline]],2958465),Tasks[[#This Row],[_SuccessorFinishLimit]]))</f>
        <v/>
      </c>
      <c r="BY199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9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9" s="47" t="b">
        <f aca="false">AND(Tasks[[#This Row],[_IsLeaf]]=1,Tasks[[#This Row],[_LeafProgress]]&lt;1,N(Tasks[[#This Row],[_LeafTotalSlack]])&lt;=CriticalSlackDays)</f>
        <v>0</v>
      </c>
      <c r="CB19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9" s="46" t="n">
        <f aca="false">IF(AND(Tasks[[#This Row],[_IsLeaf]]=1,Tasks[[#This Row],[_LeafWork]]&gt;0),NETWORKDAYS.INTL(ProjectStart,Tasks[[#This Row],[_LeafFcstStart]],WorkWeek,Holidays),0)</f>
        <v>0</v>
      </c>
      <c r="CK19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9" s="46" t="n">
        <f aca="false">IF(AND(Tasks[[#This Row],[_IsLeaf]]=1,Tasks[[#This Row],[_LeafWork]]&gt;0),Tasks[[#This Row],[_LeafWork]]/(Tasks[[#This Row],[_FinishWorkday]]-Tasks[[#This Row],[_StartWorkday]]+1),0)</f>
        <v>0</v>
      </c>
      <c r="CM199" s="46" t="n">
        <f aca="false">Tasks[[#This Row],[_WorkPerWorkday]]*(Tasks[[#This Row],[_StartWorkday]]-1)</f>
        <v>-0</v>
      </c>
      <c r="CN199" s="46" t="n">
        <f aca="false">IF(Tasks[[#This Row],[_IsLeaf]]=1,MAX(N(Tasks[[#This Row],[Duration]]),0.1),0)</f>
        <v>0</v>
      </c>
      <c r="CO199" s="46" t="n">
        <f aca="false">Tasks[[#This Row],[_WeightDur]]*Tasks[[#This Row],[_LeafProgress]]</f>
        <v>0</v>
      </c>
      <c r="CP199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9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39"/>
      <c r="E200" s="40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0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0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0" s="31"/>
      <c r="AF20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0" s="40"/>
      <c r="AI200" s="31"/>
      <c r="AJ20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0" s="40"/>
      <c r="AO200" s="24" t="str">
        <f aca="false">IF(Tasks[[#This Row],[Task Name]]="","",Tasks[[#This Row],[Forecast Start]])</f>
        <v/>
      </c>
      <c r="AP200" s="24" t="str">
        <f aca="false">IF(Tasks[[#This Row],[Task Name]]="","",Tasks[[#This Row],[Forecast Finish]])</f>
        <v/>
      </c>
      <c r="AQ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0" s="42" t="str">
        <f aca="false">IF(Tasks[[#This Row],[Task Name]]="","",Tasks[[#This Row],[Work]])</f>
        <v/>
      </c>
      <c r="AS200" s="43" t="str">
        <f aca="false">IF(Tasks[[#This Row],[Task Name]]="","",Tasks[[#This Row],[Cost]])</f>
        <v/>
      </c>
      <c r="AT200" s="29"/>
      <c r="AU200" s="29"/>
      <c r="AV200" s="39"/>
      <c r="AW200" s="44"/>
      <c r="AX200" s="45"/>
      <c r="AY200" s="38" t="str">
        <f aca="false">IF(OR(Tasks[[#This Row],[Task Name]]="",Tasks[[#This Row],[Baseline Duration]]=""),"",Tasks[[#This Row],[BL Source Duration]]-N(Tasks[[#This Row],[Baseline Duration]]))</f>
        <v/>
      </c>
      <c r="AZ200" s="42" t="str">
        <f aca="false">IF(OR(Tasks[[#This Row],[Task Name]]="",Tasks[[#This Row],[Baseline Work]]=""),"",Tasks[[#This Row],[Work]]-N(Tasks[[#This Row],[Baseline Work]]))</f>
        <v/>
      </c>
      <c r="BA200" s="43" t="str">
        <f aca="false">IF(OR(Tasks[[#This Row],[Task Name]]="",Tasks[[#This Row],[Baseline Cost]]=""),"",Tasks[[#This Row],[Cost]]-N(Tasks[[#This Row],[Baseline Cost]]))</f>
        <v/>
      </c>
      <c r="BB200" s="46" t="str">
        <f aca="false">IF(Tasks[[#This Row],[Task Name]]="","",MAX(1,N(Tasks[[#This Row],[Level]])))</f>
        <v/>
      </c>
      <c r="BC200" s="46" t="n">
        <f aca="false">ROW()-ROW(Tasks[[#Headers],[ID]])</f>
        <v>195</v>
      </c>
      <c r="BD2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0" s="46" t="n">
        <f aca="false">IFERROR(N(INDEX(Tasks[_Level],Tasks[[#This Row],[_Row]]+1)),0)</f>
        <v>0</v>
      </c>
      <c r="BF200" s="47" t="b">
        <f aca="false">AND(Tasks[[#This Row],[Task Name]]&lt;&gt;"",Tasks[[#This Row],[_NextLevel]]&gt;Tasks[[#This Row],[_Level]])</f>
        <v>0</v>
      </c>
      <c r="BG200" s="46" t="n">
        <f aca="false">IF(Tasks[[#This Row],[_IsSummary]],COUNTIF(Tasks[WBS],Tasks[[#This Row],[WBS]]&amp;".*"),0)</f>
        <v>0</v>
      </c>
      <c r="BH200" s="46" t="n">
        <f aca="false">IF(AND(Tasks[[#This Row],[Task Name]]&lt;&gt;"",NOT(Tasks[[#This Row],[_IsSummary]])),1,0)</f>
        <v>0</v>
      </c>
      <c r="BI200" s="46" t="n">
        <f aca="false">IF(N(Tasks[[#This Row],[Pred1 UID]])=0,0,IFERROR(MATCH(Tasks[[#This Row],[Pred1 UID]],Tasks[UID],0),-1))</f>
        <v>0</v>
      </c>
      <c r="BJ200" s="46" t="n">
        <f aca="false">IF(N(Tasks[[#This Row],[Pred2 UID]])=0,0,IFERROR(MATCH(Tasks[[#This Row],[Pred2 UID]],Tasks[UID],0),-1))</f>
        <v>0</v>
      </c>
      <c r="BK20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0" s="46" t="n">
        <f aca="false">IF(NOT(Tasks[[#This Row],[_IsLeaf]]=1),0,IF(N(Tasks[[#This Row],[Actual Finish]])&gt;0,1,MIN(1,N(Tasks[[#This Row],[% Complete]]))))</f>
        <v>0</v>
      </c>
      <c r="BP20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00" s="46" t="n">
        <f aca="false">IF(Tasks[[#This Row],[_LeafWork]]=0,0,Tasks[[#This Row],[_LeafWork]]*IFERROR(INDEX(res_Rate,MATCH(Tasks[[#This Row],[Resource]],res_Name,0)),0))</f>
        <v>0</v>
      </c>
      <c r="BR200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0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0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0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0" s="46" t="n">
        <f aca="false">IF(NOT(Tasks[[#This Row],[_IsLeaf]]=1),0,MAX(_xlfn.MAXIFS(Tasks[_Row],Tasks[Pred1 UID],Tasks[[#This Row],[UID]]),_xlfn.MAXIFS(Tasks[_Row],Tasks[Pred2 UID],Tasks[[#This Row],[UID]])))</f>
        <v>0</v>
      </c>
      <c r="BW200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0" s="48" t="str">
        <f aca="false">IF(NOT(Tasks[[#This Row],[_IsLeaf]]=1),"",MIN(ProjectFinish,IF(N(Tasks[[#This Row],[Deadline]])&gt;0,Tasks[[#This Row],[Deadline]],2958465),Tasks[[#This Row],[_SuccessorFinishLimit]]))</f>
        <v/>
      </c>
      <c r="BY200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0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0" s="47" t="b">
        <f aca="false">AND(Tasks[[#This Row],[_IsLeaf]]=1,Tasks[[#This Row],[_LeafProgress]]&lt;1,N(Tasks[[#This Row],[_LeafTotalSlack]])&lt;=CriticalSlackDays)</f>
        <v>0</v>
      </c>
      <c r="CB20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0" s="46" t="n">
        <f aca="false">IF(AND(Tasks[[#This Row],[_IsLeaf]]=1,Tasks[[#This Row],[_LeafWork]]&gt;0),NETWORKDAYS.INTL(ProjectStart,Tasks[[#This Row],[_LeafFcstStart]],WorkWeek,Holidays),0)</f>
        <v>0</v>
      </c>
      <c r="CK20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0" s="46" t="n">
        <f aca="false">IF(AND(Tasks[[#This Row],[_IsLeaf]]=1,Tasks[[#This Row],[_LeafWork]]&gt;0),Tasks[[#This Row],[_LeafWork]]/(Tasks[[#This Row],[_FinishWorkday]]-Tasks[[#This Row],[_StartWorkday]]+1),0)</f>
        <v>0</v>
      </c>
      <c r="CM200" s="46" t="n">
        <f aca="false">Tasks[[#This Row],[_WorkPerWorkday]]*(Tasks[[#This Row],[_StartWorkday]]-1)</f>
        <v>-0</v>
      </c>
      <c r="CN200" s="46" t="n">
        <f aca="false">IF(Tasks[[#This Row],[_IsLeaf]]=1,MAX(N(Tasks[[#This Row],[Duration]]),0.1),0)</f>
        <v>0</v>
      </c>
      <c r="CO200" s="46" t="n">
        <f aca="false">Tasks[[#This Row],[_WeightDur]]*Tasks[[#This Row],[_LeafProgress]]</f>
        <v>0</v>
      </c>
      <c r="CP200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0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39"/>
      <c r="E201" s="40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1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1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1" s="31"/>
      <c r="AF20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1" s="40"/>
      <c r="AI201" s="31"/>
      <c r="AJ20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1" s="40"/>
      <c r="AO201" s="24" t="str">
        <f aca="false">IF(Tasks[[#This Row],[Task Name]]="","",Tasks[[#This Row],[Forecast Start]])</f>
        <v/>
      </c>
      <c r="AP201" s="24" t="str">
        <f aca="false">IF(Tasks[[#This Row],[Task Name]]="","",Tasks[[#This Row],[Forecast Finish]])</f>
        <v/>
      </c>
      <c r="AQ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1" s="42" t="str">
        <f aca="false">IF(Tasks[[#This Row],[Task Name]]="","",Tasks[[#This Row],[Work]])</f>
        <v/>
      </c>
      <c r="AS201" s="43" t="str">
        <f aca="false">IF(Tasks[[#This Row],[Task Name]]="","",Tasks[[#This Row],[Cost]])</f>
        <v/>
      </c>
      <c r="AT201" s="29"/>
      <c r="AU201" s="29"/>
      <c r="AV201" s="39"/>
      <c r="AW201" s="44"/>
      <c r="AX201" s="45"/>
      <c r="AY201" s="38" t="str">
        <f aca="false">IF(OR(Tasks[[#This Row],[Task Name]]="",Tasks[[#This Row],[Baseline Duration]]=""),"",Tasks[[#This Row],[BL Source Duration]]-N(Tasks[[#This Row],[Baseline Duration]]))</f>
        <v/>
      </c>
      <c r="AZ201" s="42" t="str">
        <f aca="false">IF(OR(Tasks[[#This Row],[Task Name]]="",Tasks[[#This Row],[Baseline Work]]=""),"",Tasks[[#This Row],[Work]]-N(Tasks[[#This Row],[Baseline Work]]))</f>
        <v/>
      </c>
      <c r="BA201" s="43" t="str">
        <f aca="false">IF(OR(Tasks[[#This Row],[Task Name]]="",Tasks[[#This Row],[Baseline Cost]]=""),"",Tasks[[#This Row],[Cost]]-N(Tasks[[#This Row],[Baseline Cost]]))</f>
        <v/>
      </c>
      <c r="BB201" s="46" t="str">
        <f aca="false">IF(Tasks[[#This Row],[Task Name]]="","",MAX(1,N(Tasks[[#This Row],[Level]])))</f>
        <v/>
      </c>
      <c r="BC201" s="46" t="n">
        <f aca="false">ROW()-ROW(Tasks[[#Headers],[ID]])</f>
        <v>196</v>
      </c>
      <c r="BD2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1" s="46" t="n">
        <f aca="false">IFERROR(N(INDEX(Tasks[_Level],Tasks[[#This Row],[_Row]]+1)),0)</f>
        <v>0</v>
      </c>
      <c r="BF201" s="47" t="b">
        <f aca="false">AND(Tasks[[#This Row],[Task Name]]&lt;&gt;"",Tasks[[#This Row],[_NextLevel]]&gt;Tasks[[#This Row],[_Level]])</f>
        <v>0</v>
      </c>
      <c r="BG201" s="46" t="n">
        <f aca="false">IF(Tasks[[#This Row],[_IsSummary]],COUNTIF(Tasks[WBS],Tasks[[#This Row],[WBS]]&amp;".*"),0)</f>
        <v>0</v>
      </c>
      <c r="BH201" s="46" t="n">
        <f aca="false">IF(AND(Tasks[[#This Row],[Task Name]]&lt;&gt;"",NOT(Tasks[[#This Row],[_IsSummary]])),1,0)</f>
        <v>0</v>
      </c>
      <c r="BI201" s="46" t="n">
        <f aca="false">IF(N(Tasks[[#This Row],[Pred1 UID]])=0,0,IFERROR(MATCH(Tasks[[#This Row],[Pred1 UID]],Tasks[UID],0),-1))</f>
        <v>0</v>
      </c>
      <c r="BJ201" s="46" t="n">
        <f aca="false">IF(N(Tasks[[#This Row],[Pred2 UID]])=0,0,IFERROR(MATCH(Tasks[[#This Row],[Pred2 UID]],Tasks[UID],0),-1))</f>
        <v>0</v>
      </c>
      <c r="BK20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1" s="46" t="n">
        <f aca="false">IF(NOT(Tasks[[#This Row],[_IsLeaf]]=1),0,IF(N(Tasks[[#This Row],[Actual Finish]])&gt;0,1,MIN(1,N(Tasks[[#This Row],[% Complete]]))))</f>
        <v>0</v>
      </c>
      <c r="BP20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01" s="46" t="n">
        <f aca="false">IF(Tasks[[#This Row],[_LeafWork]]=0,0,Tasks[[#This Row],[_LeafWork]]*IFERROR(INDEX(res_Rate,MATCH(Tasks[[#This Row],[Resource]],res_Name,0)),0))</f>
        <v>0</v>
      </c>
      <c r="BR201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1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1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1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1" s="46" t="n">
        <f aca="false">IF(NOT(Tasks[[#This Row],[_IsLeaf]]=1),0,MAX(_xlfn.MAXIFS(Tasks[_Row],Tasks[Pred1 UID],Tasks[[#This Row],[UID]]),_xlfn.MAXIFS(Tasks[_Row],Tasks[Pred2 UID],Tasks[[#This Row],[UID]])))</f>
        <v>0</v>
      </c>
      <c r="BW201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1" s="48" t="str">
        <f aca="false">IF(NOT(Tasks[[#This Row],[_IsLeaf]]=1),"",MIN(ProjectFinish,IF(N(Tasks[[#This Row],[Deadline]])&gt;0,Tasks[[#This Row],[Deadline]],2958465),Tasks[[#This Row],[_SuccessorFinishLimit]]))</f>
        <v/>
      </c>
      <c r="BY201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1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1" s="47" t="b">
        <f aca="false">AND(Tasks[[#This Row],[_IsLeaf]]=1,Tasks[[#This Row],[_LeafProgress]]&lt;1,N(Tasks[[#This Row],[_LeafTotalSlack]])&lt;=CriticalSlackDays)</f>
        <v>0</v>
      </c>
      <c r="CB20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1" s="46" t="n">
        <f aca="false">IF(AND(Tasks[[#This Row],[_IsLeaf]]=1,Tasks[[#This Row],[_LeafWork]]&gt;0),NETWORKDAYS.INTL(ProjectStart,Tasks[[#This Row],[_LeafFcstStart]],WorkWeek,Holidays),0)</f>
        <v>0</v>
      </c>
      <c r="CK20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1" s="46" t="n">
        <f aca="false">IF(AND(Tasks[[#This Row],[_IsLeaf]]=1,Tasks[[#This Row],[_LeafWork]]&gt;0),Tasks[[#This Row],[_LeafWork]]/(Tasks[[#This Row],[_FinishWorkday]]-Tasks[[#This Row],[_StartWorkday]]+1),0)</f>
        <v>0</v>
      </c>
      <c r="CM201" s="46" t="n">
        <f aca="false">Tasks[[#This Row],[_WorkPerWorkday]]*(Tasks[[#This Row],[_StartWorkday]]-1)</f>
        <v>-0</v>
      </c>
      <c r="CN201" s="46" t="n">
        <f aca="false">IF(Tasks[[#This Row],[_IsLeaf]]=1,MAX(N(Tasks[[#This Row],[Duration]]),0.1),0)</f>
        <v>0</v>
      </c>
      <c r="CO201" s="46" t="n">
        <f aca="false">Tasks[[#This Row],[_WeightDur]]*Tasks[[#This Row],[_LeafProgress]]</f>
        <v>0</v>
      </c>
      <c r="CP201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1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39"/>
      <c r="E202" s="40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2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2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2" s="31"/>
      <c r="AF20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2" s="40"/>
      <c r="AI202" s="31"/>
      <c r="AJ20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2" s="40"/>
      <c r="AO202" s="24" t="str">
        <f aca="false">IF(Tasks[[#This Row],[Task Name]]="","",Tasks[[#This Row],[Forecast Start]])</f>
        <v/>
      </c>
      <c r="AP202" s="24" t="str">
        <f aca="false">IF(Tasks[[#This Row],[Task Name]]="","",Tasks[[#This Row],[Forecast Finish]])</f>
        <v/>
      </c>
      <c r="AQ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2" s="42" t="str">
        <f aca="false">IF(Tasks[[#This Row],[Task Name]]="","",Tasks[[#This Row],[Work]])</f>
        <v/>
      </c>
      <c r="AS202" s="43" t="str">
        <f aca="false">IF(Tasks[[#This Row],[Task Name]]="","",Tasks[[#This Row],[Cost]])</f>
        <v/>
      </c>
      <c r="AT202" s="29"/>
      <c r="AU202" s="29"/>
      <c r="AV202" s="39"/>
      <c r="AW202" s="44"/>
      <c r="AX202" s="45"/>
      <c r="AY202" s="38" t="str">
        <f aca="false">IF(OR(Tasks[[#This Row],[Task Name]]="",Tasks[[#This Row],[Baseline Duration]]=""),"",Tasks[[#This Row],[BL Source Duration]]-N(Tasks[[#This Row],[Baseline Duration]]))</f>
        <v/>
      </c>
      <c r="AZ202" s="42" t="str">
        <f aca="false">IF(OR(Tasks[[#This Row],[Task Name]]="",Tasks[[#This Row],[Baseline Work]]=""),"",Tasks[[#This Row],[Work]]-N(Tasks[[#This Row],[Baseline Work]]))</f>
        <v/>
      </c>
      <c r="BA202" s="43" t="str">
        <f aca="false">IF(OR(Tasks[[#This Row],[Task Name]]="",Tasks[[#This Row],[Baseline Cost]]=""),"",Tasks[[#This Row],[Cost]]-N(Tasks[[#This Row],[Baseline Cost]]))</f>
        <v/>
      </c>
      <c r="BB202" s="46" t="str">
        <f aca="false">IF(Tasks[[#This Row],[Task Name]]="","",MAX(1,N(Tasks[[#This Row],[Level]])))</f>
        <v/>
      </c>
      <c r="BC202" s="46" t="n">
        <f aca="false">ROW()-ROW(Tasks[[#Headers],[ID]])</f>
        <v>197</v>
      </c>
      <c r="BD2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2" s="46" t="n">
        <f aca="false">IFERROR(N(INDEX(Tasks[_Level],Tasks[[#This Row],[_Row]]+1)),0)</f>
        <v>0</v>
      </c>
      <c r="BF202" s="47" t="b">
        <f aca="false">AND(Tasks[[#This Row],[Task Name]]&lt;&gt;"",Tasks[[#This Row],[_NextLevel]]&gt;Tasks[[#This Row],[_Level]])</f>
        <v>0</v>
      </c>
      <c r="BG202" s="46" t="n">
        <f aca="false">IF(Tasks[[#This Row],[_IsSummary]],COUNTIF(Tasks[WBS],Tasks[[#This Row],[WBS]]&amp;".*"),0)</f>
        <v>0</v>
      </c>
      <c r="BH202" s="46" t="n">
        <f aca="false">IF(AND(Tasks[[#This Row],[Task Name]]&lt;&gt;"",NOT(Tasks[[#This Row],[_IsSummary]])),1,0)</f>
        <v>0</v>
      </c>
      <c r="BI202" s="46" t="n">
        <f aca="false">IF(N(Tasks[[#This Row],[Pred1 UID]])=0,0,IFERROR(MATCH(Tasks[[#This Row],[Pred1 UID]],Tasks[UID],0),-1))</f>
        <v>0</v>
      </c>
      <c r="BJ202" s="46" t="n">
        <f aca="false">IF(N(Tasks[[#This Row],[Pred2 UID]])=0,0,IFERROR(MATCH(Tasks[[#This Row],[Pred2 UID]],Tasks[UID],0),-1))</f>
        <v>0</v>
      </c>
      <c r="BK20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2" s="46" t="n">
        <f aca="false">IF(NOT(Tasks[[#This Row],[_IsLeaf]]=1),0,IF(N(Tasks[[#This Row],[Actual Finish]])&gt;0,1,MIN(1,N(Tasks[[#This Row],[% Complete]]))))</f>
        <v>0</v>
      </c>
      <c r="BP20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02" s="46" t="n">
        <f aca="false">IF(Tasks[[#This Row],[_LeafWork]]=0,0,Tasks[[#This Row],[_LeafWork]]*IFERROR(INDEX(res_Rate,MATCH(Tasks[[#This Row],[Resource]],res_Name,0)),0))</f>
        <v>0</v>
      </c>
      <c r="BR202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2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2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2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2" s="46" t="n">
        <f aca="false">IF(NOT(Tasks[[#This Row],[_IsLeaf]]=1),0,MAX(_xlfn.MAXIFS(Tasks[_Row],Tasks[Pred1 UID],Tasks[[#This Row],[UID]]),_xlfn.MAXIFS(Tasks[_Row],Tasks[Pred2 UID],Tasks[[#This Row],[UID]])))</f>
        <v>0</v>
      </c>
      <c r="BW202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2" s="48" t="str">
        <f aca="false">IF(NOT(Tasks[[#This Row],[_IsLeaf]]=1),"",MIN(ProjectFinish,IF(N(Tasks[[#This Row],[Deadline]])&gt;0,Tasks[[#This Row],[Deadline]],2958465),Tasks[[#This Row],[_SuccessorFinishLimit]]))</f>
        <v/>
      </c>
      <c r="BY202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2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2" s="47" t="b">
        <f aca="false">AND(Tasks[[#This Row],[_IsLeaf]]=1,Tasks[[#This Row],[_LeafProgress]]&lt;1,N(Tasks[[#This Row],[_LeafTotalSlack]])&lt;=CriticalSlackDays)</f>
        <v>0</v>
      </c>
      <c r="CB20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2" s="46" t="n">
        <f aca="false">IF(AND(Tasks[[#This Row],[_IsLeaf]]=1,Tasks[[#This Row],[_LeafWork]]&gt;0),NETWORKDAYS.INTL(ProjectStart,Tasks[[#This Row],[_LeafFcstStart]],WorkWeek,Holidays),0)</f>
        <v>0</v>
      </c>
      <c r="CK20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2" s="46" t="n">
        <f aca="false">IF(AND(Tasks[[#This Row],[_IsLeaf]]=1,Tasks[[#This Row],[_LeafWork]]&gt;0),Tasks[[#This Row],[_LeafWork]]/(Tasks[[#This Row],[_FinishWorkday]]-Tasks[[#This Row],[_StartWorkday]]+1),0)</f>
        <v>0</v>
      </c>
      <c r="CM202" s="46" t="n">
        <f aca="false">Tasks[[#This Row],[_WorkPerWorkday]]*(Tasks[[#This Row],[_StartWorkday]]-1)</f>
        <v>-0</v>
      </c>
      <c r="CN202" s="46" t="n">
        <f aca="false">IF(Tasks[[#This Row],[_IsLeaf]]=1,MAX(N(Tasks[[#This Row],[Duration]]),0.1),0)</f>
        <v>0</v>
      </c>
      <c r="CO202" s="46" t="n">
        <f aca="false">Tasks[[#This Row],[_WeightDur]]*Tasks[[#This Row],[_LeafProgress]]</f>
        <v>0</v>
      </c>
      <c r="CP202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2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39"/>
      <c r="E203" s="40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3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3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3" s="31"/>
      <c r="AF20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3" s="40"/>
      <c r="AI203" s="31"/>
      <c r="AJ20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3" s="40"/>
      <c r="AO203" s="24" t="str">
        <f aca="false">IF(Tasks[[#This Row],[Task Name]]="","",Tasks[[#This Row],[Forecast Start]])</f>
        <v/>
      </c>
      <c r="AP203" s="24" t="str">
        <f aca="false">IF(Tasks[[#This Row],[Task Name]]="","",Tasks[[#This Row],[Forecast Finish]])</f>
        <v/>
      </c>
      <c r="AQ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3" s="42" t="str">
        <f aca="false">IF(Tasks[[#This Row],[Task Name]]="","",Tasks[[#This Row],[Work]])</f>
        <v/>
      </c>
      <c r="AS203" s="43" t="str">
        <f aca="false">IF(Tasks[[#This Row],[Task Name]]="","",Tasks[[#This Row],[Cost]])</f>
        <v/>
      </c>
      <c r="AT203" s="29"/>
      <c r="AU203" s="29"/>
      <c r="AV203" s="39"/>
      <c r="AW203" s="44"/>
      <c r="AX203" s="45"/>
      <c r="AY203" s="38" t="str">
        <f aca="false">IF(OR(Tasks[[#This Row],[Task Name]]="",Tasks[[#This Row],[Baseline Duration]]=""),"",Tasks[[#This Row],[BL Source Duration]]-N(Tasks[[#This Row],[Baseline Duration]]))</f>
        <v/>
      </c>
      <c r="AZ203" s="42" t="str">
        <f aca="false">IF(OR(Tasks[[#This Row],[Task Name]]="",Tasks[[#This Row],[Baseline Work]]=""),"",Tasks[[#This Row],[Work]]-N(Tasks[[#This Row],[Baseline Work]]))</f>
        <v/>
      </c>
      <c r="BA203" s="43" t="str">
        <f aca="false">IF(OR(Tasks[[#This Row],[Task Name]]="",Tasks[[#This Row],[Baseline Cost]]=""),"",Tasks[[#This Row],[Cost]]-N(Tasks[[#This Row],[Baseline Cost]]))</f>
        <v/>
      </c>
      <c r="BB203" s="46" t="str">
        <f aca="false">IF(Tasks[[#This Row],[Task Name]]="","",MAX(1,N(Tasks[[#This Row],[Level]])))</f>
        <v/>
      </c>
      <c r="BC203" s="46" t="n">
        <f aca="false">ROW()-ROW(Tasks[[#Headers],[ID]])</f>
        <v>198</v>
      </c>
      <c r="BD2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3" s="46" t="n">
        <f aca="false">IFERROR(N(INDEX(Tasks[_Level],Tasks[[#This Row],[_Row]]+1)),0)</f>
        <v>0</v>
      </c>
      <c r="BF203" s="47" t="b">
        <f aca="false">AND(Tasks[[#This Row],[Task Name]]&lt;&gt;"",Tasks[[#This Row],[_NextLevel]]&gt;Tasks[[#This Row],[_Level]])</f>
        <v>0</v>
      </c>
      <c r="BG203" s="46" t="n">
        <f aca="false">IF(Tasks[[#This Row],[_IsSummary]],COUNTIF(Tasks[WBS],Tasks[[#This Row],[WBS]]&amp;".*"),0)</f>
        <v>0</v>
      </c>
      <c r="BH203" s="46" t="n">
        <f aca="false">IF(AND(Tasks[[#This Row],[Task Name]]&lt;&gt;"",NOT(Tasks[[#This Row],[_IsSummary]])),1,0)</f>
        <v>0</v>
      </c>
      <c r="BI203" s="46" t="n">
        <f aca="false">IF(N(Tasks[[#This Row],[Pred1 UID]])=0,0,IFERROR(MATCH(Tasks[[#This Row],[Pred1 UID]],Tasks[UID],0),-1))</f>
        <v>0</v>
      </c>
      <c r="BJ203" s="46" t="n">
        <f aca="false">IF(N(Tasks[[#This Row],[Pred2 UID]])=0,0,IFERROR(MATCH(Tasks[[#This Row],[Pred2 UID]],Tasks[UID],0),-1))</f>
        <v>0</v>
      </c>
      <c r="BK20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3" s="46" t="n">
        <f aca="false">IF(NOT(Tasks[[#This Row],[_IsLeaf]]=1),0,IF(N(Tasks[[#This Row],[Actual Finish]])&gt;0,1,MIN(1,N(Tasks[[#This Row],[% Complete]]))))</f>
        <v>0</v>
      </c>
      <c r="BP20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03" s="46" t="n">
        <f aca="false">IF(Tasks[[#This Row],[_LeafWork]]=0,0,Tasks[[#This Row],[_LeafWork]]*IFERROR(INDEX(res_Rate,MATCH(Tasks[[#This Row],[Resource]],res_Name,0)),0))</f>
        <v>0</v>
      </c>
      <c r="BR203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3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3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3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3" s="46" t="n">
        <f aca="false">IF(NOT(Tasks[[#This Row],[_IsLeaf]]=1),0,MAX(_xlfn.MAXIFS(Tasks[_Row],Tasks[Pred1 UID],Tasks[[#This Row],[UID]]),_xlfn.MAXIFS(Tasks[_Row],Tasks[Pred2 UID],Tasks[[#This Row],[UID]])))</f>
        <v>0</v>
      </c>
      <c r="BW203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3" s="48" t="str">
        <f aca="false">IF(NOT(Tasks[[#This Row],[_IsLeaf]]=1),"",MIN(ProjectFinish,IF(N(Tasks[[#This Row],[Deadline]])&gt;0,Tasks[[#This Row],[Deadline]],2958465),Tasks[[#This Row],[_SuccessorFinishLimit]]))</f>
        <v/>
      </c>
      <c r="BY203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3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3" s="47" t="b">
        <f aca="false">AND(Tasks[[#This Row],[_IsLeaf]]=1,Tasks[[#This Row],[_LeafProgress]]&lt;1,N(Tasks[[#This Row],[_LeafTotalSlack]])&lt;=CriticalSlackDays)</f>
        <v>0</v>
      </c>
      <c r="CB20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3" s="46" t="n">
        <f aca="false">IF(AND(Tasks[[#This Row],[_IsLeaf]]=1,Tasks[[#This Row],[_LeafWork]]&gt;0),NETWORKDAYS.INTL(ProjectStart,Tasks[[#This Row],[_LeafFcstStart]],WorkWeek,Holidays),0)</f>
        <v>0</v>
      </c>
      <c r="CK20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3" s="46" t="n">
        <f aca="false">IF(AND(Tasks[[#This Row],[_IsLeaf]]=1,Tasks[[#This Row],[_LeafWork]]&gt;0),Tasks[[#This Row],[_LeafWork]]/(Tasks[[#This Row],[_FinishWorkday]]-Tasks[[#This Row],[_StartWorkday]]+1),0)</f>
        <v>0</v>
      </c>
      <c r="CM203" s="46" t="n">
        <f aca="false">Tasks[[#This Row],[_WorkPerWorkday]]*(Tasks[[#This Row],[_StartWorkday]]-1)</f>
        <v>-0</v>
      </c>
      <c r="CN203" s="46" t="n">
        <f aca="false">IF(Tasks[[#This Row],[_IsLeaf]]=1,MAX(N(Tasks[[#This Row],[Duration]]),0.1),0)</f>
        <v>0</v>
      </c>
      <c r="CO203" s="46" t="n">
        <f aca="false">Tasks[[#This Row],[_WeightDur]]*Tasks[[#This Row],[_LeafProgress]]</f>
        <v>0</v>
      </c>
      <c r="CP203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3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39"/>
      <c r="E204" s="40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4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4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4" s="31"/>
      <c r="AF20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4" s="40"/>
      <c r="AI204" s="31"/>
      <c r="AJ20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4" s="40"/>
      <c r="AO204" s="24" t="str">
        <f aca="false">IF(Tasks[[#This Row],[Task Name]]="","",Tasks[[#This Row],[Forecast Start]])</f>
        <v/>
      </c>
      <c r="AP204" s="24" t="str">
        <f aca="false">IF(Tasks[[#This Row],[Task Name]]="","",Tasks[[#This Row],[Forecast Finish]])</f>
        <v/>
      </c>
      <c r="AQ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4" s="42" t="str">
        <f aca="false">IF(Tasks[[#This Row],[Task Name]]="","",Tasks[[#This Row],[Work]])</f>
        <v/>
      </c>
      <c r="AS204" s="43" t="str">
        <f aca="false">IF(Tasks[[#This Row],[Task Name]]="","",Tasks[[#This Row],[Cost]])</f>
        <v/>
      </c>
      <c r="AT204" s="29"/>
      <c r="AU204" s="29"/>
      <c r="AV204" s="39"/>
      <c r="AW204" s="44"/>
      <c r="AX204" s="45"/>
      <c r="AY204" s="38" t="str">
        <f aca="false">IF(OR(Tasks[[#This Row],[Task Name]]="",Tasks[[#This Row],[Baseline Duration]]=""),"",Tasks[[#This Row],[BL Source Duration]]-N(Tasks[[#This Row],[Baseline Duration]]))</f>
        <v/>
      </c>
      <c r="AZ204" s="42" t="str">
        <f aca="false">IF(OR(Tasks[[#This Row],[Task Name]]="",Tasks[[#This Row],[Baseline Work]]=""),"",Tasks[[#This Row],[Work]]-N(Tasks[[#This Row],[Baseline Work]]))</f>
        <v/>
      </c>
      <c r="BA204" s="43" t="str">
        <f aca="false">IF(OR(Tasks[[#This Row],[Task Name]]="",Tasks[[#This Row],[Baseline Cost]]=""),"",Tasks[[#This Row],[Cost]]-N(Tasks[[#This Row],[Baseline Cost]]))</f>
        <v/>
      </c>
      <c r="BB204" s="46" t="str">
        <f aca="false">IF(Tasks[[#This Row],[Task Name]]="","",MAX(1,N(Tasks[[#This Row],[Level]])))</f>
        <v/>
      </c>
      <c r="BC204" s="46" t="n">
        <f aca="false">ROW()-ROW(Tasks[[#Headers],[ID]])</f>
        <v>199</v>
      </c>
      <c r="BD2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4" s="46" t="n">
        <f aca="false">IFERROR(N(INDEX(Tasks[_Level],Tasks[[#This Row],[_Row]]+1)),0)</f>
        <v>0</v>
      </c>
      <c r="BF204" s="47" t="b">
        <f aca="false">AND(Tasks[[#This Row],[Task Name]]&lt;&gt;"",Tasks[[#This Row],[_NextLevel]]&gt;Tasks[[#This Row],[_Level]])</f>
        <v>0</v>
      </c>
      <c r="BG204" s="46" t="n">
        <f aca="false">IF(Tasks[[#This Row],[_IsSummary]],COUNTIF(Tasks[WBS],Tasks[[#This Row],[WBS]]&amp;".*"),0)</f>
        <v>0</v>
      </c>
      <c r="BH204" s="46" t="n">
        <f aca="false">IF(AND(Tasks[[#This Row],[Task Name]]&lt;&gt;"",NOT(Tasks[[#This Row],[_IsSummary]])),1,0)</f>
        <v>0</v>
      </c>
      <c r="BI204" s="46" t="n">
        <f aca="false">IF(N(Tasks[[#This Row],[Pred1 UID]])=0,0,IFERROR(MATCH(Tasks[[#This Row],[Pred1 UID]],Tasks[UID],0),-1))</f>
        <v>0</v>
      </c>
      <c r="BJ204" s="46" t="n">
        <f aca="false">IF(N(Tasks[[#This Row],[Pred2 UID]])=0,0,IFERROR(MATCH(Tasks[[#This Row],[Pred2 UID]],Tasks[UID],0),-1))</f>
        <v>0</v>
      </c>
      <c r="BK20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4" s="46" t="n">
        <f aca="false">IF(NOT(Tasks[[#This Row],[_IsLeaf]]=1),0,IF(N(Tasks[[#This Row],[Actual Finish]])&gt;0,1,MIN(1,N(Tasks[[#This Row],[% Complete]]))))</f>
        <v>0</v>
      </c>
      <c r="BP20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04" s="46" t="n">
        <f aca="false">IF(Tasks[[#This Row],[_LeafWork]]=0,0,Tasks[[#This Row],[_LeafWork]]*IFERROR(INDEX(res_Rate,MATCH(Tasks[[#This Row],[Resource]],res_Name,0)),0))</f>
        <v>0</v>
      </c>
      <c r="BR204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4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4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4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4" s="46" t="n">
        <f aca="false">IF(NOT(Tasks[[#This Row],[_IsLeaf]]=1),0,MAX(_xlfn.MAXIFS(Tasks[_Row],Tasks[Pred1 UID],Tasks[[#This Row],[UID]]),_xlfn.MAXIFS(Tasks[_Row],Tasks[Pred2 UID],Tasks[[#This Row],[UID]])))</f>
        <v>0</v>
      </c>
      <c r="BW204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4" s="48" t="str">
        <f aca="false">IF(NOT(Tasks[[#This Row],[_IsLeaf]]=1),"",MIN(ProjectFinish,IF(N(Tasks[[#This Row],[Deadline]])&gt;0,Tasks[[#This Row],[Deadline]],2958465),Tasks[[#This Row],[_SuccessorFinishLimit]]))</f>
        <v/>
      </c>
      <c r="BY204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4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4" s="47" t="b">
        <f aca="false">AND(Tasks[[#This Row],[_IsLeaf]]=1,Tasks[[#This Row],[_LeafProgress]]&lt;1,N(Tasks[[#This Row],[_LeafTotalSlack]])&lt;=CriticalSlackDays)</f>
        <v>0</v>
      </c>
      <c r="CB20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4" s="46" t="n">
        <f aca="false">IF(AND(Tasks[[#This Row],[_IsLeaf]]=1,Tasks[[#This Row],[_LeafWork]]&gt;0),NETWORKDAYS.INTL(ProjectStart,Tasks[[#This Row],[_LeafFcstStart]],WorkWeek,Holidays),0)</f>
        <v>0</v>
      </c>
      <c r="CK20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4" s="46" t="n">
        <f aca="false">IF(AND(Tasks[[#This Row],[_IsLeaf]]=1,Tasks[[#This Row],[_LeafWork]]&gt;0),Tasks[[#This Row],[_LeafWork]]/(Tasks[[#This Row],[_FinishWorkday]]-Tasks[[#This Row],[_StartWorkday]]+1),0)</f>
        <v>0</v>
      </c>
      <c r="CM204" s="46" t="n">
        <f aca="false">Tasks[[#This Row],[_WorkPerWorkday]]*(Tasks[[#This Row],[_StartWorkday]]-1)</f>
        <v>-0</v>
      </c>
      <c r="CN204" s="46" t="n">
        <f aca="false">IF(Tasks[[#This Row],[_IsLeaf]]=1,MAX(N(Tasks[[#This Row],[Duration]]),0.1),0)</f>
        <v>0</v>
      </c>
      <c r="CO204" s="46" t="n">
        <f aca="false">Tasks[[#This Row],[_WeightDur]]*Tasks[[#This Row],[_LeafProgress]]</f>
        <v>0</v>
      </c>
      <c r="CP204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4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39"/>
      <c r="E205" s="40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5" s="3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5" s="3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5" s="31"/>
      <c r="AF20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5" s="40"/>
      <c r="AI205" s="31"/>
      <c r="AJ20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5" s="40"/>
      <c r="AO205" s="24" t="str">
        <f aca="false">IF(Tasks[[#This Row],[Task Name]]="","",Tasks[[#This Row],[Forecast Start]])</f>
        <v/>
      </c>
      <c r="AP205" s="24" t="str">
        <f aca="false">IF(Tasks[[#This Row],[Task Name]]="","",Tasks[[#This Row],[Forecast Finish]])</f>
        <v/>
      </c>
      <c r="AQ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5" s="42" t="str">
        <f aca="false">IF(Tasks[[#This Row],[Task Name]]="","",Tasks[[#This Row],[Work]])</f>
        <v/>
      </c>
      <c r="AS205" s="43" t="str">
        <f aca="false">IF(Tasks[[#This Row],[Task Name]]="","",Tasks[[#This Row],[Cost]])</f>
        <v/>
      </c>
      <c r="AT205" s="29"/>
      <c r="AU205" s="29"/>
      <c r="AV205" s="39"/>
      <c r="AW205" s="44"/>
      <c r="AX205" s="45"/>
      <c r="AY205" s="38" t="str">
        <f aca="false">IF(OR(Tasks[[#This Row],[Task Name]]="",Tasks[[#This Row],[Baseline Duration]]=""),"",Tasks[[#This Row],[BL Source Duration]]-N(Tasks[[#This Row],[Baseline Duration]]))</f>
        <v/>
      </c>
      <c r="AZ205" s="42" t="str">
        <f aca="false">IF(OR(Tasks[[#This Row],[Task Name]]="",Tasks[[#This Row],[Baseline Work]]=""),"",Tasks[[#This Row],[Work]]-N(Tasks[[#This Row],[Baseline Work]]))</f>
        <v/>
      </c>
      <c r="BA205" s="43" t="str">
        <f aca="false">IF(OR(Tasks[[#This Row],[Task Name]]="",Tasks[[#This Row],[Baseline Cost]]=""),"",Tasks[[#This Row],[Cost]]-N(Tasks[[#This Row],[Baseline Cost]]))</f>
        <v/>
      </c>
      <c r="BB205" s="46" t="str">
        <f aca="false">IF(Tasks[[#This Row],[Task Name]]="","",MAX(1,N(Tasks[[#This Row],[Level]])))</f>
        <v/>
      </c>
      <c r="BC205" s="46" t="n">
        <f aca="false">ROW()-ROW(Tasks[[#Headers],[ID]])</f>
        <v>200</v>
      </c>
      <c r="BD2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5" s="46" t="n">
        <f aca="false">IFERROR(N(INDEX(Tasks[_Level],Tasks[[#This Row],[_Row]]+1)),0)</f>
        <v>0</v>
      </c>
      <c r="BF205" s="47" t="b">
        <f aca="false">AND(Tasks[[#This Row],[Task Name]]&lt;&gt;"",Tasks[[#This Row],[_NextLevel]]&gt;Tasks[[#This Row],[_Level]])</f>
        <v>0</v>
      </c>
      <c r="BG205" s="46" t="n">
        <f aca="false">IF(Tasks[[#This Row],[_IsSummary]],COUNTIF(Tasks[WBS],Tasks[[#This Row],[WBS]]&amp;".*"),0)</f>
        <v>0</v>
      </c>
      <c r="BH205" s="46" t="n">
        <f aca="false">IF(AND(Tasks[[#This Row],[Task Name]]&lt;&gt;"",NOT(Tasks[[#This Row],[_IsSummary]])),1,0)</f>
        <v>0</v>
      </c>
      <c r="BI205" s="46" t="n">
        <f aca="false">IF(N(Tasks[[#This Row],[Pred1 UID]])=0,0,IFERROR(MATCH(Tasks[[#This Row],[Pred1 UID]],Tasks[UID],0),-1))</f>
        <v>0</v>
      </c>
      <c r="BJ205" s="46" t="n">
        <f aca="false">IF(N(Tasks[[#This Row],[Pred2 UID]])=0,0,IFERROR(MATCH(Tasks[[#This Row],[Pred2 UID]],Tasks[UID],0),-1))</f>
        <v>0</v>
      </c>
      <c r="BK20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5" s="46" t="n">
        <f aca="false">IF(NOT(Tasks[[#This Row],[_IsLeaf]]=1),0,IF(N(Tasks[[#This Row],[Actual Finish]])&gt;0,1,MIN(1,N(Tasks[[#This Row],[% Complete]]))))</f>
        <v>0</v>
      </c>
      <c r="BP20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Q205" s="46" t="n">
        <f aca="false">IF(Tasks[[#This Row],[_LeafWork]]=0,0,Tasks[[#This Row],[_LeafWork]]*IFERROR(INDEX(res_Rate,MATCH(Tasks[[#This Row],[Resource]],res_Name,0)),0))</f>
        <v>0</v>
      </c>
      <c r="BR205" s="46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5" s="46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5" s="46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5" s="46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5" s="46" t="n">
        <f aca="false">IF(NOT(Tasks[[#This Row],[_IsLeaf]]=1),0,MAX(_xlfn.MAXIFS(Tasks[_Row],Tasks[Pred1 UID],Tasks[[#This Row],[UID]]),_xlfn.MAXIFS(Tasks[_Row],Tasks[Pred2 UID],Tasks[[#This Row],[UID]])))</f>
        <v>0</v>
      </c>
      <c r="BW205" s="48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5" s="48" t="str">
        <f aca="false">IF(NOT(Tasks[[#This Row],[_IsLeaf]]=1),"",MIN(ProjectFinish,IF(N(Tasks[[#This Row],[Deadline]])&gt;0,Tasks[[#This Row],[Deadline]],2958465),Tasks[[#This Row],[_SuccessorFinishLimit]]))</f>
        <v/>
      </c>
      <c r="BY205" s="48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5" s="46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5" s="47" t="b">
        <f aca="false">AND(Tasks[[#This Row],[_IsLeaf]]=1,Tasks[[#This Row],[_LeafProgress]]&lt;1,N(Tasks[[#This Row],[_LeafTotalSlack]])&lt;=CriticalSlackDays)</f>
        <v>0</v>
      </c>
      <c r="CB20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5" s="46" t="n">
        <f aca="false">IF(AND(Tasks[[#This Row],[_IsLeaf]]=1,Tasks[[#This Row],[_LeafWork]]&gt;0),NETWORKDAYS.INTL(ProjectStart,Tasks[[#This Row],[_LeafFcstStart]],WorkWeek,Holidays),0)</f>
        <v>0</v>
      </c>
      <c r="CK20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5" s="46" t="n">
        <f aca="false">IF(AND(Tasks[[#This Row],[_IsLeaf]]=1,Tasks[[#This Row],[_LeafWork]]&gt;0),Tasks[[#This Row],[_LeafWork]]/(Tasks[[#This Row],[_FinishWorkday]]-Tasks[[#This Row],[_StartWorkday]]+1),0)</f>
        <v>0</v>
      </c>
      <c r="CM205" s="46" t="n">
        <f aca="false">Tasks[[#This Row],[_WorkPerWorkday]]*(Tasks[[#This Row],[_StartWorkday]]-1)</f>
        <v>-0</v>
      </c>
      <c r="CN205" s="46" t="n">
        <f aca="false">IF(Tasks[[#This Row],[_IsLeaf]]=1,MAX(N(Tasks[[#This Row],[Duration]]),0.1),0)</f>
        <v>0</v>
      </c>
      <c r="CO205" s="46" t="n">
        <f aca="false">Tasks[[#This Row],[_WeightDur]]*Tasks[[#This Row],[_LeafProgress]]</f>
        <v>0</v>
      </c>
      <c r="CP205" s="46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5" s="46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5" s="46" t="str">
        <f aca="false">IF(AND(Tasks[[#This Row],[_IsLeaf]]=1,N(Tasks[[#This Row],[Duration]])=0,Tasks[[#This Row],[_LeafProgress]]&lt;1),Tasks[[#This Row],[_LeafFcstFinish]]+Tasks[[#This Row],[_Row]]/100000,"")</f>
        <v/>
      </c>
    </row>
  </sheetData>
  <conditionalFormatting sqref="A6:BA205">
    <cfRule type="expression" priority="2" aboveAverage="0" equalAverage="0" bottom="0" percent="0" rank="0" text="" dxfId="16">
      <formula>$BF6=1</formula>
    </cfRule>
  </conditionalFormatting>
  <conditionalFormatting sqref="G6:G205">
    <cfRule type="expression" priority="3" aboveAverage="0" equalAverage="0" bottom="0" percent="0" rank="0" text="" dxfId="17">
      <formula>$BF6=1</formula>
    </cfRule>
  </conditionalFormatting>
  <conditionalFormatting sqref="H6:H205">
    <cfRule type="expression" priority="4" aboveAverage="0" equalAverage="0" bottom="0" percent="0" rank="0" text="" dxfId="17">
      <formula>$BF6=1</formula>
    </cfRule>
  </conditionalFormatting>
  <conditionalFormatting sqref="I6:I205">
    <cfRule type="expression" priority="5" aboveAverage="0" equalAverage="0" bottom="0" percent="0" rank="0" text="" dxfId="17">
      <formula>$BF6=1</formula>
    </cfRule>
  </conditionalFormatting>
  <conditionalFormatting sqref="J6:J205">
    <cfRule type="expression" priority="6" aboveAverage="0" equalAverage="0" bottom="0" percent="0" rank="0" text="" dxfId="17">
      <formula>$BF6=1</formula>
    </cfRule>
  </conditionalFormatting>
  <conditionalFormatting sqref="K6:K205">
    <cfRule type="expression" priority="7" aboveAverage="0" equalAverage="0" bottom="0" percent="0" rank="0" text="" dxfId="17">
      <formula>$BF6=1</formula>
    </cfRule>
  </conditionalFormatting>
  <conditionalFormatting sqref="L6:L205">
    <cfRule type="expression" priority="8" aboveAverage="0" equalAverage="0" bottom="0" percent="0" rank="0" text="" dxfId="17">
      <formula>$BF6=1</formula>
    </cfRule>
  </conditionalFormatting>
  <conditionalFormatting sqref="M6:M205">
    <cfRule type="expression" priority="9" aboveAverage="0" equalAverage="0" bottom="0" percent="0" rank="0" text="" dxfId="17">
      <formula>$BF6=1</formula>
    </cfRule>
  </conditionalFormatting>
  <conditionalFormatting sqref="N6:N205">
    <cfRule type="expression" priority="10" aboveAverage="0" equalAverage="0" bottom="0" percent="0" rank="0" text="" dxfId="17">
      <formula>$BF6=1</formula>
    </cfRule>
  </conditionalFormatting>
  <conditionalFormatting sqref="R6:R205">
    <cfRule type="expression" priority="11" aboveAverage="0" equalAverage="0" bottom="0" percent="0" rank="0" text="" dxfId="17">
      <formula>$BF6=1</formula>
    </cfRule>
  </conditionalFormatting>
  <conditionalFormatting sqref="S6:S205">
    <cfRule type="expression" priority="12" aboveAverage="0" equalAverage="0" bottom="0" percent="0" rank="0" text="" dxfId="17">
      <formula>$BF6=1</formula>
    </cfRule>
  </conditionalFormatting>
  <conditionalFormatting sqref="AE6:AE205">
    <cfRule type="expression" priority="13" aboveAverage="0" equalAverage="0" bottom="0" percent="0" rank="0" text="" dxfId="17">
      <formula>$BF6=1</formula>
    </cfRule>
  </conditionalFormatting>
  <conditionalFormatting sqref="AH6:AH205">
    <cfRule type="expression" priority="14" aboveAverage="0" equalAverage="0" bottom="0" percent="0" rank="0" text="" dxfId="17">
      <formula>$BF6=1</formula>
    </cfRule>
  </conditionalFormatting>
  <conditionalFormatting sqref="AI6:AI205">
    <cfRule type="expression" priority="15" aboveAverage="0" equalAverage="0" bottom="0" percent="0" rank="0" text="" dxfId="17">
      <formula>$BF6=1</formula>
    </cfRule>
  </conditionalFormatting>
  <conditionalFormatting sqref="AG6:AG205">
    <cfRule type="expression" priority="16" aboveAverage="0" equalAverage="0" bottom="0" percent="0" rank="0" text="" dxfId="10">
      <formula>$AG6="Complete"</formula>
    </cfRule>
    <cfRule type="expression" priority="17" aboveAverage="0" equalAverage="0" bottom="0" percent="0" rank="0" text="" dxfId="18">
      <formula>$AG6="In Progress"</formula>
    </cfRule>
    <cfRule type="expression" priority="18" aboveAverage="0" equalAverage="0" bottom="0" percent="0" rank="0" text="" dxfId="19">
      <formula>$AG6="Behind"</formula>
    </cfRule>
    <cfRule type="expression" priority="19" aboveAverage="0" equalAverage="0" bottom="0" percent="0" rank="0" text="" dxfId="20">
      <formula>$AG6="Late Start"</formula>
    </cfRule>
    <cfRule type="expression" priority="20" aboveAverage="0" equalAverage="0" bottom="0" percent="0" rank="0" text="" dxfId="21">
      <formula>$AG6="Not Started"</formula>
    </cfRule>
  </conditionalFormatting>
  <conditionalFormatting sqref="V6:V205">
    <cfRule type="expression" priority="21" aboveAverage="0" equalAverage="0" bottom="0" percent="0" rank="0" text="" dxfId="19">
      <formula>AND(ISNUMBER($V6),$V6&gt;0)</formula>
    </cfRule>
    <cfRule type="expression" priority="22" aboveAverage="0" equalAverage="0" bottom="0" percent="0" rank="0" text="" dxfId="10">
      <formula>AND(ISNUMBER($V6),$V6&lt;0)</formula>
    </cfRule>
  </conditionalFormatting>
  <conditionalFormatting sqref="W6:W205">
    <cfRule type="expression" priority="23" aboveAverage="0" equalAverage="0" bottom="0" percent="0" rank="0" text="" dxfId="19">
      <formula>AND(ISNUMBER($W6),$W6&gt;0)</formula>
    </cfRule>
    <cfRule type="expression" priority="24" aboveAverage="0" equalAverage="0" bottom="0" percent="0" rank="0" text="" dxfId="10">
      <formula>AND(ISNUMBER($W6),$W6&lt;0)</formula>
    </cfRule>
  </conditionalFormatting>
  <conditionalFormatting sqref="AY6:AY205">
    <cfRule type="expression" priority="25" aboveAverage="0" equalAverage="0" bottom="0" percent="0" rank="0" text="" dxfId="19">
      <formula>AND(ISNUMBER($AY6),$AY6&gt;0)</formula>
    </cfRule>
    <cfRule type="expression" priority="26" aboveAverage="0" equalAverage="0" bottom="0" percent="0" rank="0" text="" dxfId="10">
      <formula>AND(ISNUMBER($AY6),$AY6&lt;0)</formula>
    </cfRule>
  </conditionalFormatting>
  <conditionalFormatting sqref="AZ6:AZ205">
    <cfRule type="expression" priority="27" aboveAverage="0" equalAverage="0" bottom="0" percent="0" rank="0" text="" dxfId="19">
      <formula>AND(ISNUMBER($AZ6),$AZ6&gt;0)</formula>
    </cfRule>
    <cfRule type="expression" priority="28" aboveAverage="0" equalAverage="0" bottom="0" percent="0" rank="0" text="" dxfId="10">
      <formula>AND(ISNUMBER($AZ6),$AZ6&lt;0)</formula>
    </cfRule>
  </conditionalFormatting>
  <conditionalFormatting sqref="BA6:BA205">
    <cfRule type="expression" priority="29" aboveAverage="0" equalAverage="0" bottom="0" percent="0" rank="0" text="" dxfId="19">
      <formula>AND(ISNUMBER($BA6),$BA6&gt;0)</formula>
    </cfRule>
    <cfRule type="expression" priority="30" aboveAverage="0" equalAverage="0" bottom="0" percent="0" rank="0" text="" dxfId="10">
      <formula>AND(ISNUMBER($BA6),$BA6&lt;0)</formula>
    </cfRule>
  </conditionalFormatting>
  <conditionalFormatting sqref="E6:E205">
    <cfRule type="expression" priority="31" aboveAverage="0" equalAverage="0" bottom="0" percent="0" rank="0" text="" dxfId="22">
      <formula>AND($BH6=1,N($G6)=0)</formula>
    </cfRule>
  </conditionalFormatting>
  <conditionalFormatting sqref="C6:C205">
    <cfRule type="expression" priority="32" aboveAverage="0" equalAverage="0" bottom="0" percent="0" rank="0" text="" dxfId="23">
      <formula>$C6="?"</formula>
    </cfRule>
  </conditionalFormatting>
  <conditionalFormatting sqref="B6:B205">
    <cfRule type="expression" priority="33" aboveAverage="0" equalAverage="0" bottom="0" percent="0" rank="0" text="" dxfId="24">
      <formula>OR(AND($E6&lt;&gt;"",$B6=""),AND($B6&lt;&gt;"",COUNTIF(tsk_UID,$B6)&gt;1))</formula>
    </cfRule>
  </conditionalFormatting>
  <conditionalFormatting sqref="AD6:AD205">
    <cfRule type="expression" priority="34" aboveAverage="0" equalAverage="0" bottom="0" percent="0" rank="0" text="" dxfId="25">
      <formula>$AD6&lt;&gt;""</formula>
    </cfRule>
  </conditionalFormatting>
  <conditionalFormatting sqref="AC6:AC205">
    <cfRule type="expression" priority="35" aboveAverage="0" equalAverage="0" bottom="0" percent="0" rank="0" text="" dxfId="19">
      <formula>LEFT($AC6,4)="Late"</formula>
    </cfRule>
    <cfRule type="expression" priority="36" aboveAverage="0" equalAverage="0" bottom="0" percent="0" rank="0" text="" dxfId="10">
      <formula>$AC6="OK"</formula>
    </cfRule>
  </conditionalFormatting>
  <conditionalFormatting sqref="AB6:AB205">
    <cfRule type="expression" priority="37" aboveAverage="0" equalAverage="0" bottom="0" percent="0" rank="0" text="" dxfId="26">
      <formula>$AB6="Yes"</formula>
    </cfRule>
  </conditionalFormatting>
  <conditionalFormatting sqref="Z6:Z205">
    <cfRule type="expression" priority="38" aboveAverage="0" equalAverage="0" bottom="0" percent="0" rank="0" text="" dxfId="19">
      <formula>AND(ISNUMBER($Z6),$Z6&lt;0)</formula>
    </cfRule>
  </conditionalFormatting>
  <conditionalFormatting sqref="AA6:AA205">
    <cfRule type="expression" priority="39" aboveAverage="0" equalAverage="0" bottom="0" percent="0" rank="0" text="" dxfId="19">
      <formula>AND(ISNUMBER($AA6),$AA6&lt;0)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AE6:AE205" type="decimal">
      <formula1>0</formula1>
      <formula2>1</formula2>
    </dataValidation>
    <dataValidation allowBlank="false" errorStyle="stop" operator="between" showDropDown="false" showErrorMessage="false" showInputMessage="false" sqref="AH6:AH205" type="list">
      <formula1>res_Name</formula1>
      <formula2>0</formula2>
    </dataValidation>
    <dataValidation allowBlank="false" errorStyle="stop" operator="between" showDropDown="false" showErrorMessage="false" showInputMessage="false" sqref="AI6:AI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P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2" ySplit="5" topLeftCell="W6" activePane="bottomRight" state="frozen"/>
      <selection pane="topLeft" activeCell="A1" activeCellId="0" sqref="A1"/>
      <selection pane="topRight" activeCell="W1" activeCellId="0" sqref="W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1" min="12" style="0" width="5"/>
    <col collapsed="false" customWidth="true" hidden="false" outlineLevel="0" max="22" min="22" style="0" width="1"/>
    <col collapsed="false" customWidth="true" hidden="false" outlineLevel="0" max="172" min="23" style="0" width="2.9"/>
  </cols>
  <sheetData>
    <row r="1" customFormat="false" ht="19.7" hidden="false" customHeight="false" outlineLevel="0" collapsed="false">
      <c r="A1" s="25" t="str">
        <f aca="false">ProjectName&amp;"  -  Gantt Chart"</f>
        <v>New Project  -  Gantt Chart</v>
      </c>
      <c r="W1" s="49"/>
      <c r="X1" s="50" t="s">
        <v>285</v>
      </c>
      <c r="AI1" s="51"/>
      <c r="AJ1" s="50" t="s">
        <v>286</v>
      </c>
      <c r="AU1" s="52"/>
      <c r="AV1" s="50" t="s">
        <v>287</v>
      </c>
      <c r="BG1" s="53"/>
      <c r="BH1" s="50" t="s">
        <v>288</v>
      </c>
      <c r="BS1" s="54"/>
      <c r="BT1" s="50" t="s">
        <v>289</v>
      </c>
    </row>
    <row r="2" customFormat="false" ht="15" hidden="false" customHeight="false" outlineLevel="0" collapsed="false">
      <c r="A2" s="55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31-Dec-1899   |   Forecast finish: 30-Dec-1899   |   Planned finish: 30-Dec-1899</v>
      </c>
      <c r="W2" s="56"/>
      <c r="X2" s="50" t="s">
        <v>290</v>
      </c>
      <c r="AI2" s="57"/>
      <c r="AJ2" s="50" t="s">
        <v>291</v>
      </c>
      <c r="AU2" s="58"/>
      <c r="AV2" s="50" t="s">
        <v>204</v>
      </c>
      <c r="BG2" s="59"/>
      <c r="BH2" s="50" t="s">
        <v>112</v>
      </c>
      <c r="BS2" s="60"/>
      <c r="BT2" s="50" t="s">
        <v>292</v>
      </c>
    </row>
    <row r="3" customFormat="false" ht="15" hidden="false" customHeight="false" outlineLevel="0" collapsed="false">
      <c r="A3" s="8" t="s">
        <v>293</v>
      </c>
      <c r="W3" s="61" t="str">
        <f aca="false">IF(GanttPeriod=1,LEFT(TEXT(GanttStart+(COLUMN()-COLUMN(gantt_Origin)-1)*GanttPeriod,"ddd"),1),"")</f>
        <v>M</v>
      </c>
      <c r="X3" s="61" t="str">
        <f aca="false">IF(GanttPeriod=1,LEFT(TEXT(GanttStart+(COLUMN()-COLUMN(gantt_Origin)-1)*GanttPeriod,"ddd"),1),"")</f>
        <v>T</v>
      </c>
      <c r="Y3" s="61" t="str">
        <f aca="false">IF(GanttPeriod=1,LEFT(TEXT(GanttStart+(COLUMN()-COLUMN(gantt_Origin)-1)*GanttPeriod,"ddd"),1),"")</f>
        <v>W</v>
      </c>
      <c r="Z3" s="61" t="str">
        <f aca="false">IF(GanttPeriod=1,LEFT(TEXT(GanttStart+(COLUMN()-COLUMN(gantt_Origin)-1)*GanttPeriod,"ddd"),1),"")</f>
        <v>T</v>
      </c>
      <c r="AA3" s="61" t="str">
        <f aca="false">IF(GanttPeriod=1,LEFT(TEXT(GanttStart+(COLUMN()-COLUMN(gantt_Origin)-1)*GanttPeriod,"ddd"),1),"")</f>
        <v>F</v>
      </c>
      <c r="AB3" s="61" t="str">
        <f aca="false">IF(GanttPeriod=1,LEFT(TEXT(GanttStart+(COLUMN()-COLUMN(gantt_Origin)-1)*GanttPeriod,"ddd"),1),"")</f>
        <v>S</v>
      </c>
      <c r="AC3" s="61" t="str">
        <f aca="false">IF(GanttPeriod=1,LEFT(TEXT(GanttStart+(COLUMN()-COLUMN(gantt_Origin)-1)*GanttPeriod,"ddd"),1),"")</f>
        <v>S</v>
      </c>
      <c r="AD3" s="61" t="str">
        <f aca="false">IF(GanttPeriod=1,LEFT(TEXT(GanttStart+(COLUMN()-COLUMN(gantt_Origin)-1)*GanttPeriod,"ddd"),1),"")</f>
        <v>M</v>
      </c>
      <c r="AE3" s="61" t="str">
        <f aca="false">IF(GanttPeriod=1,LEFT(TEXT(GanttStart+(COLUMN()-COLUMN(gantt_Origin)-1)*GanttPeriod,"ddd"),1),"")</f>
        <v>T</v>
      </c>
      <c r="AF3" s="61" t="str">
        <f aca="false">IF(GanttPeriod=1,LEFT(TEXT(GanttStart+(COLUMN()-COLUMN(gantt_Origin)-1)*GanttPeriod,"ddd"),1),"")</f>
        <v>W</v>
      </c>
      <c r="AG3" s="61" t="str">
        <f aca="false">IF(GanttPeriod=1,LEFT(TEXT(GanttStart+(COLUMN()-COLUMN(gantt_Origin)-1)*GanttPeriod,"ddd"),1),"")</f>
        <v>T</v>
      </c>
      <c r="AH3" s="61" t="str">
        <f aca="false">IF(GanttPeriod=1,LEFT(TEXT(GanttStart+(COLUMN()-COLUMN(gantt_Origin)-1)*GanttPeriod,"ddd"),1),"")</f>
        <v>F</v>
      </c>
      <c r="AI3" s="61" t="str">
        <f aca="false">IF(GanttPeriod=1,LEFT(TEXT(GanttStart+(COLUMN()-COLUMN(gantt_Origin)-1)*GanttPeriod,"ddd"),1),"")</f>
        <v>S</v>
      </c>
      <c r="AJ3" s="61" t="str">
        <f aca="false">IF(GanttPeriod=1,LEFT(TEXT(GanttStart+(COLUMN()-COLUMN(gantt_Origin)-1)*GanttPeriod,"ddd"),1),"")</f>
        <v>S</v>
      </c>
      <c r="AK3" s="61" t="str">
        <f aca="false">IF(GanttPeriod=1,LEFT(TEXT(GanttStart+(COLUMN()-COLUMN(gantt_Origin)-1)*GanttPeriod,"ddd"),1),"")</f>
        <v>M</v>
      </c>
      <c r="AL3" s="61" t="str">
        <f aca="false">IF(GanttPeriod=1,LEFT(TEXT(GanttStart+(COLUMN()-COLUMN(gantt_Origin)-1)*GanttPeriod,"ddd"),1),"")</f>
        <v>T</v>
      </c>
      <c r="AM3" s="61" t="str">
        <f aca="false">IF(GanttPeriod=1,LEFT(TEXT(GanttStart+(COLUMN()-COLUMN(gantt_Origin)-1)*GanttPeriod,"ddd"),1),"")</f>
        <v>W</v>
      </c>
      <c r="AN3" s="61" t="str">
        <f aca="false">IF(GanttPeriod=1,LEFT(TEXT(GanttStart+(COLUMN()-COLUMN(gantt_Origin)-1)*GanttPeriod,"ddd"),1),"")</f>
        <v>T</v>
      </c>
      <c r="AO3" s="61" t="str">
        <f aca="false">IF(GanttPeriod=1,LEFT(TEXT(GanttStart+(COLUMN()-COLUMN(gantt_Origin)-1)*GanttPeriod,"ddd"),1),"")</f>
        <v>F</v>
      </c>
      <c r="AP3" s="61" t="str">
        <f aca="false">IF(GanttPeriod=1,LEFT(TEXT(GanttStart+(COLUMN()-COLUMN(gantt_Origin)-1)*GanttPeriod,"ddd"),1),"")</f>
        <v>S</v>
      </c>
      <c r="AQ3" s="61" t="str">
        <f aca="false">IF(GanttPeriod=1,LEFT(TEXT(GanttStart+(COLUMN()-COLUMN(gantt_Origin)-1)*GanttPeriod,"ddd"),1),"")</f>
        <v>S</v>
      </c>
      <c r="AR3" s="61" t="str">
        <f aca="false">IF(GanttPeriod=1,LEFT(TEXT(GanttStart+(COLUMN()-COLUMN(gantt_Origin)-1)*GanttPeriod,"ddd"),1),"")</f>
        <v>M</v>
      </c>
      <c r="AS3" s="61" t="str">
        <f aca="false">IF(GanttPeriod=1,LEFT(TEXT(GanttStart+(COLUMN()-COLUMN(gantt_Origin)-1)*GanttPeriod,"ddd"),1),"")</f>
        <v>T</v>
      </c>
      <c r="AT3" s="61" t="str">
        <f aca="false">IF(GanttPeriod=1,LEFT(TEXT(GanttStart+(COLUMN()-COLUMN(gantt_Origin)-1)*GanttPeriod,"ddd"),1),"")</f>
        <v>W</v>
      </c>
      <c r="AU3" s="61" t="str">
        <f aca="false">IF(GanttPeriod=1,LEFT(TEXT(GanttStart+(COLUMN()-COLUMN(gantt_Origin)-1)*GanttPeriod,"ddd"),1),"")</f>
        <v>T</v>
      </c>
      <c r="AV3" s="61" t="str">
        <f aca="false">IF(GanttPeriod=1,LEFT(TEXT(GanttStart+(COLUMN()-COLUMN(gantt_Origin)-1)*GanttPeriod,"ddd"),1),"")</f>
        <v>F</v>
      </c>
      <c r="AW3" s="61" t="str">
        <f aca="false">IF(GanttPeriod=1,LEFT(TEXT(GanttStart+(COLUMN()-COLUMN(gantt_Origin)-1)*GanttPeriod,"ddd"),1),"")</f>
        <v>S</v>
      </c>
      <c r="AX3" s="61" t="str">
        <f aca="false">IF(GanttPeriod=1,LEFT(TEXT(GanttStart+(COLUMN()-COLUMN(gantt_Origin)-1)*GanttPeriod,"ddd"),1),"")</f>
        <v>S</v>
      </c>
      <c r="AY3" s="61" t="str">
        <f aca="false">IF(GanttPeriod=1,LEFT(TEXT(GanttStart+(COLUMN()-COLUMN(gantt_Origin)-1)*GanttPeriod,"ddd"),1),"")</f>
        <v>M</v>
      </c>
      <c r="AZ3" s="61" t="str">
        <f aca="false">IF(GanttPeriod=1,LEFT(TEXT(GanttStart+(COLUMN()-COLUMN(gantt_Origin)-1)*GanttPeriod,"ddd"),1),"")</f>
        <v>T</v>
      </c>
      <c r="BA3" s="61" t="str">
        <f aca="false">IF(GanttPeriod=1,LEFT(TEXT(GanttStart+(COLUMN()-COLUMN(gantt_Origin)-1)*GanttPeriod,"ddd"),1),"")</f>
        <v>W</v>
      </c>
      <c r="BB3" s="61" t="str">
        <f aca="false">IF(GanttPeriod=1,LEFT(TEXT(GanttStart+(COLUMN()-COLUMN(gantt_Origin)-1)*GanttPeriod,"ddd"),1),"")</f>
        <v>T</v>
      </c>
      <c r="BC3" s="61" t="str">
        <f aca="false">IF(GanttPeriod=1,LEFT(TEXT(GanttStart+(COLUMN()-COLUMN(gantt_Origin)-1)*GanttPeriod,"ddd"),1),"")</f>
        <v>F</v>
      </c>
      <c r="BD3" s="61" t="str">
        <f aca="false">IF(GanttPeriod=1,LEFT(TEXT(GanttStart+(COLUMN()-COLUMN(gantt_Origin)-1)*GanttPeriod,"ddd"),1),"")</f>
        <v>S</v>
      </c>
      <c r="BE3" s="61" t="str">
        <f aca="false">IF(GanttPeriod=1,LEFT(TEXT(GanttStart+(COLUMN()-COLUMN(gantt_Origin)-1)*GanttPeriod,"ddd"),1),"")</f>
        <v>S</v>
      </c>
      <c r="BF3" s="61" t="str">
        <f aca="false">IF(GanttPeriod=1,LEFT(TEXT(GanttStart+(COLUMN()-COLUMN(gantt_Origin)-1)*GanttPeriod,"ddd"),1),"")</f>
        <v>M</v>
      </c>
      <c r="BG3" s="61" t="str">
        <f aca="false">IF(GanttPeriod=1,LEFT(TEXT(GanttStart+(COLUMN()-COLUMN(gantt_Origin)-1)*GanttPeriod,"ddd"),1),"")</f>
        <v>T</v>
      </c>
      <c r="BH3" s="61" t="str">
        <f aca="false">IF(GanttPeriod=1,LEFT(TEXT(GanttStart+(COLUMN()-COLUMN(gantt_Origin)-1)*GanttPeriod,"ddd"),1),"")</f>
        <v>W</v>
      </c>
      <c r="BI3" s="61" t="str">
        <f aca="false">IF(GanttPeriod=1,LEFT(TEXT(GanttStart+(COLUMN()-COLUMN(gantt_Origin)-1)*GanttPeriod,"ddd"),1),"")</f>
        <v>T</v>
      </c>
      <c r="BJ3" s="61" t="str">
        <f aca="false">IF(GanttPeriod=1,LEFT(TEXT(GanttStart+(COLUMN()-COLUMN(gantt_Origin)-1)*GanttPeriod,"ddd"),1),"")</f>
        <v>F</v>
      </c>
      <c r="BK3" s="61" t="str">
        <f aca="false">IF(GanttPeriod=1,LEFT(TEXT(GanttStart+(COLUMN()-COLUMN(gantt_Origin)-1)*GanttPeriod,"ddd"),1),"")</f>
        <v>S</v>
      </c>
      <c r="BL3" s="61" t="str">
        <f aca="false">IF(GanttPeriod=1,LEFT(TEXT(GanttStart+(COLUMN()-COLUMN(gantt_Origin)-1)*GanttPeriod,"ddd"),1),"")</f>
        <v>S</v>
      </c>
      <c r="BM3" s="61" t="str">
        <f aca="false">IF(GanttPeriod=1,LEFT(TEXT(GanttStart+(COLUMN()-COLUMN(gantt_Origin)-1)*GanttPeriod,"ddd"),1),"")</f>
        <v>M</v>
      </c>
      <c r="BN3" s="61" t="str">
        <f aca="false">IF(GanttPeriod=1,LEFT(TEXT(GanttStart+(COLUMN()-COLUMN(gantt_Origin)-1)*GanttPeriod,"ddd"),1),"")</f>
        <v>T</v>
      </c>
      <c r="BO3" s="61" t="str">
        <f aca="false">IF(GanttPeriod=1,LEFT(TEXT(GanttStart+(COLUMN()-COLUMN(gantt_Origin)-1)*GanttPeriod,"ddd"),1),"")</f>
        <v>W</v>
      </c>
      <c r="BP3" s="61" t="str">
        <f aca="false">IF(GanttPeriod=1,LEFT(TEXT(GanttStart+(COLUMN()-COLUMN(gantt_Origin)-1)*GanttPeriod,"ddd"),1),"")</f>
        <v>T</v>
      </c>
      <c r="BQ3" s="61" t="str">
        <f aca="false">IF(GanttPeriod=1,LEFT(TEXT(GanttStart+(COLUMN()-COLUMN(gantt_Origin)-1)*GanttPeriod,"ddd"),1),"")</f>
        <v>F</v>
      </c>
      <c r="BR3" s="61" t="str">
        <f aca="false">IF(GanttPeriod=1,LEFT(TEXT(GanttStart+(COLUMN()-COLUMN(gantt_Origin)-1)*GanttPeriod,"ddd"),1),"")</f>
        <v>S</v>
      </c>
      <c r="BS3" s="61" t="str">
        <f aca="false">IF(GanttPeriod=1,LEFT(TEXT(GanttStart+(COLUMN()-COLUMN(gantt_Origin)-1)*GanttPeriod,"ddd"),1),"")</f>
        <v>S</v>
      </c>
      <c r="BT3" s="61" t="str">
        <f aca="false">IF(GanttPeriod=1,LEFT(TEXT(GanttStart+(COLUMN()-COLUMN(gantt_Origin)-1)*GanttPeriod,"ddd"),1),"")</f>
        <v>M</v>
      </c>
      <c r="BU3" s="61" t="str">
        <f aca="false">IF(GanttPeriod=1,LEFT(TEXT(GanttStart+(COLUMN()-COLUMN(gantt_Origin)-1)*GanttPeriod,"ddd"),1),"")</f>
        <v>T</v>
      </c>
      <c r="BV3" s="61" t="str">
        <f aca="false">IF(GanttPeriod=1,LEFT(TEXT(GanttStart+(COLUMN()-COLUMN(gantt_Origin)-1)*GanttPeriod,"ddd"),1),"")</f>
        <v>W</v>
      </c>
      <c r="BW3" s="61" t="str">
        <f aca="false">IF(GanttPeriod=1,LEFT(TEXT(GanttStart+(COLUMN()-COLUMN(gantt_Origin)-1)*GanttPeriod,"ddd"),1),"")</f>
        <v>T</v>
      </c>
      <c r="BX3" s="61" t="str">
        <f aca="false">IF(GanttPeriod=1,LEFT(TEXT(GanttStart+(COLUMN()-COLUMN(gantt_Origin)-1)*GanttPeriod,"ddd"),1),"")</f>
        <v>F</v>
      </c>
      <c r="BY3" s="61" t="str">
        <f aca="false">IF(GanttPeriod=1,LEFT(TEXT(GanttStart+(COLUMN()-COLUMN(gantt_Origin)-1)*GanttPeriod,"ddd"),1),"")</f>
        <v>S</v>
      </c>
      <c r="BZ3" s="61" t="str">
        <f aca="false">IF(GanttPeriod=1,LEFT(TEXT(GanttStart+(COLUMN()-COLUMN(gantt_Origin)-1)*GanttPeriod,"ddd"),1),"")</f>
        <v>S</v>
      </c>
      <c r="CA3" s="61" t="str">
        <f aca="false">IF(GanttPeriod=1,LEFT(TEXT(GanttStart+(COLUMN()-COLUMN(gantt_Origin)-1)*GanttPeriod,"ddd"),1),"")</f>
        <v>M</v>
      </c>
      <c r="CB3" s="61" t="str">
        <f aca="false">IF(GanttPeriod=1,LEFT(TEXT(GanttStart+(COLUMN()-COLUMN(gantt_Origin)-1)*GanttPeriod,"ddd"),1),"")</f>
        <v>T</v>
      </c>
      <c r="CC3" s="61" t="str">
        <f aca="false">IF(GanttPeriod=1,LEFT(TEXT(GanttStart+(COLUMN()-COLUMN(gantt_Origin)-1)*GanttPeriod,"ddd"),1),"")</f>
        <v>W</v>
      </c>
      <c r="CD3" s="61" t="str">
        <f aca="false">IF(GanttPeriod=1,LEFT(TEXT(GanttStart+(COLUMN()-COLUMN(gantt_Origin)-1)*GanttPeriod,"ddd"),1),"")</f>
        <v>T</v>
      </c>
      <c r="CE3" s="61" t="str">
        <f aca="false">IF(GanttPeriod=1,LEFT(TEXT(GanttStart+(COLUMN()-COLUMN(gantt_Origin)-1)*GanttPeriod,"ddd"),1),"")</f>
        <v>F</v>
      </c>
      <c r="CF3" s="61" t="str">
        <f aca="false">IF(GanttPeriod=1,LEFT(TEXT(GanttStart+(COLUMN()-COLUMN(gantt_Origin)-1)*GanttPeriod,"ddd"),1),"")</f>
        <v>S</v>
      </c>
      <c r="CG3" s="61" t="str">
        <f aca="false">IF(GanttPeriod=1,LEFT(TEXT(GanttStart+(COLUMN()-COLUMN(gantt_Origin)-1)*GanttPeriod,"ddd"),1),"")</f>
        <v>S</v>
      </c>
      <c r="CH3" s="61" t="str">
        <f aca="false">IF(GanttPeriod=1,LEFT(TEXT(GanttStart+(COLUMN()-COLUMN(gantt_Origin)-1)*GanttPeriod,"ddd"),1),"")</f>
        <v>M</v>
      </c>
      <c r="CI3" s="61" t="str">
        <f aca="false">IF(GanttPeriod=1,LEFT(TEXT(GanttStart+(COLUMN()-COLUMN(gantt_Origin)-1)*GanttPeriod,"ddd"),1),"")</f>
        <v>T</v>
      </c>
      <c r="CJ3" s="61" t="str">
        <f aca="false">IF(GanttPeriod=1,LEFT(TEXT(GanttStart+(COLUMN()-COLUMN(gantt_Origin)-1)*GanttPeriod,"ddd"),1),"")</f>
        <v>W</v>
      </c>
      <c r="CK3" s="61" t="str">
        <f aca="false">IF(GanttPeriod=1,LEFT(TEXT(GanttStart+(COLUMN()-COLUMN(gantt_Origin)-1)*GanttPeriod,"ddd"),1),"")</f>
        <v>T</v>
      </c>
      <c r="CL3" s="61" t="str">
        <f aca="false">IF(GanttPeriod=1,LEFT(TEXT(GanttStart+(COLUMN()-COLUMN(gantt_Origin)-1)*GanttPeriod,"ddd"),1),"")</f>
        <v>F</v>
      </c>
      <c r="CM3" s="61" t="str">
        <f aca="false">IF(GanttPeriod=1,LEFT(TEXT(GanttStart+(COLUMN()-COLUMN(gantt_Origin)-1)*GanttPeriod,"ddd"),1),"")</f>
        <v>S</v>
      </c>
      <c r="CN3" s="61" t="str">
        <f aca="false">IF(GanttPeriod=1,LEFT(TEXT(GanttStart+(COLUMN()-COLUMN(gantt_Origin)-1)*GanttPeriod,"ddd"),1),"")</f>
        <v>S</v>
      </c>
      <c r="CO3" s="61" t="str">
        <f aca="false">IF(GanttPeriod=1,LEFT(TEXT(GanttStart+(COLUMN()-COLUMN(gantt_Origin)-1)*GanttPeriod,"ddd"),1),"")</f>
        <v>M</v>
      </c>
      <c r="CP3" s="61" t="str">
        <f aca="false">IF(GanttPeriod=1,LEFT(TEXT(GanttStart+(COLUMN()-COLUMN(gantt_Origin)-1)*GanttPeriod,"ddd"),1),"")</f>
        <v>T</v>
      </c>
      <c r="CQ3" s="61" t="str">
        <f aca="false">IF(GanttPeriod=1,LEFT(TEXT(GanttStart+(COLUMN()-COLUMN(gantt_Origin)-1)*GanttPeriod,"ddd"),1),"")</f>
        <v>W</v>
      </c>
      <c r="CR3" s="61" t="str">
        <f aca="false">IF(GanttPeriod=1,LEFT(TEXT(GanttStart+(COLUMN()-COLUMN(gantt_Origin)-1)*GanttPeriod,"ddd"),1),"")</f>
        <v>T</v>
      </c>
      <c r="CS3" s="61" t="str">
        <f aca="false">IF(GanttPeriod=1,LEFT(TEXT(GanttStart+(COLUMN()-COLUMN(gantt_Origin)-1)*GanttPeriod,"ddd"),1),"")</f>
        <v>F</v>
      </c>
      <c r="CT3" s="61" t="str">
        <f aca="false">IF(GanttPeriod=1,LEFT(TEXT(GanttStart+(COLUMN()-COLUMN(gantt_Origin)-1)*GanttPeriod,"ddd"),1),"")</f>
        <v>S</v>
      </c>
      <c r="CU3" s="61" t="str">
        <f aca="false">IF(GanttPeriod=1,LEFT(TEXT(GanttStart+(COLUMN()-COLUMN(gantt_Origin)-1)*GanttPeriod,"ddd"),1),"")</f>
        <v>S</v>
      </c>
      <c r="CV3" s="61" t="str">
        <f aca="false">IF(GanttPeriod=1,LEFT(TEXT(GanttStart+(COLUMN()-COLUMN(gantt_Origin)-1)*GanttPeriod,"ddd"),1),"")</f>
        <v>M</v>
      </c>
      <c r="CW3" s="61" t="str">
        <f aca="false">IF(GanttPeriod=1,LEFT(TEXT(GanttStart+(COLUMN()-COLUMN(gantt_Origin)-1)*GanttPeriod,"ddd"),1),"")</f>
        <v>T</v>
      </c>
      <c r="CX3" s="61" t="str">
        <f aca="false">IF(GanttPeriod=1,LEFT(TEXT(GanttStart+(COLUMN()-COLUMN(gantt_Origin)-1)*GanttPeriod,"ddd"),1),"")</f>
        <v>W</v>
      </c>
      <c r="CY3" s="61" t="str">
        <f aca="false">IF(GanttPeriod=1,LEFT(TEXT(GanttStart+(COLUMN()-COLUMN(gantt_Origin)-1)*GanttPeriod,"ddd"),1),"")</f>
        <v>T</v>
      </c>
      <c r="CZ3" s="61" t="str">
        <f aca="false">IF(GanttPeriod=1,LEFT(TEXT(GanttStart+(COLUMN()-COLUMN(gantt_Origin)-1)*GanttPeriod,"ddd"),1),"")</f>
        <v>F</v>
      </c>
      <c r="DA3" s="61" t="str">
        <f aca="false">IF(GanttPeriod=1,LEFT(TEXT(GanttStart+(COLUMN()-COLUMN(gantt_Origin)-1)*GanttPeriod,"ddd"),1),"")</f>
        <v>S</v>
      </c>
      <c r="DB3" s="61" t="str">
        <f aca="false">IF(GanttPeriod=1,LEFT(TEXT(GanttStart+(COLUMN()-COLUMN(gantt_Origin)-1)*GanttPeriod,"ddd"),1),"")</f>
        <v>S</v>
      </c>
      <c r="DC3" s="61" t="str">
        <f aca="false">IF(GanttPeriod=1,LEFT(TEXT(GanttStart+(COLUMN()-COLUMN(gantt_Origin)-1)*GanttPeriod,"ddd"),1),"")</f>
        <v>M</v>
      </c>
      <c r="DD3" s="61" t="str">
        <f aca="false">IF(GanttPeriod=1,LEFT(TEXT(GanttStart+(COLUMN()-COLUMN(gantt_Origin)-1)*GanttPeriod,"ddd"),1),"")</f>
        <v>T</v>
      </c>
      <c r="DE3" s="61" t="str">
        <f aca="false">IF(GanttPeriod=1,LEFT(TEXT(GanttStart+(COLUMN()-COLUMN(gantt_Origin)-1)*GanttPeriod,"ddd"),1),"")</f>
        <v>W</v>
      </c>
      <c r="DF3" s="61" t="str">
        <f aca="false">IF(GanttPeriod=1,LEFT(TEXT(GanttStart+(COLUMN()-COLUMN(gantt_Origin)-1)*GanttPeriod,"ddd"),1),"")</f>
        <v>T</v>
      </c>
      <c r="DG3" s="61" t="str">
        <f aca="false">IF(GanttPeriod=1,LEFT(TEXT(GanttStart+(COLUMN()-COLUMN(gantt_Origin)-1)*GanttPeriod,"ddd"),1),"")</f>
        <v>F</v>
      </c>
      <c r="DH3" s="61" t="str">
        <f aca="false">IF(GanttPeriod=1,LEFT(TEXT(GanttStart+(COLUMN()-COLUMN(gantt_Origin)-1)*GanttPeriod,"ddd"),1),"")</f>
        <v>S</v>
      </c>
      <c r="DI3" s="61" t="str">
        <f aca="false">IF(GanttPeriod=1,LEFT(TEXT(GanttStart+(COLUMN()-COLUMN(gantt_Origin)-1)*GanttPeriod,"ddd"),1),"")</f>
        <v>S</v>
      </c>
      <c r="DJ3" s="61" t="str">
        <f aca="false">IF(GanttPeriod=1,LEFT(TEXT(GanttStart+(COLUMN()-COLUMN(gantt_Origin)-1)*GanttPeriod,"ddd"),1),"")</f>
        <v>M</v>
      </c>
      <c r="DK3" s="61" t="str">
        <f aca="false">IF(GanttPeriod=1,LEFT(TEXT(GanttStart+(COLUMN()-COLUMN(gantt_Origin)-1)*GanttPeriod,"ddd"),1),"")</f>
        <v>T</v>
      </c>
      <c r="DL3" s="61" t="str">
        <f aca="false">IF(GanttPeriod=1,LEFT(TEXT(GanttStart+(COLUMN()-COLUMN(gantt_Origin)-1)*GanttPeriod,"ddd"),1),"")</f>
        <v>W</v>
      </c>
      <c r="DM3" s="61" t="str">
        <f aca="false">IF(GanttPeriod=1,LEFT(TEXT(GanttStart+(COLUMN()-COLUMN(gantt_Origin)-1)*GanttPeriod,"ddd"),1),"")</f>
        <v>T</v>
      </c>
      <c r="DN3" s="61" t="str">
        <f aca="false">IF(GanttPeriod=1,LEFT(TEXT(GanttStart+(COLUMN()-COLUMN(gantt_Origin)-1)*GanttPeriod,"ddd"),1),"")</f>
        <v>F</v>
      </c>
      <c r="DO3" s="61" t="str">
        <f aca="false">IF(GanttPeriod=1,LEFT(TEXT(GanttStart+(COLUMN()-COLUMN(gantt_Origin)-1)*GanttPeriod,"ddd"),1),"")</f>
        <v>S</v>
      </c>
      <c r="DP3" s="61" t="str">
        <f aca="false">IF(GanttPeriod=1,LEFT(TEXT(GanttStart+(COLUMN()-COLUMN(gantt_Origin)-1)*GanttPeriod,"ddd"),1),"")</f>
        <v>S</v>
      </c>
      <c r="DQ3" s="61" t="str">
        <f aca="false">IF(GanttPeriod=1,LEFT(TEXT(GanttStart+(COLUMN()-COLUMN(gantt_Origin)-1)*GanttPeriod,"ddd"),1),"")</f>
        <v>M</v>
      </c>
      <c r="DR3" s="61" t="str">
        <f aca="false">IF(GanttPeriod=1,LEFT(TEXT(GanttStart+(COLUMN()-COLUMN(gantt_Origin)-1)*GanttPeriod,"ddd"),1),"")</f>
        <v>T</v>
      </c>
      <c r="DS3" s="61" t="str">
        <f aca="false">IF(GanttPeriod=1,LEFT(TEXT(GanttStart+(COLUMN()-COLUMN(gantt_Origin)-1)*GanttPeriod,"ddd"),1),"")</f>
        <v>W</v>
      </c>
      <c r="DT3" s="61" t="str">
        <f aca="false">IF(GanttPeriod=1,LEFT(TEXT(GanttStart+(COLUMN()-COLUMN(gantt_Origin)-1)*GanttPeriod,"ddd"),1),"")</f>
        <v>T</v>
      </c>
      <c r="DU3" s="61" t="str">
        <f aca="false">IF(GanttPeriod=1,LEFT(TEXT(GanttStart+(COLUMN()-COLUMN(gantt_Origin)-1)*GanttPeriod,"ddd"),1),"")</f>
        <v>F</v>
      </c>
      <c r="DV3" s="61" t="str">
        <f aca="false">IF(GanttPeriod=1,LEFT(TEXT(GanttStart+(COLUMN()-COLUMN(gantt_Origin)-1)*GanttPeriod,"ddd"),1),"")</f>
        <v>S</v>
      </c>
      <c r="DW3" s="61" t="str">
        <f aca="false">IF(GanttPeriod=1,LEFT(TEXT(GanttStart+(COLUMN()-COLUMN(gantt_Origin)-1)*GanttPeriod,"ddd"),1),"")</f>
        <v>S</v>
      </c>
      <c r="DX3" s="61" t="str">
        <f aca="false">IF(GanttPeriod=1,LEFT(TEXT(GanttStart+(COLUMN()-COLUMN(gantt_Origin)-1)*GanttPeriod,"ddd"),1),"")</f>
        <v>M</v>
      </c>
      <c r="DY3" s="61" t="str">
        <f aca="false">IF(GanttPeriod=1,LEFT(TEXT(GanttStart+(COLUMN()-COLUMN(gantt_Origin)-1)*GanttPeriod,"ddd"),1),"")</f>
        <v>T</v>
      </c>
      <c r="DZ3" s="61" t="str">
        <f aca="false">IF(GanttPeriod=1,LEFT(TEXT(GanttStart+(COLUMN()-COLUMN(gantt_Origin)-1)*GanttPeriod,"ddd"),1),"")</f>
        <v>W</v>
      </c>
      <c r="EA3" s="61" t="str">
        <f aca="false">IF(GanttPeriod=1,LEFT(TEXT(GanttStart+(COLUMN()-COLUMN(gantt_Origin)-1)*GanttPeriod,"ddd"),1),"")</f>
        <v>T</v>
      </c>
      <c r="EB3" s="61" t="str">
        <f aca="false">IF(GanttPeriod=1,LEFT(TEXT(GanttStart+(COLUMN()-COLUMN(gantt_Origin)-1)*GanttPeriod,"ddd"),1),"")</f>
        <v>F</v>
      </c>
      <c r="EC3" s="61" t="str">
        <f aca="false">IF(GanttPeriod=1,LEFT(TEXT(GanttStart+(COLUMN()-COLUMN(gantt_Origin)-1)*GanttPeriod,"ddd"),1),"")</f>
        <v>S</v>
      </c>
      <c r="ED3" s="61" t="str">
        <f aca="false">IF(GanttPeriod=1,LEFT(TEXT(GanttStart+(COLUMN()-COLUMN(gantt_Origin)-1)*GanttPeriod,"ddd"),1),"")</f>
        <v>S</v>
      </c>
      <c r="EE3" s="61" t="str">
        <f aca="false">IF(GanttPeriod=1,LEFT(TEXT(GanttStart+(COLUMN()-COLUMN(gantt_Origin)-1)*GanttPeriod,"ddd"),1),"")</f>
        <v>M</v>
      </c>
      <c r="EF3" s="61" t="str">
        <f aca="false">IF(GanttPeriod=1,LEFT(TEXT(GanttStart+(COLUMN()-COLUMN(gantt_Origin)-1)*GanttPeriod,"ddd"),1),"")</f>
        <v>T</v>
      </c>
      <c r="EG3" s="61" t="str">
        <f aca="false">IF(GanttPeriod=1,LEFT(TEXT(GanttStart+(COLUMN()-COLUMN(gantt_Origin)-1)*GanttPeriod,"ddd"),1),"")</f>
        <v>W</v>
      </c>
      <c r="EH3" s="61" t="str">
        <f aca="false">IF(GanttPeriod=1,LEFT(TEXT(GanttStart+(COLUMN()-COLUMN(gantt_Origin)-1)*GanttPeriod,"ddd"),1),"")</f>
        <v>T</v>
      </c>
      <c r="EI3" s="61" t="str">
        <f aca="false">IF(GanttPeriod=1,LEFT(TEXT(GanttStart+(COLUMN()-COLUMN(gantt_Origin)-1)*GanttPeriod,"ddd"),1),"")</f>
        <v>F</v>
      </c>
      <c r="EJ3" s="61" t="str">
        <f aca="false">IF(GanttPeriod=1,LEFT(TEXT(GanttStart+(COLUMN()-COLUMN(gantt_Origin)-1)*GanttPeriod,"ddd"),1),"")</f>
        <v>S</v>
      </c>
      <c r="EK3" s="61" t="str">
        <f aca="false">IF(GanttPeriod=1,LEFT(TEXT(GanttStart+(COLUMN()-COLUMN(gantt_Origin)-1)*GanttPeriod,"ddd"),1),"")</f>
        <v>S</v>
      </c>
      <c r="EL3" s="61" t="str">
        <f aca="false">IF(GanttPeriod=1,LEFT(TEXT(GanttStart+(COLUMN()-COLUMN(gantt_Origin)-1)*GanttPeriod,"ddd"),1),"")</f>
        <v>M</v>
      </c>
      <c r="EM3" s="61" t="str">
        <f aca="false">IF(GanttPeriod=1,LEFT(TEXT(GanttStart+(COLUMN()-COLUMN(gantt_Origin)-1)*GanttPeriod,"ddd"),1),"")</f>
        <v>T</v>
      </c>
      <c r="EN3" s="61" t="str">
        <f aca="false">IF(GanttPeriod=1,LEFT(TEXT(GanttStart+(COLUMN()-COLUMN(gantt_Origin)-1)*GanttPeriod,"ddd"),1),"")</f>
        <v>W</v>
      </c>
      <c r="EO3" s="61" t="str">
        <f aca="false">IF(GanttPeriod=1,LEFT(TEXT(GanttStart+(COLUMN()-COLUMN(gantt_Origin)-1)*GanttPeriod,"ddd"),1),"")</f>
        <v>T</v>
      </c>
      <c r="EP3" s="61" t="str">
        <f aca="false">IF(GanttPeriod=1,LEFT(TEXT(GanttStart+(COLUMN()-COLUMN(gantt_Origin)-1)*GanttPeriod,"ddd"),1),"")</f>
        <v>F</v>
      </c>
      <c r="EQ3" s="61" t="str">
        <f aca="false">IF(GanttPeriod=1,LEFT(TEXT(GanttStart+(COLUMN()-COLUMN(gantt_Origin)-1)*GanttPeriod,"ddd"),1),"")</f>
        <v>S</v>
      </c>
      <c r="ER3" s="61" t="str">
        <f aca="false">IF(GanttPeriod=1,LEFT(TEXT(GanttStart+(COLUMN()-COLUMN(gantt_Origin)-1)*GanttPeriod,"ddd"),1),"")</f>
        <v>S</v>
      </c>
      <c r="ES3" s="61" t="str">
        <f aca="false">IF(GanttPeriod=1,LEFT(TEXT(GanttStart+(COLUMN()-COLUMN(gantt_Origin)-1)*GanttPeriod,"ddd"),1),"")</f>
        <v>M</v>
      </c>
      <c r="ET3" s="61" t="str">
        <f aca="false">IF(GanttPeriod=1,LEFT(TEXT(GanttStart+(COLUMN()-COLUMN(gantt_Origin)-1)*GanttPeriod,"ddd"),1),"")</f>
        <v>T</v>
      </c>
      <c r="EU3" s="61" t="str">
        <f aca="false">IF(GanttPeriod=1,LEFT(TEXT(GanttStart+(COLUMN()-COLUMN(gantt_Origin)-1)*GanttPeriod,"ddd"),1),"")</f>
        <v>W</v>
      </c>
      <c r="EV3" s="61" t="str">
        <f aca="false">IF(GanttPeriod=1,LEFT(TEXT(GanttStart+(COLUMN()-COLUMN(gantt_Origin)-1)*GanttPeriod,"ddd"),1),"")</f>
        <v>T</v>
      </c>
      <c r="EW3" s="61" t="str">
        <f aca="false">IF(GanttPeriod=1,LEFT(TEXT(GanttStart+(COLUMN()-COLUMN(gantt_Origin)-1)*GanttPeriod,"ddd"),1),"")</f>
        <v>F</v>
      </c>
      <c r="EX3" s="61" t="str">
        <f aca="false">IF(GanttPeriod=1,LEFT(TEXT(GanttStart+(COLUMN()-COLUMN(gantt_Origin)-1)*GanttPeriod,"ddd"),1),"")</f>
        <v>S</v>
      </c>
      <c r="EY3" s="61" t="str">
        <f aca="false">IF(GanttPeriod=1,LEFT(TEXT(GanttStart+(COLUMN()-COLUMN(gantt_Origin)-1)*GanttPeriod,"ddd"),1),"")</f>
        <v>S</v>
      </c>
      <c r="EZ3" s="61" t="str">
        <f aca="false">IF(GanttPeriod=1,LEFT(TEXT(GanttStart+(COLUMN()-COLUMN(gantt_Origin)-1)*GanttPeriod,"ddd"),1),"")</f>
        <v>M</v>
      </c>
      <c r="FA3" s="61" t="str">
        <f aca="false">IF(GanttPeriod=1,LEFT(TEXT(GanttStart+(COLUMN()-COLUMN(gantt_Origin)-1)*GanttPeriod,"ddd"),1),"")</f>
        <v>T</v>
      </c>
      <c r="FB3" s="61" t="str">
        <f aca="false">IF(GanttPeriod=1,LEFT(TEXT(GanttStart+(COLUMN()-COLUMN(gantt_Origin)-1)*GanttPeriod,"ddd"),1),"")</f>
        <v>W</v>
      </c>
      <c r="FC3" s="61" t="str">
        <f aca="false">IF(GanttPeriod=1,LEFT(TEXT(GanttStart+(COLUMN()-COLUMN(gantt_Origin)-1)*GanttPeriod,"ddd"),1),"")</f>
        <v>T</v>
      </c>
      <c r="FD3" s="61" t="str">
        <f aca="false">IF(GanttPeriod=1,LEFT(TEXT(GanttStart+(COLUMN()-COLUMN(gantt_Origin)-1)*GanttPeriod,"ddd"),1),"")</f>
        <v>F</v>
      </c>
      <c r="FE3" s="61" t="str">
        <f aca="false">IF(GanttPeriod=1,LEFT(TEXT(GanttStart+(COLUMN()-COLUMN(gantt_Origin)-1)*GanttPeriod,"ddd"),1),"")</f>
        <v>S</v>
      </c>
      <c r="FF3" s="61" t="str">
        <f aca="false">IF(GanttPeriod=1,LEFT(TEXT(GanttStart+(COLUMN()-COLUMN(gantt_Origin)-1)*GanttPeriod,"ddd"),1),"")</f>
        <v>S</v>
      </c>
      <c r="FG3" s="61" t="str">
        <f aca="false">IF(GanttPeriod=1,LEFT(TEXT(GanttStart+(COLUMN()-COLUMN(gantt_Origin)-1)*GanttPeriod,"ddd"),1),"")</f>
        <v>M</v>
      </c>
      <c r="FH3" s="61" t="str">
        <f aca="false">IF(GanttPeriod=1,LEFT(TEXT(GanttStart+(COLUMN()-COLUMN(gantt_Origin)-1)*GanttPeriod,"ddd"),1),"")</f>
        <v>T</v>
      </c>
      <c r="FI3" s="61" t="str">
        <f aca="false">IF(GanttPeriod=1,LEFT(TEXT(GanttStart+(COLUMN()-COLUMN(gantt_Origin)-1)*GanttPeriod,"ddd"),1),"")</f>
        <v>W</v>
      </c>
      <c r="FJ3" s="61" t="str">
        <f aca="false">IF(GanttPeriod=1,LEFT(TEXT(GanttStart+(COLUMN()-COLUMN(gantt_Origin)-1)*GanttPeriod,"ddd"),1),"")</f>
        <v>T</v>
      </c>
      <c r="FK3" s="61" t="str">
        <f aca="false">IF(GanttPeriod=1,LEFT(TEXT(GanttStart+(COLUMN()-COLUMN(gantt_Origin)-1)*GanttPeriod,"ddd"),1),"")</f>
        <v>F</v>
      </c>
      <c r="FL3" s="61" t="str">
        <f aca="false">IF(GanttPeriod=1,LEFT(TEXT(GanttStart+(COLUMN()-COLUMN(gantt_Origin)-1)*GanttPeriod,"ddd"),1),"")</f>
        <v>S</v>
      </c>
      <c r="FM3" s="61" t="str">
        <f aca="false">IF(GanttPeriod=1,LEFT(TEXT(GanttStart+(COLUMN()-COLUMN(gantt_Origin)-1)*GanttPeriod,"ddd"),1),"")</f>
        <v>S</v>
      </c>
      <c r="FN3" s="61" t="str">
        <f aca="false">IF(GanttPeriod=1,LEFT(TEXT(GanttStart+(COLUMN()-COLUMN(gantt_Origin)-1)*GanttPeriod,"ddd"),1),"")</f>
        <v>M</v>
      </c>
      <c r="FO3" s="61" t="str">
        <f aca="false">IF(GanttPeriod=1,LEFT(TEXT(GanttStart+(COLUMN()-COLUMN(gantt_Origin)-1)*GanttPeriod,"ddd"),1),"")</f>
        <v>T</v>
      </c>
      <c r="FP3" s="61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W4" s="62" t="str">
        <f aca="false">IF(OR(COLUMN()-COLUMN(gantt_Origin)=1,DAY(GanttStart+(COLUMN()-COLUMN(gantt_Origin)-1)*GanttPeriod)&lt;=GanttPeriod),TEXT(GanttStart+(COLUMN()-COLUMN(gantt_Origin)-1)*GanttPeriod,"mmm yy"),"")</f>
        <v>Dec 99</v>
      </c>
      <c r="X4" s="62" t="str">
        <f aca="false">IF(OR(COLUMN()-COLUMN(gantt_Origin)=1,DAY(GanttStart+(COLUMN()-COLUMN(gantt_Origin)-1)*GanttPeriod)&lt;=GanttPeriod),TEXT(GanttStart+(COLUMN()-COLUMN(gantt_Origin)-1)*GanttPeriod,"mmm yy"),"")</f>
        <v/>
      </c>
      <c r="Y4" s="62" t="str">
        <f aca="false">IF(OR(COLUMN()-COLUMN(gantt_Origin)=1,DAY(GanttStart+(COLUMN()-COLUMN(gantt_Origin)-1)*GanttPeriod)&lt;=GanttPeriod),TEXT(GanttStart+(COLUMN()-COLUMN(gantt_Origin)-1)*GanttPeriod,"mmm yy"),"")</f>
        <v/>
      </c>
      <c r="Z4" s="62" t="str">
        <f aca="false">IF(OR(COLUMN()-COLUMN(gantt_Origin)=1,DAY(GanttStart+(COLUMN()-COLUMN(gantt_Origin)-1)*GanttPeriod)&lt;=GanttPeriod),TEXT(GanttStart+(COLUMN()-COLUMN(gantt_Origin)-1)*GanttPeriod,"mmm yy"),"")</f>
        <v/>
      </c>
      <c r="AA4" s="62" t="str">
        <f aca="false">IF(OR(COLUMN()-COLUMN(gantt_Origin)=1,DAY(GanttStart+(COLUMN()-COLUMN(gantt_Origin)-1)*GanttPeriod)&lt;=GanttPeriod),TEXT(GanttStart+(COLUMN()-COLUMN(gantt_Origin)-1)*GanttPeriod,"mmm yy"),"")</f>
        <v/>
      </c>
      <c r="AB4" s="62" t="str">
        <f aca="false">IF(OR(COLUMN()-COLUMN(gantt_Origin)=1,DAY(GanttStart+(COLUMN()-COLUMN(gantt_Origin)-1)*GanttPeriod)&lt;=GanttPeriod),TEXT(GanttStart+(COLUMN()-COLUMN(gantt_Origin)-1)*GanttPeriod,"mmm yy"),"")</f>
        <v/>
      </c>
      <c r="AC4" s="62" t="str">
        <f aca="false">IF(OR(COLUMN()-COLUMN(gantt_Origin)=1,DAY(GanttStart+(COLUMN()-COLUMN(gantt_Origin)-1)*GanttPeriod)&lt;=GanttPeriod),TEXT(GanttStart+(COLUMN()-COLUMN(gantt_Origin)-1)*GanttPeriod,"mmm yy"),"")</f>
        <v/>
      </c>
      <c r="AD4" s="62" t="str">
        <f aca="false">IF(OR(COLUMN()-COLUMN(gantt_Origin)=1,DAY(GanttStart+(COLUMN()-COLUMN(gantt_Origin)-1)*GanttPeriod)&lt;=GanttPeriod),TEXT(GanttStart+(COLUMN()-COLUMN(gantt_Origin)-1)*GanttPeriod,"mmm yy"),"")</f>
        <v>Jan 00</v>
      </c>
      <c r="AE4" s="62" t="str">
        <f aca="false">IF(OR(COLUMN()-COLUMN(gantt_Origin)=1,DAY(GanttStart+(COLUMN()-COLUMN(gantt_Origin)-1)*GanttPeriod)&lt;=GanttPeriod),TEXT(GanttStart+(COLUMN()-COLUMN(gantt_Origin)-1)*GanttPeriod,"mmm yy"),"")</f>
        <v/>
      </c>
      <c r="AF4" s="62" t="str">
        <f aca="false">IF(OR(COLUMN()-COLUMN(gantt_Origin)=1,DAY(GanttStart+(COLUMN()-COLUMN(gantt_Origin)-1)*GanttPeriod)&lt;=GanttPeriod),TEXT(GanttStart+(COLUMN()-COLUMN(gantt_Origin)-1)*GanttPeriod,"mmm yy"),"")</f>
        <v/>
      </c>
      <c r="AG4" s="62" t="str">
        <f aca="false">IF(OR(COLUMN()-COLUMN(gantt_Origin)=1,DAY(GanttStart+(COLUMN()-COLUMN(gantt_Origin)-1)*GanttPeriod)&lt;=GanttPeriod),TEXT(GanttStart+(COLUMN()-COLUMN(gantt_Origin)-1)*GanttPeriod,"mmm yy"),"")</f>
        <v/>
      </c>
      <c r="AH4" s="62" t="str">
        <f aca="false">IF(OR(COLUMN()-COLUMN(gantt_Origin)=1,DAY(GanttStart+(COLUMN()-COLUMN(gantt_Origin)-1)*GanttPeriod)&lt;=GanttPeriod),TEXT(GanttStart+(COLUMN()-COLUMN(gantt_Origin)-1)*GanttPeriod,"mmm yy"),"")</f>
        <v/>
      </c>
      <c r="AI4" s="62" t="str">
        <f aca="false">IF(OR(COLUMN()-COLUMN(gantt_Origin)=1,DAY(GanttStart+(COLUMN()-COLUMN(gantt_Origin)-1)*GanttPeriod)&lt;=GanttPeriod),TEXT(GanttStart+(COLUMN()-COLUMN(gantt_Origin)-1)*GanttPeriod,"mmm yy"),"")</f>
        <v/>
      </c>
      <c r="AJ4" s="62" t="str">
        <f aca="false">IF(OR(COLUMN()-COLUMN(gantt_Origin)=1,DAY(GanttStart+(COLUMN()-COLUMN(gantt_Origin)-1)*GanttPeriod)&lt;=GanttPeriod),TEXT(GanttStart+(COLUMN()-COLUMN(gantt_Origin)-1)*GanttPeriod,"mmm yy"),"")</f>
        <v/>
      </c>
      <c r="AK4" s="62" t="str">
        <f aca="false">IF(OR(COLUMN()-COLUMN(gantt_Origin)=1,DAY(GanttStart+(COLUMN()-COLUMN(gantt_Origin)-1)*GanttPeriod)&lt;=GanttPeriod),TEXT(GanttStart+(COLUMN()-COLUMN(gantt_Origin)-1)*GanttPeriod,"mmm yy"),"")</f>
        <v/>
      </c>
      <c r="AL4" s="62" t="str">
        <f aca="false">IF(OR(COLUMN()-COLUMN(gantt_Origin)=1,DAY(GanttStart+(COLUMN()-COLUMN(gantt_Origin)-1)*GanttPeriod)&lt;=GanttPeriod),TEXT(GanttStart+(COLUMN()-COLUMN(gantt_Origin)-1)*GanttPeriod,"mmm yy"),"")</f>
        <v/>
      </c>
      <c r="AM4" s="62" t="str">
        <f aca="false">IF(OR(COLUMN()-COLUMN(gantt_Origin)=1,DAY(GanttStart+(COLUMN()-COLUMN(gantt_Origin)-1)*GanttPeriod)&lt;=GanttPeriod),TEXT(GanttStart+(COLUMN()-COLUMN(gantt_Origin)-1)*GanttPeriod,"mmm yy"),"")</f>
        <v/>
      </c>
      <c r="AN4" s="62" t="str">
        <f aca="false">IF(OR(COLUMN()-COLUMN(gantt_Origin)=1,DAY(GanttStart+(COLUMN()-COLUMN(gantt_Origin)-1)*GanttPeriod)&lt;=GanttPeriod),TEXT(GanttStart+(COLUMN()-COLUMN(gantt_Origin)-1)*GanttPeriod,"mmm yy"),"")</f>
        <v/>
      </c>
      <c r="AO4" s="62" t="str">
        <f aca="false">IF(OR(COLUMN()-COLUMN(gantt_Origin)=1,DAY(GanttStart+(COLUMN()-COLUMN(gantt_Origin)-1)*GanttPeriod)&lt;=GanttPeriod),TEXT(GanttStart+(COLUMN()-COLUMN(gantt_Origin)-1)*GanttPeriod,"mmm yy"),"")</f>
        <v/>
      </c>
      <c r="AP4" s="62" t="str">
        <f aca="false">IF(OR(COLUMN()-COLUMN(gantt_Origin)=1,DAY(GanttStart+(COLUMN()-COLUMN(gantt_Origin)-1)*GanttPeriod)&lt;=GanttPeriod),TEXT(GanttStart+(COLUMN()-COLUMN(gantt_Origin)-1)*GanttPeriod,"mmm yy"),"")</f>
        <v/>
      </c>
      <c r="AQ4" s="62" t="str">
        <f aca="false">IF(OR(COLUMN()-COLUMN(gantt_Origin)=1,DAY(GanttStart+(COLUMN()-COLUMN(gantt_Origin)-1)*GanttPeriod)&lt;=GanttPeriod),TEXT(GanttStart+(COLUMN()-COLUMN(gantt_Origin)-1)*GanttPeriod,"mmm yy"),"")</f>
        <v/>
      </c>
      <c r="AR4" s="62" t="str">
        <f aca="false">IF(OR(COLUMN()-COLUMN(gantt_Origin)=1,DAY(GanttStart+(COLUMN()-COLUMN(gantt_Origin)-1)*GanttPeriod)&lt;=GanttPeriod),TEXT(GanttStart+(COLUMN()-COLUMN(gantt_Origin)-1)*GanttPeriod,"mmm yy"),"")</f>
        <v/>
      </c>
      <c r="AS4" s="62" t="str">
        <f aca="false">IF(OR(COLUMN()-COLUMN(gantt_Origin)=1,DAY(GanttStart+(COLUMN()-COLUMN(gantt_Origin)-1)*GanttPeriod)&lt;=GanttPeriod),TEXT(GanttStart+(COLUMN()-COLUMN(gantt_Origin)-1)*GanttPeriod,"mmm yy"),"")</f>
        <v/>
      </c>
      <c r="AT4" s="62" t="str">
        <f aca="false">IF(OR(COLUMN()-COLUMN(gantt_Origin)=1,DAY(GanttStart+(COLUMN()-COLUMN(gantt_Origin)-1)*GanttPeriod)&lt;=GanttPeriod),TEXT(GanttStart+(COLUMN()-COLUMN(gantt_Origin)-1)*GanttPeriod,"mmm yy"),"")</f>
        <v/>
      </c>
      <c r="AU4" s="62" t="str">
        <f aca="false">IF(OR(COLUMN()-COLUMN(gantt_Origin)=1,DAY(GanttStart+(COLUMN()-COLUMN(gantt_Origin)-1)*GanttPeriod)&lt;=GanttPeriod),TEXT(GanttStart+(COLUMN()-COLUMN(gantt_Origin)-1)*GanttPeriod,"mmm yy"),"")</f>
        <v/>
      </c>
      <c r="AV4" s="62" t="str">
        <f aca="false">IF(OR(COLUMN()-COLUMN(gantt_Origin)=1,DAY(GanttStart+(COLUMN()-COLUMN(gantt_Origin)-1)*GanttPeriod)&lt;=GanttPeriod),TEXT(GanttStart+(COLUMN()-COLUMN(gantt_Origin)-1)*GanttPeriod,"mmm yy"),"")</f>
        <v/>
      </c>
      <c r="AW4" s="62" t="str">
        <f aca="false">IF(OR(COLUMN()-COLUMN(gantt_Origin)=1,DAY(GanttStart+(COLUMN()-COLUMN(gantt_Origin)-1)*GanttPeriod)&lt;=GanttPeriod),TEXT(GanttStart+(COLUMN()-COLUMN(gantt_Origin)-1)*GanttPeriod,"mmm yy"),"")</f>
        <v/>
      </c>
      <c r="AX4" s="62" t="str">
        <f aca="false">IF(OR(COLUMN()-COLUMN(gantt_Origin)=1,DAY(GanttStart+(COLUMN()-COLUMN(gantt_Origin)-1)*GanttPeriod)&lt;=GanttPeriod),TEXT(GanttStart+(COLUMN()-COLUMN(gantt_Origin)-1)*GanttPeriod,"mmm yy"),"")</f>
        <v/>
      </c>
      <c r="AY4" s="62" t="str">
        <f aca="false">IF(OR(COLUMN()-COLUMN(gantt_Origin)=1,DAY(GanttStart+(COLUMN()-COLUMN(gantt_Origin)-1)*GanttPeriod)&lt;=GanttPeriod),TEXT(GanttStart+(COLUMN()-COLUMN(gantt_Origin)-1)*GanttPeriod,"mmm yy"),"")</f>
        <v/>
      </c>
      <c r="AZ4" s="62" t="str">
        <f aca="false">IF(OR(COLUMN()-COLUMN(gantt_Origin)=1,DAY(GanttStart+(COLUMN()-COLUMN(gantt_Origin)-1)*GanttPeriod)&lt;=GanttPeriod),TEXT(GanttStart+(COLUMN()-COLUMN(gantt_Origin)-1)*GanttPeriod,"mmm yy"),"")</f>
        <v/>
      </c>
      <c r="BA4" s="62" t="str">
        <f aca="false">IF(OR(COLUMN()-COLUMN(gantt_Origin)=1,DAY(GanttStart+(COLUMN()-COLUMN(gantt_Origin)-1)*GanttPeriod)&lt;=GanttPeriod),TEXT(GanttStart+(COLUMN()-COLUMN(gantt_Origin)-1)*GanttPeriod,"mmm yy"),"")</f>
        <v/>
      </c>
      <c r="BB4" s="62" t="str">
        <f aca="false">IF(OR(COLUMN()-COLUMN(gantt_Origin)=1,DAY(GanttStart+(COLUMN()-COLUMN(gantt_Origin)-1)*GanttPeriod)&lt;=GanttPeriod),TEXT(GanttStart+(COLUMN()-COLUMN(gantt_Origin)-1)*GanttPeriod,"mmm yy"),"")</f>
        <v/>
      </c>
      <c r="BC4" s="62" t="str">
        <f aca="false">IF(OR(COLUMN()-COLUMN(gantt_Origin)=1,DAY(GanttStart+(COLUMN()-COLUMN(gantt_Origin)-1)*GanttPeriod)&lt;=GanttPeriod),TEXT(GanttStart+(COLUMN()-COLUMN(gantt_Origin)-1)*GanttPeriod,"mmm yy"),"")</f>
        <v/>
      </c>
      <c r="BD4" s="62" t="str">
        <f aca="false">IF(OR(COLUMN()-COLUMN(gantt_Origin)=1,DAY(GanttStart+(COLUMN()-COLUMN(gantt_Origin)-1)*GanttPeriod)&lt;=GanttPeriod),TEXT(GanttStart+(COLUMN()-COLUMN(gantt_Origin)-1)*GanttPeriod,"mmm yy"),"")</f>
        <v/>
      </c>
      <c r="BE4" s="62" t="str">
        <f aca="false">IF(OR(COLUMN()-COLUMN(gantt_Origin)=1,DAY(GanttStart+(COLUMN()-COLUMN(gantt_Origin)-1)*GanttPeriod)&lt;=GanttPeriod),TEXT(GanttStart+(COLUMN()-COLUMN(gantt_Origin)-1)*GanttPeriod,"mmm yy"),"")</f>
        <v/>
      </c>
      <c r="BF4" s="62" t="str">
        <f aca="false">IF(OR(COLUMN()-COLUMN(gantt_Origin)=1,DAY(GanttStart+(COLUMN()-COLUMN(gantt_Origin)-1)*GanttPeriod)&lt;=GanttPeriod),TEXT(GanttStart+(COLUMN()-COLUMN(gantt_Origin)-1)*GanttPeriod,"mmm yy"),"")</f>
        <v/>
      </c>
      <c r="BG4" s="62" t="str">
        <f aca="false">IF(OR(COLUMN()-COLUMN(gantt_Origin)=1,DAY(GanttStart+(COLUMN()-COLUMN(gantt_Origin)-1)*GanttPeriod)&lt;=GanttPeriod),TEXT(GanttStart+(COLUMN()-COLUMN(gantt_Origin)-1)*GanttPeriod,"mmm yy"),"")</f>
        <v/>
      </c>
      <c r="BH4" s="62" t="str">
        <f aca="false">IF(OR(COLUMN()-COLUMN(gantt_Origin)=1,DAY(GanttStart+(COLUMN()-COLUMN(gantt_Origin)-1)*GanttPeriod)&lt;=GanttPeriod),TEXT(GanttStart+(COLUMN()-COLUMN(gantt_Origin)-1)*GanttPeriod,"mmm yy"),"")</f>
        <v/>
      </c>
      <c r="BI4" s="62" t="str">
        <f aca="false">IF(OR(COLUMN()-COLUMN(gantt_Origin)=1,DAY(GanttStart+(COLUMN()-COLUMN(gantt_Origin)-1)*GanttPeriod)&lt;=GanttPeriod),TEXT(GanttStart+(COLUMN()-COLUMN(gantt_Origin)-1)*GanttPeriod,"mmm yy"),"")</f>
        <v>Feb 00</v>
      </c>
      <c r="BJ4" s="62" t="str">
        <f aca="false">IF(OR(COLUMN()-COLUMN(gantt_Origin)=1,DAY(GanttStart+(COLUMN()-COLUMN(gantt_Origin)-1)*GanttPeriod)&lt;=GanttPeriod),TEXT(GanttStart+(COLUMN()-COLUMN(gantt_Origin)-1)*GanttPeriod,"mmm yy"),"")</f>
        <v/>
      </c>
      <c r="BK4" s="62" t="str">
        <f aca="false">IF(OR(COLUMN()-COLUMN(gantt_Origin)=1,DAY(GanttStart+(COLUMN()-COLUMN(gantt_Origin)-1)*GanttPeriod)&lt;=GanttPeriod),TEXT(GanttStart+(COLUMN()-COLUMN(gantt_Origin)-1)*GanttPeriod,"mmm yy"),"")</f>
        <v/>
      </c>
      <c r="BL4" s="62" t="str">
        <f aca="false">IF(OR(COLUMN()-COLUMN(gantt_Origin)=1,DAY(GanttStart+(COLUMN()-COLUMN(gantt_Origin)-1)*GanttPeriod)&lt;=GanttPeriod),TEXT(GanttStart+(COLUMN()-COLUMN(gantt_Origin)-1)*GanttPeriod,"mmm yy"),"")</f>
        <v/>
      </c>
      <c r="BM4" s="62" t="str">
        <f aca="false">IF(OR(COLUMN()-COLUMN(gantt_Origin)=1,DAY(GanttStart+(COLUMN()-COLUMN(gantt_Origin)-1)*GanttPeriod)&lt;=GanttPeriod),TEXT(GanttStart+(COLUMN()-COLUMN(gantt_Origin)-1)*GanttPeriod,"mmm yy"),"")</f>
        <v/>
      </c>
      <c r="BN4" s="62" t="str">
        <f aca="false">IF(OR(COLUMN()-COLUMN(gantt_Origin)=1,DAY(GanttStart+(COLUMN()-COLUMN(gantt_Origin)-1)*GanttPeriod)&lt;=GanttPeriod),TEXT(GanttStart+(COLUMN()-COLUMN(gantt_Origin)-1)*GanttPeriod,"mmm yy"),"")</f>
        <v/>
      </c>
      <c r="BO4" s="62" t="str">
        <f aca="false">IF(OR(COLUMN()-COLUMN(gantt_Origin)=1,DAY(GanttStart+(COLUMN()-COLUMN(gantt_Origin)-1)*GanttPeriod)&lt;=GanttPeriod),TEXT(GanttStart+(COLUMN()-COLUMN(gantt_Origin)-1)*GanttPeriod,"mmm yy"),"")</f>
        <v/>
      </c>
      <c r="BP4" s="62" t="str">
        <f aca="false">IF(OR(COLUMN()-COLUMN(gantt_Origin)=1,DAY(GanttStart+(COLUMN()-COLUMN(gantt_Origin)-1)*GanttPeriod)&lt;=GanttPeriod),TEXT(GanttStart+(COLUMN()-COLUMN(gantt_Origin)-1)*GanttPeriod,"mmm yy"),"")</f>
        <v/>
      </c>
      <c r="BQ4" s="62" t="str">
        <f aca="false">IF(OR(COLUMN()-COLUMN(gantt_Origin)=1,DAY(GanttStart+(COLUMN()-COLUMN(gantt_Origin)-1)*GanttPeriod)&lt;=GanttPeriod),TEXT(GanttStart+(COLUMN()-COLUMN(gantt_Origin)-1)*GanttPeriod,"mmm yy"),"")</f>
        <v/>
      </c>
      <c r="BR4" s="62" t="str">
        <f aca="false">IF(OR(COLUMN()-COLUMN(gantt_Origin)=1,DAY(GanttStart+(COLUMN()-COLUMN(gantt_Origin)-1)*GanttPeriod)&lt;=GanttPeriod),TEXT(GanttStart+(COLUMN()-COLUMN(gantt_Origin)-1)*GanttPeriod,"mmm yy"),"")</f>
        <v/>
      </c>
      <c r="BS4" s="62" t="str">
        <f aca="false">IF(OR(COLUMN()-COLUMN(gantt_Origin)=1,DAY(GanttStart+(COLUMN()-COLUMN(gantt_Origin)-1)*GanttPeriod)&lt;=GanttPeriod),TEXT(GanttStart+(COLUMN()-COLUMN(gantt_Origin)-1)*GanttPeriod,"mmm yy"),"")</f>
        <v/>
      </c>
      <c r="BT4" s="62" t="str">
        <f aca="false">IF(OR(COLUMN()-COLUMN(gantt_Origin)=1,DAY(GanttStart+(COLUMN()-COLUMN(gantt_Origin)-1)*GanttPeriod)&lt;=GanttPeriod),TEXT(GanttStart+(COLUMN()-COLUMN(gantt_Origin)-1)*GanttPeriod,"mmm yy"),"")</f>
        <v/>
      </c>
      <c r="BU4" s="62" t="str">
        <f aca="false">IF(OR(COLUMN()-COLUMN(gantt_Origin)=1,DAY(GanttStart+(COLUMN()-COLUMN(gantt_Origin)-1)*GanttPeriod)&lt;=GanttPeriod),TEXT(GanttStart+(COLUMN()-COLUMN(gantt_Origin)-1)*GanttPeriod,"mmm yy"),"")</f>
        <v/>
      </c>
      <c r="BV4" s="62" t="str">
        <f aca="false">IF(OR(COLUMN()-COLUMN(gantt_Origin)=1,DAY(GanttStart+(COLUMN()-COLUMN(gantt_Origin)-1)*GanttPeriod)&lt;=GanttPeriod),TEXT(GanttStart+(COLUMN()-COLUMN(gantt_Origin)-1)*GanttPeriod,"mmm yy"),"")</f>
        <v/>
      </c>
      <c r="BW4" s="62" t="str">
        <f aca="false">IF(OR(COLUMN()-COLUMN(gantt_Origin)=1,DAY(GanttStart+(COLUMN()-COLUMN(gantt_Origin)-1)*GanttPeriod)&lt;=GanttPeriod),TEXT(GanttStart+(COLUMN()-COLUMN(gantt_Origin)-1)*GanttPeriod,"mmm yy"),"")</f>
        <v/>
      </c>
      <c r="BX4" s="62" t="str">
        <f aca="false">IF(OR(COLUMN()-COLUMN(gantt_Origin)=1,DAY(GanttStart+(COLUMN()-COLUMN(gantt_Origin)-1)*GanttPeriod)&lt;=GanttPeriod),TEXT(GanttStart+(COLUMN()-COLUMN(gantt_Origin)-1)*GanttPeriod,"mmm yy"),"")</f>
        <v/>
      </c>
      <c r="BY4" s="62" t="str">
        <f aca="false">IF(OR(COLUMN()-COLUMN(gantt_Origin)=1,DAY(GanttStart+(COLUMN()-COLUMN(gantt_Origin)-1)*GanttPeriod)&lt;=GanttPeriod),TEXT(GanttStart+(COLUMN()-COLUMN(gantt_Origin)-1)*GanttPeriod,"mmm yy"),"")</f>
        <v/>
      </c>
      <c r="BZ4" s="62" t="str">
        <f aca="false">IF(OR(COLUMN()-COLUMN(gantt_Origin)=1,DAY(GanttStart+(COLUMN()-COLUMN(gantt_Origin)-1)*GanttPeriod)&lt;=GanttPeriod),TEXT(GanttStart+(COLUMN()-COLUMN(gantt_Origin)-1)*GanttPeriod,"mmm yy"),"")</f>
        <v/>
      </c>
      <c r="CA4" s="62" t="str">
        <f aca="false">IF(OR(COLUMN()-COLUMN(gantt_Origin)=1,DAY(GanttStart+(COLUMN()-COLUMN(gantt_Origin)-1)*GanttPeriod)&lt;=GanttPeriod),TEXT(GanttStart+(COLUMN()-COLUMN(gantt_Origin)-1)*GanttPeriod,"mmm yy"),"")</f>
        <v/>
      </c>
      <c r="CB4" s="62" t="str">
        <f aca="false">IF(OR(COLUMN()-COLUMN(gantt_Origin)=1,DAY(GanttStart+(COLUMN()-COLUMN(gantt_Origin)-1)*GanttPeriod)&lt;=GanttPeriod),TEXT(GanttStart+(COLUMN()-COLUMN(gantt_Origin)-1)*GanttPeriod,"mmm yy"),"")</f>
        <v/>
      </c>
      <c r="CC4" s="62" t="str">
        <f aca="false">IF(OR(COLUMN()-COLUMN(gantt_Origin)=1,DAY(GanttStart+(COLUMN()-COLUMN(gantt_Origin)-1)*GanttPeriod)&lt;=GanttPeriod),TEXT(GanttStart+(COLUMN()-COLUMN(gantt_Origin)-1)*GanttPeriod,"mmm yy"),"")</f>
        <v/>
      </c>
      <c r="CD4" s="62" t="str">
        <f aca="false">IF(OR(COLUMN()-COLUMN(gantt_Origin)=1,DAY(GanttStart+(COLUMN()-COLUMN(gantt_Origin)-1)*GanttPeriod)&lt;=GanttPeriod),TEXT(GanttStart+(COLUMN()-COLUMN(gantt_Origin)-1)*GanttPeriod,"mmm yy"),"")</f>
        <v/>
      </c>
      <c r="CE4" s="62" t="str">
        <f aca="false">IF(OR(COLUMN()-COLUMN(gantt_Origin)=1,DAY(GanttStart+(COLUMN()-COLUMN(gantt_Origin)-1)*GanttPeriod)&lt;=GanttPeriod),TEXT(GanttStart+(COLUMN()-COLUMN(gantt_Origin)-1)*GanttPeriod,"mmm yy"),"")</f>
        <v/>
      </c>
      <c r="CF4" s="62" t="str">
        <f aca="false">IF(OR(COLUMN()-COLUMN(gantt_Origin)=1,DAY(GanttStart+(COLUMN()-COLUMN(gantt_Origin)-1)*GanttPeriod)&lt;=GanttPeriod),TEXT(GanttStart+(COLUMN()-COLUMN(gantt_Origin)-1)*GanttPeriod,"mmm yy"),"")</f>
        <v/>
      </c>
      <c r="CG4" s="62" t="str">
        <f aca="false">IF(OR(COLUMN()-COLUMN(gantt_Origin)=1,DAY(GanttStart+(COLUMN()-COLUMN(gantt_Origin)-1)*GanttPeriod)&lt;=GanttPeriod),TEXT(GanttStart+(COLUMN()-COLUMN(gantt_Origin)-1)*GanttPeriod,"mmm yy"),"")</f>
        <v/>
      </c>
      <c r="CH4" s="62" t="str">
        <f aca="false">IF(OR(COLUMN()-COLUMN(gantt_Origin)=1,DAY(GanttStart+(COLUMN()-COLUMN(gantt_Origin)-1)*GanttPeriod)&lt;=GanttPeriod),TEXT(GanttStart+(COLUMN()-COLUMN(gantt_Origin)-1)*GanttPeriod,"mmm yy"),"")</f>
        <v/>
      </c>
      <c r="CI4" s="62" t="str">
        <f aca="false">IF(OR(COLUMN()-COLUMN(gantt_Origin)=1,DAY(GanttStart+(COLUMN()-COLUMN(gantt_Origin)-1)*GanttPeriod)&lt;=GanttPeriod),TEXT(GanttStart+(COLUMN()-COLUMN(gantt_Origin)-1)*GanttPeriod,"mmm yy"),"")</f>
        <v/>
      </c>
      <c r="CJ4" s="62" t="str">
        <f aca="false">IF(OR(COLUMN()-COLUMN(gantt_Origin)=1,DAY(GanttStart+(COLUMN()-COLUMN(gantt_Origin)-1)*GanttPeriod)&lt;=GanttPeriod),TEXT(GanttStart+(COLUMN()-COLUMN(gantt_Origin)-1)*GanttPeriod,"mmm yy"),"")</f>
        <v/>
      </c>
      <c r="CK4" s="62" t="str">
        <f aca="false">IF(OR(COLUMN()-COLUMN(gantt_Origin)=1,DAY(GanttStart+(COLUMN()-COLUMN(gantt_Origin)-1)*GanttPeriod)&lt;=GanttPeriod),TEXT(GanttStart+(COLUMN()-COLUMN(gantt_Origin)-1)*GanttPeriod,"mmm yy"),"")</f>
        <v>Mar 00</v>
      </c>
      <c r="CL4" s="62" t="str">
        <f aca="false">IF(OR(COLUMN()-COLUMN(gantt_Origin)=1,DAY(GanttStart+(COLUMN()-COLUMN(gantt_Origin)-1)*GanttPeriod)&lt;=GanttPeriod),TEXT(GanttStart+(COLUMN()-COLUMN(gantt_Origin)-1)*GanttPeriod,"mmm yy"),"")</f>
        <v/>
      </c>
      <c r="CM4" s="62" t="str">
        <f aca="false">IF(OR(COLUMN()-COLUMN(gantt_Origin)=1,DAY(GanttStart+(COLUMN()-COLUMN(gantt_Origin)-1)*GanttPeriod)&lt;=GanttPeriod),TEXT(GanttStart+(COLUMN()-COLUMN(gantt_Origin)-1)*GanttPeriod,"mmm yy"),"")</f>
        <v/>
      </c>
      <c r="CN4" s="62" t="str">
        <f aca="false">IF(OR(COLUMN()-COLUMN(gantt_Origin)=1,DAY(GanttStart+(COLUMN()-COLUMN(gantt_Origin)-1)*GanttPeriod)&lt;=GanttPeriod),TEXT(GanttStart+(COLUMN()-COLUMN(gantt_Origin)-1)*GanttPeriod,"mmm yy"),"")</f>
        <v/>
      </c>
      <c r="CO4" s="62" t="str">
        <f aca="false">IF(OR(COLUMN()-COLUMN(gantt_Origin)=1,DAY(GanttStart+(COLUMN()-COLUMN(gantt_Origin)-1)*GanttPeriod)&lt;=GanttPeriod),TEXT(GanttStart+(COLUMN()-COLUMN(gantt_Origin)-1)*GanttPeriod,"mmm yy"),"")</f>
        <v/>
      </c>
      <c r="CP4" s="62" t="str">
        <f aca="false">IF(OR(COLUMN()-COLUMN(gantt_Origin)=1,DAY(GanttStart+(COLUMN()-COLUMN(gantt_Origin)-1)*GanttPeriod)&lt;=GanttPeriod),TEXT(GanttStart+(COLUMN()-COLUMN(gantt_Origin)-1)*GanttPeriod,"mmm yy"),"")</f>
        <v/>
      </c>
      <c r="CQ4" s="62" t="str">
        <f aca="false">IF(OR(COLUMN()-COLUMN(gantt_Origin)=1,DAY(GanttStart+(COLUMN()-COLUMN(gantt_Origin)-1)*GanttPeriod)&lt;=GanttPeriod),TEXT(GanttStart+(COLUMN()-COLUMN(gantt_Origin)-1)*GanttPeriod,"mmm yy"),"")</f>
        <v/>
      </c>
      <c r="CR4" s="62" t="str">
        <f aca="false">IF(OR(COLUMN()-COLUMN(gantt_Origin)=1,DAY(GanttStart+(COLUMN()-COLUMN(gantt_Origin)-1)*GanttPeriod)&lt;=GanttPeriod),TEXT(GanttStart+(COLUMN()-COLUMN(gantt_Origin)-1)*GanttPeriod,"mmm yy"),"")</f>
        <v/>
      </c>
      <c r="CS4" s="62" t="str">
        <f aca="false">IF(OR(COLUMN()-COLUMN(gantt_Origin)=1,DAY(GanttStart+(COLUMN()-COLUMN(gantt_Origin)-1)*GanttPeriod)&lt;=GanttPeriod),TEXT(GanttStart+(COLUMN()-COLUMN(gantt_Origin)-1)*GanttPeriod,"mmm yy"),"")</f>
        <v/>
      </c>
      <c r="CT4" s="62" t="str">
        <f aca="false">IF(OR(COLUMN()-COLUMN(gantt_Origin)=1,DAY(GanttStart+(COLUMN()-COLUMN(gantt_Origin)-1)*GanttPeriod)&lt;=GanttPeriod),TEXT(GanttStart+(COLUMN()-COLUMN(gantt_Origin)-1)*GanttPeriod,"mmm yy"),"")</f>
        <v/>
      </c>
      <c r="CU4" s="62" t="str">
        <f aca="false">IF(OR(COLUMN()-COLUMN(gantt_Origin)=1,DAY(GanttStart+(COLUMN()-COLUMN(gantt_Origin)-1)*GanttPeriod)&lt;=GanttPeriod),TEXT(GanttStart+(COLUMN()-COLUMN(gantt_Origin)-1)*GanttPeriod,"mmm yy"),"")</f>
        <v/>
      </c>
      <c r="CV4" s="62" t="str">
        <f aca="false">IF(OR(COLUMN()-COLUMN(gantt_Origin)=1,DAY(GanttStart+(COLUMN()-COLUMN(gantt_Origin)-1)*GanttPeriod)&lt;=GanttPeriod),TEXT(GanttStart+(COLUMN()-COLUMN(gantt_Origin)-1)*GanttPeriod,"mmm yy"),"")</f>
        <v/>
      </c>
      <c r="CW4" s="62" t="str">
        <f aca="false">IF(OR(COLUMN()-COLUMN(gantt_Origin)=1,DAY(GanttStart+(COLUMN()-COLUMN(gantt_Origin)-1)*GanttPeriod)&lt;=GanttPeriod),TEXT(GanttStart+(COLUMN()-COLUMN(gantt_Origin)-1)*GanttPeriod,"mmm yy"),"")</f>
        <v/>
      </c>
      <c r="CX4" s="62" t="str">
        <f aca="false">IF(OR(COLUMN()-COLUMN(gantt_Origin)=1,DAY(GanttStart+(COLUMN()-COLUMN(gantt_Origin)-1)*GanttPeriod)&lt;=GanttPeriod),TEXT(GanttStart+(COLUMN()-COLUMN(gantt_Origin)-1)*GanttPeriod,"mmm yy"),"")</f>
        <v/>
      </c>
      <c r="CY4" s="62" t="str">
        <f aca="false">IF(OR(COLUMN()-COLUMN(gantt_Origin)=1,DAY(GanttStart+(COLUMN()-COLUMN(gantt_Origin)-1)*GanttPeriod)&lt;=GanttPeriod),TEXT(GanttStart+(COLUMN()-COLUMN(gantt_Origin)-1)*GanttPeriod,"mmm yy"),"")</f>
        <v/>
      </c>
      <c r="CZ4" s="62" t="str">
        <f aca="false">IF(OR(COLUMN()-COLUMN(gantt_Origin)=1,DAY(GanttStart+(COLUMN()-COLUMN(gantt_Origin)-1)*GanttPeriod)&lt;=GanttPeriod),TEXT(GanttStart+(COLUMN()-COLUMN(gantt_Origin)-1)*GanttPeriod,"mmm yy"),"")</f>
        <v/>
      </c>
      <c r="DA4" s="62" t="str">
        <f aca="false">IF(OR(COLUMN()-COLUMN(gantt_Origin)=1,DAY(GanttStart+(COLUMN()-COLUMN(gantt_Origin)-1)*GanttPeriod)&lt;=GanttPeriod),TEXT(GanttStart+(COLUMN()-COLUMN(gantt_Origin)-1)*GanttPeriod,"mmm yy"),"")</f>
        <v/>
      </c>
      <c r="DB4" s="62" t="str">
        <f aca="false">IF(OR(COLUMN()-COLUMN(gantt_Origin)=1,DAY(GanttStart+(COLUMN()-COLUMN(gantt_Origin)-1)*GanttPeriod)&lt;=GanttPeriod),TEXT(GanttStart+(COLUMN()-COLUMN(gantt_Origin)-1)*GanttPeriod,"mmm yy"),"")</f>
        <v/>
      </c>
      <c r="DC4" s="62" t="str">
        <f aca="false">IF(OR(COLUMN()-COLUMN(gantt_Origin)=1,DAY(GanttStart+(COLUMN()-COLUMN(gantt_Origin)-1)*GanttPeriod)&lt;=GanttPeriod),TEXT(GanttStart+(COLUMN()-COLUMN(gantt_Origin)-1)*GanttPeriod,"mmm yy"),"")</f>
        <v/>
      </c>
      <c r="DD4" s="62" t="str">
        <f aca="false">IF(OR(COLUMN()-COLUMN(gantt_Origin)=1,DAY(GanttStart+(COLUMN()-COLUMN(gantt_Origin)-1)*GanttPeriod)&lt;=GanttPeriod),TEXT(GanttStart+(COLUMN()-COLUMN(gantt_Origin)-1)*GanttPeriod,"mmm yy"),"")</f>
        <v/>
      </c>
      <c r="DE4" s="62" t="str">
        <f aca="false">IF(OR(COLUMN()-COLUMN(gantt_Origin)=1,DAY(GanttStart+(COLUMN()-COLUMN(gantt_Origin)-1)*GanttPeriod)&lt;=GanttPeriod),TEXT(GanttStart+(COLUMN()-COLUMN(gantt_Origin)-1)*GanttPeriod,"mmm yy"),"")</f>
        <v/>
      </c>
      <c r="DF4" s="62" t="str">
        <f aca="false">IF(OR(COLUMN()-COLUMN(gantt_Origin)=1,DAY(GanttStart+(COLUMN()-COLUMN(gantt_Origin)-1)*GanttPeriod)&lt;=GanttPeriod),TEXT(GanttStart+(COLUMN()-COLUMN(gantt_Origin)-1)*GanttPeriod,"mmm yy"),"")</f>
        <v/>
      </c>
      <c r="DG4" s="62" t="str">
        <f aca="false">IF(OR(COLUMN()-COLUMN(gantt_Origin)=1,DAY(GanttStart+(COLUMN()-COLUMN(gantt_Origin)-1)*GanttPeriod)&lt;=GanttPeriod),TEXT(GanttStart+(COLUMN()-COLUMN(gantt_Origin)-1)*GanttPeriod,"mmm yy"),"")</f>
        <v/>
      </c>
      <c r="DH4" s="62" t="str">
        <f aca="false">IF(OR(COLUMN()-COLUMN(gantt_Origin)=1,DAY(GanttStart+(COLUMN()-COLUMN(gantt_Origin)-1)*GanttPeriod)&lt;=GanttPeriod),TEXT(GanttStart+(COLUMN()-COLUMN(gantt_Origin)-1)*GanttPeriod,"mmm yy"),"")</f>
        <v/>
      </c>
      <c r="DI4" s="62" t="str">
        <f aca="false">IF(OR(COLUMN()-COLUMN(gantt_Origin)=1,DAY(GanttStart+(COLUMN()-COLUMN(gantt_Origin)-1)*GanttPeriod)&lt;=GanttPeriod),TEXT(GanttStart+(COLUMN()-COLUMN(gantt_Origin)-1)*GanttPeriod,"mmm yy"),"")</f>
        <v/>
      </c>
      <c r="DJ4" s="62" t="str">
        <f aca="false">IF(OR(COLUMN()-COLUMN(gantt_Origin)=1,DAY(GanttStart+(COLUMN()-COLUMN(gantt_Origin)-1)*GanttPeriod)&lt;=GanttPeriod),TEXT(GanttStart+(COLUMN()-COLUMN(gantt_Origin)-1)*GanttPeriod,"mmm yy"),"")</f>
        <v/>
      </c>
      <c r="DK4" s="62" t="str">
        <f aca="false">IF(OR(COLUMN()-COLUMN(gantt_Origin)=1,DAY(GanttStart+(COLUMN()-COLUMN(gantt_Origin)-1)*GanttPeriod)&lt;=GanttPeriod),TEXT(GanttStart+(COLUMN()-COLUMN(gantt_Origin)-1)*GanttPeriod,"mmm yy"),"")</f>
        <v/>
      </c>
      <c r="DL4" s="62" t="str">
        <f aca="false">IF(OR(COLUMN()-COLUMN(gantt_Origin)=1,DAY(GanttStart+(COLUMN()-COLUMN(gantt_Origin)-1)*GanttPeriod)&lt;=GanttPeriod),TEXT(GanttStart+(COLUMN()-COLUMN(gantt_Origin)-1)*GanttPeriod,"mmm yy"),"")</f>
        <v/>
      </c>
      <c r="DM4" s="62" t="str">
        <f aca="false">IF(OR(COLUMN()-COLUMN(gantt_Origin)=1,DAY(GanttStart+(COLUMN()-COLUMN(gantt_Origin)-1)*GanttPeriod)&lt;=GanttPeriod),TEXT(GanttStart+(COLUMN()-COLUMN(gantt_Origin)-1)*GanttPeriod,"mmm yy"),"")</f>
        <v/>
      </c>
      <c r="DN4" s="62" t="str">
        <f aca="false">IF(OR(COLUMN()-COLUMN(gantt_Origin)=1,DAY(GanttStart+(COLUMN()-COLUMN(gantt_Origin)-1)*GanttPeriod)&lt;=GanttPeriod),TEXT(GanttStart+(COLUMN()-COLUMN(gantt_Origin)-1)*GanttPeriod,"mmm yy"),"")</f>
        <v/>
      </c>
      <c r="DO4" s="62" t="str">
        <f aca="false">IF(OR(COLUMN()-COLUMN(gantt_Origin)=1,DAY(GanttStart+(COLUMN()-COLUMN(gantt_Origin)-1)*GanttPeriod)&lt;=GanttPeriod),TEXT(GanttStart+(COLUMN()-COLUMN(gantt_Origin)-1)*GanttPeriod,"mmm yy"),"")</f>
        <v/>
      </c>
      <c r="DP4" s="62" t="str">
        <f aca="false">IF(OR(COLUMN()-COLUMN(gantt_Origin)=1,DAY(GanttStart+(COLUMN()-COLUMN(gantt_Origin)-1)*GanttPeriod)&lt;=GanttPeriod),TEXT(GanttStart+(COLUMN()-COLUMN(gantt_Origin)-1)*GanttPeriod,"mmm yy"),"")</f>
        <v>Apr 00</v>
      </c>
      <c r="DQ4" s="62" t="str">
        <f aca="false">IF(OR(COLUMN()-COLUMN(gantt_Origin)=1,DAY(GanttStart+(COLUMN()-COLUMN(gantt_Origin)-1)*GanttPeriod)&lt;=GanttPeriod),TEXT(GanttStart+(COLUMN()-COLUMN(gantt_Origin)-1)*GanttPeriod,"mmm yy"),"")</f>
        <v/>
      </c>
      <c r="DR4" s="62" t="str">
        <f aca="false">IF(OR(COLUMN()-COLUMN(gantt_Origin)=1,DAY(GanttStart+(COLUMN()-COLUMN(gantt_Origin)-1)*GanttPeriod)&lt;=GanttPeriod),TEXT(GanttStart+(COLUMN()-COLUMN(gantt_Origin)-1)*GanttPeriod,"mmm yy"),"")</f>
        <v/>
      </c>
      <c r="DS4" s="62" t="str">
        <f aca="false">IF(OR(COLUMN()-COLUMN(gantt_Origin)=1,DAY(GanttStart+(COLUMN()-COLUMN(gantt_Origin)-1)*GanttPeriod)&lt;=GanttPeriod),TEXT(GanttStart+(COLUMN()-COLUMN(gantt_Origin)-1)*GanttPeriod,"mmm yy"),"")</f>
        <v/>
      </c>
      <c r="DT4" s="62" t="str">
        <f aca="false">IF(OR(COLUMN()-COLUMN(gantt_Origin)=1,DAY(GanttStart+(COLUMN()-COLUMN(gantt_Origin)-1)*GanttPeriod)&lt;=GanttPeriod),TEXT(GanttStart+(COLUMN()-COLUMN(gantt_Origin)-1)*GanttPeriod,"mmm yy"),"")</f>
        <v/>
      </c>
      <c r="DU4" s="62" t="str">
        <f aca="false">IF(OR(COLUMN()-COLUMN(gantt_Origin)=1,DAY(GanttStart+(COLUMN()-COLUMN(gantt_Origin)-1)*GanttPeriod)&lt;=GanttPeriod),TEXT(GanttStart+(COLUMN()-COLUMN(gantt_Origin)-1)*GanttPeriod,"mmm yy"),"")</f>
        <v/>
      </c>
      <c r="DV4" s="62" t="str">
        <f aca="false">IF(OR(COLUMN()-COLUMN(gantt_Origin)=1,DAY(GanttStart+(COLUMN()-COLUMN(gantt_Origin)-1)*GanttPeriod)&lt;=GanttPeriod),TEXT(GanttStart+(COLUMN()-COLUMN(gantt_Origin)-1)*GanttPeriod,"mmm yy"),"")</f>
        <v/>
      </c>
      <c r="DW4" s="62" t="str">
        <f aca="false">IF(OR(COLUMN()-COLUMN(gantt_Origin)=1,DAY(GanttStart+(COLUMN()-COLUMN(gantt_Origin)-1)*GanttPeriod)&lt;=GanttPeriod),TEXT(GanttStart+(COLUMN()-COLUMN(gantt_Origin)-1)*GanttPeriod,"mmm yy"),"")</f>
        <v/>
      </c>
      <c r="DX4" s="62" t="str">
        <f aca="false">IF(OR(COLUMN()-COLUMN(gantt_Origin)=1,DAY(GanttStart+(COLUMN()-COLUMN(gantt_Origin)-1)*GanttPeriod)&lt;=GanttPeriod),TEXT(GanttStart+(COLUMN()-COLUMN(gantt_Origin)-1)*GanttPeriod,"mmm yy"),"")</f>
        <v/>
      </c>
      <c r="DY4" s="62" t="str">
        <f aca="false">IF(OR(COLUMN()-COLUMN(gantt_Origin)=1,DAY(GanttStart+(COLUMN()-COLUMN(gantt_Origin)-1)*GanttPeriod)&lt;=GanttPeriod),TEXT(GanttStart+(COLUMN()-COLUMN(gantt_Origin)-1)*GanttPeriod,"mmm yy"),"")</f>
        <v/>
      </c>
      <c r="DZ4" s="62" t="str">
        <f aca="false">IF(OR(COLUMN()-COLUMN(gantt_Origin)=1,DAY(GanttStart+(COLUMN()-COLUMN(gantt_Origin)-1)*GanttPeriod)&lt;=GanttPeriod),TEXT(GanttStart+(COLUMN()-COLUMN(gantt_Origin)-1)*GanttPeriod,"mmm yy"),"")</f>
        <v/>
      </c>
      <c r="EA4" s="62" t="str">
        <f aca="false">IF(OR(COLUMN()-COLUMN(gantt_Origin)=1,DAY(GanttStart+(COLUMN()-COLUMN(gantt_Origin)-1)*GanttPeriod)&lt;=GanttPeriod),TEXT(GanttStart+(COLUMN()-COLUMN(gantt_Origin)-1)*GanttPeriod,"mmm yy"),"")</f>
        <v/>
      </c>
      <c r="EB4" s="62" t="str">
        <f aca="false">IF(OR(COLUMN()-COLUMN(gantt_Origin)=1,DAY(GanttStart+(COLUMN()-COLUMN(gantt_Origin)-1)*GanttPeriod)&lt;=GanttPeriod),TEXT(GanttStart+(COLUMN()-COLUMN(gantt_Origin)-1)*GanttPeriod,"mmm yy"),"")</f>
        <v/>
      </c>
      <c r="EC4" s="62" t="str">
        <f aca="false">IF(OR(COLUMN()-COLUMN(gantt_Origin)=1,DAY(GanttStart+(COLUMN()-COLUMN(gantt_Origin)-1)*GanttPeriod)&lt;=GanttPeriod),TEXT(GanttStart+(COLUMN()-COLUMN(gantt_Origin)-1)*GanttPeriod,"mmm yy"),"")</f>
        <v/>
      </c>
      <c r="ED4" s="62" t="str">
        <f aca="false">IF(OR(COLUMN()-COLUMN(gantt_Origin)=1,DAY(GanttStart+(COLUMN()-COLUMN(gantt_Origin)-1)*GanttPeriod)&lt;=GanttPeriod),TEXT(GanttStart+(COLUMN()-COLUMN(gantt_Origin)-1)*GanttPeriod,"mmm yy"),"")</f>
        <v/>
      </c>
      <c r="EE4" s="62" t="str">
        <f aca="false">IF(OR(COLUMN()-COLUMN(gantt_Origin)=1,DAY(GanttStart+(COLUMN()-COLUMN(gantt_Origin)-1)*GanttPeriod)&lt;=GanttPeriod),TEXT(GanttStart+(COLUMN()-COLUMN(gantt_Origin)-1)*GanttPeriod,"mmm yy"),"")</f>
        <v/>
      </c>
      <c r="EF4" s="62" t="str">
        <f aca="false">IF(OR(COLUMN()-COLUMN(gantt_Origin)=1,DAY(GanttStart+(COLUMN()-COLUMN(gantt_Origin)-1)*GanttPeriod)&lt;=GanttPeriod),TEXT(GanttStart+(COLUMN()-COLUMN(gantt_Origin)-1)*GanttPeriod,"mmm yy"),"")</f>
        <v/>
      </c>
      <c r="EG4" s="62" t="str">
        <f aca="false">IF(OR(COLUMN()-COLUMN(gantt_Origin)=1,DAY(GanttStart+(COLUMN()-COLUMN(gantt_Origin)-1)*GanttPeriod)&lt;=GanttPeriod),TEXT(GanttStart+(COLUMN()-COLUMN(gantt_Origin)-1)*GanttPeriod,"mmm yy"),"")</f>
        <v/>
      </c>
      <c r="EH4" s="62" t="str">
        <f aca="false">IF(OR(COLUMN()-COLUMN(gantt_Origin)=1,DAY(GanttStart+(COLUMN()-COLUMN(gantt_Origin)-1)*GanttPeriod)&lt;=GanttPeriod),TEXT(GanttStart+(COLUMN()-COLUMN(gantt_Origin)-1)*GanttPeriod,"mmm yy"),"")</f>
        <v/>
      </c>
      <c r="EI4" s="62" t="str">
        <f aca="false">IF(OR(COLUMN()-COLUMN(gantt_Origin)=1,DAY(GanttStart+(COLUMN()-COLUMN(gantt_Origin)-1)*GanttPeriod)&lt;=GanttPeriod),TEXT(GanttStart+(COLUMN()-COLUMN(gantt_Origin)-1)*GanttPeriod,"mmm yy"),"")</f>
        <v/>
      </c>
      <c r="EJ4" s="62" t="str">
        <f aca="false">IF(OR(COLUMN()-COLUMN(gantt_Origin)=1,DAY(GanttStart+(COLUMN()-COLUMN(gantt_Origin)-1)*GanttPeriod)&lt;=GanttPeriod),TEXT(GanttStart+(COLUMN()-COLUMN(gantt_Origin)-1)*GanttPeriod,"mmm yy"),"")</f>
        <v/>
      </c>
      <c r="EK4" s="62" t="str">
        <f aca="false">IF(OR(COLUMN()-COLUMN(gantt_Origin)=1,DAY(GanttStart+(COLUMN()-COLUMN(gantt_Origin)-1)*GanttPeriod)&lt;=GanttPeriod),TEXT(GanttStart+(COLUMN()-COLUMN(gantt_Origin)-1)*GanttPeriod,"mmm yy"),"")</f>
        <v/>
      </c>
      <c r="EL4" s="62" t="str">
        <f aca="false">IF(OR(COLUMN()-COLUMN(gantt_Origin)=1,DAY(GanttStart+(COLUMN()-COLUMN(gantt_Origin)-1)*GanttPeriod)&lt;=GanttPeriod),TEXT(GanttStart+(COLUMN()-COLUMN(gantt_Origin)-1)*GanttPeriod,"mmm yy"),"")</f>
        <v/>
      </c>
      <c r="EM4" s="62" t="str">
        <f aca="false">IF(OR(COLUMN()-COLUMN(gantt_Origin)=1,DAY(GanttStart+(COLUMN()-COLUMN(gantt_Origin)-1)*GanttPeriod)&lt;=GanttPeriod),TEXT(GanttStart+(COLUMN()-COLUMN(gantt_Origin)-1)*GanttPeriod,"mmm yy"),"")</f>
        <v/>
      </c>
      <c r="EN4" s="62" t="str">
        <f aca="false">IF(OR(COLUMN()-COLUMN(gantt_Origin)=1,DAY(GanttStart+(COLUMN()-COLUMN(gantt_Origin)-1)*GanttPeriod)&lt;=GanttPeriod),TEXT(GanttStart+(COLUMN()-COLUMN(gantt_Origin)-1)*GanttPeriod,"mmm yy"),"")</f>
        <v/>
      </c>
      <c r="EO4" s="62" t="str">
        <f aca="false">IF(OR(COLUMN()-COLUMN(gantt_Origin)=1,DAY(GanttStart+(COLUMN()-COLUMN(gantt_Origin)-1)*GanttPeriod)&lt;=GanttPeriod),TEXT(GanttStart+(COLUMN()-COLUMN(gantt_Origin)-1)*GanttPeriod,"mmm yy"),"")</f>
        <v/>
      </c>
      <c r="EP4" s="62" t="str">
        <f aca="false">IF(OR(COLUMN()-COLUMN(gantt_Origin)=1,DAY(GanttStart+(COLUMN()-COLUMN(gantt_Origin)-1)*GanttPeriod)&lt;=GanttPeriod),TEXT(GanttStart+(COLUMN()-COLUMN(gantt_Origin)-1)*GanttPeriod,"mmm yy"),"")</f>
        <v/>
      </c>
      <c r="EQ4" s="62" t="str">
        <f aca="false">IF(OR(COLUMN()-COLUMN(gantt_Origin)=1,DAY(GanttStart+(COLUMN()-COLUMN(gantt_Origin)-1)*GanttPeriod)&lt;=GanttPeriod),TEXT(GanttStart+(COLUMN()-COLUMN(gantt_Origin)-1)*GanttPeriod,"mmm yy"),"")</f>
        <v/>
      </c>
      <c r="ER4" s="62" t="str">
        <f aca="false">IF(OR(COLUMN()-COLUMN(gantt_Origin)=1,DAY(GanttStart+(COLUMN()-COLUMN(gantt_Origin)-1)*GanttPeriod)&lt;=GanttPeriod),TEXT(GanttStart+(COLUMN()-COLUMN(gantt_Origin)-1)*GanttPeriod,"mmm yy"),"")</f>
        <v/>
      </c>
      <c r="ES4" s="62" t="str">
        <f aca="false">IF(OR(COLUMN()-COLUMN(gantt_Origin)=1,DAY(GanttStart+(COLUMN()-COLUMN(gantt_Origin)-1)*GanttPeriod)&lt;=GanttPeriod),TEXT(GanttStart+(COLUMN()-COLUMN(gantt_Origin)-1)*GanttPeriod,"mmm yy"),"")</f>
        <v/>
      </c>
      <c r="ET4" s="62" t="str">
        <f aca="false">IF(OR(COLUMN()-COLUMN(gantt_Origin)=1,DAY(GanttStart+(COLUMN()-COLUMN(gantt_Origin)-1)*GanttPeriod)&lt;=GanttPeriod),TEXT(GanttStart+(COLUMN()-COLUMN(gantt_Origin)-1)*GanttPeriod,"mmm yy"),"")</f>
        <v>May 00</v>
      </c>
      <c r="EU4" s="62" t="str">
        <f aca="false">IF(OR(COLUMN()-COLUMN(gantt_Origin)=1,DAY(GanttStart+(COLUMN()-COLUMN(gantt_Origin)-1)*GanttPeriod)&lt;=GanttPeriod),TEXT(GanttStart+(COLUMN()-COLUMN(gantt_Origin)-1)*GanttPeriod,"mmm yy"),"")</f>
        <v/>
      </c>
      <c r="EV4" s="62" t="str">
        <f aca="false">IF(OR(COLUMN()-COLUMN(gantt_Origin)=1,DAY(GanttStart+(COLUMN()-COLUMN(gantt_Origin)-1)*GanttPeriod)&lt;=GanttPeriod),TEXT(GanttStart+(COLUMN()-COLUMN(gantt_Origin)-1)*GanttPeriod,"mmm yy"),"")</f>
        <v/>
      </c>
      <c r="EW4" s="62" t="str">
        <f aca="false">IF(OR(COLUMN()-COLUMN(gantt_Origin)=1,DAY(GanttStart+(COLUMN()-COLUMN(gantt_Origin)-1)*GanttPeriod)&lt;=GanttPeriod),TEXT(GanttStart+(COLUMN()-COLUMN(gantt_Origin)-1)*GanttPeriod,"mmm yy"),"")</f>
        <v/>
      </c>
      <c r="EX4" s="62" t="str">
        <f aca="false">IF(OR(COLUMN()-COLUMN(gantt_Origin)=1,DAY(GanttStart+(COLUMN()-COLUMN(gantt_Origin)-1)*GanttPeriod)&lt;=GanttPeriod),TEXT(GanttStart+(COLUMN()-COLUMN(gantt_Origin)-1)*GanttPeriod,"mmm yy"),"")</f>
        <v/>
      </c>
      <c r="EY4" s="62" t="str">
        <f aca="false">IF(OR(COLUMN()-COLUMN(gantt_Origin)=1,DAY(GanttStart+(COLUMN()-COLUMN(gantt_Origin)-1)*GanttPeriod)&lt;=GanttPeriod),TEXT(GanttStart+(COLUMN()-COLUMN(gantt_Origin)-1)*GanttPeriod,"mmm yy"),"")</f>
        <v/>
      </c>
      <c r="EZ4" s="62" t="str">
        <f aca="false">IF(OR(COLUMN()-COLUMN(gantt_Origin)=1,DAY(GanttStart+(COLUMN()-COLUMN(gantt_Origin)-1)*GanttPeriod)&lt;=GanttPeriod),TEXT(GanttStart+(COLUMN()-COLUMN(gantt_Origin)-1)*GanttPeriod,"mmm yy"),"")</f>
        <v/>
      </c>
      <c r="FA4" s="62" t="str">
        <f aca="false">IF(OR(COLUMN()-COLUMN(gantt_Origin)=1,DAY(GanttStart+(COLUMN()-COLUMN(gantt_Origin)-1)*GanttPeriod)&lt;=GanttPeriod),TEXT(GanttStart+(COLUMN()-COLUMN(gantt_Origin)-1)*GanttPeriod,"mmm yy"),"")</f>
        <v/>
      </c>
      <c r="FB4" s="62" t="str">
        <f aca="false">IF(OR(COLUMN()-COLUMN(gantt_Origin)=1,DAY(GanttStart+(COLUMN()-COLUMN(gantt_Origin)-1)*GanttPeriod)&lt;=GanttPeriod),TEXT(GanttStart+(COLUMN()-COLUMN(gantt_Origin)-1)*GanttPeriod,"mmm yy"),"")</f>
        <v/>
      </c>
      <c r="FC4" s="62" t="str">
        <f aca="false">IF(OR(COLUMN()-COLUMN(gantt_Origin)=1,DAY(GanttStart+(COLUMN()-COLUMN(gantt_Origin)-1)*GanttPeriod)&lt;=GanttPeriod),TEXT(GanttStart+(COLUMN()-COLUMN(gantt_Origin)-1)*GanttPeriod,"mmm yy"),"")</f>
        <v/>
      </c>
      <c r="FD4" s="62" t="str">
        <f aca="false">IF(OR(COLUMN()-COLUMN(gantt_Origin)=1,DAY(GanttStart+(COLUMN()-COLUMN(gantt_Origin)-1)*GanttPeriod)&lt;=GanttPeriod),TEXT(GanttStart+(COLUMN()-COLUMN(gantt_Origin)-1)*GanttPeriod,"mmm yy"),"")</f>
        <v/>
      </c>
      <c r="FE4" s="62" t="str">
        <f aca="false">IF(OR(COLUMN()-COLUMN(gantt_Origin)=1,DAY(GanttStart+(COLUMN()-COLUMN(gantt_Origin)-1)*GanttPeriod)&lt;=GanttPeriod),TEXT(GanttStart+(COLUMN()-COLUMN(gantt_Origin)-1)*GanttPeriod,"mmm yy"),"")</f>
        <v/>
      </c>
      <c r="FF4" s="62" t="str">
        <f aca="false">IF(OR(COLUMN()-COLUMN(gantt_Origin)=1,DAY(GanttStart+(COLUMN()-COLUMN(gantt_Origin)-1)*GanttPeriod)&lt;=GanttPeriod),TEXT(GanttStart+(COLUMN()-COLUMN(gantt_Origin)-1)*GanttPeriod,"mmm yy"),"")</f>
        <v/>
      </c>
      <c r="FG4" s="62" t="str">
        <f aca="false">IF(OR(COLUMN()-COLUMN(gantt_Origin)=1,DAY(GanttStart+(COLUMN()-COLUMN(gantt_Origin)-1)*GanttPeriod)&lt;=GanttPeriod),TEXT(GanttStart+(COLUMN()-COLUMN(gantt_Origin)-1)*GanttPeriod,"mmm yy"),"")</f>
        <v/>
      </c>
      <c r="FH4" s="62" t="str">
        <f aca="false">IF(OR(COLUMN()-COLUMN(gantt_Origin)=1,DAY(GanttStart+(COLUMN()-COLUMN(gantt_Origin)-1)*GanttPeriod)&lt;=GanttPeriod),TEXT(GanttStart+(COLUMN()-COLUMN(gantt_Origin)-1)*GanttPeriod,"mmm yy"),"")</f>
        <v/>
      </c>
      <c r="FI4" s="62" t="str">
        <f aca="false">IF(OR(COLUMN()-COLUMN(gantt_Origin)=1,DAY(GanttStart+(COLUMN()-COLUMN(gantt_Origin)-1)*GanttPeriod)&lt;=GanttPeriod),TEXT(GanttStart+(COLUMN()-COLUMN(gantt_Origin)-1)*GanttPeriod,"mmm yy"),"")</f>
        <v/>
      </c>
      <c r="FJ4" s="62" t="str">
        <f aca="false">IF(OR(COLUMN()-COLUMN(gantt_Origin)=1,DAY(GanttStart+(COLUMN()-COLUMN(gantt_Origin)-1)*GanttPeriod)&lt;=GanttPeriod),TEXT(GanttStart+(COLUMN()-COLUMN(gantt_Origin)-1)*GanttPeriod,"mmm yy"),"")</f>
        <v/>
      </c>
      <c r="FK4" s="62" t="str">
        <f aca="false">IF(OR(COLUMN()-COLUMN(gantt_Origin)=1,DAY(GanttStart+(COLUMN()-COLUMN(gantt_Origin)-1)*GanttPeriod)&lt;=GanttPeriod),TEXT(GanttStart+(COLUMN()-COLUMN(gantt_Origin)-1)*GanttPeriod,"mmm yy"),"")</f>
        <v/>
      </c>
      <c r="FL4" s="62" t="str">
        <f aca="false">IF(OR(COLUMN()-COLUMN(gantt_Origin)=1,DAY(GanttStart+(COLUMN()-COLUMN(gantt_Origin)-1)*GanttPeriod)&lt;=GanttPeriod),TEXT(GanttStart+(COLUMN()-COLUMN(gantt_Origin)-1)*GanttPeriod,"mmm yy"),"")</f>
        <v/>
      </c>
      <c r="FM4" s="62" t="str">
        <f aca="false">IF(OR(COLUMN()-COLUMN(gantt_Origin)=1,DAY(GanttStart+(COLUMN()-COLUMN(gantt_Origin)-1)*GanttPeriod)&lt;=GanttPeriod),TEXT(GanttStart+(COLUMN()-COLUMN(gantt_Origin)-1)*GanttPeriod,"mmm yy"),"")</f>
        <v/>
      </c>
      <c r="FN4" s="62" t="str">
        <f aca="false">IF(OR(COLUMN()-COLUMN(gantt_Origin)=1,DAY(GanttStart+(COLUMN()-COLUMN(gantt_Origin)-1)*GanttPeriod)&lt;=GanttPeriod),TEXT(GanttStart+(COLUMN()-COLUMN(gantt_Origin)-1)*GanttPeriod,"mmm yy"),"")</f>
        <v/>
      </c>
      <c r="FO4" s="62" t="str">
        <f aca="false">IF(OR(COLUMN()-COLUMN(gantt_Origin)=1,DAY(GanttStart+(COLUMN()-COLUMN(gantt_Origin)-1)*GanttPeriod)&lt;=GanttPeriod),TEXT(GanttStart+(COLUMN()-COLUMN(gantt_Origin)-1)*GanttPeriod,"mmm yy"),"")</f>
        <v/>
      </c>
      <c r="FP4" s="62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191</v>
      </c>
      <c r="B5" s="9" t="s">
        <v>193</v>
      </c>
      <c r="C5" s="9" t="s">
        <v>294</v>
      </c>
      <c r="D5" s="9" t="s">
        <v>295</v>
      </c>
      <c r="E5" s="9" t="s">
        <v>205</v>
      </c>
      <c r="F5" s="9" t="s">
        <v>206</v>
      </c>
      <c r="G5" s="9" t="s">
        <v>209</v>
      </c>
      <c r="H5" s="9" t="s">
        <v>210</v>
      </c>
      <c r="I5" s="9" t="s">
        <v>296</v>
      </c>
      <c r="J5" s="9" t="s">
        <v>221</v>
      </c>
      <c r="K5" s="9" t="s">
        <v>71</v>
      </c>
      <c r="L5" s="37" t="s">
        <v>240</v>
      </c>
      <c r="M5" s="37" t="s">
        <v>243</v>
      </c>
      <c r="N5" s="37" t="s">
        <v>297</v>
      </c>
      <c r="O5" s="37" t="s">
        <v>298</v>
      </c>
      <c r="P5" s="37" t="s">
        <v>299</v>
      </c>
      <c r="Q5" s="37" t="s">
        <v>300</v>
      </c>
      <c r="R5" s="37" t="s">
        <v>301</v>
      </c>
      <c r="S5" s="37" t="s">
        <v>302</v>
      </c>
      <c r="T5" s="37" t="s">
        <v>303</v>
      </c>
      <c r="U5" s="37" t="s">
        <v>304</v>
      </c>
      <c r="W5" s="63" t="n">
        <f aca="false">GanttStart+(COLUMN()-COLUMN(gantt_Origin)-1)*GanttPeriod</f>
        <v>-5</v>
      </c>
      <c r="X5" s="63" t="n">
        <f aca="false">GanttStart+(COLUMN()-COLUMN(gantt_Origin)-1)*GanttPeriod</f>
        <v>-4</v>
      </c>
      <c r="Y5" s="63" t="n">
        <f aca="false">GanttStart+(COLUMN()-COLUMN(gantt_Origin)-1)*GanttPeriod</f>
        <v>-3</v>
      </c>
      <c r="Z5" s="63" t="n">
        <f aca="false">GanttStart+(COLUMN()-COLUMN(gantt_Origin)-1)*GanttPeriod</f>
        <v>-2</v>
      </c>
      <c r="AA5" s="63" t="n">
        <f aca="false">GanttStart+(COLUMN()-COLUMN(gantt_Origin)-1)*GanttPeriod</f>
        <v>-1</v>
      </c>
      <c r="AB5" s="63" t="n">
        <f aca="false">GanttStart+(COLUMN()-COLUMN(gantt_Origin)-1)*GanttPeriod</f>
        <v>0</v>
      </c>
      <c r="AC5" s="63" t="n">
        <f aca="false">GanttStart+(COLUMN()-COLUMN(gantt_Origin)-1)*GanttPeriod</f>
        <v>1</v>
      </c>
      <c r="AD5" s="63" t="n">
        <f aca="false">GanttStart+(COLUMN()-COLUMN(gantt_Origin)-1)*GanttPeriod</f>
        <v>2</v>
      </c>
      <c r="AE5" s="63" t="n">
        <f aca="false">GanttStart+(COLUMN()-COLUMN(gantt_Origin)-1)*GanttPeriod</f>
        <v>3</v>
      </c>
      <c r="AF5" s="63" t="n">
        <f aca="false">GanttStart+(COLUMN()-COLUMN(gantt_Origin)-1)*GanttPeriod</f>
        <v>4</v>
      </c>
      <c r="AG5" s="63" t="n">
        <f aca="false">GanttStart+(COLUMN()-COLUMN(gantt_Origin)-1)*GanttPeriod</f>
        <v>5</v>
      </c>
      <c r="AH5" s="63" t="n">
        <f aca="false">GanttStart+(COLUMN()-COLUMN(gantt_Origin)-1)*GanttPeriod</f>
        <v>6</v>
      </c>
      <c r="AI5" s="63" t="n">
        <f aca="false">GanttStart+(COLUMN()-COLUMN(gantt_Origin)-1)*GanttPeriod</f>
        <v>7</v>
      </c>
      <c r="AJ5" s="63" t="n">
        <f aca="false">GanttStart+(COLUMN()-COLUMN(gantt_Origin)-1)*GanttPeriod</f>
        <v>8</v>
      </c>
      <c r="AK5" s="63" t="n">
        <f aca="false">GanttStart+(COLUMN()-COLUMN(gantt_Origin)-1)*GanttPeriod</f>
        <v>9</v>
      </c>
      <c r="AL5" s="63" t="n">
        <f aca="false">GanttStart+(COLUMN()-COLUMN(gantt_Origin)-1)*GanttPeriod</f>
        <v>10</v>
      </c>
      <c r="AM5" s="63" t="n">
        <f aca="false">GanttStart+(COLUMN()-COLUMN(gantt_Origin)-1)*GanttPeriod</f>
        <v>11</v>
      </c>
      <c r="AN5" s="63" t="n">
        <f aca="false">GanttStart+(COLUMN()-COLUMN(gantt_Origin)-1)*GanttPeriod</f>
        <v>12</v>
      </c>
      <c r="AO5" s="63" t="n">
        <f aca="false">GanttStart+(COLUMN()-COLUMN(gantt_Origin)-1)*GanttPeriod</f>
        <v>13</v>
      </c>
      <c r="AP5" s="63" t="n">
        <f aca="false">GanttStart+(COLUMN()-COLUMN(gantt_Origin)-1)*GanttPeriod</f>
        <v>14</v>
      </c>
      <c r="AQ5" s="63" t="n">
        <f aca="false">GanttStart+(COLUMN()-COLUMN(gantt_Origin)-1)*GanttPeriod</f>
        <v>15</v>
      </c>
      <c r="AR5" s="63" t="n">
        <f aca="false">GanttStart+(COLUMN()-COLUMN(gantt_Origin)-1)*GanttPeriod</f>
        <v>16</v>
      </c>
      <c r="AS5" s="63" t="n">
        <f aca="false">GanttStart+(COLUMN()-COLUMN(gantt_Origin)-1)*GanttPeriod</f>
        <v>17</v>
      </c>
      <c r="AT5" s="63" t="n">
        <f aca="false">GanttStart+(COLUMN()-COLUMN(gantt_Origin)-1)*GanttPeriod</f>
        <v>18</v>
      </c>
      <c r="AU5" s="63" t="n">
        <f aca="false">GanttStart+(COLUMN()-COLUMN(gantt_Origin)-1)*GanttPeriod</f>
        <v>19</v>
      </c>
      <c r="AV5" s="63" t="n">
        <f aca="false">GanttStart+(COLUMN()-COLUMN(gantt_Origin)-1)*GanttPeriod</f>
        <v>20</v>
      </c>
      <c r="AW5" s="63" t="n">
        <f aca="false">GanttStart+(COLUMN()-COLUMN(gantt_Origin)-1)*GanttPeriod</f>
        <v>21</v>
      </c>
      <c r="AX5" s="63" t="n">
        <f aca="false">GanttStart+(COLUMN()-COLUMN(gantt_Origin)-1)*GanttPeriod</f>
        <v>22</v>
      </c>
      <c r="AY5" s="63" t="n">
        <f aca="false">GanttStart+(COLUMN()-COLUMN(gantt_Origin)-1)*GanttPeriod</f>
        <v>23</v>
      </c>
      <c r="AZ5" s="63" t="n">
        <f aca="false">GanttStart+(COLUMN()-COLUMN(gantt_Origin)-1)*GanttPeriod</f>
        <v>24</v>
      </c>
      <c r="BA5" s="63" t="n">
        <f aca="false">GanttStart+(COLUMN()-COLUMN(gantt_Origin)-1)*GanttPeriod</f>
        <v>25</v>
      </c>
      <c r="BB5" s="63" t="n">
        <f aca="false">GanttStart+(COLUMN()-COLUMN(gantt_Origin)-1)*GanttPeriod</f>
        <v>26</v>
      </c>
      <c r="BC5" s="63" t="n">
        <f aca="false">GanttStart+(COLUMN()-COLUMN(gantt_Origin)-1)*GanttPeriod</f>
        <v>27</v>
      </c>
      <c r="BD5" s="63" t="n">
        <f aca="false">GanttStart+(COLUMN()-COLUMN(gantt_Origin)-1)*GanttPeriod</f>
        <v>28</v>
      </c>
      <c r="BE5" s="63" t="n">
        <f aca="false">GanttStart+(COLUMN()-COLUMN(gantt_Origin)-1)*GanttPeriod</f>
        <v>29</v>
      </c>
      <c r="BF5" s="63" t="n">
        <f aca="false">GanttStart+(COLUMN()-COLUMN(gantt_Origin)-1)*GanttPeriod</f>
        <v>30</v>
      </c>
      <c r="BG5" s="63" t="n">
        <f aca="false">GanttStart+(COLUMN()-COLUMN(gantt_Origin)-1)*GanttPeriod</f>
        <v>31</v>
      </c>
      <c r="BH5" s="63" t="n">
        <f aca="false">GanttStart+(COLUMN()-COLUMN(gantt_Origin)-1)*GanttPeriod</f>
        <v>32</v>
      </c>
      <c r="BI5" s="63" t="n">
        <f aca="false">GanttStart+(COLUMN()-COLUMN(gantt_Origin)-1)*GanttPeriod</f>
        <v>33</v>
      </c>
      <c r="BJ5" s="63" t="n">
        <f aca="false">GanttStart+(COLUMN()-COLUMN(gantt_Origin)-1)*GanttPeriod</f>
        <v>34</v>
      </c>
      <c r="BK5" s="63" t="n">
        <f aca="false">GanttStart+(COLUMN()-COLUMN(gantt_Origin)-1)*GanttPeriod</f>
        <v>35</v>
      </c>
      <c r="BL5" s="63" t="n">
        <f aca="false">GanttStart+(COLUMN()-COLUMN(gantt_Origin)-1)*GanttPeriod</f>
        <v>36</v>
      </c>
      <c r="BM5" s="63" t="n">
        <f aca="false">GanttStart+(COLUMN()-COLUMN(gantt_Origin)-1)*GanttPeriod</f>
        <v>37</v>
      </c>
      <c r="BN5" s="63" t="n">
        <f aca="false">GanttStart+(COLUMN()-COLUMN(gantt_Origin)-1)*GanttPeriod</f>
        <v>38</v>
      </c>
      <c r="BO5" s="63" t="n">
        <f aca="false">GanttStart+(COLUMN()-COLUMN(gantt_Origin)-1)*GanttPeriod</f>
        <v>39</v>
      </c>
      <c r="BP5" s="63" t="n">
        <f aca="false">GanttStart+(COLUMN()-COLUMN(gantt_Origin)-1)*GanttPeriod</f>
        <v>40</v>
      </c>
      <c r="BQ5" s="63" t="n">
        <f aca="false">GanttStart+(COLUMN()-COLUMN(gantt_Origin)-1)*GanttPeriod</f>
        <v>41</v>
      </c>
      <c r="BR5" s="63" t="n">
        <f aca="false">GanttStart+(COLUMN()-COLUMN(gantt_Origin)-1)*GanttPeriod</f>
        <v>42</v>
      </c>
      <c r="BS5" s="63" t="n">
        <f aca="false">GanttStart+(COLUMN()-COLUMN(gantt_Origin)-1)*GanttPeriod</f>
        <v>43</v>
      </c>
      <c r="BT5" s="63" t="n">
        <f aca="false">GanttStart+(COLUMN()-COLUMN(gantt_Origin)-1)*GanttPeriod</f>
        <v>44</v>
      </c>
      <c r="BU5" s="63" t="n">
        <f aca="false">GanttStart+(COLUMN()-COLUMN(gantt_Origin)-1)*GanttPeriod</f>
        <v>45</v>
      </c>
      <c r="BV5" s="63" t="n">
        <f aca="false">GanttStart+(COLUMN()-COLUMN(gantt_Origin)-1)*GanttPeriod</f>
        <v>46</v>
      </c>
      <c r="BW5" s="63" t="n">
        <f aca="false">GanttStart+(COLUMN()-COLUMN(gantt_Origin)-1)*GanttPeriod</f>
        <v>47</v>
      </c>
      <c r="BX5" s="63" t="n">
        <f aca="false">GanttStart+(COLUMN()-COLUMN(gantt_Origin)-1)*GanttPeriod</f>
        <v>48</v>
      </c>
      <c r="BY5" s="63" t="n">
        <f aca="false">GanttStart+(COLUMN()-COLUMN(gantt_Origin)-1)*GanttPeriod</f>
        <v>49</v>
      </c>
      <c r="BZ5" s="63" t="n">
        <f aca="false">GanttStart+(COLUMN()-COLUMN(gantt_Origin)-1)*GanttPeriod</f>
        <v>50</v>
      </c>
      <c r="CA5" s="63" t="n">
        <f aca="false">GanttStart+(COLUMN()-COLUMN(gantt_Origin)-1)*GanttPeriod</f>
        <v>51</v>
      </c>
      <c r="CB5" s="63" t="n">
        <f aca="false">GanttStart+(COLUMN()-COLUMN(gantt_Origin)-1)*GanttPeriod</f>
        <v>52</v>
      </c>
      <c r="CC5" s="63" t="n">
        <f aca="false">GanttStart+(COLUMN()-COLUMN(gantt_Origin)-1)*GanttPeriod</f>
        <v>53</v>
      </c>
      <c r="CD5" s="63" t="n">
        <f aca="false">GanttStart+(COLUMN()-COLUMN(gantt_Origin)-1)*GanttPeriod</f>
        <v>54</v>
      </c>
      <c r="CE5" s="63" t="n">
        <f aca="false">GanttStart+(COLUMN()-COLUMN(gantt_Origin)-1)*GanttPeriod</f>
        <v>55</v>
      </c>
      <c r="CF5" s="63" t="n">
        <f aca="false">GanttStart+(COLUMN()-COLUMN(gantt_Origin)-1)*GanttPeriod</f>
        <v>56</v>
      </c>
      <c r="CG5" s="63" t="n">
        <f aca="false">GanttStart+(COLUMN()-COLUMN(gantt_Origin)-1)*GanttPeriod</f>
        <v>57</v>
      </c>
      <c r="CH5" s="63" t="n">
        <f aca="false">GanttStart+(COLUMN()-COLUMN(gantt_Origin)-1)*GanttPeriod</f>
        <v>58</v>
      </c>
      <c r="CI5" s="63" t="n">
        <f aca="false">GanttStart+(COLUMN()-COLUMN(gantt_Origin)-1)*GanttPeriod</f>
        <v>59</v>
      </c>
      <c r="CJ5" s="63" t="n">
        <f aca="false">GanttStart+(COLUMN()-COLUMN(gantt_Origin)-1)*GanttPeriod</f>
        <v>60</v>
      </c>
      <c r="CK5" s="63" t="n">
        <f aca="false">GanttStart+(COLUMN()-COLUMN(gantt_Origin)-1)*GanttPeriod</f>
        <v>61</v>
      </c>
      <c r="CL5" s="63" t="n">
        <f aca="false">GanttStart+(COLUMN()-COLUMN(gantt_Origin)-1)*GanttPeriod</f>
        <v>62</v>
      </c>
      <c r="CM5" s="63" t="n">
        <f aca="false">GanttStart+(COLUMN()-COLUMN(gantt_Origin)-1)*GanttPeriod</f>
        <v>63</v>
      </c>
      <c r="CN5" s="63" t="n">
        <f aca="false">GanttStart+(COLUMN()-COLUMN(gantt_Origin)-1)*GanttPeriod</f>
        <v>64</v>
      </c>
      <c r="CO5" s="63" t="n">
        <f aca="false">GanttStart+(COLUMN()-COLUMN(gantt_Origin)-1)*GanttPeriod</f>
        <v>65</v>
      </c>
      <c r="CP5" s="63" t="n">
        <f aca="false">GanttStart+(COLUMN()-COLUMN(gantt_Origin)-1)*GanttPeriod</f>
        <v>66</v>
      </c>
      <c r="CQ5" s="63" t="n">
        <f aca="false">GanttStart+(COLUMN()-COLUMN(gantt_Origin)-1)*GanttPeriod</f>
        <v>67</v>
      </c>
      <c r="CR5" s="63" t="n">
        <f aca="false">GanttStart+(COLUMN()-COLUMN(gantt_Origin)-1)*GanttPeriod</f>
        <v>68</v>
      </c>
      <c r="CS5" s="63" t="n">
        <f aca="false">GanttStart+(COLUMN()-COLUMN(gantt_Origin)-1)*GanttPeriod</f>
        <v>69</v>
      </c>
      <c r="CT5" s="63" t="n">
        <f aca="false">GanttStart+(COLUMN()-COLUMN(gantt_Origin)-1)*GanttPeriod</f>
        <v>70</v>
      </c>
      <c r="CU5" s="63" t="n">
        <f aca="false">GanttStart+(COLUMN()-COLUMN(gantt_Origin)-1)*GanttPeriod</f>
        <v>71</v>
      </c>
      <c r="CV5" s="63" t="n">
        <f aca="false">GanttStart+(COLUMN()-COLUMN(gantt_Origin)-1)*GanttPeriod</f>
        <v>72</v>
      </c>
      <c r="CW5" s="63" t="n">
        <f aca="false">GanttStart+(COLUMN()-COLUMN(gantt_Origin)-1)*GanttPeriod</f>
        <v>73</v>
      </c>
      <c r="CX5" s="63" t="n">
        <f aca="false">GanttStart+(COLUMN()-COLUMN(gantt_Origin)-1)*GanttPeriod</f>
        <v>74</v>
      </c>
      <c r="CY5" s="63" t="n">
        <f aca="false">GanttStart+(COLUMN()-COLUMN(gantt_Origin)-1)*GanttPeriod</f>
        <v>75</v>
      </c>
      <c r="CZ5" s="63" t="n">
        <f aca="false">GanttStart+(COLUMN()-COLUMN(gantt_Origin)-1)*GanttPeriod</f>
        <v>76</v>
      </c>
      <c r="DA5" s="63" t="n">
        <f aca="false">GanttStart+(COLUMN()-COLUMN(gantt_Origin)-1)*GanttPeriod</f>
        <v>77</v>
      </c>
      <c r="DB5" s="63" t="n">
        <f aca="false">GanttStart+(COLUMN()-COLUMN(gantt_Origin)-1)*GanttPeriod</f>
        <v>78</v>
      </c>
      <c r="DC5" s="63" t="n">
        <f aca="false">GanttStart+(COLUMN()-COLUMN(gantt_Origin)-1)*GanttPeriod</f>
        <v>79</v>
      </c>
      <c r="DD5" s="63" t="n">
        <f aca="false">GanttStart+(COLUMN()-COLUMN(gantt_Origin)-1)*GanttPeriod</f>
        <v>80</v>
      </c>
      <c r="DE5" s="63" t="n">
        <f aca="false">GanttStart+(COLUMN()-COLUMN(gantt_Origin)-1)*GanttPeriod</f>
        <v>81</v>
      </c>
      <c r="DF5" s="63" t="n">
        <f aca="false">GanttStart+(COLUMN()-COLUMN(gantt_Origin)-1)*GanttPeriod</f>
        <v>82</v>
      </c>
      <c r="DG5" s="63" t="n">
        <f aca="false">GanttStart+(COLUMN()-COLUMN(gantt_Origin)-1)*GanttPeriod</f>
        <v>83</v>
      </c>
      <c r="DH5" s="63" t="n">
        <f aca="false">GanttStart+(COLUMN()-COLUMN(gantt_Origin)-1)*GanttPeriod</f>
        <v>84</v>
      </c>
      <c r="DI5" s="63" t="n">
        <f aca="false">GanttStart+(COLUMN()-COLUMN(gantt_Origin)-1)*GanttPeriod</f>
        <v>85</v>
      </c>
      <c r="DJ5" s="63" t="n">
        <f aca="false">GanttStart+(COLUMN()-COLUMN(gantt_Origin)-1)*GanttPeriod</f>
        <v>86</v>
      </c>
      <c r="DK5" s="63" t="n">
        <f aca="false">GanttStart+(COLUMN()-COLUMN(gantt_Origin)-1)*GanttPeriod</f>
        <v>87</v>
      </c>
      <c r="DL5" s="63" t="n">
        <f aca="false">GanttStart+(COLUMN()-COLUMN(gantt_Origin)-1)*GanttPeriod</f>
        <v>88</v>
      </c>
      <c r="DM5" s="63" t="n">
        <f aca="false">GanttStart+(COLUMN()-COLUMN(gantt_Origin)-1)*GanttPeriod</f>
        <v>89</v>
      </c>
      <c r="DN5" s="63" t="n">
        <f aca="false">GanttStart+(COLUMN()-COLUMN(gantt_Origin)-1)*GanttPeriod</f>
        <v>90</v>
      </c>
      <c r="DO5" s="63" t="n">
        <f aca="false">GanttStart+(COLUMN()-COLUMN(gantt_Origin)-1)*GanttPeriod</f>
        <v>91</v>
      </c>
      <c r="DP5" s="63" t="n">
        <f aca="false">GanttStart+(COLUMN()-COLUMN(gantt_Origin)-1)*GanttPeriod</f>
        <v>92</v>
      </c>
      <c r="DQ5" s="63" t="n">
        <f aca="false">GanttStart+(COLUMN()-COLUMN(gantt_Origin)-1)*GanttPeriod</f>
        <v>93</v>
      </c>
      <c r="DR5" s="63" t="n">
        <f aca="false">GanttStart+(COLUMN()-COLUMN(gantt_Origin)-1)*GanttPeriod</f>
        <v>94</v>
      </c>
      <c r="DS5" s="63" t="n">
        <f aca="false">GanttStart+(COLUMN()-COLUMN(gantt_Origin)-1)*GanttPeriod</f>
        <v>95</v>
      </c>
      <c r="DT5" s="63" t="n">
        <f aca="false">GanttStart+(COLUMN()-COLUMN(gantt_Origin)-1)*GanttPeriod</f>
        <v>96</v>
      </c>
      <c r="DU5" s="63" t="n">
        <f aca="false">GanttStart+(COLUMN()-COLUMN(gantt_Origin)-1)*GanttPeriod</f>
        <v>97</v>
      </c>
      <c r="DV5" s="63" t="n">
        <f aca="false">GanttStart+(COLUMN()-COLUMN(gantt_Origin)-1)*GanttPeriod</f>
        <v>98</v>
      </c>
      <c r="DW5" s="63" t="n">
        <f aca="false">GanttStart+(COLUMN()-COLUMN(gantt_Origin)-1)*GanttPeriod</f>
        <v>99</v>
      </c>
      <c r="DX5" s="63" t="n">
        <f aca="false">GanttStart+(COLUMN()-COLUMN(gantt_Origin)-1)*GanttPeriod</f>
        <v>100</v>
      </c>
      <c r="DY5" s="63" t="n">
        <f aca="false">GanttStart+(COLUMN()-COLUMN(gantt_Origin)-1)*GanttPeriod</f>
        <v>101</v>
      </c>
      <c r="DZ5" s="63" t="n">
        <f aca="false">GanttStart+(COLUMN()-COLUMN(gantt_Origin)-1)*GanttPeriod</f>
        <v>102</v>
      </c>
      <c r="EA5" s="63" t="n">
        <f aca="false">GanttStart+(COLUMN()-COLUMN(gantt_Origin)-1)*GanttPeriod</f>
        <v>103</v>
      </c>
      <c r="EB5" s="63" t="n">
        <f aca="false">GanttStart+(COLUMN()-COLUMN(gantt_Origin)-1)*GanttPeriod</f>
        <v>104</v>
      </c>
      <c r="EC5" s="63" t="n">
        <f aca="false">GanttStart+(COLUMN()-COLUMN(gantt_Origin)-1)*GanttPeriod</f>
        <v>105</v>
      </c>
      <c r="ED5" s="63" t="n">
        <f aca="false">GanttStart+(COLUMN()-COLUMN(gantt_Origin)-1)*GanttPeriod</f>
        <v>106</v>
      </c>
      <c r="EE5" s="63" t="n">
        <f aca="false">GanttStart+(COLUMN()-COLUMN(gantt_Origin)-1)*GanttPeriod</f>
        <v>107</v>
      </c>
      <c r="EF5" s="63" t="n">
        <f aca="false">GanttStart+(COLUMN()-COLUMN(gantt_Origin)-1)*GanttPeriod</f>
        <v>108</v>
      </c>
      <c r="EG5" s="63" t="n">
        <f aca="false">GanttStart+(COLUMN()-COLUMN(gantt_Origin)-1)*GanttPeriod</f>
        <v>109</v>
      </c>
      <c r="EH5" s="63" t="n">
        <f aca="false">GanttStart+(COLUMN()-COLUMN(gantt_Origin)-1)*GanttPeriod</f>
        <v>110</v>
      </c>
      <c r="EI5" s="63" t="n">
        <f aca="false">GanttStart+(COLUMN()-COLUMN(gantt_Origin)-1)*GanttPeriod</f>
        <v>111</v>
      </c>
      <c r="EJ5" s="63" t="n">
        <f aca="false">GanttStart+(COLUMN()-COLUMN(gantt_Origin)-1)*GanttPeriod</f>
        <v>112</v>
      </c>
      <c r="EK5" s="63" t="n">
        <f aca="false">GanttStart+(COLUMN()-COLUMN(gantt_Origin)-1)*GanttPeriod</f>
        <v>113</v>
      </c>
      <c r="EL5" s="63" t="n">
        <f aca="false">GanttStart+(COLUMN()-COLUMN(gantt_Origin)-1)*GanttPeriod</f>
        <v>114</v>
      </c>
      <c r="EM5" s="63" t="n">
        <f aca="false">GanttStart+(COLUMN()-COLUMN(gantt_Origin)-1)*GanttPeriod</f>
        <v>115</v>
      </c>
      <c r="EN5" s="63" t="n">
        <f aca="false">GanttStart+(COLUMN()-COLUMN(gantt_Origin)-1)*GanttPeriod</f>
        <v>116</v>
      </c>
      <c r="EO5" s="63" t="n">
        <f aca="false">GanttStart+(COLUMN()-COLUMN(gantt_Origin)-1)*GanttPeriod</f>
        <v>117</v>
      </c>
      <c r="EP5" s="63" t="n">
        <f aca="false">GanttStart+(COLUMN()-COLUMN(gantt_Origin)-1)*GanttPeriod</f>
        <v>118</v>
      </c>
      <c r="EQ5" s="63" t="n">
        <f aca="false">GanttStart+(COLUMN()-COLUMN(gantt_Origin)-1)*GanttPeriod</f>
        <v>119</v>
      </c>
      <c r="ER5" s="63" t="n">
        <f aca="false">GanttStart+(COLUMN()-COLUMN(gantt_Origin)-1)*GanttPeriod</f>
        <v>120</v>
      </c>
      <c r="ES5" s="63" t="n">
        <f aca="false">GanttStart+(COLUMN()-COLUMN(gantt_Origin)-1)*GanttPeriod</f>
        <v>121</v>
      </c>
      <c r="ET5" s="63" t="n">
        <f aca="false">GanttStart+(COLUMN()-COLUMN(gantt_Origin)-1)*GanttPeriod</f>
        <v>122</v>
      </c>
      <c r="EU5" s="63" t="n">
        <f aca="false">GanttStart+(COLUMN()-COLUMN(gantt_Origin)-1)*GanttPeriod</f>
        <v>123</v>
      </c>
      <c r="EV5" s="63" t="n">
        <f aca="false">GanttStart+(COLUMN()-COLUMN(gantt_Origin)-1)*GanttPeriod</f>
        <v>124</v>
      </c>
      <c r="EW5" s="63" t="n">
        <f aca="false">GanttStart+(COLUMN()-COLUMN(gantt_Origin)-1)*GanttPeriod</f>
        <v>125</v>
      </c>
      <c r="EX5" s="63" t="n">
        <f aca="false">GanttStart+(COLUMN()-COLUMN(gantt_Origin)-1)*GanttPeriod</f>
        <v>126</v>
      </c>
      <c r="EY5" s="63" t="n">
        <f aca="false">GanttStart+(COLUMN()-COLUMN(gantt_Origin)-1)*GanttPeriod</f>
        <v>127</v>
      </c>
      <c r="EZ5" s="63" t="n">
        <f aca="false">GanttStart+(COLUMN()-COLUMN(gantt_Origin)-1)*GanttPeriod</f>
        <v>128</v>
      </c>
      <c r="FA5" s="63" t="n">
        <f aca="false">GanttStart+(COLUMN()-COLUMN(gantt_Origin)-1)*GanttPeriod</f>
        <v>129</v>
      </c>
      <c r="FB5" s="63" t="n">
        <f aca="false">GanttStart+(COLUMN()-COLUMN(gantt_Origin)-1)*GanttPeriod</f>
        <v>130</v>
      </c>
      <c r="FC5" s="63" t="n">
        <f aca="false">GanttStart+(COLUMN()-COLUMN(gantt_Origin)-1)*GanttPeriod</f>
        <v>131</v>
      </c>
      <c r="FD5" s="63" t="n">
        <f aca="false">GanttStart+(COLUMN()-COLUMN(gantt_Origin)-1)*GanttPeriod</f>
        <v>132</v>
      </c>
      <c r="FE5" s="63" t="n">
        <f aca="false">GanttStart+(COLUMN()-COLUMN(gantt_Origin)-1)*GanttPeriod</f>
        <v>133</v>
      </c>
      <c r="FF5" s="63" t="n">
        <f aca="false">GanttStart+(COLUMN()-COLUMN(gantt_Origin)-1)*GanttPeriod</f>
        <v>134</v>
      </c>
      <c r="FG5" s="63" t="n">
        <f aca="false">GanttStart+(COLUMN()-COLUMN(gantt_Origin)-1)*GanttPeriod</f>
        <v>135</v>
      </c>
      <c r="FH5" s="63" t="n">
        <f aca="false">GanttStart+(COLUMN()-COLUMN(gantt_Origin)-1)*GanttPeriod</f>
        <v>136</v>
      </c>
      <c r="FI5" s="63" t="n">
        <f aca="false">GanttStart+(COLUMN()-COLUMN(gantt_Origin)-1)*GanttPeriod</f>
        <v>137</v>
      </c>
      <c r="FJ5" s="63" t="n">
        <f aca="false">GanttStart+(COLUMN()-COLUMN(gantt_Origin)-1)*GanttPeriod</f>
        <v>138</v>
      </c>
      <c r="FK5" s="63" t="n">
        <f aca="false">GanttStart+(COLUMN()-COLUMN(gantt_Origin)-1)*GanttPeriod</f>
        <v>139</v>
      </c>
      <c r="FL5" s="63" t="n">
        <f aca="false">GanttStart+(COLUMN()-COLUMN(gantt_Origin)-1)*GanttPeriod</f>
        <v>140</v>
      </c>
      <c r="FM5" s="63" t="n">
        <f aca="false">GanttStart+(COLUMN()-COLUMN(gantt_Origin)-1)*GanttPeriod</f>
        <v>141</v>
      </c>
      <c r="FN5" s="63" t="n">
        <f aca="false">GanttStart+(COLUMN()-COLUMN(gantt_Origin)-1)*GanttPeriod</f>
        <v>142</v>
      </c>
      <c r="FO5" s="63" t="n">
        <f aca="false">GanttStart+(COLUMN()-COLUMN(gantt_Origin)-1)*GanttPeriod</f>
        <v>143</v>
      </c>
      <c r="FP5" s="63" t="n">
        <f aca="false">GanttStart+(COLUMN()-COLUMN(gantt_Origin)-1)*GanttPeriod</f>
        <v>144</v>
      </c>
    </row>
    <row r="6" customFormat="false" ht="15" hidden="false" customHeight="false" outlineLevel="0" collapsed="false">
      <c r="A6" s="64" t="str">
        <f aca="false">IF(IFERROR(INDEX(tsk_Name,GanttView[[#This Row],[_Row]])="",TRUE()),"",INDEX(tsk_ID,GanttView[[#This Row],[_Row]]))</f>
        <v/>
      </c>
      <c r="B6" s="64" t="str">
        <f aca="false">IF(IFERROR(INDEX(tsk_Name,GanttView[[#This Row],[_Row]])="",TRUE()),"",INDEX(tsk_WBS,GanttView[[#This Row],[_Row]]))</f>
        <v/>
      </c>
      <c r="C6" s="65" t="str">
        <f aca="false">IF(IFERROR(INDEX(tsk_Name,GanttView[[#This Row],[_Row]])="",TRUE()),"",REPT("    ",INDEX(tsk_Level,GanttView[[#This Row],[_Row]])-1)&amp;INDEX(tsk_Name,GanttView[[#This Row],[_Row]]))</f>
        <v/>
      </c>
      <c r="D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" s="66" t="str">
        <f aca="false">IF(IFERROR(INDEX(tsk_Name,GanttView[[#This Row],[_Row]])="",TRUE()),"",INDEX(tsk_PlanStart,GanttView[[#This Row],[_Row]]))</f>
        <v/>
      </c>
      <c r="F6" s="66" t="str">
        <f aca="false">IF(IFERROR(INDEX(tsk_Name,GanttView[[#This Row],[_Row]])="",TRUE()),"",INDEX(tsk_PlanFinish,GanttView[[#This Row],[_Row]]))</f>
        <v/>
      </c>
      <c r="G6" s="66" t="str">
        <f aca="false">IF(IFERROR(INDEX(tsk_Name,GanttView[[#This Row],[_Row]])="",TRUE()),"",INDEX(tsk_FcStart,GanttView[[#This Row],[_Row]]))</f>
        <v/>
      </c>
      <c r="H6" s="66" t="str">
        <f aca="false">IF(IFERROR(INDEX(tsk_Name,GanttView[[#This Row],[_Row]])="",TRUE()),"",INDEX(tsk_FcFinish,GanttView[[#This Row],[_Row]]))</f>
        <v/>
      </c>
      <c r="I6" s="67" t="str">
        <f aca="false">IF(IFERROR(INDEX(tsk_Name,GanttView[[#This Row],[_Row]])="",TRUE()),"",INDEX(tsk_Progress,GanttView[[#This Row],[_Row]]))</f>
        <v/>
      </c>
      <c r="J6" s="65" t="str">
        <f aca="false">IF(IFERROR(INDEX(tsk_Name,GanttView[[#This Row],[_Row]])="",TRUE()),"",INDEX(tsk_Resource,GanttView[[#This Row],[_Row]])&amp;"")</f>
        <v/>
      </c>
      <c r="K6" s="64" t="str">
        <f aca="false">IF(IFERROR(INDEX(tsk_Name,GanttView[[#This Row],[_Row]])="",TRUE()),"",INDEX(tsk_Status,GanttView[[#This Row],[_Row]]))</f>
        <v/>
      </c>
      <c r="L6" s="68" t="n">
        <f aca="false">ROW()-ROW(GanttView[[#Headers],[ID]])</f>
        <v>1</v>
      </c>
      <c r="M6" s="69" t="b">
        <f aca="false">IF(IFERROR(INDEX(tsk_Name,GanttView[[#This Row],[_Row]])="",TRUE()),FALSE(),INDEX(tsk_IsSummary,GanttView[[#This Row],[_Row]]))</f>
        <v>0</v>
      </c>
      <c r="N6" s="69" t="b">
        <f aca="false">IF(IFERROR(INDEX(tsk_Name,GanttView[[#This Row],[_Row]])="",TRUE()),FALSE(),AND(INDEX(tsk_IsLeaf,GanttView[[#This Row],[_Row]])=1,N(INDEX(tsk_Duration,GanttView[[#This Row],[_Row]]))=0))</f>
        <v>0</v>
      </c>
      <c r="O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70" t="n">
        <f aca="false">IF(GanttView[[#This Row],[_RemFrom]]=0,0,GanttView[[#This Row],[Forecast Finish]])</f>
        <v>0</v>
      </c>
      <c r="S6" s="69" t="b">
        <f aca="false">IF(IFERROR(INDEX(tsk_Name,GanttView[[#This Row],[_Row]])="",TRUE()),FALSE(),N(INDEX(tsk_Variance,GanttView[[#This Row],[_Row]]))&gt;0)</f>
        <v>0</v>
      </c>
      <c r="T6" s="70" t="n">
        <f aca="false">IF(IFERROR(INDEX(tsk_Name,GanttView[[#This Row],[_Row]])="",TRUE()),0,N(INDEX(tsk_Deadline,GanttView[[#This Row],[_Row]])))</f>
        <v>0</v>
      </c>
      <c r="U6" s="69" t="b">
        <f aca="false">IF(IFERROR(INDEX(tsk_Name,GanttView[[#This Row],[_Row]])="",TRUE()),FALSE(),INDEX(tsk_Critical,GanttView[[#This Row],[_Row]])="Yes")</f>
        <v>0</v>
      </c>
    </row>
    <row r="7" customFormat="false" ht="15" hidden="false" customHeight="false" outlineLevel="0" collapsed="false">
      <c r="A7" s="64" t="str">
        <f aca="false">IF(IFERROR(INDEX(tsk_Name,GanttView[[#This Row],[_Row]])="",TRUE()),"",INDEX(tsk_ID,GanttView[[#This Row],[_Row]]))</f>
        <v/>
      </c>
      <c r="B7" s="64" t="str">
        <f aca="false">IF(IFERROR(INDEX(tsk_Name,GanttView[[#This Row],[_Row]])="",TRUE()),"",INDEX(tsk_WBS,GanttView[[#This Row],[_Row]]))</f>
        <v/>
      </c>
      <c r="C7" s="65" t="str">
        <f aca="false">IF(IFERROR(INDEX(tsk_Name,GanttView[[#This Row],[_Row]])="",TRUE()),"",REPT("    ",INDEX(tsk_Level,GanttView[[#This Row],[_Row]])-1)&amp;INDEX(tsk_Name,GanttView[[#This Row],[_Row]]))</f>
        <v/>
      </c>
      <c r="D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" s="66" t="str">
        <f aca="false">IF(IFERROR(INDEX(tsk_Name,GanttView[[#This Row],[_Row]])="",TRUE()),"",INDEX(tsk_PlanStart,GanttView[[#This Row],[_Row]]))</f>
        <v/>
      </c>
      <c r="F7" s="66" t="str">
        <f aca="false">IF(IFERROR(INDEX(tsk_Name,GanttView[[#This Row],[_Row]])="",TRUE()),"",INDEX(tsk_PlanFinish,GanttView[[#This Row],[_Row]]))</f>
        <v/>
      </c>
      <c r="G7" s="66" t="str">
        <f aca="false">IF(IFERROR(INDEX(tsk_Name,GanttView[[#This Row],[_Row]])="",TRUE()),"",INDEX(tsk_FcStart,GanttView[[#This Row],[_Row]]))</f>
        <v/>
      </c>
      <c r="H7" s="66" t="str">
        <f aca="false">IF(IFERROR(INDEX(tsk_Name,GanttView[[#This Row],[_Row]])="",TRUE()),"",INDEX(tsk_FcFinish,GanttView[[#This Row],[_Row]]))</f>
        <v/>
      </c>
      <c r="I7" s="67" t="str">
        <f aca="false">IF(IFERROR(INDEX(tsk_Name,GanttView[[#This Row],[_Row]])="",TRUE()),"",INDEX(tsk_Progress,GanttView[[#This Row],[_Row]]))</f>
        <v/>
      </c>
      <c r="J7" s="65" t="str">
        <f aca="false">IF(IFERROR(INDEX(tsk_Name,GanttView[[#This Row],[_Row]])="",TRUE()),"",INDEX(tsk_Resource,GanttView[[#This Row],[_Row]])&amp;"")</f>
        <v/>
      </c>
      <c r="K7" s="64" t="str">
        <f aca="false">IF(IFERROR(INDEX(tsk_Name,GanttView[[#This Row],[_Row]])="",TRUE()),"",INDEX(tsk_Status,GanttView[[#This Row],[_Row]]))</f>
        <v/>
      </c>
      <c r="L7" s="68" t="n">
        <f aca="false">ROW()-ROW(GanttView[[#Headers],[ID]])</f>
        <v>2</v>
      </c>
      <c r="M7" s="69" t="b">
        <f aca="false">IF(IFERROR(INDEX(tsk_Name,GanttView[[#This Row],[_Row]])="",TRUE()),FALSE(),INDEX(tsk_IsSummary,GanttView[[#This Row],[_Row]]))</f>
        <v>0</v>
      </c>
      <c r="N7" s="69" t="b">
        <f aca="false">IF(IFERROR(INDEX(tsk_Name,GanttView[[#This Row],[_Row]])="",TRUE()),FALSE(),AND(INDEX(tsk_IsLeaf,GanttView[[#This Row],[_Row]])=1,N(INDEX(tsk_Duration,GanttView[[#This Row],[_Row]]))=0))</f>
        <v>0</v>
      </c>
      <c r="O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70" t="n">
        <f aca="false">IF(GanttView[[#This Row],[_RemFrom]]=0,0,GanttView[[#This Row],[Forecast Finish]])</f>
        <v>0</v>
      </c>
      <c r="S7" s="69" t="b">
        <f aca="false">IF(IFERROR(INDEX(tsk_Name,GanttView[[#This Row],[_Row]])="",TRUE()),FALSE(),N(INDEX(tsk_Variance,GanttView[[#This Row],[_Row]]))&gt;0)</f>
        <v>0</v>
      </c>
      <c r="T7" s="70" t="n">
        <f aca="false">IF(IFERROR(INDEX(tsk_Name,GanttView[[#This Row],[_Row]])="",TRUE()),0,N(INDEX(tsk_Deadline,GanttView[[#This Row],[_Row]])))</f>
        <v>0</v>
      </c>
      <c r="U7" s="69" t="b">
        <f aca="false">IF(IFERROR(INDEX(tsk_Name,GanttView[[#This Row],[_Row]])="",TRUE()),FALSE(),INDEX(tsk_Critical,GanttView[[#This Row],[_Row]])="Yes")</f>
        <v>0</v>
      </c>
    </row>
    <row r="8" customFormat="false" ht="15" hidden="false" customHeight="false" outlineLevel="0" collapsed="false">
      <c r="A8" s="64" t="str">
        <f aca="false">IF(IFERROR(INDEX(tsk_Name,GanttView[[#This Row],[_Row]])="",TRUE()),"",INDEX(tsk_ID,GanttView[[#This Row],[_Row]]))</f>
        <v/>
      </c>
      <c r="B8" s="64" t="str">
        <f aca="false">IF(IFERROR(INDEX(tsk_Name,GanttView[[#This Row],[_Row]])="",TRUE()),"",INDEX(tsk_WBS,GanttView[[#This Row],[_Row]]))</f>
        <v/>
      </c>
      <c r="C8" s="65" t="str">
        <f aca="false">IF(IFERROR(INDEX(tsk_Name,GanttView[[#This Row],[_Row]])="",TRUE()),"",REPT("    ",INDEX(tsk_Level,GanttView[[#This Row],[_Row]])-1)&amp;INDEX(tsk_Name,GanttView[[#This Row],[_Row]]))</f>
        <v/>
      </c>
      <c r="D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" s="66" t="str">
        <f aca="false">IF(IFERROR(INDEX(tsk_Name,GanttView[[#This Row],[_Row]])="",TRUE()),"",INDEX(tsk_PlanStart,GanttView[[#This Row],[_Row]]))</f>
        <v/>
      </c>
      <c r="F8" s="66" t="str">
        <f aca="false">IF(IFERROR(INDEX(tsk_Name,GanttView[[#This Row],[_Row]])="",TRUE()),"",INDEX(tsk_PlanFinish,GanttView[[#This Row],[_Row]]))</f>
        <v/>
      </c>
      <c r="G8" s="66" t="str">
        <f aca="false">IF(IFERROR(INDEX(tsk_Name,GanttView[[#This Row],[_Row]])="",TRUE()),"",INDEX(tsk_FcStart,GanttView[[#This Row],[_Row]]))</f>
        <v/>
      </c>
      <c r="H8" s="66" t="str">
        <f aca="false">IF(IFERROR(INDEX(tsk_Name,GanttView[[#This Row],[_Row]])="",TRUE()),"",INDEX(tsk_FcFinish,GanttView[[#This Row],[_Row]]))</f>
        <v/>
      </c>
      <c r="I8" s="67" t="str">
        <f aca="false">IF(IFERROR(INDEX(tsk_Name,GanttView[[#This Row],[_Row]])="",TRUE()),"",INDEX(tsk_Progress,GanttView[[#This Row],[_Row]]))</f>
        <v/>
      </c>
      <c r="J8" s="65" t="str">
        <f aca="false">IF(IFERROR(INDEX(tsk_Name,GanttView[[#This Row],[_Row]])="",TRUE()),"",INDEX(tsk_Resource,GanttView[[#This Row],[_Row]])&amp;"")</f>
        <v/>
      </c>
      <c r="K8" s="64" t="str">
        <f aca="false">IF(IFERROR(INDEX(tsk_Name,GanttView[[#This Row],[_Row]])="",TRUE()),"",INDEX(tsk_Status,GanttView[[#This Row],[_Row]]))</f>
        <v/>
      </c>
      <c r="L8" s="68" t="n">
        <f aca="false">ROW()-ROW(GanttView[[#Headers],[ID]])</f>
        <v>3</v>
      </c>
      <c r="M8" s="69" t="b">
        <f aca="false">IF(IFERROR(INDEX(tsk_Name,GanttView[[#This Row],[_Row]])="",TRUE()),FALSE(),INDEX(tsk_IsSummary,GanttView[[#This Row],[_Row]]))</f>
        <v>0</v>
      </c>
      <c r="N8" s="69" t="b">
        <f aca="false">IF(IFERROR(INDEX(tsk_Name,GanttView[[#This Row],[_Row]])="",TRUE()),FALSE(),AND(INDEX(tsk_IsLeaf,GanttView[[#This Row],[_Row]])=1,N(INDEX(tsk_Duration,GanttView[[#This Row],[_Row]]))=0))</f>
        <v>0</v>
      </c>
      <c r="O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70" t="n">
        <f aca="false">IF(GanttView[[#This Row],[_RemFrom]]=0,0,GanttView[[#This Row],[Forecast Finish]])</f>
        <v>0</v>
      </c>
      <c r="S8" s="69" t="b">
        <f aca="false">IF(IFERROR(INDEX(tsk_Name,GanttView[[#This Row],[_Row]])="",TRUE()),FALSE(),N(INDEX(tsk_Variance,GanttView[[#This Row],[_Row]]))&gt;0)</f>
        <v>0</v>
      </c>
      <c r="T8" s="70" t="n">
        <f aca="false">IF(IFERROR(INDEX(tsk_Name,GanttView[[#This Row],[_Row]])="",TRUE()),0,N(INDEX(tsk_Deadline,GanttView[[#This Row],[_Row]])))</f>
        <v>0</v>
      </c>
      <c r="U8" s="69" t="b">
        <f aca="false">IF(IFERROR(INDEX(tsk_Name,GanttView[[#This Row],[_Row]])="",TRUE()),FALSE(),INDEX(tsk_Critical,GanttView[[#This Row],[_Row]])="Yes")</f>
        <v>0</v>
      </c>
    </row>
    <row r="9" customFormat="false" ht="15" hidden="false" customHeight="false" outlineLevel="0" collapsed="false">
      <c r="A9" s="64" t="str">
        <f aca="false">IF(IFERROR(INDEX(tsk_Name,GanttView[[#This Row],[_Row]])="",TRUE()),"",INDEX(tsk_ID,GanttView[[#This Row],[_Row]]))</f>
        <v/>
      </c>
      <c r="B9" s="64" t="str">
        <f aca="false">IF(IFERROR(INDEX(tsk_Name,GanttView[[#This Row],[_Row]])="",TRUE()),"",INDEX(tsk_WBS,GanttView[[#This Row],[_Row]]))</f>
        <v/>
      </c>
      <c r="C9" s="65" t="str">
        <f aca="false">IF(IFERROR(INDEX(tsk_Name,GanttView[[#This Row],[_Row]])="",TRUE()),"",REPT("    ",INDEX(tsk_Level,GanttView[[#This Row],[_Row]])-1)&amp;INDEX(tsk_Name,GanttView[[#This Row],[_Row]]))</f>
        <v/>
      </c>
      <c r="D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" s="66" t="str">
        <f aca="false">IF(IFERROR(INDEX(tsk_Name,GanttView[[#This Row],[_Row]])="",TRUE()),"",INDEX(tsk_PlanStart,GanttView[[#This Row],[_Row]]))</f>
        <v/>
      </c>
      <c r="F9" s="66" t="str">
        <f aca="false">IF(IFERROR(INDEX(tsk_Name,GanttView[[#This Row],[_Row]])="",TRUE()),"",INDEX(tsk_PlanFinish,GanttView[[#This Row],[_Row]]))</f>
        <v/>
      </c>
      <c r="G9" s="66" t="str">
        <f aca="false">IF(IFERROR(INDEX(tsk_Name,GanttView[[#This Row],[_Row]])="",TRUE()),"",INDEX(tsk_FcStart,GanttView[[#This Row],[_Row]]))</f>
        <v/>
      </c>
      <c r="H9" s="66" t="str">
        <f aca="false">IF(IFERROR(INDEX(tsk_Name,GanttView[[#This Row],[_Row]])="",TRUE()),"",INDEX(tsk_FcFinish,GanttView[[#This Row],[_Row]]))</f>
        <v/>
      </c>
      <c r="I9" s="67" t="str">
        <f aca="false">IF(IFERROR(INDEX(tsk_Name,GanttView[[#This Row],[_Row]])="",TRUE()),"",INDEX(tsk_Progress,GanttView[[#This Row],[_Row]]))</f>
        <v/>
      </c>
      <c r="J9" s="65" t="str">
        <f aca="false">IF(IFERROR(INDEX(tsk_Name,GanttView[[#This Row],[_Row]])="",TRUE()),"",INDEX(tsk_Resource,GanttView[[#This Row],[_Row]])&amp;"")</f>
        <v/>
      </c>
      <c r="K9" s="64" t="str">
        <f aca="false">IF(IFERROR(INDEX(tsk_Name,GanttView[[#This Row],[_Row]])="",TRUE()),"",INDEX(tsk_Status,GanttView[[#This Row],[_Row]]))</f>
        <v/>
      </c>
      <c r="L9" s="68" t="n">
        <f aca="false">ROW()-ROW(GanttView[[#Headers],[ID]])</f>
        <v>4</v>
      </c>
      <c r="M9" s="69" t="b">
        <f aca="false">IF(IFERROR(INDEX(tsk_Name,GanttView[[#This Row],[_Row]])="",TRUE()),FALSE(),INDEX(tsk_IsSummary,GanttView[[#This Row],[_Row]]))</f>
        <v>0</v>
      </c>
      <c r="N9" s="69" t="b">
        <f aca="false">IF(IFERROR(INDEX(tsk_Name,GanttView[[#This Row],[_Row]])="",TRUE()),FALSE(),AND(INDEX(tsk_IsLeaf,GanttView[[#This Row],[_Row]])=1,N(INDEX(tsk_Duration,GanttView[[#This Row],[_Row]]))=0))</f>
        <v>0</v>
      </c>
      <c r="O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70" t="n">
        <f aca="false">IF(GanttView[[#This Row],[_RemFrom]]=0,0,GanttView[[#This Row],[Forecast Finish]])</f>
        <v>0</v>
      </c>
      <c r="S9" s="69" t="b">
        <f aca="false">IF(IFERROR(INDEX(tsk_Name,GanttView[[#This Row],[_Row]])="",TRUE()),FALSE(),N(INDEX(tsk_Variance,GanttView[[#This Row],[_Row]]))&gt;0)</f>
        <v>0</v>
      </c>
      <c r="T9" s="70" t="n">
        <f aca="false">IF(IFERROR(INDEX(tsk_Name,GanttView[[#This Row],[_Row]])="",TRUE()),0,N(INDEX(tsk_Deadline,GanttView[[#This Row],[_Row]])))</f>
        <v>0</v>
      </c>
      <c r="U9" s="69" t="b">
        <f aca="false">IF(IFERROR(INDEX(tsk_Name,GanttView[[#This Row],[_Row]])="",TRUE()),FALSE(),INDEX(tsk_Critical,GanttView[[#This Row],[_Row]])="Yes")</f>
        <v>0</v>
      </c>
    </row>
    <row r="10" customFormat="false" ht="15" hidden="false" customHeight="false" outlineLevel="0" collapsed="false">
      <c r="A10" s="64" t="str">
        <f aca="false">IF(IFERROR(INDEX(tsk_Name,GanttView[[#This Row],[_Row]])="",TRUE()),"",INDEX(tsk_ID,GanttView[[#This Row],[_Row]]))</f>
        <v/>
      </c>
      <c r="B10" s="64" t="str">
        <f aca="false">IF(IFERROR(INDEX(tsk_Name,GanttView[[#This Row],[_Row]])="",TRUE()),"",INDEX(tsk_WBS,GanttView[[#This Row],[_Row]]))</f>
        <v/>
      </c>
      <c r="C10" s="65" t="str">
        <f aca="false">IF(IFERROR(INDEX(tsk_Name,GanttView[[#This Row],[_Row]])="",TRUE()),"",REPT("    ",INDEX(tsk_Level,GanttView[[#This Row],[_Row]])-1)&amp;INDEX(tsk_Name,GanttView[[#This Row],[_Row]]))</f>
        <v/>
      </c>
      <c r="D1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" s="66" t="str">
        <f aca="false">IF(IFERROR(INDEX(tsk_Name,GanttView[[#This Row],[_Row]])="",TRUE()),"",INDEX(tsk_PlanStart,GanttView[[#This Row],[_Row]]))</f>
        <v/>
      </c>
      <c r="F10" s="66" t="str">
        <f aca="false">IF(IFERROR(INDEX(tsk_Name,GanttView[[#This Row],[_Row]])="",TRUE()),"",INDEX(tsk_PlanFinish,GanttView[[#This Row],[_Row]]))</f>
        <v/>
      </c>
      <c r="G10" s="66" t="str">
        <f aca="false">IF(IFERROR(INDEX(tsk_Name,GanttView[[#This Row],[_Row]])="",TRUE()),"",INDEX(tsk_FcStart,GanttView[[#This Row],[_Row]]))</f>
        <v/>
      </c>
      <c r="H10" s="66" t="str">
        <f aca="false">IF(IFERROR(INDEX(tsk_Name,GanttView[[#This Row],[_Row]])="",TRUE()),"",INDEX(tsk_FcFinish,GanttView[[#This Row],[_Row]]))</f>
        <v/>
      </c>
      <c r="I10" s="67" t="str">
        <f aca="false">IF(IFERROR(INDEX(tsk_Name,GanttView[[#This Row],[_Row]])="",TRUE()),"",INDEX(tsk_Progress,GanttView[[#This Row],[_Row]]))</f>
        <v/>
      </c>
      <c r="J10" s="65" t="str">
        <f aca="false">IF(IFERROR(INDEX(tsk_Name,GanttView[[#This Row],[_Row]])="",TRUE()),"",INDEX(tsk_Resource,GanttView[[#This Row],[_Row]])&amp;"")</f>
        <v/>
      </c>
      <c r="K10" s="64" t="str">
        <f aca="false">IF(IFERROR(INDEX(tsk_Name,GanttView[[#This Row],[_Row]])="",TRUE()),"",INDEX(tsk_Status,GanttView[[#This Row],[_Row]]))</f>
        <v/>
      </c>
      <c r="L10" s="68" t="n">
        <f aca="false">ROW()-ROW(GanttView[[#Headers],[ID]])</f>
        <v>5</v>
      </c>
      <c r="M10" s="69" t="b">
        <f aca="false">IF(IFERROR(INDEX(tsk_Name,GanttView[[#This Row],[_Row]])="",TRUE()),FALSE(),INDEX(tsk_IsSummary,GanttView[[#This Row],[_Row]]))</f>
        <v>0</v>
      </c>
      <c r="N10" s="69" t="b">
        <f aca="false">IF(IFERROR(INDEX(tsk_Name,GanttView[[#This Row],[_Row]])="",TRUE()),FALSE(),AND(INDEX(tsk_IsLeaf,GanttView[[#This Row],[_Row]])=1,N(INDEX(tsk_Duration,GanttView[[#This Row],[_Row]]))=0))</f>
        <v>0</v>
      </c>
      <c r="O1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70" t="n">
        <f aca="false">IF(GanttView[[#This Row],[_RemFrom]]=0,0,GanttView[[#This Row],[Forecast Finish]])</f>
        <v>0</v>
      </c>
      <c r="S10" s="69" t="b">
        <f aca="false">IF(IFERROR(INDEX(tsk_Name,GanttView[[#This Row],[_Row]])="",TRUE()),FALSE(),N(INDEX(tsk_Variance,GanttView[[#This Row],[_Row]]))&gt;0)</f>
        <v>0</v>
      </c>
      <c r="T10" s="70" t="n">
        <f aca="false">IF(IFERROR(INDEX(tsk_Name,GanttView[[#This Row],[_Row]])="",TRUE()),0,N(INDEX(tsk_Deadline,GanttView[[#This Row],[_Row]])))</f>
        <v>0</v>
      </c>
      <c r="U10" s="69" t="b">
        <f aca="false">IF(IFERROR(INDEX(tsk_Name,GanttView[[#This Row],[_Row]])="",TRUE()),FALSE(),INDEX(tsk_Critical,GanttView[[#This Row],[_Row]])="Yes")</f>
        <v>0</v>
      </c>
    </row>
    <row r="11" customFormat="false" ht="15" hidden="false" customHeight="false" outlineLevel="0" collapsed="false">
      <c r="A11" s="64" t="str">
        <f aca="false">IF(IFERROR(INDEX(tsk_Name,GanttView[[#This Row],[_Row]])="",TRUE()),"",INDEX(tsk_ID,GanttView[[#This Row],[_Row]]))</f>
        <v/>
      </c>
      <c r="B11" s="64" t="str">
        <f aca="false">IF(IFERROR(INDEX(tsk_Name,GanttView[[#This Row],[_Row]])="",TRUE()),"",INDEX(tsk_WBS,GanttView[[#This Row],[_Row]]))</f>
        <v/>
      </c>
      <c r="C11" s="65" t="str">
        <f aca="false">IF(IFERROR(INDEX(tsk_Name,GanttView[[#This Row],[_Row]])="",TRUE()),"",REPT("    ",INDEX(tsk_Level,GanttView[[#This Row],[_Row]])-1)&amp;INDEX(tsk_Name,GanttView[[#This Row],[_Row]]))</f>
        <v/>
      </c>
      <c r="D1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" s="66" t="str">
        <f aca="false">IF(IFERROR(INDEX(tsk_Name,GanttView[[#This Row],[_Row]])="",TRUE()),"",INDEX(tsk_PlanStart,GanttView[[#This Row],[_Row]]))</f>
        <v/>
      </c>
      <c r="F11" s="66" t="str">
        <f aca="false">IF(IFERROR(INDEX(tsk_Name,GanttView[[#This Row],[_Row]])="",TRUE()),"",INDEX(tsk_PlanFinish,GanttView[[#This Row],[_Row]]))</f>
        <v/>
      </c>
      <c r="G11" s="66" t="str">
        <f aca="false">IF(IFERROR(INDEX(tsk_Name,GanttView[[#This Row],[_Row]])="",TRUE()),"",INDEX(tsk_FcStart,GanttView[[#This Row],[_Row]]))</f>
        <v/>
      </c>
      <c r="H11" s="66" t="str">
        <f aca="false">IF(IFERROR(INDEX(tsk_Name,GanttView[[#This Row],[_Row]])="",TRUE()),"",INDEX(tsk_FcFinish,GanttView[[#This Row],[_Row]]))</f>
        <v/>
      </c>
      <c r="I11" s="67" t="str">
        <f aca="false">IF(IFERROR(INDEX(tsk_Name,GanttView[[#This Row],[_Row]])="",TRUE()),"",INDEX(tsk_Progress,GanttView[[#This Row],[_Row]]))</f>
        <v/>
      </c>
      <c r="J11" s="65" t="str">
        <f aca="false">IF(IFERROR(INDEX(tsk_Name,GanttView[[#This Row],[_Row]])="",TRUE()),"",INDEX(tsk_Resource,GanttView[[#This Row],[_Row]])&amp;"")</f>
        <v/>
      </c>
      <c r="K11" s="64" t="str">
        <f aca="false">IF(IFERROR(INDEX(tsk_Name,GanttView[[#This Row],[_Row]])="",TRUE()),"",INDEX(tsk_Status,GanttView[[#This Row],[_Row]]))</f>
        <v/>
      </c>
      <c r="L11" s="68" t="n">
        <f aca="false">ROW()-ROW(GanttView[[#Headers],[ID]])</f>
        <v>6</v>
      </c>
      <c r="M11" s="69" t="b">
        <f aca="false">IF(IFERROR(INDEX(tsk_Name,GanttView[[#This Row],[_Row]])="",TRUE()),FALSE(),INDEX(tsk_IsSummary,GanttView[[#This Row],[_Row]]))</f>
        <v>0</v>
      </c>
      <c r="N11" s="69" t="b">
        <f aca="false">IF(IFERROR(INDEX(tsk_Name,GanttView[[#This Row],[_Row]])="",TRUE()),FALSE(),AND(INDEX(tsk_IsLeaf,GanttView[[#This Row],[_Row]])=1,N(INDEX(tsk_Duration,GanttView[[#This Row],[_Row]]))=0))</f>
        <v>0</v>
      </c>
      <c r="O1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70" t="n">
        <f aca="false">IF(GanttView[[#This Row],[_RemFrom]]=0,0,GanttView[[#This Row],[Forecast Finish]])</f>
        <v>0</v>
      </c>
      <c r="S11" s="69" t="b">
        <f aca="false">IF(IFERROR(INDEX(tsk_Name,GanttView[[#This Row],[_Row]])="",TRUE()),FALSE(),N(INDEX(tsk_Variance,GanttView[[#This Row],[_Row]]))&gt;0)</f>
        <v>0</v>
      </c>
      <c r="T11" s="70" t="n">
        <f aca="false">IF(IFERROR(INDEX(tsk_Name,GanttView[[#This Row],[_Row]])="",TRUE()),0,N(INDEX(tsk_Deadline,GanttView[[#This Row],[_Row]])))</f>
        <v>0</v>
      </c>
      <c r="U11" s="69" t="b">
        <f aca="false">IF(IFERROR(INDEX(tsk_Name,GanttView[[#This Row],[_Row]])="",TRUE()),FALSE(),INDEX(tsk_Critical,GanttView[[#This Row],[_Row]])="Yes")</f>
        <v>0</v>
      </c>
    </row>
    <row r="12" customFormat="false" ht="15" hidden="false" customHeight="false" outlineLevel="0" collapsed="false">
      <c r="A12" s="64" t="str">
        <f aca="false">IF(IFERROR(INDEX(tsk_Name,GanttView[[#This Row],[_Row]])="",TRUE()),"",INDEX(tsk_ID,GanttView[[#This Row],[_Row]]))</f>
        <v/>
      </c>
      <c r="B12" s="64" t="str">
        <f aca="false">IF(IFERROR(INDEX(tsk_Name,GanttView[[#This Row],[_Row]])="",TRUE()),"",INDEX(tsk_WBS,GanttView[[#This Row],[_Row]]))</f>
        <v/>
      </c>
      <c r="C12" s="65" t="str">
        <f aca="false">IF(IFERROR(INDEX(tsk_Name,GanttView[[#This Row],[_Row]])="",TRUE()),"",REPT("    ",INDEX(tsk_Level,GanttView[[#This Row],[_Row]])-1)&amp;INDEX(tsk_Name,GanttView[[#This Row],[_Row]]))</f>
        <v/>
      </c>
      <c r="D1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" s="66" t="str">
        <f aca="false">IF(IFERROR(INDEX(tsk_Name,GanttView[[#This Row],[_Row]])="",TRUE()),"",INDEX(tsk_PlanStart,GanttView[[#This Row],[_Row]]))</f>
        <v/>
      </c>
      <c r="F12" s="66" t="str">
        <f aca="false">IF(IFERROR(INDEX(tsk_Name,GanttView[[#This Row],[_Row]])="",TRUE()),"",INDEX(tsk_PlanFinish,GanttView[[#This Row],[_Row]]))</f>
        <v/>
      </c>
      <c r="G12" s="66" t="str">
        <f aca="false">IF(IFERROR(INDEX(tsk_Name,GanttView[[#This Row],[_Row]])="",TRUE()),"",INDEX(tsk_FcStart,GanttView[[#This Row],[_Row]]))</f>
        <v/>
      </c>
      <c r="H12" s="66" t="str">
        <f aca="false">IF(IFERROR(INDEX(tsk_Name,GanttView[[#This Row],[_Row]])="",TRUE()),"",INDEX(tsk_FcFinish,GanttView[[#This Row],[_Row]]))</f>
        <v/>
      </c>
      <c r="I12" s="67" t="str">
        <f aca="false">IF(IFERROR(INDEX(tsk_Name,GanttView[[#This Row],[_Row]])="",TRUE()),"",INDEX(tsk_Progress,GanttView[[#This Row],[_Row]]))</f>
        <v/>
      </c>
      <c r="J12" s="65" t="str">
        <f aca="false">IF(IFERROR(INDEX(tsk_Name,GanttView[[#This Row],[_Row]])="",TRUE()),"",INDEX(tsk_Resource,GanttView[[#This Row],[_Row]])&amp;"")</f>
        <v/>
      </c>
      <c r="K12" s="64" t="str">
        <f aca="false">IF(IFERROR(INDEX(tsk_Name,GanttView[[#This Row],[_Row]])="",TRUE()),"",INDEX(tsk_Status,GanttView[[#This Row],[_Row]]))</f>
        <v/>
      </c>
      <c r="L12" s="68" t="n">
        <f aca="false">ROW()-ROW(GanttView[[#Headers],[ID]])</f>
        <v>7</v>
      </c>
      <c r="M12" s="69" t="b">
        <f aca="false">IF(IFERROR(INDEX(tsk_Name,GanttView[[#This Row],[_Row]])="",TRUE()),FALSE(),INDEX(tsk_IsSummary,GanttView[[#This Row],[_Row]]))</f>
        <v>0</v>
      </c>
      <c r="N12" s="69" t="b">
        <f aca="false">IF(IFERROR(INDEX(tsk_Name,GanttView[[#This Row],[_Row]])="",TRUE()),FALSE(),AND(INDEX(tsk_IsLeaf,GanttView[[#This Row],[_Row]])=1,N(INDEX(tsk_Duration,GanttView[[#This Row],[_Row]]))=0))</f>
        <v>0</v>
      </c>
      <c r="O1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70" t="n">
        <f aca="false">IF(GanttView[[#This Row],[_RemFrom]]=0,0,GanttView[[#This Row],[Forecast Finish]])</f>
        <v>0</v>
      </c>
      <c r="S12" s="69" t="b">
        <f aca="false">IF(IFERROR(INDEX(tsk_Name,GanttView[[#This Row],[_Row]])="",TRUE()),FALSE(),N(INDEX(tsk_Variance,GanttView[[#This Row],[_Row]]))&gt;0)</f>
        <v>0</v>
      </c>
      <c r="T12" s="70" t="n">
        <f aca="false">IF(IFERROR(INDEX(tsk_Name,GanttView[[#This Row],[_Row]])="",TRUE()),0,N(INDEX(tsk_Deadline,GanttView[[#This Row],[_Row]])))</f>
        <v>0</v>
      </c>
      <c r="U12" s="69" t="b">
        <f aca="false">IF(IFERROR(INDEX(tsk_Name,GanttView[[#This Row],[_Row]])="",TRUE()),FALSE(),INDEX(tsk_Critical,GanttView[[#This Row],[_Row]])="Yes")</f>
        <v>0</v>
      </c>
    </row>
    <row r="13" customFormat="false" ht="15" hidden="false" customHeight="false" outlineLevel="0" collapsed="false">
      <c r="A13" s="64" t="str">
        <f aca="false">IF(IFERROR(INDEX(tsk_Name,GanttView[[#This Row],[_Row]])="",TRUE()),"",INDEX(tsk_ID,GanttView[[#This Row],[_Row]]))</f>
        <v/>
      </c>
      <c r="B13" s="64" t="str">
        <f aca="false">IF(IFERROR(INDEX(tsk_Name,GanttView[[#This Row],[_Row]])="",TRUE()),"",INDEX(tsk_WBS,GanttView[[#This Row],[_Row]]))</f>
        <v/>
      </c>
      <c r="C13" s="65" t="str">
        <f aca="false">IF(IFERROR(INDEX(tsk_Name,GanttView[[#This Row],[_Row]])="",TRUE()),"",REPT("    ",INDEX(tsk_Level,GanttView[[#This Row],[_Row]])-1)&amp;INDEX(tsk_Name,GanttView[[#This Row],[_Row]]))</f>
        <v/>
      </c>
      <c r="D1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" s="66" t="str">
        <f aca="false">IF(IFERROR(INDEX(tsk_Name,GanttView[[#This Row],[_Row]])="",TRUE()),"",INDEX(tsk_PlanStart,GanttView[[#This Row],[_Row]]))</f>
        <v/>
      </c>
      <c r="F13" s="66" t="str">
        <f aca="false">IF(IFERROR(INDEX(tsk_Name,GanttView[[#This Row],[_Row]])="",TRUE()),"",INDEX(tsk_PlanFinish,GanttView[[#This Row],[_Row]]))</f>
        <v/>
      </c>
      <c r="G13" s="66" t="str">
        <f aca="false">IF(IFERROR(INDEX(tsk_Name,GanttView[[#This Row],[_Row]])="",TRUE()),"",INDEX(tsk_FcStart,GanttView[[#This Row],[_Row]]))</f>
        <v/>
      </c>
      <c r="H13" s="66" t="str">
        <f aca="false">IF(IFERROR(INDEX(tsk_Name,GanttView[[#This Row],[_Row]])="",TRUE()),"",INDEX(tsk_FcFinish,GanttView[[#This Row],[_Row]]))</f>
        <v/>
      </c>
      <c r="I13" s="67" t="str">
        <f aca="false">IF(IFERROR(INDEX(tsk_Name,GanttView[[#This Row],[_Row]])="",TRUE()),"",INDEX(tsk_Progress,GanttView[[#This Row],[_Row]]))</f>
        <v/>
      </c>
      <c r="J13" s="65" t="str">
        <f aca="false">IF(IFERROR(INDEX(tsk_Name,GanttView[[#This Row],[_Row]])="",TRUE()),"",INDEX(tsk_Resource,GanttView[[#This Row],[_Row]])&amp;"")</f>
        <v/>
      </c>
      <c r="K13" s="64" t="str">
        <f aca="false">IF(IFERROR(INDEX(tsk_Name,GanttView[[#This Row],[_Row]])="",TRUE()),"",INDEX(tsk_Status,GanttView[[#This Row],[_Row]]))</f>
        <v/>
      </c>
      <c r="L13" s="68" t="n">
        <f aca="false">ROW()-ROW(GanttView[[#Headers],[ID]])</f>
        <v>8</v>
      </c>
      <c r="M13" s="69" t="b">
        <f aca="false">IF(IFERROR(INDEX(tsk_Name,GanttView[[#This Row],[_Row]])="",TRUE()),FALSE(),INDEX(tsk_IsSummary,GanttView[[#This Row],[_Row]]))</f>
        <v>0</v>
      </c>
      <c r="N13" s="69" t="b">
        <f aca="false">IF(IFERROR(INDEX(tsk_Name,GanttView[[#This Row],[_Row]])="",TRUE()),FALSE(),AND(INDEX(tsk_IsLeaf,GanttView[[#This Row],[_Row]])=1,N(INDEX(tsk_Duration,GanttView[[#This Row],[_Row]]))=0))</f>
        <v>0</v>
      </c>
      <c r="O1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70" t="n">
        <f aca="false">IF(GanttView[[#This Row],[_RemFrom]]=0,0,GanttView[[#This Row],[Forecast Finish]])</f>
        <v>0</v>
      </c>
      <c r="S13" s="69" t="b">
        <f aca="false">IF(IFERROR(INDEX(tsk_Name,GanttView[[#This Row],[_Row]])="",TRUE()),FALSE(),N(INDEX(tsk_Variance,GanttView[[#This Row],[_Row]]))&gt;0)</f>
        <v>0</v>
      </c>
      <c r="T13" s="70" t="n">
        <f aca="false">IF(IFERROR(INDEX(tsk_Name,GanttView[[#This Row],[_Row]])="",TRUE()),0,N(INDEX(tsk_Deadline,GanttView[[#This Row],[_Row]])))</f>
        <v>0</v>
      </c>
      <c r="U13" s="69" t="b">
        <f aca="false">IF(IFERROR(INDEX(tsk_Name,GanttView[[#This Row],[_Row]])="",TRUE()),FALSE(),INDEX(tsk_Critical,GanttView[[#This Row],[_Row]])="Yes")</f>
        <v>0</v>
      </c>
    </row>
    <row r="14" customFormat="false" ht="15" hidden="false" customHeight="false" outlineLevel="0" collapsed="false">
      <c r="A14" s="64" t="str">
        <f aca="false">IF(IFERROR(INDEX(tsk_Name,GanttView[[#This Row],[_Row]])="",TRUE()),"",INDEX(tsk_ID,GanttView[[#This Row],[_Row]]))</f>
        <v/>
      </c>
      <c r="B14" s="64" t="str">
        <f aca="false">IF(IFERROR(INDEX(tsk_Name,GanttView[[#This Row],[_Row]])="",TRUE()),"",INDEX(tsk_WBS,GanttView[[#This Row],[_Row]]))</f>
        <v/>
      </c>
      <c r="C14" s="65" t="str">
        <f aca="false">IF(IFERROR(INDEX(tsk_Name,GanttView[[#This Row],[_Row]])="",TRUE()),"",REPT("    ",INDEX(tsk_Level,GanttView[[#This Row],[_Row]])-1)&amp;INDEX(tsk_Name,GanttView[[#This Row],[_Row]]))</f>
        <v/>
      </c>
      <c r="D1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" s="66" t="str">
        <f aca="false">IF(IFERROR(INDEX(tsk_Name,GanttView[[#This Row],[_Row]])="",TRUE()),"",INDEX(tsk_PlanStart,GanttView[[#This Row],[_Row]]))</f>
        <v/>
      </c>
      <c r="F14" s="66" t="str">
        <f aca="false">IF(IFERROR(INDEX(tsk_Name,GanttView[[#This Row],[_Row]])="",TRUE()),"",INDEX(tsk_PlanFinish,GanttView[[#This Row],[_Row]]))</f>
        <v/>
      </c>
      <c r="G14" s="66" t="str">
        <f aca="false">IF(IFERROR(INDEX(tsk_Name,GanttView[[#This Row],[_Row]])="",TRUE()),"",INDEX(tsk_FcStart,GanttView[[#This Row],[_Row]]))</f>
        <v/>
      </c>
      <c r="H14" s="66" t="str">
        <f aca="false">IF(IFERROR(INDEX(tsk_Name,GanttView[[#This Row],[_Row]])="",TRUE()),"",INDEX(tsk_FcFinish,GanttView[[#This Row],[_Row]]))</f>
        <v/>
      </c>
      <c r="I14" s="67" t="str">
        <f aca="false">IF(IFERROR(INDEX(tsk_Name,GanttView[[#This Row],[_Row]])="",TRUE()),"",INDEX(tsk_Progress,GanttView[[#This Row],[_Row]]))</f>
        <v/>
      </c>
      <c r="J14" s="65" t="str">
        <f aca="false">IF(IFERROR(INDEX(tsk_Name,GanttView[[#This Row],[_Row]])="",TRUE()),"",INDEX(tsk_Resource,GanttView[[#This Row],[_Row]])&amp;"")</f>
        <v/>
      </c>
      <c r="K14" s="64" t="str">
        <f aca="false">IF(IFERROR(INDEX(tsk_Name,GanttView[[#This Row],[_Row]])="",TRUE()),"",INDEX(tsk_Status,GanttView[[#This Row],[_Row]]))</f>
        <v/>
      </c>
      <c r="L14" s="68" t="n">
        <f aca="false">ROW()-ROW(GanttView[[#Headers],[ID]])</f>
        <v>9</v>
      </c>
      <c r="M14" s="69" t="b">
        <f aca="false">IF(IFERROR(INDEX(tsk_Name,GanttView[[#This Row],[_Row]])="",TRUE()),FALSE(),INDEX(tsk_IsSummary,GanttView[[#This Row],[_Row]]))</f>
        <v>0</v>
      </c>
      <c r="N14" s="69" t="b">
        <f aca="false">IF(IFERROR(INDEX(tsk_Name,GanttView[[#This Row],[_Row]])="",TRUE()),FALSE(),AND(INDEX(tsk_IsLeaf,GanttView[[#This Row],[_Row]])=1,N(INDEX(tsk_Duration,GanttView[[#This Row],[_Row]]))=0))</f>
        <v>0</v>
      </c>
      <c r="O1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70" t="n">
        <f aca="false">IF(GanttView[[#This Row],[_RemFrom]]=0,0,GanttView[[#This Row],[Forecast Finish]])</f>
        <v>0</v>
      </c>
      <c r="S14" s="69" t="b">
        <f aca="false">IF(IFERROR(INDEX(tsk_Name,GanttView[[#This Row],[_Row]])="",TRUE()),FALSE(),N(INDEX(tsk_Variance,GanttView[[#This Row],[_Row]]))&gt;0)</f>
        <v>0</v>
      </c>
      <c r="T14" s="70" t="n">
        <f aca="false">IF(IFERROR(INDEX(tsk_Name,GanttView[[#This Row],[_Row]])="",TRUE()),0,N(INDEX(tsk_Deadline,GanttView[[#This Row],[_Row]])))</f>
        <v>0</v>
      </c>
      <c r="U14" s="69" t="b">
        <f aca="false">IF(IFERROR(INDEX(tsk_Name,GanttView[[#This Row],[_Row]])="",TRUE()),FALSE(),INDEX(tsk_Critical,GanttView[[#This Row],[_Row]])="Yes")</f>
        <v>0</v>
      </c>
    </row>
    <row r="15" customFormat="false" ht="15" hidden="false" customHeight="false" outlineLevel="0" collapsed="false">
      <c r="A15" s="64" t="str">
        <f aca="false">IF(IFERROR(INDEX(tsk_Name,GanttView[[#This Row],[_Row]])="",TRUE()),"",INDEX(tsk_ID,GanttView[[#This Row],[_Row]]))</f>
        <v/>
      </c>
      <c r="B15" s="64" t="str">
        <f aca="false">IF(IFERROR(INDEX(tsk_Name,GanttView[[#This Row],[_Row]])="",TRUE()),"",INDEX(tsk_WBS,GanttView[[#This Row],[_Row]]))</f>
        <v/>
      </c>
      <c r="C15" s="65" t="str">
        <f aca="false">IF(IFERROR(INDEX(tsk_Name,GanttView[[#This Row],[_Row]])="",TRUE()),"",REPT("    ",INDEX(tsk_Level,GanttView[[#This Row],[_Row]])-1)&amp;INDEX(tsk_Name,GanttView[[#This Row],[_Row]]))</f>
        <v/>
      </c>
      <c r="D1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" s="66" t="str">
        <f aca="false">IF(IFERROR(INDEX(tsk_Name,GanttView[[#This Row],[_Row]])="",TRUE()),"",INDEX(tsk_PlanStart,GanttView[[#This Row],[_Row]]))</f>
        <v/>
      </c>
      <c r="F15" s="66" t="str">
        <f aca="false">IF(IFERROR(INDEX(tsk_Name,GanttView[[#This Row],[_Row]])="",TRUE()),"",INDEX(tsk_PlanFinish,GanttView[[#This Row],[_Row]]))</f>
        <v/>
      </c>
      <c r="G15" s="66" t="str">
        <f aca="false">IF(IFERROR(INDEX(tsk_Name,GanttView[[#This Row],[_Row]])="",TRUE()),"",INDEX(tsk_FcStart,GanttView[[#This Row],[_Row]]))</f>
        <v/>
      </c>
      <c r="H15" s="66" t="str">
        <f aca="false">IF(IFERROR(INDEX(tsk_Name,GanttView[[#This Row],[_Row]])="",TRUE()),"",INDEX(tsk_FcFinish,GanttView[[#This Row],[_Row]]))</f>
        <v/>
      </c>
      <c r="I15" s="67" t="str">
        <f aca="false">IF(IFERROR(INDEX(tsk_Name,GanttView[[#This Row],[_Row]])="",TRUE()),"",INDEX(tsk_Progress,GanttView[[#This Row],[_Row]]))</f>
        <v/>
      </c>
      <c r="J15" s="65" t="str">
        <f aca="false">IF(IFERROR(INDEX(tsk_Name,GanttView[[#This Row],[_Row]])="",TRUE()),"",INDEX(tsk_Resource,GanttView[[#This Row],[_Row]])&amp;"")</f>
        <v/>
      </c>
      <c r="K15" s="64" t="str">
        <f aca="false">IF(IFERROR(INDEX(tsk_Name,GanttView[[#This Row],[_Row]])="",TRUE()),"",INDEX(tsk_Status,GanttView[[#This Row],[_Row]]))</f>
        <v/>
      </c>
      <c r="L15" s="68" t="n">
        <f aca="false">ROW()-ROW(GanttView[[#Headers],[ID]])</f>
        <v>10</v>
      </c>
      <c r="M15" s="69" t="b">
        <f aca="false">IF(IFERROR(INDEX(tsk_Name,GanttView[[#This Row],[_Row]])="",TRUE()),FALSE(),INDEX(tsk_IsSummary,GanttView[[#This Row],[_Row]]))</f>
        <v>0</v>
      </c>
      <c r="N15" s="69" t="b">
        <f aca="false">IF(IFERROR(INDEX(tsk_Name,GanttView[[#This Row],[_Row]])="",TRUE()),FALSE(),AND(INDEX(tsk_IsLeaf,GanttView[[#This Row],[_Row]])=1,N(INDEX(tsk_Duration,GanttView[[#This Row],[_Row]]))=0))</f>
        <v>0</v>
      </c>
      <c r="O1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70" t="n">
        <f aca="false">IF(GanttView[[#This Row],[_RemFrom]]=0,0,GanttView[[#This Row],[Forecast Finish]])</f>
        <v>0</v>
      </c>
      <c r="S15" s="69" t="b">
        <f aca="false">IF(IFERROR(INDEX(tsk_Name,GanttView[[#This Row],[_Row]])="",TRUE()),FALSE(),N(INDEX(tsk_Variance,GanttView[[#This Row],[_Row]]))&gt;0)</f>
        <v>0</v>
      </c>
      <c r="T15" s="70" t="n">
        <f aca="false">IF(IFERROR(INDEX(tsk_Name,GanttView[[#This Row],[_Row]])="",TRUE()),0,N(INDEX(tsk_Deadline,GanttView[[#This Row],[_Row]])))</f>
        <v>0</v>
      </c>
      <c r="U15" s="69" t="b">
        <f aca="false">IF(IFERROR(INDEX(tsk_Name,GanttView[[#This Row],[_Row]])="",TRUE()),FALSE(),INDEX(tsk_Critical,GanttView[[#This Row],[_Row]])="Yes")</f>
        <v>0</v>
      </c>
    </row>
    <row r="16" customFormat="false" ht="15" hidden="false" customHeight="false" outlineLevel="0" collapsed="false">
      <c r="A16" s="64" t="str">
        <f aca="false">IF(IFERROR(INDEX(tsk_Name,GanttView[[#This Row],[_Row]])="",TRUE()),"",INDEX(tsk_ID,GanttView[[#This Row],[_Row]]))</f>
        <v/>
      </c>
      <c r="B16" s="64" t="str">
        <f aca="false">IF(IFERROR(INDEX(tsk_Name,GanttView[[#This Row],[_Row]])="",TRUE()),"",INDEX(tsk_WBS,GanttView[[#This Row],[_Row]]))</f>
        <v/>
      </c>
      <c r="C16" s="65" t="str">
        <f aca="false">IF(IFERROR(INDEX(tsk_Name,GanttView[[#This Row],[_Row]])="",TRUE()),"",REPT("    ",INDEX(tsk_Level,GanttView[[#This Row],[_Row]])-1)&amp;INDEX(tsk_Name,GanttView[[#This Row],[_Row]]))</f>
        <v/>
      </c>
      <c r="D1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" s="66" t="str">
        <f aca="false">IF(IFERROR(INDEX(tsk_Name,GanttView[[#This Row],[_Row]])="",TRUE()),"",INDEX(tsk_PlanStart,GanttView[[#This Row],[_Row]]))</f>
        <v/>
      </c>
      <c r="F16" s="66" t="str">
        <f aca="false">IF(IFERROR(INDEX(tsk_Name,GanttView[[#This Row],[_Row]])="",TRUE()),"",INDEX(tsk_PlanFinish,GanttView[[#This Row],[_Row]]))</f>
        <v/>
      </c>
      <c r="G16" s="66" t="str">
        <f aca="false">IF(IFERROR(INDEX(tsk_Name,GanttView[[#This Row],[_Row]])="",TRUE()),"",INDEX(tsk_FcStart,GanttView[[#This Row],[_Row]]))</f>
        <v/>
      </c>
      <c r="H16" s="66" t="str">
        <f aca="false">IF(IFERROR(INDEX(tsk_Name,GanttView[[#This Row],[_Row]])="",TRUE()),"",INDEX(tsk_FcFinish,GanttView[[#This Row],[_Row]]))</f>
        <v/>
      </c>
      <c r="I16" s="67" t="str">
        <f aca="false">IF(IFERROR(INDEX(tsk_Name,GanttView[[#This Row],[_Row]])="",TRUE()),"",INDEX(tsk_Progress,GanttView[[#This Row],[_Row]]))</f>
        <v/>
      </c>
      <c r="J16" s="65" t="str">
        <f aca="false">IF(IFERROR(INDEX(tsk_Name,GanttView[[#This Row],[_Row]])="",TRUE()),"",INDEX(tsk_Resource,GanttView[[#This Row],[_Row]])&amp;"")</f>
        <v/>
      </c>
      <c r="K16" s="64" t="str">
        <f aca="false">IF(IFERROR(INDEX(tsk_Name,GanttView[[#This Row],[_Row]])="",TRUE()),"",INDEX(tsk_Status,GanttView[[#This Row],[_Row]]))</f>
        <v/>
      </c>
      <c r="L16" s="68" t="n">
        <f aca="false">ROW()-ROW(GanttView[[#Headers],[ID]])</f>
        <v>11</v>
      </c>
      <c r="M16" s="69" t="b">
        <f aca="false">IF(IFERROR(INDEX(tsk_Name,GanttView[[#This Row],[_Row]])="",TRUE()),FALSE(),INDEX(tsk_IsSummary,GanttView[[#This Row],[_Row]]))</f>
        <v>0</v>
      </c>
      <c r="N16" s="69" t="b">
        <f aca="false">IF(IFERROR(INDEX(tsk_Name,GanttView[[#This Row],[_Row]])="",TRUE()),FALSE(),AND(INDEX(tsk_IsLeaf,GanttView[[#This Row],[_Row]])=1,N(INDEX(tsk_Duration,GanttView[[#This Row],[_Row]]))=0))</f>
        <v>0</v>
      </c>
      <c r="O1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70" t="n">
        <f aca="false">IF(GanttView[[#This Row],[_RemFrom]]=0,0,GanttView[[#This Row],[Forecast Finish]])</f>
        <v>0</v>
      </c>
      <c r="S16" s="69" t="b">
        <f aca="false">IF(IFERROR(INDEX(tsk_Name,GanttView[[#This Row],[_Row]])="",TRUE()),FALSE(),N(INDEX(tsk_Variance,GanttView[[#This Row],[_Row]]))&gt;0)</f>
        <v>0</v>
      </c>
      <c r="T16" s="70" t="n">
        <f aca="false">IF(IFERROR(INDEX(tsk_Name,GanttView[[#This Row],[_Row]])="",TRUE()),0,N(INDEX(tsk_Deadline,GanttView[[#This Row],[_Row]])))</f>
        <v>0</v>
      </c>
      <c r="U16" s="69" t="b">
        <f aca="false">IF(IFERROR(INDEX(tsk_Name,GanttView[[#This Row],[_Row]])="",TRUE()),FALSE(),INDEX(tsk_Critical,GanttView[[#This Row],[_Row]])="Yes")</f>
        <v>0</v>
      </c>
    </row>
    <row r="17" customFormat="false" ht="15" hidden="false" customHeight="false" outlineLevel="0" collapsed="false">
      <c r="A17" s="64" t="str">
        <f aca="false">IF(IFERROR(INDEX(tsk_Name,GanttView[[#This Row],[_Row]])="",TRUE()),"",INDEX(tsk_ID,GanttView[[#This Row],[_Row]]))</f>
        <v/>
      </c>
      <c r="B17" s="64" t="str">
        <f aca="false">IF(IFERROR(INDEX(tsk_Name,GanttView[[#This Row],[_Row]])="",TRUE()),"",INDEX(tsk_WBS,GanttView[[#This Row],[_Row]]))</f>
        <v/>
      </c>
      <c r="C17" s="65" t="str">
        <f aca="false">IF(IFERROR(INDEX(tsk_Name,GanttView[[#This Row],[_Row]])="",TRUE()),"",REPT("    ",INDEX(tsk_Level,GanttView[[#This Row],[_Row]])-1)&amp;INDEX(tsk_Name,GanttView[[#This Row],[_Row]]))</f>
        <v/>
      </c>
      <c r="D1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" s="66" t="str">
        <f aca="false">IF(IFERROR(INDEX(tsk_Name,GanttView[[#This Row],[_Row]])="",TRUE()),"",INDEX(tsk_PlanStart,GanttView[[#This Row],[_Row]]))</f>
        <v/>
      </c>
      <c r="F17" s="66" t="str">
        <f aca="false">IF(IFERROR(INDEX(tsk_Name,GanttView[[#This Row],[_Row]])="",TRUE()),"",INDEX(tsk_PlanFinish,GanttView[[#This Row],[_Row]]))</f>
        <v/>
      </c>
      <c r="G17" s="66" t="str">
        <f aca="false">IF(IFERROR(INDEX(tsk_Name,GanttView[[#This Row],[_Row]])="",TRUE()),"",INDEX(tsk_FcStart,GanttView[[#This Row],[_Row]]))</f>
        <v/>
      </c>
      <c r="H17" s="66" t="str">
        <f aca="false">IF(IFERROR(INDEX(tsk_Name,GanttView[[#This Row],[_Row]])="",TRUE()),"",INDEX(tsk_FcFinish,GanttView[[#This Row],[_Row]]))</f>
        <v/>
      </c>
      <c r="I17" s="67" t="str">
        <f aca="false">IF(IFERROR(INDEX(tsk_Name,GanttView[[#This Row],[_Row]])="",TRUE()),"",INDEX(tsk_Progress,GanttView[[#This Row],[_Row]]))</f>
        <v/>
      </c>
      <c r="J17" s="65" t="str">
        <f aca="false">IF(IFERROR(INDEX(tsk_Name,GanttView[[#This Row],[_Row]])="",TRUE()),"",INDEX(tsk_Resource,GanttView[[#This Row],[_Row]])&amp;"")</f>
        <v/>
      </c>
      <c r="K17" s="64" t="str">
        <f aca="false">IF(IFERROR(INDEX(tsk_Name,GanttView[[#This Row],[_Row]])="",TRUE()),"",INDEX(tsk_Status,GanttView[[#This Row],[_Row]]))</f>
        <v/>
      </c>
      <c r="L17" s="68" t="n">
        <f aca="false">ROW()-ROW(GanttView[[#Headers],[ID]])</f>
        <v>12</v>
      </c>
      <c r="M17" s="69" t="b">
        <f aca="false">IF(IFERROR(INDEX(tsk_Name,GanttView[[#This Row],[_Row]])="",TRUE()),FALSE(),INDEX(tsk_IsSummary,GanttView[[#This Row],[_Row]]))</f>
        <v>0</v>
      </c>
      <c r="N17" s="69" t="b">
        <f aca="false">IF(IFERROR(INDEX(tsk_Name,GanttView[[#This Row],[_Row]])="",TRUE()),FALSE(),AND(INDEX(tsk_IsLeaf,GanttView[[#This Row],[_Row]])=1,N(INDEX(tsk_Duration,GanttView[[#This Row],[_Row]]))=0))</f>
        <v>0</v>
      </c>
      <c r="O1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70" t="n">
        <f aca="false">IF(GanttView[[#This Row],[_RemFrom]]=0,0,GanttView[[#This Row],[Forecast Finish]])</f>
        <v>0</v>
      </c>
      <c r="S17" s="69" t="b">
        <f aca="false">IF(IFERROR(INDEX(tsk_Name,GanttView[[#This Row],[_Row]])="",TRUE()),FALSE(),N(INDEX(tsk_Variance,GanttView[[#This Row],[_Row]]))&gt;0)</f>
        <v>0</v>
      </c>
      <c r="T17" s="70" t="n">
        <f aca="false">IF(IFERROR(INDEX(tsk_Name,GanttView[[#This Row],[_Row]])="",TRUE()),0,N(INDEX(tsk_Deadline,GanttView[[#This Row],[_Row]])))</f>
        <v>0</v>
      </c>
      <c r="U17" s="69" t="b">
        <f aca="false">IF(IFERROR(INDEX(tsk_Name,GanttView[[#This Row],[_Row]])="",TRUE()),FALSE(),INDEX(tsk_Critical,GanttView[[#This Row],[_Row]])="Yes")</f>
        <v>0</v>
      </c>
    </row>
    <row r="18" customFormat="false" ht="15" hidden="false" customHeight="false" outlineLevel="0" collapsed="false">
      <c r="A18" s="64" t="str">
        <f aca="false">IF(IFERROR(INDEX(tsk_Name,GanttView[[#This Row],[_Row]])="",TRUE()),"",INDEX(tsk_ID,GanttView[[#This Row],[_Row]]))</f>
        <v/>
      </c>
      <c r="B18" s="64" t="str">
        <f aca="false">IF(IFERROR(INDEX(tsk_Name,GanttView[[#This Row],[_Row]])="",TRUE()),"",INDEX(tsk_WBS,GanttView[[#This Row],[_Row]]))</f>
        <v/>
      </c>
      <c r="C18" s="65" t="str">
        <f aca="false">IF(IFERROR(INDEX(tsk_Name,GanttView[[#This Row],[_Row]])="",TRUE()),"",REPT("    ",INDEX(tsk_Level,GanttView[[#This Row],[_Row]])-1)&amp;INDEX(tsk_Name,GanttView[[#This Row],[_Row]]))</f>
        <v/>
      </c>
      <c r="D1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" s="66" t="str">
        <f aca="false">IF(IFERROR(INDEX(tsk_Name,GanttView[[#This Row],[_Row]])="",TRUE()),"",INDEX(tsk_PlanStart,GanttView[[#This Row],[_Row]]))</f>
        <v/>
      </c>
      <c r="F18" s="66" t="str">
        <f aca="false">IF(IFERROR(INDEX(tsk_Name,GanttView[[#This Row],[_Row]])="",TRUE()),"",INDEX(tsk_PlanFinish,GanttView[[#This Row],[_Row]]))</f>
        <v/>
      </c>
      <c r="G18" s="66" t="str">
        <f aca="false">IF(IFERROR(INDEX(tsk_Name,GanttView[[#This Row],[_Row]])="",TRUE()),"",INDEX(tsk_FcStart,GanttView[[#This Row],[_Row]]))</f>
        <v/>
      </c>
      <c r="H18" s="66" t="str">
        <f aca="false">IF(IFERROR(INDEX(tsk_Name,GanttView[[#This Row],[_Row]])="",TRUE()),"",INDEX(tsk_FcFinish,GanttView[[#This Row],[_Row]]))</f>
        <v/>
      </c>
      <c r="I18" s="67" t="str">
        <f aca="false">IF(IFERROR(INDEX(tsk_Name,GanttView[[#This Row],[_Row]])="",TRUE()),"",INDEX(tsk_Progress,GanttView[[#This Row],[_Row]]))</f>
        <v/>
      </c>
      <c r="J18" s="65" t="str">
        <f aca="false">IF(IFERROR(INDEX(tsk_Name,GanttView[[#This Row],[_Row]])="",TRUE()),"",INDEX(tsk_Resource,GanttView[[#This Row],[_Row]])&amp;"")</f>
        <v/>
      </c>
      <c r="K18" s="64" t="str">
        <f aca="false">IF(IFERROR(INDEX(tsk_Name,GanttView[[#This Row],[_Row]])="",TRUE()),"",INDEX(tsk_Status,GanttView[[#This Row],[_Row]]))</f>
        <v/>
      </c>
      <c r="L18" s="68" t="n">
        <f aca="false">ROW()-ROW(GanttView[[#Headers],[ID]])</f>
        <v>13</v>
      </c>
      <c r="M18" s="69" t="b">
        <f aca="false">IF(IFERROR(INDEX(tsk_Name,GanttView[[#This Row],[_Row]])="",TRUE()),FALSE(),INDEX(tsk_IsSummary,GanttView[[#This Row],[_Row]]))</f>
        <v>0</v>
      </c>
      <c r="N18" s="69" t="b">
        <f aca="false">IF(IFERROR(INDEX(tsk_Name,GanttView[[#This Row],[_Row]])="",TRUE()),FALSE(),AND(INDEX(tsk_IsLeaf,GanttView[[#This Row],[_Row]])=1,N(INDEX(tsk_Duration,GanttView[[#This Row],[_Row]]))=0))</f>
        <v>0</v>
      </c>
      <c r="O1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" s="70" t="n">
        <f aca="false">IF(GanttView[[#This Row],[_RemFrom]]=0,0,GanttView[[#This Row],[Forecast Finish]])</f>
        <v>0</v>
      </c>
      <c r="S18" s="69" t="b">
        <f aca="false">IF(IFERROR(INDEX(tsk_Name,GanttView[[#This Row],[_Row]])="",TRUE()),FALSE(),N(INDEX(tsk_Variance,GanttView[[#This Row],[_Row]]))&gt;0)</f>
        <v>0</v>
      </c>
      <c r="T18" s="70" t="n">
        <f aca="false">IF(IFERROR(INDEX(tsk_Name,GanttView[[#This Row],[_Row]])="",TRUE()),0,N(INDEX(tsk_Deadline,GanttView[[#This Row],[_Row]])))</f>
        <v>0</v>
      </c>
      <c r="U18" s="69" t="b">
        <f aca="false">IF(IFERROR(INDEX(tsk_Name,GanttView[[#This Row],[_Row]])="",TRUE()),FALSE(),INDEX(tsk_Critical,GanttView[[#This Row],[_Row]])="Yes")</f>
        <v>0</v>
      </c>
    </row>
    <row r="19" customFormat="false" ht="15" hidden="false" customHeight="false" outlineLevel="0" collapsed="false">
      <c r="A19" s="64" t="str">
        <f aca="false">IF(IFERROR(INDEX(tsk_Name,GanttView[[#This Row],[_Row]])="",TRUE()),"",INDEX(tsk_ID,GanttView[[#This Row],[_Row]]))</f>
        <v/>
      </c>
      <c r="B19" s="64" t="str">
        <f aca="false">IF(IFERROR(INDEX(tsk_Name,GanttView[[#This Row],[_Row]])="",TRUE()),"",INDEX(tsk_WBS,GanttView[[#This Row],[_Row]]))</f>
        <v/>
      </c>
      <c r="C19" s="65" t="str">
        <f aca="false">IF(IFERROR(INDEX(tsk_Name,GanttView[[#This Row],[_Row]])="",TRUE()),"",REPT("    ",INDEX(tsk_Level,GanttView[[#This Row],[_Row]])-1)&amp;INDEX(tsk_Name,GanttView[[#This Row],[_Row]]))</f>
        <v/>
      </c>
      <c r="D1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" s="66" t="str">
        <f aca="false">IF(IFERROR(INDEX(tsk_Name,GanttView[[#This Row],[_Row]])="",TRUE()),"",INDEX(tsk_PlanStart,GanttView[[#This Row],[_Row]]))</f>
        <v/>
      </c>
      <c r="F19" s="66" t="str">
        <f aca="false">IF(IFERROR(INDEX(tsk_Name,GanttView[[#This Row],[_Row]])="",TRUE()),"",INDEX(tsk_PlanFinish,GanttView[[#This Row],[_Row]]))</f>
        <v/>
      </c>
      <c r="G19" s="66" t="str">
        <f aca="false">IF(IFERROR(INDEX(tsk_Name,GanttView[[#This Row],[_Row]])="",TRUE()),"",INDEX(tsk_FcStart,GanttView[[#This Row],[_Row]]))</f>
        <v/>
      </c>
      <c r="H19" s="66" t="str">
        <f aca="false">IF(IFERROR(INDEX(tsk_Name,GanttView[[#This Row],[_Row]])="",TRUE()),"",INDEX(tsk_FcFinish,GanttView[[#This Row],[_Row]]))</f>
        <v/>
      </c>
      <c r="I19" s="67" t="str">
        <f aca="false">IF(IFERROR(INDEX(tsk_Name,GanttView[[#This Row],[_Row]])="",TRUE()),"",INDEX(tsk_Progress,GanttView[[#This Row],[_Row]]))</f>
        <v/>
      </c>
      <c r="J19" s="65" t="str">
        <f aca="false">IF(IFERROR(INDEX(tsk_Name,GanttView[[#This Row],[_Row]])="",TRUE()),"",INDEX(tsk_Resource,GanttView[[#This Row],[_Row]])&amp;"")</f>
        <v/>
      </c>
      <c r="K19" s="64" t="str">
        <f aca="false">IF(IFERROR(INDEX(tsk_Name,GanttView[[#This Row],[_Row]])="",TRUE()),"",INDEX(tsk_Status,GanttView[[#This Row],[_Row]]))</f>
        <v/>
      </c>
      <c r="L19" s="68" t="n">
        <f aca="false">ROW()-ROW(GanttView[[#Headers],[ID]])</f>
        <v>14</v>
      </c>
      <c r="M19" s="69" t="b">
        <f aca="false">IF(IFERROR(INDEX(tsk_Name,GanttView[[#This Row],[_Row]])="",TRUE()),FALSE(),INDEX(tsk_IsSummary,GanttView[[#This Row],[_Row]]))</f>
        <v>0</v>
      </c>
      <c r="N19" s="69" t="b">
        <f aca="false">IF(IFERROR(INDEX(tsk_Name,GanttView[[#This Row],[_Row]])="",TRUE()),FALSE(),AND(INDEX(tsk_IsLeaf,GanttView[[#This Row],[_Row]])=1,N(INDEX(tsk_Duration,GanttView[[#This Row],[_Row]]))=0))</f>
        <v>0</v>
      </c>
      <c r="O1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" s="70" t="n">
        <f aca="false">IF(GanttView[[#This Row],[_RemFrom]]=0,0,GanttView[[#This Row],[Forecast Finish]])</f>
        <v>0</v>
      </c>
      <c r="S19" s="69" t="b">
        <f aca="false">IF(IFERROR(INDEX(tsk_Name,GanttView[[#This Row],[_Row]])="",TRUE()),FALSE(),N(INDEX(tsk_Variance,GanttView[[#This Row],[_Row]]))&gt;0)</f>
        <v>0</v>
      </c>
      <c r="T19" s="70" t="n">
        <f aca="false">IF(IFERROR(INDEX(tsk_Name,GanttView[[#This Row],[_Row]])="",TRUE()),0,N(INDEX(tsk_Deadline,GanttView[[#This Row],[_Row]])))</f>
        <v>0</v>
      </c>
      <c r="U19" s="69" t="b">
        <f aca="false">IF(IFERROR(INDEX(tsk_Name,GanttView[[#This Row],[_Row]])="",TRUE()),FALSE(),INDEX(tsk_Critical,GanttView[[#This Row],[_Row]])="Yes")</f>
        <v>0</v>
      </c>
    </row>
    <row r="20" customFormat="false" ht="15" hidden="false" customHeight="false" outlineLevel="0" collapsed="false">
      <c r="A20" s="64" t="str">
        <f aca="false">IF(IFERROR(INDEX(tsk_Name,GanttView[[#This Row],[_Row]])="",TRUE()),"",INDEX(tsk_ID,GanttView[[#This Row],[_Row]]))</f>
        <v/>
      </c>
      <c r="B20" s="64" t="str">
        <f aca="false">IF(IFERROR(INDEX(tsk_Name,GanttView[[#This Row],[_Row]])="",TRUE()),"",INDEX(tsk_WBS,GanttView[[#This Row],[_Row]]))</f>
        <v/>
      </c>
      <c r="C20" s="65" t="str">
        <f aca="false">IF(IFERROR(INDEX(tsk_Name,GanttView[[#This Row],[_Row]])="",TRUE()),"",REPT("    ",INDEX(tsk_Level,GanttView[[#This Row],[_Row]])-1)&amp;INDEX(tsk_Name,GanttView[[#This Row],[_Row]]))</f>
        <v/>
      </c>
      <c r="D2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" s="66" t="str">
        <f aca="false">IF(IFERROR(INDEX(tsk_Name,GanttView[[#This Row],[_Row]])="",TRUE()),"",INDEX(tsk_PlanStart,GanttView[[#This Row],[_Row]]))</f>
        <v/>
      </c>
      <c r="F20" s="66" t="str">
        <f aca="false">IF(IFERROR(INDEX(tsk_Name,GanttView[[#This Row],[_Row]])="",TRUE()),"",INDEX(tsk_PlanFinish,GanttView[[#This Row],[_Row]]))</f>
        <v/>
      </c>
      <c r="G20" s="66" t="str">
        <f aca="false">IF(IFERROR(INDEX(tsk_Name,GanttView[[#This Row],[_Row]])="",TRUE()),"",INDEX(tsk_FcStart,GanttView[[#This Row],[_Row]]))</f>
        <v/>
      </c>
      <c r="H20" s="66" t="str">
        <f aca="false">IF(IFERROR(INDEX(tsk_Name,GanttView[[#This Row],[_Row]])="",TRUE()),"",INDEX(tsk_FcFinish,GanttView[[#This Row],[_Row]]))</f>
        <v/>
      </c>
      <c r="I20" s="67" t="str">
        <f aca="false">IF(IFERROR(INDEX(tsk_Name,GanttView[[#This Row],[_Row]])="",TRUE()),"",INDEX(tsk_Progress,GanttView[[#This Row],[_Row]]))</f>
        <v/>
      </c>
      <c r="J20" s="65" t="str">
        <f aca="false">IF(IFERROR(INDEX(tsk_Name,GanttView[[#This Row],[_Row]])="",TRUE()),"",INDEX(tsk_Resource,GanttView[[#This Row],[_Row]])&amp;"")</f>
        <v/>
      </c>
      <c r="K20" s="64" t="str">
        <f aca="false">IF(IFERROR(INDEX(tsk_Name,GanttView[[#This Row],[_Row]])="",TRUE()),"",INDEX(tsk_Status,GanttView[[#This Row],[_Row]]))</f>
        <v/>
      </c>
      <c r="L20" s="68" t="n">
        <f aca="false">ROW()-ROW(GanttView[[#Headers],[ID]])</f>
        <v>15</v>
      </c>
      <c r="M20" s="69" t="b">
        <f aca="false">IF(IFERROR(INDEX(tsk_Name,GanttView[[#This Row],[_Row]])="",TRUE()),FALSE(),INDEX(tsk_IsSummary,GanttView[[#This Row],[_Row]]))</f>
        <v>0</v>
      </c>
      <c r="N20" s="69" t="b">
        <f aca="false">IF(IFERROR(INDEX(tsk_Name,GanttView[[#This Row],[_Row]])="",TRUE()),FALSE(),AND(INDEX(tsk_IsLeaf,GanttView[[#This Row],[_Row]])=1,N(INDEX(tsk_Duration,GanttView[[#This Row],[_Row]]))=0))</f>
        <v>0</v>
      </c>
      <c r="O2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70" t="n">
        <f aca="false">IF(GanttView[[#This Row],[_RemFrom]]=0,0,GanttView[[#This Row],[Forecast Finish]])</f>
        <v>0</v>
      </c>
      <c r="S20" s="69" t="b">
        <f aca="false">IF(IFERROR(INDEX(tsk_Name,GanttView[[#This Row],[_Row]])="",TRUE()),FALSE(),N(INDEX(tsk_Variance,GanttView[[#This Row],[_Row]]))&gt;0)</f>
        <v>0</v>
      </c>
      <c r="T20" s="70" t="n">
        <f aca="false">IF(IFERROR(INDEX(tsk_Name,GanttView[[#This Row],[_Row]])="",TRUE()),0,N(INDEX(tsk_Deadline,GanttView[[#This Row],[_Row]])))</f>
        <v>0</v>
      </c>
      <c r="U20" s="69" t="b">
        <f aca="false">IF(IFERROR(INDEX(tsk_Name,GanttView[[#This Row],[_Row]])="",TRUE()),FALSE(),INDEX(tsk_Critical,GanttView[[#This Row],[_Row]])="Yes")</f>
        <v>0</v>
      </c>
    </row>
    <row r="21" customFormat="false" ht="15" hidden="false" customHeight="false" outlineLevel="0" collapsed="false">
      <c r="A21" s="64" t="str">
        <f aca="false">IF(IFERROR(INDEX(tsk_Name,GanttView[[#This Row],[_Row]])="",TRUE()),"",INDEX(tsk_ID,GanttView[[#This Row],[_Row]]))</f>
        <v/>
      </c>
      <c r="B21" s="64" t="str">
        <f aca="false">IF(IFERROR(INDEX(tsk_Name,GanttView[[#This Row],[_Row]])="",TRUE()),"",INDEX(tsk_WBS,GanttView[[#This Row],[_Row]]))</f>
        <v/>
      </c>
      <c r="C21" s="65" t="str">
        <f aca="false">IF(IFERROR(INDEX(tsk_Name,GanttView[[#This Row],[_Row]])="",TRUE()),"",REPT("    ",INDEX(tsk_Level,GanttView[[#This Row],[_Row]])-1)&amp;INDEX(tsk_Name,GanttView[[#This Row],[_Row]]))</f>
        <v/>
      </c>
      <c r="D2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1" s="66" t="str">
        <f aca="false">IF(IFERROR(INDEX(tsk_Name,GanttView[[#This Row],[_Row]])="",TRUE()),"",INDEX(tsk_PlanStart,GanttView[[#This Row],[_Row]]))</f>
        <v/>
      </c>
      <c r="F21" s="66" t="str">
        <f aca="false">IF(IFERROR(INDEX(tsk_Name,GanttView[[#This Row],[_Row]])="",TRUE()),"",INDEX(tsk_PlanFinish,GanttView[[#This Row],[_Row]]))</f>
        <v/>
      </c>
      <c r="G21" s="66" t="str">
        <f aca="false">IF(IFERROR(INDEX(tsk_Name,GanttView[[#This Row],[_Row]])="",TRUE()),"",INDEX(tsk_FcStart,GanttView[[#This Row],[_Row]]))</f>
        <v/>
      </c>
      <c r="H21" s="66" t="str">
        <f aca="false">IF(IFERROR(INDEX(tsk_Name,GanttView[[#This Row],[_Row]])="",TRUE()),"",INDEX(tsk_FcFinish,GanttView[[#This Row],[_Row]]))</f>
        <v/>
      </c>
      <c r="I21" s="67" t="str">
        <f aca="false">IF(IFERROR(INDEX(tsk_Name,GanttView[[#This Row],[_Row]])="",TRUE()),"",INDEX(tsk_Progress,GanttView[[#This Row],[_Row]]))</f>
        <v/>
      </c>
      <c r="J21" s="65" t="str">
        <f aca="false">IF(IFERROR(INDEX(tsk_Name,GanttView[[#This Row],[_Row]])="",TRUE()),"",INDEX(tsk_Resource,GanttView[[#This Row],[_Row]])&amp;"")</f>
        <v/>
      </c>
      <c r="K21" s="64" t="str">
        <f aca="false">IF(IFERROR(INDEX(tsk_Name,GanttView[[#This Row],[_Row]])="",TRUE()),"",INDEX(tsk_Status,GanttView[[#This Row],[_Row]]))</f>
        <v/>
      </c>
      <c r="L21" s="68" t="n">
        <f aca="false">ROW()-ROW(GanttView[[#Headers],[ID]])</f>
        <v>16</v>
      </c>
      <c r="M21" s="69" t="b">
        <f aca="false">IF(IFERROR(INDEX(tsk_Name,GanttView[[#This Row],[_Row]])="",TRUE()),FALSE(),INDEX(tsk_IsSummary,GanttView[[#This Row],[_Row]]))</f>
        <v>0</v>
      </c>
      <c r="N21" s="69" t="b">
        <f aca="false">IF(IFERROR(INDEX(tsk_Name,GanttView[[#This Row],[_Row]])="",TRUE()),FALSE(),AND(INDEX(tsk_IsLeaf,GanttView[[#This Row],[_Row]])=1,N(INDEX(tsk_Duration,GanttView[[#This Row],[_Row]]))=0))</f>
        <v>0</v>
      </c>
      <c r="O2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70" t="n">
        <f aca="false">IF(GanttView[[#This Row],[_RemFrom]]=0,0,GanttView[[#This Row],[Forecast Finish]])</f>
        <v>0</v>
      </c>
      <c r="S21" s="69" t="b">
        <f aca="false">IF(IFERROR(INDEX(tsk_Name,GanttView[[#This Row],[_Row]])="",TRUE()),FALSE(),N(INDEX(tsk_Variance,GanttView[[#This Row],[_Row]]))&gt;0)</f>
        <v>0</v>
      </c>
      <c r="T21" s="70" t="n">
        <f aca="false">IF(IFERROR(INDEX(tsk_Name,GanttView[[#This Row],[_Row]])="",TRUE()),0,N(INDEX(tsk_Deadline,GanttView[[#This Row],[_Row]])))</f>
        <v>0</v>
      </c>
      <c r="U21" s="69" t="b">
        <f aca="false">IF(IFERROR(INDEX(tsk_Name,GanttView[[#This Row],[_Row]])="",TRUE()),FALSE(),INDEX(tsk_Critical,GanttView[[#This Row],[_Row]])="Yes")</f>
        <v>0</v>
      </c>
    </row>
    <row r="22" customFormat="false" ht="15" hidden="false" customHeight="false" outlineLevel="0" collapsed="false">
      <c r="A22" s="64" t="str">
        <f aca="false">IF(IFERROR(INDEX(tsk_Name,GanttView[[#This Row],[_Row]])="",TRUE()),"",INDEX(tsk_ID,GanttView[[#This Row],[_Row]]))</f>
        <v/>
      </c>
      <c r="B22" s="64" t="str">
        <f aca="false">IF(IFERROR(INDEX(tsk_Name,GanttView[[#This Row],[_Row]])="",TRUE()),"",INDEX(tsk_WBS,GanttView[[#This Row],[_Row]]))</f>
        <v/>
      </c>
      <c r="C22" s="65" t="str">
        <f aca="false">IF(IFERROR(INDEX(tsk_Name,GanttView[[#This Row],[_Row]])="",TRUE()),"",REPT("    ",INDEX(tsk_Level,GanttView[[#This Row],[_Row]])-1)&amp;INDEX(tsk_Name,GanttView[[#This Row],[_Row]]))</f>
        <v/>
      </c>
      <c r="D2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2" s="66" t="str">
        <f aca="false">IF(IFERROR(INDEX(tsk_Name,GanttView[[#This Row],[_Row]])="",TRUE()),"",INDEX(tsk_PlanStart,GanttView[[#This Row],[_Row]]))</f>
        <v/>
      </c>
      <c r="F22" s="66" t="str">
        <f aca="false">IF(IFERROR(INDEX(tsk_Name,GanttView[[#This Row],[_Row]])="",TRUE()),"",INDEX(tsk_PlanFinish,GanttView[[#This Row],[_Row]]))</f>
        <v/>
      </c>
      <c r="G22" s="66" t="str">
        <f aca="false">IF(IFERROR(INDEX(tsk_Name,GanttView[[#This Row],[_Row]])="",TRUE()),"",INDEX(tsk_FcStart,GanttView[[#This Row],[_Row]]))</f>
        <v/>
      </c>
      <c r="H22" s="66" t="str">
        <f aca="false">IF(IFERROR(INDEX(tsk_Name,GanttView[[#This Row],[_Row]])="",TRUE()),"",INDEX(tsk_FcFinish,GanttView[[#This Row],[_Row]]))</f>
        <v/>
      </c>
      <c r="I22" s="67" t="str">
        <f aca="false">IF(IFERROR(INDEX(tsk_Name,GanttView[[#This Row],[_Row]])="",TRUE()),"",INDEX(tsk_Progress,GanttView[[#This Row],[_Row]]))</f>
        <v/>
      </c>
      <c r="J22" s="65" t="str">
        <f aca="false">IF(IFERROR(INDEX(tsk_Name,GanttView[[#This Row],[_Row]])="",TRUE()),"",INDEX(tsk_Resource,GanttView[[#This Row],[_Row]])&amp;"")</f>
        <v/>
      </c>
      <c r="K22" s="64" t="str">
        <f aca="false">IF(IFERROR(INDEX(tsk_Name,GanttView[[#This Row],[_Row]])="",TRUE()),"",INDEX(tsk_Status,GanttView[[#This Row],[_Row]]))</f>
        <v/>
      </c>
      <c r="L22" s="68" t="n">
        <f aca="false">ROW()-ROW(GanttView[[#Headers],[ID]])</f>
        <v>17</v>
      </c>
      <c r="M22" s="69" t="b">
        <f aca="false">IF(IFERROR(INDEX(tsk_Name,GanttView[[#This Row],[_Row]])="",TRUE()),FALSE(),INDEX(tsk_IsSummary,GanttView[[#This Row],[_Row]]))</f>
        <v>0</v>
      </c>
      <c r="N22" s="69" t="b">
        <f aca="false">IF(IFERROR(INDEX(tsk_Name,GanttView[[#This Row],[_Row]])="",TRUE()),FALSE(),AND(INDEX(tsk_IsLeaf,GanttView[[#This Row],[_Row]])=1,N(INDEX(tsk_Duration,GanttView[[#This Row],[_Row]]))=0))</f>
        <v>0</v>
      </c>
      <c r="O2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2" s="70" t="n">
        <f aca="false">IF(GanttView[[#This Row],[_RemFrom]]=0,0,GanttView[[#This Row],[Forecast Finish]])</f>
        <v>0</v>
      </c>
      <c r="S22" s="69" t="b">
        <f aca="false">IF(IFERROR(INDEX(tsk_Name,GanttView[[#This Row],[_Row]])="",TRUE()),FALSE(),N(INDEX(tsk_Variance,GanttView[[#This Row],[_Row]]))&gt;0)</f>
        <v>0</v>
      </c>
      <c r="T22" s="70" t="n">
        <f aca="false">IF(IFERROR(INDEX(tsk_Name,GanttView[[#This Row],[_Row]])="",TRUE()),0,N(INDEX(tsk_Deadline,GanttView[[#This Row],[_Row]])))</f>
        <v>0</v>
      </c>
      <c r="U22" s="69" t="b">
        <f aca="false">IF(IFERROR(INDEX(tsk_Name,GanttView[[#This Row],[_Row]])="",TRUE()),FALSE(),INDEX(tsk_Critical,GanttView[[#This Row],[_Row]])="Yes")</f>
        <v>0</v>
      </c>
    </row>
    <row r="23" customFormat="false" ht="15" hidden="false" customHeight="false" outlineLevel="0" collapsed="false">
      <c r="A23" s="64" t="str">
        <f aca="false">IF(IFERROR(INDEX(tsk_Name,GanttView[[#This Row],[_Row]])="",TRUE()),"",INDEX(tsk_ID,GanttView[[#This Row],[_Row]]))</f>
        <v/>
      </c>
      <c r="B23" s="64" t="str">
        <f aca="false">IF(IFERROR(INDEX(tsk_Name,GanttView[[#This Row],[_Row]])="",TRUE()),"",INDEX(tsk_WBS,GanttView[[#This Row],[_Row]]))</f>
        <v/>
      </c>
      <c r="C23" s="65" t="str">
        <f aca="false">IF(IFERROR(INDEX(tsk_Name,GanttView[[#This Row],[_Row]])="",TRUE()),"",REPT("    ",INDEX(tsk_Level,GanttView[[#This Row],[_Row]])-1)&amp;INDEX(tsk_Name,GanttView[[#This Row],[_Row]]))</f>
        <v/>
      </c>
      <c r="D2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3" s="66" t="str">
        <f aca="false">IF(IFERROR(INDEX(tsk_Name,GanttView[[#This Row],[_Row]])="",TRUE()),"",INDEX(tsk_PlanStart,GanttView[[#This Row],[_Row]]))</f>
        <v/>
      </c>
      <c r="F23" s="66" t="str">
        <f aca="false">IF(IFERROR(INDEX(tsk_Name,GanttView[[#This Row],[_Row]])="",TRUE()),"",INDEX(tsk_PlanFinish,GanttView[[#This Row],[_Row]]))</f>
        <v/>
      </c>
      <c r="G23" s="66" t="str">
        <f aca="false">IF(IFERROR(INDEX(tsk_Name,GanttView[[#This Row],[_Row]])="",TRUE()),"",INDEX(tsk_FcStart,GanttView[[#This Row],[_Row]]))</f>
        <v/>
      </c>
      <c r="H23" s="66" t="str">
        <f aca="false">IF(IFERROR(INDEX(tsk_Name,GanttView[[#This Row],[_Row]])="",TRUE()),"",INDEX(tsk_FcFinish,GanttView[[#This Row],[_Row]]))</f>
        <v/>
      </c>
      <c r="I23" s="67" t="str">
        <f aca="false">IF(IFERROR(INDEX(tsk_Name,GanttView[[#This Row],[_Row]])="",TRUE()),"",INDEX(tsk_Progress,GanttView[[#This Row],[_Row]]))</f>
        <v/>
      </c>
      <c r="J23" s="65" t="str">
        <f aca="false">IF(IFERROR(INDEX(tsk_Name,GanttView[[#This Row],[_Row]])="",TRUE()),"",INDEX(tsk_Resource,GanttView[[#This Row],[_Row]])&amp;"")</f>
        <v/>
      </c>
      <c r="K23" s="64" t="str">
        <f aca="false">IF(IFERROR(INDEX(tsk_Name,GanttView[[#This Row],[_Row]])="",TRUE()),"",INDEX(tsk_Status,GanttView[[#This Row],[_Row]]))</f>
        <v/>
      </c>
      <c r="L23" s="68" t="n">
        <f aca="false">ROW()-ROW(GanttView[[#Headers],[ID]])</f>
        <v>18</v>
      </c>
      <c r="M23" s="69" t="b">
        <f aca="false">IF(IFERROR(INDEX(tsk_Name,GanttView[[#This Row],[_Row]])="",TRUE()),FALSE(),INDEX(tsk_IsSummary,GanttView[[#This Row],[_Row]]))</f>
        <v>0</v>
      </c>
      <c r="N23" s="69" t="b">
        <f aca="false">IF(IFERROR(INDEX(tsk_Name,GanttView[[#This Row],[_Row]])="",TRUE()),FALSE(),AND(INDEX(tsk_IsLeaf,GanttView[[#This Row],[_Row]])=1,N(INDEX(tsk_Duration,GanttView[[#This Row],[_Row]]))=0))</f>
        <v>0</v>
      </c>
      <c r="O2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3" s="70" t="n">
        <f aca="false">IF(GanttView[[#This Row],[_RemFrom]]=0,0,GanttView[[#This Row],[Forecast Finish]])</f>
        <v>0</v>
      </c>
      <c r="S23" s="69" t="b">
        <f aca="false">IF(IFERROR(INDEX(tsk_Name,GanttView[[#This Row],[_Row]])="",TRUE()),FALSE(),N(INDEX(tsk_Variance,GanttView[[#This Row],[_Row]]))&gt;0)</f>
        <v>0</v>
      </c>
      <c r="T23" s="70" t="n">
        <f aca="false">IF(IFERROR(INDEX(tsk_Name,GanttView[[#This Row],[_Row]])="",TRUE()),0,N(INDEX(tsk_Deadline,GanttView[[#This Row],[_Row]])))</f>
        <v>0</v>
      </c>
      <c r="U23" s="69" t="b">
        <f aca="false">IF(IFERROR(INDEX(tsk_Name,GanttView[[#This Row],[_Row]])="",TRUE()),FALSE(),INDEX(tsk_Critical,GanttView[[#This Row],[_Row]])="Yes")</f>
        <v>0</v>
      </c>
    </row>
    <row r="24" customFormat="false" ht="15" hidden="false" customHeight="false" outlineLevel="0" collapsed="false">
      <c r="A24" s="64" t="str">
        <f aca="false">IF(IFERROR(INDEX(tsk_Name,GanttView[[#This Row],[_Row]])="",TRUE()),"",INDEX(tsk_ID,GanttView[[#This Row],[_Row]]))</f>
        <v/>
      </c>
      <c r="B24" s="64" t="str">
        <f aca="false">IF(IFERROR(INDEX(tsk_Name,GanttView[[#This Row],[_Row]])="",TRUE()),"",INDEX(tsk_WBS,GanttView[[#This Row],[_Row]]))</f>
        <v/>
      </c>
      <c r="C24" s="65" t="str">
        <f aca="false">IF(IFERROR(INDEX(tsk_Name,GanttView[[#This Row],[_Row]])="",TRUE()),"",REPT("    ",INDEX(tsk_Level,GanttView[[#This Row],[_Row]])-1)&amp;INDEX(tsk_Name,GanttView[[#This Row],[_Row]]))</f>
        <v/>
      </c>
      <c r="D2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4" s="66" t="str">
        <f aca="false">IF(IFERROR(INDEX(tsk_Name,GanttView[[#This Row],[_Row]])="",TRUE()),"",INDEX(tsk_PlanStart,GanttView[[#This Row],[_Row]]))</f>
        <v/>
      </c>
      <c r="F24" s="66" t="str">
        <f aca="false">IF(IFERROR(INDEX(tsk_Name,GanttView[[#This Row],[_Row]])="",TRUE()),"",INDEX(tsk_PlanFinish,GanttView[[#This Row],[_Row]]))</f>
        <v/>
      </c>
      <c r="G24" s="66" t="str">
        <f aca="false">IF(IFERROR(INDEX(tsk_Name,GanttView[[#This Row],[_Row]])="",TRUE()),"",INDEX(tsk_FcStart,GanttView[[#This Row],[_Row]]))</f>
        <v/>
      </c>
      <c r="H24" s="66" t="str">
        <f aca="false">IF(IFERROR(INDEX(tsk_Name,GanttView[[#This Row],[_Row]])="",TRUE()),"",INDEX(tsk_FcFinish,GanttView[[#This Row],[_Row]]))</f>
        <v/>
      </c>
      <c r="I24" s="67" t="str">
        <f aca="false">IF(IFERROR(INDEX(tsk_Name,GanttView[[#This Row],[_Row]])="",TRUE()),"",INDEX(tsk_Progress,GanttView[[#This Row],[_Row]]))</f>
        <v/>
      </c>
      <c r="J24" s="65" t="str">
        <f aca="false">IF(IFERROR(INDEX(tsk_Name,GanttView[[#This Row],[_Row]])="",TRUE()),"",INDEX(tsk_Resource,GanttView[[#This Row],[_Row]])&amp;"")</f>
        <v/>
      </c>
      <c r="K24" s="64" t="str">
        <f aca="false">IF(IFERROR(INDEX(tsk_Name,GanttView[[#This Row],[_Row]])="",TRUE()),"",INDEX(tsk_Status,GanttView[[#This Row],[_Row]]))</f>
        <v/>
      </c>
      <c r="L24" s="68" t="n">
        <f aca="false">ROW()-ROW(GanttView[[#Headers],[ID]])</f>
        <v>19</v>
      </c>
      <c r="M24" s="69" t="b">
        <f aca="false">IF(IFERROR(INDEX(tsk_Name,GanttView[[#This Row],[_Row]])="",TRUE()),FALSE(),INDEX(tsk_IsSummary,GanttView[[#This Row],[_Row]]))</f>
        <v>0</v>
      </c>
      <c r="N24" s="69" t="b">
        <f aca="false">IF(IFERROR(INDEX(tsk_Name,GanttView[[#This Row],[_Row]])="",TRUE()),FALSE(),AND(INDEX(tsk_IsLeaf,GanttView[[#This Row],[_Row]])=1,N(INDEX(tsk_Duration,GanttView[[#This Row],[_Row]]))=0))</f>
        <v>0</v>
      </c>
      <c r="O2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70" t="n">
        <f aca="false">IF(GanttView[[#This Row],[_RemFrom]]=0,0,GanttView[[#This Row],[Forecast Finish]])</f>
        <v>0</v>
      </c>
      <c r="S24" s="69" t="b">
        <f aca="false">IF(IFERROR(INDEX(tsk_Name,GanttView[[#This Row],[_Row]])="",TRUE()),FALSE(),N(INDEX(tsk_Variance,GanttView[[#This Row],[_Row]]))&gt;0)</f>
        <v>0</v>
      </c>
      <c r="T24" s="70" t="n">
        <f aca="false">IF(IFERROR(INDEX(tsk_Name,GanttView[[#This Row],[_Row]])="",TRUE()),0,N(INDEX(tsk_Deadline,GanttView[[#This Row],[_Row]])))</f>
        <v>0</v>
      </c>
      <c r="U24" s="69" t="b">
        <f aca="false">IF(IFERROR(INDEX(tsk_Name,GanttView[[#This Row],[_Row]])="",TRUE()),FALSE(),INDEX(tsk_Critical,GanttView[[#This Row],[_Row]])="Yes")</f>
        <v>0</v>
      </c>
    </row>
    <row r="25" customFormat="false" ht="15" hidden="false" customHeight="false" outlineLevel="0" collapsed="false">
      <c r="A25" s="64" t="str">
        <f aca="false">IF(IFERROR(INDEX(tsk_Name,GanttView[[#This Row],[_Row]])="",TRUE()),"",INDEX(tsk_ID,GanttView[[#This Row],[_Row]]))</f>
        <v/>
      </c>
      <c r="B25" s="64" t="str">
        <f aca="false">IF(IFERROR(INDEX(tsk_Name,GanttView[[#This Row],[_Row]])="",TRUE()),"",INDEX(tsk_WBS,GanttView[[#This Row],[_Row]]))</f>
        <v/>
      </c>
      <c r="C25" s="65" t="str">
        <f aca="false">IF(IFERROR(INDEX(tsk_Name,GanttView[[#This Row],[_Row]])="",TRUE()),"",REPT("    ",INDEX(tsk_Level,GanttView[[#This Row],[_Row]])-1)&amp;INDEX(tsk_Name,GanttView[[#This Row],[_Row]]))</f>
        <v/>
      </c>
      <c r="D2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5" s="66" t="str">
        <f aca="false">IF(IFERROR(INDEX(tsk_Name,GanttView[[#This Row],[_Row]])="",TRUE()),"",INDEX(tsk_PlanStart,GanttView[[#This Row],[_Row]]))</f>
        <v/>
      </c>
      <c r="F25" s="66" t="str">
        <f aca="false">IF(IFERROR(INDEX(tsk_Name,GanttView[[#This Row],[_Row]])="",TRUE()),"",INDEX(tsk_PlanFinish,GanttView[[#This Row],[_Row]]))</f>
        <v/>
      </c>
      <c r="G25" s="66" t="str">
        <f aca="false">IF(IFERROR(INDEX(tsk_Name,GanttView[[#This Row],[_Row]])="",TRUE()),"",INDEX(tsk_FcStart,GanttView[[#This Row],[_Row]]))</f>
        <v/>
      </c>
      <c r="H25" s="66" t="str">
        <f aca="false">IF(IFERROR(INDEX(tsk_Name,GanttView[[#This Row],[_Row]])="",TRUE()),"",INDEX(tsk_FcFinish,GanttView[[#This Row],[_Row]]))</f>
        <v/>
      </c>
      <c r="I25" s="67" t="str">
        <f aca="false">IF(IFERROR(INDEX(tsk_Name,GanttView[[#This Row],[_Row]])="",TRUE()),"",INDEX(tsk_Progress,GanttView[[#This Row],[_Row]]))</f>
        <v/>
      </c>
      <c r="J25" s="65" t="str">
        <f aca="false">IF(IFERROR(INDEX(tsk_Name,GanttView[[#This Row],[_Row]])="",TRUE()),"",INDEX(tsk_Resource,GanttView[[#This Row],[_Row]])&amp;"")</f>
        <v/>
      </c>
      <c r="K25" s="64" t="str">
        <f aca="false">IF(IFERROR(INDEX(tsk_Name,GanttView[[#This Row],[_Row]])="",TRUE()),"",INDEX(tsk_Status,GanttView[[#This Row],[_Row]]))</f>
        <v/>
      </c>
      <c r="L25" s="68" t="n">
        <f aca="false">ROW()-ROW(GanttView[[#Headers],[ID]])</f>
        <v>20</v>
      </c>
      <c r="M25" s="69" t="b">
        <f aca="false">IF(IFERROR(INDEX(tsk_Name,GanttView[[#This Row],[_Row]])="",TRUE()),FALSE(),INDEX(tsk_IsSummary,GanttView[[#This Row],[_Row]]))</f>
        <v>0</v>
      </c>
      <c r="N25" s="69" t="b">
        <f aca="false">IF(IFERROR(INDEX(tsk_Name,GanttView[[#This Row],[_Row]])="",TRUE()),FALSE(),AND(INDEX(tsk_IsLeaf,GanttView[[#This Row],[_Row]])=1,N(INDEX(tsk_Duration,GanttView[[#This Row],[_Row]]))=0))</f>
        <v>0</v>
      </c>
      <c r="O2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70" t="n">
        <f aca="false">IF(GanttView[[#This Row],[_RemFrom]]=0,0,GanttView[[#This Row],[Forecast Finish]])</f>
        <v>0</v>
      </c>
      <c r="S25" s="69" t="b">
        <f aca="false">IF(IFERROR(INDEX(tsk_Name,GanttView[[#This Row],[_Row]])="",TRUE()),FALSE(),N(INDEX(tsk_Variance,GanttView[[#This Row],[_Row]]))&gt;0)</f>
        <v>0</v>
      </c>
      <c r="T25" s="70" t="n">
        <f aca="false">IF(IFERROR(INDEX(tsk_Name,GanttView[[#This Row],[_Row]])="",TRUE()),0,N(INDEX(tsk_Deadline,GanttView[[#This Row],[_Row]])))</f>
        <v>0</v>
      </c>
      <c r="U25" s="69" t="b">
        <f aca="false">IF(IFERROR(INDEX(tsk_Name,GanttView[[#This Row],[_Row]])="",TRUE()),FALSE(),INDEX(tsk_Critical,GanttView[[#This Row],[_Row]])="Yes")</f>
        <v>0</v>
      </c>
    </row>
    <row r="26" customFormat="false" ht="15" hidden="false" customHeight="false" outlineLevel="0" collapsed="false">
      <c r="A26" s="64" t="str">
        <f aca="false">IF(IFERROR(INDEX(tsk_Name,GanttView[[#This Row],[_Row]])="",TRUE()),"",INDEX(tsk_ID,GanttView[[#This Row],[_Row]]))</f>
        <v/>
      </c>
      <c r="B26" s="64" t="str">
        <f aca="false">IF(IFERROR(INDEX(tsk_Name,GanttView[[#This Row],[_Row]])="",TRUE()),"",INDEX(tsk_WBS,GanttView[[#This Row],[_Row]]))</f>
        <v/>
      </c>
      <c r="C26" s="65" t="str">
        <f aca="false">IF(IFERROR(INDEX(tsk_Name,GanttView[[#This Row],[_Row]])="",TRUE()),"",REPT("    ",INDEX(tsk_Level,GanttView[[#This Row],[_Row]])-1)&amp;INDEX(tsk_Name,GanttView[[#This Row],[_Row]]))</f>
        <v/>
      </c>
      <c r="D2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6" s="66" t="str">
        <f aca="false">IF(IFERROR(INDEX(tsk_Name,GanttView[[#This Row],[_Row]])="",TRUE()),"",INDEX(tsk_PlanStart,GanttView[[#This Row],[_Row]]))</f>
        <v/>
      </c>
      <c r="F26" s="66" t="str">
        <f aca="false">IF(IFERROR(INDEX(tsk_Name,GanttView[[#This Row],[_Row]])="",TRUE()),"",INDEX(tsk_PlanFinish,GanttView[[#This Row],[_Row]]))</f>
        <v/>
      </c>
      <c r="G26" s="66" t="str">
        <f aca="false">IF(IFERROR(INDEX(tsk_Name,GanttView[[#This Row],[_Row]])="",TRUE()),"",INDEX(tsk_FcStart,GanttView[[#This Row],[_Row]]))</f>
        <v/>
      </c>
      <c r="H26" s="66" t="str">
        <f aca="false">IF(IFERROR(INDEX(tsk_Name,GanttView[[#This Row],[_Row]])="",TRUE()),"",INDEX(tsk_FcFinish,GanttView[[#This Row],[_Row]]))</f>
        <v/>
      </c>
      <c r="I26" s="67" t="str">
        <f aca="false">IF(IFERROR(INDEX(tsk_Name,GanttView[[#This Row],[_Row]])="",TRUE()),"",INDEX(tsk_Progress,GanttView[[#This Row],[_Row]]))</f>
        <v/>
      </c>
      <c r="J26" s="65" t="str">
        <f aca="false">IF(IFERROR(INDEX(tsk_Name,GanttView[[#This Row],[_Row]])="",TRUE()),"",INDEX(tsk_Resource,GanttView[[#This Row],[_Row]])&amp;"")</f>
        <v/>
      </c>
      <c r="K26" s="64" t="str">
        <f aca="false">IF(IFERROR(INDEX(tsk_Name,GanttView[[#This Row],[_Row]])="",TRUE()),"",INDEX(tsk_Status,GanttView[[#This Row],[_Row]]))</f>
        <v/>
      </c>
      <c r="L26" s="68" t="n">
        <f aca="false">ROW()-ROW(GanttView[[#Headers],[ID]])</f>
        <v>21</v>
      </c>
      <c r="M26" s="69" t="b">
        <f aca="false">IF(IFERROR(INDEX(tsk_Name,GanttView[[#This Row],[_Row]])="",TRUE()),FALSE(),INDEX(tsk_IsSummary,GanttView[[#This Row],[_Row]]))</f>
        <v>0</v>
      </c>
      <c r="N26" s="69" t="b">
        <f aca="false">IF(IFERROR(INDEX(tsk_Name,GanttView[[#This Row],[_Row]])="",TRUE()),FALSE(),AND(INDEX(tsk_IsLeaf,GanttView[[#This Row],[_Row]])=1,N(INDEX(tsk_Duration,GanttView[[#This Row],[_Row]]))=0))</f>
        <v>0</v>
      </c>
      <c r="O2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6" s="70" t="n">
        <f aca="false">IF(GanttView[[#This Row],[_RemFrom]]=0,0,GanttView[[#This Row],[Forecast Finish]])</f>
        <v>0</v>
      </c>
      <c r="S26" s="69" t="b">
        <f aca="false">IF(IFERROR(INDEX(tsk_Name,GanttView[[#This Row],[_Row]])="",TRUE()),FALSE(),N(INDEX(tsk_Variance,GanttView[[#This Row],[_Row]]))&gt;0)</f>
        <v>0</v>
      </c>
      <c r="T26" s="70" t="n">
        <f aca="false">IF(IFERROR(INDEX(tsk_Name,GanttView[[#This Row],[_Row]])="",TRUE()),0,N(INDEX(tsk_Deadline,GanttView[[#This Row],[_Row]])))</f>
        <v>0</v>
      </c>
      <c r="U26" s="69" t="b">
        <f aca="false">IF(IFERROR(INDEX(tsk_Name,GanttView[[#This Row],[_Row]])="",TRUE()),FALSE(),INDEX(tsk_Critical,GanttView[[#This Row],[_Row]])="Yes")</f>
        <v>0</v>
      </c>
    </row>
    <row r="27" customFormat="false" ht="15" hidden="false" customHeight="false" outlineLevel="0" collapsed="false">
      <c r="A27" s="64" t="str">
        <f aca="false">IF(IFERROR(INDEX(tsk_Name,GanttView[[#This Row],[_Row]])="",TRUE()),"",INDEX(tsk_ID,GanttView[[#This Row],[_Row]]))</f>
        <v/>
      </c>
      <c r="B27" s="64" t="str">
        <f aca="false">IF(IFERROR(INDEX(tsk_Name,GanttView[[#This Row],[_Row]])="",TRUE()),"",INDEX(tsk_WBS,GanttView[[#This Row],[_Row]]))</f>
        <v/>
      </c>
      <c r="C27" s="65" t="str">
        <f aca="false">IF(IFERROR(INDEX(tsk_Name,GanttView[[#This Row],[_Row]])="",TRUE()),"",REPT("    ",INDEX(tsk_Level,GanttView[[#This Row],[_Row]])-1)&amp;INDEX(tsk_Name,GanttView[[#This Row],[_Row]]))</f>
        <v/>
      </c>
      <c r="D2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7" s="66" t="str">
        <f aca="false">IF(IFERROR(INDEX(tsk_Name,GanttView[[#This Row],[_Row]])="",TRUE()),"",INDEX(tsk_PlanStart,GanttView[[#This Row],[_Row]]))</f>
        <v/>
      </c>
      <c r="F27" s="66" t="str">
        <f aca="false">IF(IFERROR(INDEX(tsk_Name,GanttView[[#This Row],[_Row]])="",TRUE()),"",INDEX(tsk_PlanFinish,GanttView[[#This Row],[_Row]]))</f>
        <v/>
      </c>
      <c r="G27" s="66" t="str">
        <f aca="false">IF(IFERROR(INDEX(tsk_Name,GanttView[[#This Row],[_Row]])="",TRUE()),"",INDEX(tsk_FcStart,GanttView[[#This Row],[_Row]]))</f>
        <v/>
      </c>
      <c r="H27" s="66" t="str">
        <f aca="false">IF(IFERROR(INDEX(tsk_Name,GanttView[[#This Row],[_Row]])="",TRUE()),"",INDEX(tsk_FcFinish,GanttView[[#This Row],[_Row]]))</f>
        <v/>
      </c>
      <c r="I27" s="67" t="str">
        <f aca="false">IF(IFERROR(INDEX(tsk_Name,GanttView[[#This Row],[_Row]])="",TRUE()),"",INDEX(tsk_Progress,GanttView[[#This Row],[_Row]]))</f>
        <v/>
      </c>
      <c r="J27" s="65" t="str">
        <f aca="false">IF(IFERROR(INDEX(tsk_Name,GanttView[[#This Row],[_Row]])="",TRUE()),"",INDEX(tsk_Resource,GanttView[[#This Row],[_Row]])&amp;"")</f>
        <v/>
      </c>
      <c r="K27" s="64" t="str">
        <f aca="false">IF(IFERROR(INDEX(tsk_Name,GanttView[[#This Row],[_Row]])="",TRUE()),"",INDEX(tsk_Status,GanttView[[#This Row],[_Row]]))</f>
        <v/>
      </c>
      <c r="L27" s="68" t="n">
        <f aca="false">ROW()-ROW(GanttView[[#Headers],[ID]])</f>
        <v>22</v>
      </c>
      <c r="M27" s="69" t="b">
        <f aca="false">IF(IFERROR(INDEX(tsk_Name,GanttView[[#This Row],[_Row]])="",TRUE()),FALSE(),INDEX(tsk_IsSummary,GanttView[[#This Row],[_Row]]))</f>
        <v>0</v>
      </c>
      <c r="N27" s="69" t="b">
        <f aca="false">IF(IFERROR(INDEX(tsk_Name,GanttView[[#This Row],[_Row]])="",TRUE()),FALSE(),AND(INDEX(tsk_IsLeaf,GanttView[[#This Row],[_Row]])=1,N(INDEX(tsk_Duration,GanttView[[#This Row],[_Row]]))=0))</f>
        <v>0</v>
      </c>
      <c r="O2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7" s="70" t="n">
        <f aca="false">IF(GanttView[[#This Row],[_RemFrom]]=0,0,GanttView[[#This Row],[Forecast Finish]])</f>
        <v>0</v>
      </c>
      <c r="S27" s="69" t="b">
        <f aca="false">IF(IFERROR(INDEX(tsk_Name,GanttView[[#This Row],[_Row]])="",TRUE()),FALSE(),N(INDEX(tsk_Variance,GanttView[[#This Row],[_Row]]))&gt;0)</f>
        <v>0</v>
      </c>
      <c r="T27" s="70" t="n">
        <f aca="false">IF(IFERROR(INDEX(tsk_Name,GanttView[[#This Row],[_Row]])="",TRUE()),0,N(INDEX(tsk_Deadline,GanttView[[#This Row],[_Row]])))</f>
        <v>0</v>
      </c>
      <c r="U27" s="69" t="b">
        <f aca="false">IF(IFERROR(INDEX(tsk_Name,GanttView[[#This Row],[_Row]])="",TRUE()),FALSE(),INDEX(tsk_Critical,GanttView[[#This Row],[_Row]])="Yes")</f>
        <v>0</v>
      </c>
    </row>
    <row r="28" customFormat="false" ht="15" hidden="false" customHeight="false" outlineLevel="0" collapsed="false">
      <c r="A28" s="64" t="str">
        <f aca="false">IF(IFERROR(INDEX(tsk_Name,GanttView[[#This Row],[_Row]])="",TRUE()),"",INDEX(tsk_ID,GanttView[[#This Row],[_Row]]))</f>
        <v/>
      </c>
      <c r="B28" s="64" t="str">
        <f aca="false">IF(IFERROR(INDEX(tsk_Name,GanttView[[#This Row],[_Row]])="",TRUE()),"",INDEX(tsk_WBS,GanttView[[#This Row],[_Row]]))</f>
        <v/>
      </c>
      <c r="C28" s="65" t="str">
        <f aca="false">IF(IFERROR(INDEX(tsk_Name,GanttView[[#This Row],[_Row]])="",TRUE()),"",REPT("    ",INDEX(tsk_Level,GanttView[[#This Row],[_Row]])-1)&amp;INDEX(tsk_Name,GanttView[[#This Row],[_Row]]))</f>
        <v/>
      </c>
      <c r="D2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8" s="66" t="str">
        <f aca="false">IF(IFERROR(INDEX(tsk_Name,GanttView[[#This Row],[_Row]])="",TRUE()),"",INDEX(tsk_PlanStart,GanttView[[#This Row],[_Row]]))</f>
        <v/>
      </c>
      <c r="F28" s="66" t="str">
        <f aca="false">IF(IFERROR(INDEX(tsk_Name,GanttView[[#This Row],[_Row]])="",TRUE()),"",INDEX(tsk_PlanFinish,GanttView[[#This Row],[_Row]]))</f>
        <v/>
      </c>
      <c r="G28" s="66" t="str">
        <f aca="false">IF(IFERROR(INDEX(tsk_Name,GanttView[[#This Row],[_Row]])="",TRUE()),"",INDEX(tsk_FcStart,GanttView[[#This Row],[_Row]]))</f>
        <v/>
      </c>
      <c r="H28" s="66" t="str">
        <f aca="false">IF(IFERROR(INDEX(tsk_Name,GanttView[[#This Row],[_Row]])="",TRUE()),"",INDEX(tsk_FcFinish,GanttView[[#This Row],[_Row]]))</f>
        <v/>
      </c>
      <c r="I28" s="67" t="str">
        <f aca="false">IF(IFERROR(INDEX(tsk_Name,GanttView[[#This Row],[_Row]])="",TRUE()),"",INDEX(tsk_Progress,GanttView[[#This Row],[_Row]]))</f>
        <v/>
      </c>
      <c r="J28" s="65" t="str">
        <f aca="false">IF(IFERROR(INDEX(tsk_Name,GanttView[[#This Row],[_Row]])="",TRUE()),"",INDEX(tsk_Resource,GanttView[[#This Row],[_Row]])&amp;"")</f>
        <v/>
      </c>
      <c r="K28" s="64" t="str">
        <f aca="false">IF(IFERROR(INDEX(tsk_Name,GanttView[[#This Row],[_Row]])="",TRUE()),"",INDEX(tsk_Status,GanttView[[#This Row],[_Row]]))</f>
        <v/>
      </c>
      <c r="L28" s="68" t="n">
        <f aca="false">ROW()-ROW(GanttView[[#Headers],[ID]])</f>
        <v>23</v>
      </c>
      <c r="M28" s="69" t="b">
        <f aca="false">IF(IFERROR(INDEX(tsk_Name,GanttView[[#This Row],[_Row]])="",TRUE()),FALSE(),INDEX(tsk_IsSummary,GanttView[[#This Row],[_Row]]))</f>
        <v>0</v>
      </c>
      <c r="N28" s="69" t="b">
        <f aca="false">IF(IFERROR(INDEX(tsk_Name,GanttView[[#This Row],[_Row]])="",TRUE()),FALSE(),AND(INDEX(tsk_IsLeaf,GanttView[[#This Row],[_Row]])=1,N(INDEX(tsk_Duration,GanttView[[#This Row],[_Row]]))=0))</f>
        <v>0</v>
      </c>
      <c r="O2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8" s="70" t="n">
        <f aca="false">IF(GanttView[[#This Row],[_RemFrom]]=0,0,GanttView[[#This Row],[Forecast Finish]])</f>
        <v>0</v>
      </c>
      <c r="S28" s="69" t="b">
        <f aca="false">IF(IFERROR(INDEX(tsk_Name,GanttView[[#This Row],[_Row]])="",TRUE()),FALSE(),N(INDEX(tsk_Variance,GanttView[[#This Row],[_Row]]))&gt;0)</f>
        <v>0</v>
      </c>
      <c r="T28" s="70" t="n">
        <f aca="false">IF(IFERROR(INDEX(tsk_Name,GanttView[[#This Row],[_Row]])="",TRUE()),0,N(INDEX(tsk_Deadline,GanttView[[#This Row],[_Row]])))</f>
        <v>0</v>
      </c>
      <c r="U28" s="69" t="b">
        <f aca="false">IF(IFERROR(INDEX(tsk_Name,GanttView[[#This Row],[_Row]])="",TRUE()),FALSE(),INDEX(tsk_Critical,GanttView[[#This Row],[_Row]])="Yes")</f>
        <v>0</v>
      </c>
    </row>
    <row r="29" customFormat="false" ht="15" hidden="false" customHeight="false" outlineLevel="0" collapsed="false">
      <c r="A29" s="64" t="str">
        <f aca="false">IF(IFERROR(INDEX(tsk_Name,GanttView[[#This Row],[_Row]])="",TRUE()),"",INDEX(tsk_ID,GanttView[[#This Row],[_Row]]))</f>
        <v/>
      </c>
      <c r="B29" s="64" t="str">
        <f aca="false">IF(IFERROR(INDEX(tsk_Name,GanttView[[#This Row],[_Row]])="",TRUE()),"",INDEX(tsk_WBS,GanttView[[#This Row],[_Row]]))</f>
        <v/>
      </c>
      <c r="C29" s="65" t="str">
        <f aca="false">IF(IFERROR(INDEX(tsk_Name,GanttView[[#This Row],[_Row]])="",TRUE()),"",REPT("    ",INDEX(tsk_Level,GanttView[[#This Row],[_Row]])-1)&amp;INDEX(tsk_Name,GanttView[[#This Row],[_Row]]))</f>
        <v/>
      </c>
      <c r="D2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9" s="66" t="str">
        <f aca="false">IF(IFERROR(INDEX(tsk_Name,GanttView[[#This Row],[_Row]])="",TRUE()),"",INDEX(tsk_PlanStart,GanttView[[#This Row],[_Row]]))</f>
        <v/>
      </c>
      <c r="F29" s="66" t="str">
        <f aca="false">IF(IFERROR(INDEX(tsk_Name,GanttView[[#This Row],[_Row]])="",TRUE()),"",INDEX(tsk_PlanFinish,GanttView[[#This Row],[_Row]]))</f>
        <v/>
      </c>
      <c r="G29" s="66" t="str">
        <f aca="false">IF(IFERROR(INDEX(tsk_Name,GanttView[[#This Row],[_Row]])="",TRUE()),"",INDEX(tsk_FcStart,GanttView[[#This Row],[_Row]]))</f>
        <v/>
      </c>
      <c r="H29" s="66" t="str">
        <f aca="false">IF(IFERROR(INDEX(tsk_Name,GanttView[[#This Row],[_Row]])="",TRUE()),"",INDEX(tsk_FcFinish,GanttView[[#This Row],[_Row]]))</f>
        <v/>
      </c>
      <c r="I29" s="67" t="str">
        <f aca="false">IF(IFERROR(INDEX(tsk_Name,GanttView[[#This Row],[_Row]])="",TRUE()),"",INDEX(tsk_Progress,GanttView[[#This Row],[_Row]]))</f>
        <v/>
      </c>
      <c r="J29" s="65" t="str">
        <f aca="false">IF(IFERROR(INDEX(tsk_Name,GanttView[[#This Row],[_Row]])="",TRUE()),"",INDEX(tsk_Resource,GanttView[[#This Row],[_Row]])&amp;"")</f>
        <v/>
      </c>
      <c r="K29" s="64" t="str">
        <f aca="false">IF(IFERROR(INDEX(tsk_Name,GanttView[[#This Row],[_Row]])="",TRUE()),"",INDEX(tsk_Status,GanttView[[#This Row],[_Row]]))</f>
        <v/>
      </c>
      <c r="L29" s="68" t="n">
        <f aca="false">ROW()-ROW(GanttView[[#Headers],[ID]])</f>
        <v>24</v>
      </c>
      <c r="M29" s="69" t="b">
        <f aca="false">IF(IFERROR(INDEX(tsk_Name,GanttView[[#This Row],[_Row]])="",TRUE()),FALSE(),INDEX(tsk_IsSummary,GanttView[[#This Row],[_Row]]))</f>
        <v>0</v>
      </c>
      <c r="N29" s="69" t="b">
        <f aca="false">IF(IFERROR(INDEX(tsk_Name,GanttView[[#This Row],[_Row]])="",TRUE()),FALSE(),AND(INDEX(tsk_IsLeaf,GanttView[[#This Row],[_Row]])=1,N(INDEX(tsk_Duration,GanttView[[#This Row],[_Row]]))=0))</f>
        <v>0</v>
      </c>
      <c r="O2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9" s="70" t="n">
        <f aca="false">IF(GanttView[[#This Row],[_RemFrom]]=0,0,GanttView[[#This Row],[Forecast Finish]])</f>
        <v>0</v>
      </c>
      <c r="S29" s="69" t="b">
        <f aca="false">IF(IFERROR(INDEX(tsk_Name,GanttView[[#This Row],[_Row]])="",TRUE()),FALSE(),N(INDEX(tsk_Variance,GanttView[[#This Row],[_Row]]))&gt;0)</f>
        <v>0</v>
      </c>
      <c r="T29" s="70" t="n">
        <f aca="false">IF(IFERROR(INDEX(tsk_Name,GanttView[[#This Row],[_Row]])="",TRUE()),0,N(INDEX(tsk_Deadline,GanttView[[#This Row],[_Row]])))</f>
        <v>0</v>
      </c>
      <c r="U29" s="69" t="b">
        <f aca="false">IF(IFERROR(INDEX(tsk_Name,GanttView[[#This Row],[_Row]])="",TRUE()),FALSE(),INDEX(tsk_Critical,GanttView[[#This Row],[_Row]])="Yes")</f>
        <v>0</v>
      </c>
    </row>
    <row r="30" customFormat="false" ht="15" hidden="false" customHeight="false" outlineLevel="0" collapsed="false">
      <c r="A30" s="64" t="str">
        <f aca="false">IF(IFERROR(INDEX(tsk_Name,GanttView[[#This Row],[_Row]])="",TRUE()),"",INDEX(tsk_ID,GanttView[[#This Row],[_Row]]))</f>
        <v/>
      </c>
      <c r="B30" s="64" t="str">
        <f aca="false">IF(IFERROR(INDEX(tsk_Name,GanttView[[#This Row],[_Row]])="",TRUE()),"",INDEX(tsk_WBS,GanttView[[#This Row],[_Row]]))</f>
        <v/>
      </c>
      <c r="C30" s="65" t="str">
        <f aca="false">IF(IFERROR(INDEX(tsk_Name,GanttView[[#This Row],[_Row]])="",TRUE()),"",REPT("    ",INDEX(tsk_Level,GanttView[[#This Row],[_Row]])-1)&amp;INDEX(tsk_Name,GanttView[[#This Row],[_Row]]))</f>
        <v/>
      </c>
      <c r="D3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0" s="66" t="str">
        <f aca="false">IF(IFERROR(INDEX(tsk_Name,GanttView[[#This Row],[_Row]])="",TRUE()),"",INDEX(tsk_PlanStart,GanttView[[#This Row],[_Row]]))</f>
        <v/>
      </c>
      <c r="F30" s="66" t="str">
        <f aca="false">IF(IFERROR(INDEX(tsk_Name,GanttView[[#This Row],[_Row]])="",TRUE()),"",INDEX(tsk_PlanFinish,GanttView[[#This Row],[_Row]]))</f>
        <v/>
      </c>
      <c r="G30" s="66" t="str">
        <f aca="false">IF(IFERROR(INDEX(tsk_Name,GanttView[[#This Row],[_Row]])="",TRUE()),"",INDEX(tsk_FcStart,GanttView[[#This Row],[_Row]]))</f>
        <v/>
      </c>
      <c r="H30" s="66" t="str">
        <f aca="false">IF(IFERROR(INDEX(tsk_Name,GanttView[[#This Row],[_Row]])="",TRUE()),"",INDEX(tsk_FcFinish,GanttView[[#This Row],[_Row]]))</f>
        <v/>
      </c>
      <c r="I30" s="67" t="str">
        <f aca="false">IF(IFERROR(INDEX(tsk_Name,GanttView[[#This Row],[_Row]])="",TRUE()),"",INDEX(tsk_Progress,GanttView[[#This Row],[_Row]]))</f>
        <v/>
      </c>
      <c r="J30" s="65" t="str">
        <f aca="false">IF(IFERROR(INDEX(tsk_Name,GanttView[[#This Row],[_Row]])="",TRUE()),"",INDEX(tsk_Resource,GanttView[[#This Row],[_Row]])&amp;"")</f>
        <v/>
      </c>
      <c r="K30" s="64" t="str">
        <f aca="false">IF(IFERROR(INDEX(tsk_Name,GanttView[[#This Row],[_Row]])="",TRUE()),"",INDEX(tsk_Status,GanttView[[#This Row],[_Row]]))</f>
        <v/>
      </c>
      <c r="L30" s="68" t="n">
        <f aca="false">ROW()-ROW(GanttView[[#Headers],[ID]])</f>
        <v>25</v>
      </c>
      <c r="M30" s="69" t="b">
        <f aca="false">IF(IFERROR(INDEX(tsk_Name,GanttView[[#This Row],[_Row]])="",TRUE()),FALSE(),INDEX(tsk_IsSummary,GanttView[[#This Row],[_Row]]))</f>
        <v>0</v>
      </c>
      <c r="N30" s="69" t="b">
        <f aca="false">IF(IFERROR(INDEX(tsk_Name,GanttView[[#This Row],[_Row]])="",TRUE()),FALSE(),AND(INDEX(tsk_IsLeaf,GanttView[[#This Row],[_Row]])=1,N(INDEX(tsk_Duration,GanttView[[#This Row],[_Row]]))=0))</f>
        <v>0</v>
      </c>
      <c r="O3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70" t="n">
        <f aca="false">IF(GanttView[[#This Row],[_RemFrom]]=0,0,GanttView[[#This Row],[Forecast Finish]])</f>
        <v>0</v>
      </c>
      <c r="S30" s="69" t="b">
        <f aca="false">IF(IFERROR(INDEX(tsk_Name,GanttView[[#This Row],[_Row]])="",TRUE()),FALSE(),N(INDEX(tsk_Variance,GanttView[[#This Row],[_Row]]))&gt;0)</f>
        <v>0</v>
      </c>
      <c r="T30" s="70" t="n">
        <f aca="false">IF(IFERROR(INDEX(tsk_Name,GanttView[[#This Row],[_Row]])="",TRUE()),0,N(INDEX(tsk_Deadline,GanttView[[#This Row],[_Row]])))</f>
        <v>0</v>
      </c>
      <c r="U30" s="69" t="b">
        <f aca="false">IF(IFERROR(INDEX(tsk_Name,GanttView[[#This Row],[_Row]])="",TRUE()),FALSE(),INDEX(tsk_Critical,GanttView[[#This Row],[_Row]])="Yes")</f>
        <v>0</v>
      </c>
    </row>
    <row r="31" customFormat="false" ht="15" hidden="false" customHeight="false" outlineLevel="0" collapsed="false">
      <c r="A31" s="64" t="str">
        <f aca="false">IF(IFERROR(INDEX(tsk_Name,GanttView[[#This Row],[_Row]])="",TRUE()),"",INDEX(tsk_ID,GanttView[[#This Row],[_Row]]))</f>
        <v/>
      </c>
      <c r="B31" s="64" t="str">
        <f aca="false">IF(IFERROR(INDEX(tsk_Name,GanttView[[#This Row],[_Row]])="",TRUE()),"",INDEX(tsk_WBS,GanttView[[#This Row],[_Row]]))</f>
        <v/>
      </c>
      <c r="C31" s="65" t="str">
        <f aca="false">IF(IFERROR(INDEX(tsk_Name,GanttView[[#This Row],[_Row]])="",TRUE()),"",REPT("    ",INDEX(tsk_Level,GanttView[[#This Row],[_Row]])-1)&amp;INDEX(tsk_Name,GanttView[[#This Row],[_Row]]))</f>
        <v/>
      </c>
      <c r="D3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1" s="66" t="str">
        <f aca="false">IF(IFERROR(INDEX(tsk_Name,GanttView[[#This Row],[_Row]])="",TRUE()),"",INDEX(tsk_PlanStart,GanttView[[#This Row],[_Row]]))</f>
        <v/>
      </c>
      <c r="F31" s="66" t="str">
        <f aca="false">IF(IFERROR(INDEX(tsk_Name,GanttView[[#This Row],[_Row]])="",TRUE()),"",INDEX(tsk_PlanFinish,GanttView[[#This Row],[_Row]]))</f>
        <v/>
      </c>
      <c r="G31" s="66" t="str">
        <f aca="false">IF(IFERROR(INDEX(tsk_Name,GanttView[[#This Row],[_Row]])="",TRUE()),"",INDEX(tsk_FcStart,GanttView[[#This Row],[_Row]]))</f>
        <v/>
      </c>
      <c r="H31" s="66" t="str">
        <f aca="false">IF(IFERROR(INDEX(tsk_Name,GanttView[[#This Row],[_Row]])="",TRUE()),"",INDEX(tsk_FcFinish,GanttView[[#This Row],[_Row]]))</f>
        <v/>
      </c>
      <c r="I31" s="67" t="str">
        <f aca="false">IF(IFERROR(INDEX(tsk_Name,GanttView[[#This Row],[_Row]])="",TRUE()),"",INDEX(tsk_Progress,GanttView[[#This Row],[_Row]]))</f>
        <v/>
      </c>
      <c r="J31" s="65" t="str">
        <f aca="false">IF(IFERROR(INDEX(tsk_Name,GanttView[[#This Row],[_Row]])="",TRUE()),"",INDEX(tsk_Resource,GanttView[[#This Row],[_Row]])&amp;"")</f>
        <v/>
      </c>
      <c r="K31" s="64" t="str">
        <f aca="false">IF(IFERROR(INDEX(tsk_Name,GanttView[[#This Row],[_Row]])="",TRUE()),"",INDEX(tsk_Status,GanttView[[#This Row],[_Row]]))</f>
        <v/>
      </c>
      <c r="L31" s="68" t="n">
        <f aca="false">ROW()-ROW(GanttView[[#Headers],[ID]])</f>
        <v>26</v>
      </c>
      <c r="M31" s="69" t="b">
        <f aca="false">IF(IFERROR(INDEX(tsk_Name,GanttView[[#This Row],[_Row]])="",TRUE()),FALSE(),INDEX(tsk_IsSummary,GanttView[[#This Row],[_Row]]))</f>
        <v>0</v>
      </c>
      <c r="N31" s="69" t="b">
        <f aca="false">IF(IFERROR(INDEX(tsk_Name,GanttView[[#This Row],[_Row]])="",TRUE()),FALSE(),AND(INDEX(tsk_IsLeaf,GanttView[[#This Row],[_Row]])=1,N(INDEX(tsk_Duration,GanttView[[#This Row],[_Row]]))=0))</f>
        <v>0</v>
      </c>
      <c r="O3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1" s="70" t="n">
        <f aca="false">IF(GanttView[[#This Row],[_RemFrom]]=0,0,GanttView[[#This Row],[Forecast Finish]])</f>
        <v>0</v>
      </c>
      <c r="S31" s="69" t="b">
        <f aca="false">IF(IFERROR(INDEX(tsk_Name,GanttView[[#This Row],[_Row]])="",TRUE()),FALSE(),N(INDEX(tsk_Variance,GanttView[[#This Row],[_Row]]))&gt;0)</f>
        <v>0</v>
      </c>
      <c r="T31" s="70" t="n">
        <f aca="false">IF(IFERROR(INDEX(tsk_Name,GanttView[[#This Row],[_Row]])="",TRUE()),0,N(INDEX(tsk_Deadline,GanttView[[#This Row],[_Row]])))</f>
        <v>0</v>
      </c>
      <c r="U31" s="69" t="b">
        <f aca="false">IF(IFERROR(INDEX(tsk_Name,GanttView[[#This Row],[_Row]])="",TRUE()),FALSE(),INDEX(tsk_Critical,GanttView[[#This Row],[_Row]])="Yes")</f>
        <v>0</v>
      </c>
    </row>
    <row r="32" customFormat="false" ht="15" hidden="false" customHeight="false" outlineLevel="0" collapsed="false">
      <c r="A32" s="64" t="str">
        <f aca="false">IF(IFERROR(INDEX(tsk_Name,GanttView[[#This Row],[_Row]])="",TRUE()),"",INDEX(tsk_ID,GanttView[[#This Row],[_Row]]))</f>
        <v/>
      </c>
      <c r="B32" s="64" t="str">
        <f aca="false">IF(IFERROR(INDEX(tsk_Name,GanttView[[#This Row],[_Row]])="",TRUE()),"",INDEX(tsk_WBS,GanttView[[#This Row],[_Row]]))</f>
        <v/>
      </c>
      <c r="C32" s="65" t="str">
        <f aca="false">IF(IFERROR(INDEX(tsk_Name,GanttView[[#This Row],[_Row]])="",TRUE()),"",REPT("    ",INDEX(tsk_Level,GanttView[[#This Row],[_Row]])-1)&amp;INDEX(tsk_Name,GanttView[[#This Row],[_Row]]))</f>
        <v/>
      </c>
      <c r="D3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2" s="66" t="str">
        <f aca="false">IF(IFERROR(INDEX(tsk_Name,GanttView[[#This Row],[_Row]])="",TRUE()),"",INDEX(tsk_PlanStart,GanttView[[#This Row],[_Row]]))</f>
        <v/>
      </c>
      <c r="F32" s="66" t="str">
        <f aca="false">IF(IFERROR(INDEX(tsk_Name,GanttView[[#This Row],[_Row]])="",TRUE()),"",INDEX(tsk_PlanFinish,GanttView[[#This Row],[_Row]]))</f>
        <v/>
      </c>
      <c r="G32" s="66" t="str">
        <f aca="false">IF(IFERROR(INDEX(tsk_Name,GanttView[[#This Row],[_Row]])="",TRUE()),"",INDEX(tsk_FcStart,GanttView[[#This Row],[_Row]]))</f>
        <v/>
      </c>
      <c r="H32" s="66" t="str">
        <f aca="false">IF(IFERROR(INDEX(tsk_Name,GanttView[[#This Row],[_Row]])="",TRUE()),"",INDEX(tsk_FcFinish,GanttView[[#This Row],[_Row]]))</f>
        <v/>
      </c>
      <c r="I32" s="67" t="str">
        <f aca="false">IF(IFERROR(INDEX(tsk_Name,GanttView[[#This Row],[_Row]])="",TRUE()),"",INDEX(tsk_Progress,GanttView[[#This Row],[_Row]]))</f>
        <v/>
      </c>
      <c r="J32" s="65" t="str">
        <f aca="false">IF(IFERROR(INDEX(tsk_Name,GanttView[[#This Row],[_Row]])="",TRUE()),"",INDEX(tsk_Resource,GanttView[[#This Row],[_Row]])&amp;"")</f>
        <v/>
      </c>
      <c r="K32" s="64" t="str">
        <f aca="false">IF(IFERROR(INDEX(tsk_Name,GanttView[[#This Row],[_Row]])="",TRUE()),"",INDEX(tsk_Status,GanttView[[#This Row],[_Row]]))</f>
        <v/>
      </c>
      <c r="L32" s="68" t="n">
        <f aca="false">ROW()-ROW(GanttView[[#Headers],[ID]])</f>
        <v>27</v>
      </c>
      <c r="M32" s="69" t="b">
        <f aca="false">IF(IFERROR(INDEX(tsk_Name,GanttView[[#This Row],[_Row]])="",TRUE()),FALSE(),INDEX(tsk_IsSummary,GanttView[[#This Row],[_Row]]))</f>
        <v>0</v>
      </c>
      <c r="N32" s="69" t="b">
        <f aca="false">IF(IFERROR(INDEX(tsk_Name,GanttView[[#This Row],[_Row]])="",TRUE()),FALSE(),AND(INDEX(tsk_IsLeaf,GanttView[[#This Row],[_Row]])=1,N(INDEX(tsk_Duration,GanttView[[#This Row],[_Row]]))=0))</f>
        <v>0</v>
      </c>
      <c r="O3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70" t="n">
        <f aca="false">IF(GanttView[[#This Row],[_RemFrom]]=0,0,GanttView[[#This Row],[Forecast Finish]])</f>
        <v>0</v>
      </c>
      <c r="S32" s="69" t="b">
        <f aca="false">IF(IFERROR(INDEX(tsk_Name,GanttView[[#This Row],[_Row]])="",TRUE()),FALSE(),N(INDEX(tsk_Variance,GanttView[[#This Row],[_Row]]))&gt;0)</f>
        <v>0</v>
      </c>
      <c r="T32" s="70" t="n">
        <f aca="false">IF(IFERROR(INDEX(tsk_Name,GanttView[[#This Row],[_Row]])="",TRUE()),0,N(INDEX(tsk_Deadline,GanttView[[#This Row],[_Row]])))</f>
        <v>0</v>
      </c>
      <c r="U32" s="69" t="b">
        <f aca="false">IF(IFERROR(INDEX(tsk_Name,GanttView[[#This Row],[_Row]])="",TRUE()),FALSE(),INDEX(tsk_Critical,GanttView[[#This Row],[_Row]])="Yes")</f>
        <v>0</v>
      </c>
    </row>
    <row r="33" customFormat="false" ht="15" hidden="false" customHeight="false" outlineLevel="0" collapsed="false">
      <c r="A33" s="64" t="str">
        <f aca="false">IF(IFERROR(INDEX(tsk_Name,GanttView[[#This Row],[_Row]])="",TRUE()),"",INDEX(tsk_ID,GanttView[[#This Row],[_Row]]))</f>
        <v/>
      </c>
      <c r="B33" s="64" t="str">
        <f aca="false">IF(IFERROR(INDEX(tsk_Name,GanttView[[#This Row],[_Row]])="",TRUE()),"",INDEX(tsk_WBS,GanttView[[#This Row],[_Row]]))</f>
        <v/>
      </c>
      <c r="C33" s="65" t="str">
        <f aca="false">IF(IFERROR(INDEX(tsk_Name,GanttView[[#This Row],[_Row]])="",TRUE()),"",REPT("    ",INDEX(tsk_Level,GanttView[[#This Row],[_Row]])-1)&amp;INDEX(tsk_Name,GanttView[[#This Row],[_Row]]))</f>
        <v/>
      </c>
      <c r="D3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3" s="66" t="str">
        <f aca="false">IF(IFERROR(INDEX(tsk_Name,GanttView[[#This Row],[_Row]])="",TRUE()),"",INDEX(tsk_PlanStart,GanttView[[#This Row],[_Row]]))</f>
        <v/>
      </c>
      <c r="F33" s="66" t="str">
        <f aca="false">IF(IFERROR(INDEX(tsk_Name,GanttView[[#This Row],[_Row]])="",TRUE()),"",INDEX(tsk_PlanFinish,GanttView[[#This Row],[_Row]]))</f>
        <v/>
      </c>
      <c r="G33" s="66" t="str">
        <f aca="false">IF(IFERROR(INDEX(tsk_Name,GanttView[[#This Row],[_Row]])="",TRUE()),"",INDEX(tsk_FcStart,GanttView[[#This Row],[_Row]]))</f>
        <v/>
      </c>
      <c r="H33" s="66" t="str">
        <f aca="false">IF(IFERROR(INDEX(tsk_Name,GanttView[[#This Row],[_Row]])="",TRUE()),"",INDEX(tsk_FcFinish,GanttView[[#This Row],[_Row]]))</f>
        <v/>
      </c>
      <c r="I33" s="67" t="str">
        <f aca="false">IF(IFERROR(INDEX(tsk_Name,GanttView[[#This Row],[_Row]])="",TRUE()),"",INDEX(tsk_Progress,GanttView[[#This Row],[_Row]]))</f>
        <v/>
      </c>
      <c r="J33" s="65" t="str">
        <f aca="false">IF(IFERROR(INDEX(tsk_Name,GanttView[[#This Row],[_Row]])="",TRUE()),"",INDEX(tsk_Resource,GanttView[[#This Row],[_Row]])&amp;"")</f>
        <v/>
      </c>
      <c r="K33" s="64" t="str">
        <f aca="false">IF(IFERROR(INDEX(tsk_Name,GanttView[[#This Row],[_Row]])="",TRUE()),"",INDEX(tsk_Status,GanttView[[#This Row],[_Row]]))</f>
        <v/>
      </c>
      <c r="L33" s="68" t="n">
        <f aca="false">ROW()-ROW(GanttView[[#Headers],[ID]])</f>
        <v>28</v>
      </c>
      <c r="M33" s="69" t="b">
        <f aca="false">IF(IFERROR(INDEX(tsk_Name,GanttView[[#This Row],[_Row]])="",TRUE()),FALSE(),INDEX(tsk_IsSummary,GanttView[[#This Row],[_Row]]))</f>
        <v>0</v>
      </c>
      <c r="N33" s="69" t="b">
        <f aca="false">IF(IFERROR(INDEX(tsk_Name,GanttView[[#This Row],[_Row]])="",TRUE()),FALSE(),AND(INDEX(tsk_IsLeaf,GanttView[[#This Row],[_Row]])=1,N(INDEX(tsk_Duration,GanttView[[#This Row],[_Row]]))=0))</f>
        <v>0</v>
      </c>
      <c r="O3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3" s="70" t="n">
        <f aca="false">IF(GanttView[[#This Row],[_RemFrom]]=0,0,GanttView[[#This Row],[Forecast Finish]])</f>
        <v>0</v>
      </c>
      <c r="S33" s="69" t="b">
        <f aca="false">IF(IFERROR(INDEX(tsk_Name,GanttView[[#This Row],[_Row]])="",TRUE()),FALSE(),N(INDEX(tsk_Variance,GanttView[[#This Row],[_Row]]))&gt;0)</f>
        <v>0</v>
      </c>
      <c r="T33" s="70" t="n">
        <f aca="false">IF(IFERROR(INDEX(tsk_Name,GanttView[[#This Row],[_Row]])="",TRUE()),0,N(INDEX(tsk_Deadline,GanttView[[#This Row],[_Row]])))</f>
        <v>0</v>
      </c>
      <c r="U33" s="69" t="b">
        <f aca="false">IF(IFERROR(INDEX(tsk_Name,GanttView[[#This Row],[_Row]])="",TRUE()),FALSE(),INDEX(tsk_Critical,GanttView[[#This Row],[_Row]])="Yes")</f>
        <v>0</v>
      </c>
    </row>
    <row r="34" customFormat="false" ht="15" hidden="false" customHeight="false" outlineLevel="0" collapsed="false">
      <c r="A34" s="64" t="str">
        <f aca="false">IF(IFERROR(INDEX(tsk_Name,GanttView[[#This Row],[_Row]])="",TRUE()),"",INDEX(tsk_ID,GanttView[[#This Row],[_Row]]))</f>
        <v/>
      </c>
      <c r="B34" s="64" t="str">
        <f aca="false">IF(IFERROR(INDEX(tsk_Name,GanttView[[#This Row],[_Row]])="",TRUE()),"",INDEX(tsk_WBS,GanttView[[#This Row],[_Row]]))</f>
        <v/>
      </c>
      <c r="C34" s="65" t="str">
        <f aca="false">IF(IFERROR(INDEX(tsk_Name,GanttView[[#This Row],[_Row]])="",TRUE()),"",REPT("    ",INDEX(tsk_Level,GanttView[[#This Row],[_Row]])-1)&amp;INDEX(tsk_Name,GanttView[[#This Row],[_Row]]))</f>
        <v/>
      </c>
      <c r="D3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4" s="66" t="str">
        <f aca="false">IF(IFERROR(INDEX(tsk_Name,GanttView[[#This Row],[_Row]])="",TRUE()),"",INDEX(tsk_PlanStart,GanttView[[#This Row],[_Row]]))</f>
        <v/>
      </c>
      <c r="F34" s="66" t="str">
        <f aca="false">IF(IFERROR(INDEX(tsk_Name,GanttView[[#This Row],[_Row]])="",TRUE()),"",INDEX(tsk_PlanFinish,GanttView[[#This Row],[_Row]]))</f>
        <v/>
      </c>
      <c r="G34" s="66" t="str">
        <f aca="false">IF(IFERROR(INDEX(tsk_Name,GanttView[[#This Row],[_Row]])="",TRUE()),"",INDEX(tsk_FcStart,GanttView[[#This Row],[_Row]]))</f>
        <v/>
      </c>
      <c r="H34" s="66" t="str">
        <f aca="false">IF(IFERROR(INDEX(tsk_Name,GanttView[[#This Row],[_Row]])="",TRUE()),"",INDEX(tsk_FcFinish,GanttView[[#This Row],[_Row]]))</f>
        <v/>
      </c>
      <c r="I34" s="67" t="str">
        <f aca="false">IF(IFERROR(INDEX(tsk_Name,GanttView[[#This Row],[_Row]])="",TRUE()),"",INDEX(tsk_Progress,GanttView[[#This Row],[_Row]]))</f>
        <v/>
      </c>
      <c r="J34" s="65" t="str">
        <f aca="false">IF(IFERROR(INDEX(tsk_Name,GanttView[[#This Row],[_Row]])="",TRUE()),"",INDEX(tsk_Resource,GanttView[[#This Row],[_Row]])&amp;"")</f>
        <v/>
      </c>
      <c r="K34" s="64" t="str">
        <f aca="false">IF(IFERROR(INDEX(tsk_Name,GanttView[[#This Row],[_Row]])="",TRUE()),"",INDEX(tsk_Status,GanttView[[#This Row],[_Row]]))</f>
        <v/>
      </c>
      <c r="L34" s="68" t="n">
        <f aca="false">ROW()-ROW(GanttView[[#Headers],[ID]])</f>
        <v>29</v>
      </c>
      <c r="M34" s="69" t="b">
        <f aca="false">IF(IFERROR(INDEX(tsk_Name,GanttView[[#This Row],[_Row]])="",TRUE()),FALSE(),INDEX(tsk_IsSummary,GanttView[[#This Row],[_Row]]))</f>
        <v>0</v>
      </c>
      <c r="N34" s="69" t="b">
        <f aca="false">IF(IFERROR(INDEX(tsk_Name,GanttView[[#This Row],[_Row]])="",TRUE()),FALSE(),AND(INDEX(tsk_IsLeaf,GanttView[[#This Row],[_Row]])=1,N(INDEX(tsk_Duration,GanttView[[#This Row],[_Row]]))=0))</f>
        <v>0</v>
      </c>
      <c r="O3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4" s="70" t="n">
        <f aca="false">IF(GanttView[[#This Row],[_RemFrom]]=0,0,GanttView[[#This Row],[Forecast Finish]])</f>
        <v>0</v>
      </c>
      <c r="S34" s="69" t="b">
        <f aca="false">IF(IFERROR(INDEX(tsk_Name,GanttView[[#This Row],[_Row]])="",TRUE()),FALSE(),N(INDEX(tsk_Variance,GanttView[[#This Row],[_Row]]))&gt;0)</f>
        <v>0</v>
      </c>
      <c r="T34" s="70" t="n">
        <f aca="false">IF(IFERROR(INDEX(tsk_Name,GanttView[[#This Row],[_Row]])="",TRUE()),0,N(INDEX(tsk_Deadline,GanttView[[#This Row],[_Row]])))</f>
        <v>0</v>
      </c>
      <c r="U34" s="69" t="b">
        <f aca="false">IF(IFERROR(INDEX(tsk_Name,GanttView[[#This Row],[_Row]])="",TRUE()),FALSE(),INDEX(tsk_Critical,GanttView[[#This Row],[_Row]])="Yes")</f>
        <v>0</v>
      </c>
    </row>
    <row r="35" customFormat="false" ht="15" hidden="false" customHeight="false" outlineLevel="0" collapsed="false">
      <c r="A35" s="64" t="str">
        <f aca="false">IF(IFERROR(INDEX(tsk_Name,GanttView[[#This Row],[_Row]])="",TRUE()),"",INDEX(tsk_ID,GanttView[[#This Row],[_Row]]))</f>
        <v/>
      </c>
      <c r="B35" s="64" t="str">
        <f aca="false">IF(IFERROR(INDEX(tsk_Name,GanttView[[#This Row],[_Row]])="",TRUE()),"",INDEX(tsk_WBS,GanttView[[#This Row],[_Row]]))</f>
        <v/>
      </c>
      <c r="C35" s="65" t="str">
        <f aca="false">IF(IFERROR(INDEX(tsk_Name,GanttView[[#This Row],[_Row]])="",TRUE()),"",REPT("    ",INDEX(tsk_Level,GanttView[[#This Row],[_Row]])-1)&amp;INDEX(tsk_Name,GanttView[[#This Row],[_Row]]))</f>
        <v/>
      </c>
      <c r="D3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5" s="66" t="str">
        <f aca="false">IF(IFERROR(INDEX(tsk_Name,GanttView[[#This Row],[_Row]])="",TRUE()),"",INDEX(tsk_PlanStart,GanttView[[#This Row],[_Row]]))</f>
        <v/>
      </c>
      <c r="F35" s="66" t="str">
        <f aca="false">IF(IFERROR(INDEX(tsk_Name,GanttView[[#This Row],[_Row]])="",TRUE()),"",INDEX(tsk_PlanFinish,GanttView[[#This Row],[_Row]]))</f>
        <v/>
      </c>
      <c r="G35" s="66" t="str">
        <f aca="false">IF(IFERROR(INDEX(tsk_Name,GanttView[[#This Row],[_Row]])="",TRUE()),"",INDEX(tsk_FcStart,GanttView[[#This Row],[_Row]]))</f>
        <v/>
      </c>
      <c r="H35" s="66" t="str">
        <f aca="false">IF(IFERROR(INDEX(tsk_Name,GanttView[[#This Row],[_Row]])="",TRUE()),"",INDEX(tsk_FcFinish,GanttView[[#This Row],[_Row]]))</f>
        <v/>
      </c>
      <c r="I35" s="67" t="str">
        <f aca="false">IF(IFERROR(INDEX(tsk_Name,GanttView[[#This Row],[_Row]])="",TRUE()),"",INDEX(tsk_Progress,GanttView[[#This Row],[_Row]]))</f>
        <v/>
      </c>
      <c r="J35" s="65" t="str">
        <f aca="false">IF(IFERROR(INDEX(tsk_Name,GanttView[[#This Row],[_Row]])="",TRUE()),"",INDEX(tsk_Resource,GanttView[[#This Row],[_Row]])&amp;"")</f>
        <v/>
      </c>
      <c r="K35" s="64" t="str">
        <f aca="false">IF(IFERROR(INDEX(tsk_Name,GanttView[[#This Row],[_Row]])="",TRUE()),"",INDEX(tsk_Status,GanttView[[#This Row],[_Row]]))</f>
        <v/>
      </c>
      <c r="L35" s="68" t="n">
        <f aca="false">ROW()-ROW(GanttView[[#Headers],[ID]])</f>
        <v>30</v>
      </c>
      <c r="M35" s="69" t="b">
        <f aca="false">IF(IFERROR(INDEX(tsk_Name,GanttView[[#This Row],[_Row]])="",TRUE()),FALSE(),INDEX(tsk_IsSummary,GanttView[[#This Row],[_Row]]))</f>
        <v>0</v>
      </c>
      <c r="N35" s="69" t="b">
        <f aca="false">IF(IFERROR(INDEX(tsk_Name,GanttView[[#This Row],[_Row]])="",TRUE()),FALSE(),AND(INDEX(tsk_IsLeaf,GanttView[[#This Row],[_Row]])=1,N(INDEX(tsk_Duration,GanttView[[#This Row],[_Row]]))=0))</f>
        <v>0</v>
      </c>
      <c r="O3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70" t="n">
        <f aca="false">IF(GanttView[[#This Row],[_RemFrom]]=0,0,GanttView[[#This Row],[Forecast Finish]])</f>
        <v>0</v>
      </c>
      <c r="S35" s="69" t="b">
        <f aca="false">IF(IFERROR(INDEX(tsk_Name,GanttView[[#This Row],[_Row]])="",TRUE()),FALSE(),N(INDEX(tsk_Variance,GanttView[[#This Row],[_Row]]))&gt;0)</f>
        <v>0</v>
      </c>
      <c r="T35" s="70" t="n">
        <f aca="false">IF(IFERROR(INDEX(tsk_Name,GanttView[[#This Row],[_Row]])="",TRUE()),0,N(INDEX(tsk_Deadline,GanttView[[#This Row],[_Row]])))</f>
        <v>0</v>
      </c>
      <c r="U35" s="69" t="b">
        <f aca="false">IF(IFERROR(INDEX(tsk_Name,GanttView[[#This Row],[_Row]])="",TRUE()),FALSE(),INDEX(tsk_Critical,GanttView[[#This Row],[_Row]])="Yes")</f>
        <v>0</v>
      </c>
    </row>
    <row r="36" customFormat="false" ht="15" hidden="false" customHeight="false" outlineLevel="0" collapsed="false">
      <c r="A36" s="64" t="str">
        <f aca="false">IF(IFERROR(INDEX(tsk_Name,GanttView[[#This Row],[_Row]])="",TRUE()),"",INDEX(tsk_ID,GanttView[[#This Row],[_Row]]))</f>
        <v/>
      </c>
      <c r="B36" s="64" t="str">
        <f aca="false">IF(IFERROR(INDEX(tsk_Name,GanttView[[#This Row],[_Row]])="",TRUE()),"",INDEX(tsk_WBS,GanttView[[#This Row],[_Row]]))</f>
        <v/>
      </c>
      <c r="C36" s="65" t="str">
        <f aca="false">IF(IFERROR(INDEX(tsk_Name,GanttView[[#This Row],[_Row]])="",TRUE()),"",REPT("    ",INDEX(tsk_Level,GanttView[[#This Row],[_Row]])-1)&amp;INDEX(tsk_Name,GanttView[[#This Row],[_Row]]))</f>
        <v/>
      </c>
      <c r="D3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6" t="str">
        <f aca="false">IF(IFERROR(INDEX(tsk_Name,GanttView[[#This Row],[_Row]])="",TRUE()),"",INDEX(tsk_PlanStart,GanttView[[#This Row],[_Row]]))</f>
        <v/>
      </c>
      <c r="F36" s="66" t="str">
        <f aca="false">IF(IFERROR(INDEX(tsk_Name,GanttView[[#This Row],[_Row]])="",TRUE()),"",INDEX(tsk_PlanFinish,GanttView[[#This Row],[_Row]]))</f>
        <v/>
      </c>
      <c r="G36" s="66" t="str">
        <f aca="false">IF(IFERROR(INDEX(tsk_Name,GanttView[[#This Row],[_Row]])="",TRUE()),"",INDEX(tsk_FcStart,GanttView[[#This Row],[_Row]]))</f>
        <v/>
      </c>
      <c r="H36" s="66" t="str">
        <f aca="false">IF(IFERROR(INDEX(tsk_Name,GanttView[[#This Row],[_Row]])="",TRUE()),"",INDEX(tsk_FcFinish,GanttView[[#This Row],[_Row]]))</f>
        <v/>
      </c>
      <c r="I36" s="67" t="str">
        <f aca="false">IF(IFERROR(INDEX(tsk_Name,GanttView[[#This Row],[_Row]])="",TRUE()),"",INDEX(tsk_Progress,GanttView[[#This Row],[_Row]]))</f>
        <v/>
      </c>
      <c r="J36" s="65" t="str">
        <f aca="false">IF(IFERROR(INDEX(tsk_Name,GanttView[[#This Row],[_Row]])="",TRUE()),"",INDEX(tsk_Resource,GanttView[[#This Row],[_Row]])&amp;"")</f>
        <v/>
      </c>
      <c r="K36" s="64" t="str">
        <f aca="false">IF(IFERROR(INDEX(tsk_Name,GanttView[[#This Row],[_Row]])="",TRUE()),"",INDEX(tsk_Status,GanttView[[#This Row],[_Row]]))</f>
        <v/>
      </c>
      <c r="L36" s="68" t="n">
        <f aca="false">ROW()-ROW(GanttView[[#Headers],[ID]])</f>
        <v>31</v>
      </c>
      <c r="M36" s="69" t="b">
        <f aca="false">IF(IFERROR(INDEX(tsk_Name,GanttView[[#This Row],[_Row]])="",TRUE()),FALSE(),INDEX(tsk_IsSummary,GanttView[[#This Row],[_Row]]))</f>
        <v>0</v>
      </c>
      <c r="N36" s="69" t="b">
        <f aca="false">IF(IFERROR(INDEX(tsk_Name,GanttView[[#This Row],[_Row]])="",TRUE()),FALSE(),AND(INDEX(tsk_IsLeaf,GanttView[[#This Row],[_Row]])=1,N(INDEX(tsk_Duration,GanttView[[#This Row],[_Row]]))=0))</f>
        <v>0</v>
      </c>
      <c r="O3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70" t="n">
        <f aca="false">IF(GanttView[[#This Row],[_RemFrom]]=0,0,GanttView[[#This Row],[Forecast Finish]])</f>
        <v>0</v>
      </c>
      <c r="S36" s="69" t="b">
        <f aca="false">IF(IFERROR(INDEX(tsk_Name,GanttView[[#This Row],[_Row]])="",TRUE()),FALSE(),N(INDEX(tsk_Variance,GanttView[[#This Row],[_Row]]))&gt;0)</f>
        <v>0</v>
      </c>
      <c r="T36" s="70" t="n">
        <f aca="false">IF(IFERROR(INDEX(tsk_Name,GanttView[[#This Row],[_Row]])="",TRUE()),0,N(INDEX(tsk_Deadline,GanttView[[#This Row],[_Row]])))</f>
        <v>0</v>
      </c>
      <c r="U36" s="69" t="b">
        <f aca="false">IF(IFERROR(INDEX(tsk_Name,GanttView[[#This Row],[_Row]])="",TRUE()),FALSE(),INDEX(tsk_Critical,GanttView[[#This Row],[_Row]])="Yes")</f>
        <v>0</v>
      </c>
    </row>
    <row r="37" customFormat="false" ht="15" hidden="false" customHeight="false" outlineLevel="0" collapsed="false">
      <c r="A37" s="64" t="str">
        <f aca="false">IF(IFERROR(INDEX(tsk_Name,GanttView[[#This Row],[_Row]])="",TRUE()),"",INDEX(tsk_ID,GanttView[[#This Row],[_Row]]))</f>
        <v/>
      </c>
      <c r="B37" s="64" t="str">
        <f aca="false">IF(IFERROR(INDEX(tsk_Name,GanttView[[#This Row],[_Row]])="",TRUE()),"",INDEX(tsk_WBS,GanttView[[#This Row],[_Row]]))</f>
        <v/>
      </c>
      <c r="C37" s="65" t="str">
        <f aca="false">IF(IFERROR(INDEX(tsk_Name,GanttView[[#This Row],[_Row]])="",TRUE()),"",REPT("    ",INDEX(tsk_Level,GanttView[[#This Row],[_Row]])-1)&amp;INDEX(tsk_Name,GanttView[[#This Row],[_Row]]))</f>
        <v/>
      </c>
      <c r="D3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6" t="str">
        <f aca="false">IF(IFERROR(INDEX(tsk_Name,GanttView[[#This Row],[_Row]])="",TRUE()),"",INDEX(tsk_PlanStart,GanttView[[#This Row],[_Row]]))</f>
        <v/>
      </c>
      <c r="F37" s="66" t="str">
        <f aca="false">IF(IFERROR(INDEX(tsk_Name,GanttView[[#This Row],[_Row]])="",TRUE()),"",INDEX(tsk_PlanFinish,GanttView[[#This Row],[_Row]]))</f>
        <v/>
      </c>
      <c r="G37" s="66" t="str">
        <f aca="false">IF(IFERROR(INDEX(tsk_Name,GanttView[[#This Row],[_Row]])="",TRUE()),"",INDEX(tsk_FcStart,GanttView[[#This Row],[_Row]]))</f>
        <v/>
      </c>
      <c r="H37" s="66" t="str">
        <f aca="false">IF(IFERROR(INDEX(tsk_Name,GanttView[[#This Row],[_Row]])="",TRUE()),"",INDEX(tsk_FcFinish,GanttView[[#This Row],[_Row]]))</f>
        <v/>
      </c>
      <c r="I37" s="67" t="str">
        <f aca="false">IF(IFERROR(INDEX(tsk_Name,GanttView[[#This Row],[_Row]])="",TRUE()),"",INDEX(tsk_Progress,GanttView[[#This Row],[_Row]]))</f>
        <v/>
      </c>
      <c r="J37" s="65" t="str">
        <f aca="false">IF(IFERROR(INDEX(tsk_Name,GanttView[[#This Row],[_Row]])="",TRUE()),"",INDEX(tsk_Resource,GanttView[[#This Row],[_Row]])&amp;"")</f>
        <v/>
      </c>
      <c r="K37" s="64" t="str">
        <f aca="false">IF(IFERROR(INDEX(tsk_Name,GanttView[[#This Row],[_Row]])="",TRUE()),"",INDEX(tsk_Status,GanttView[[#This Row],[_Row]]))</f>
        <v/>
      </c>
      <c r="L37" s="68" t="n">
        <f aca="false">ROW()-ROW(GanttView[[#Headers],[ID]])</f>
        <v>32</v>
      </c>
      <c r="M37" s="69" t="b">
        <f aca="false">IF(IFERROR(INDEX(tsk_Name,GanttView[[#This Row],[_Row]])="",TRUE()),FALSE(),INDEX(tsk_IsSummary,GanttView[[#This Row],[_Row]]))</f>
        <v>0</v>
      </c>
      <c r="N37" s="69" t="b">
        <f aca="false">IF(IFERROR(INDEX(tsk_Name,GanttView[[#This Row],[_Row]])="",TRUE()),FALSE(),AND(INDEX(tsk_IsLeaf,GanttView[[#This Row],[_Row]])=1,N(INDEX(tsk_Duration,GanttView[[#This Row],[_Row]]))=0))</f>
        <v>0</v>
      </c>
      <c r="O3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70" t="n">
        <f aca="false">IF(GanttView[[#This Row],[_RemFrom]]=0,0,GanttView[[#This Row],[Forecast Finish]])</f>
        <v>0</v>
      </c>
      <c r="S37" s="69" t="b">
        <f aca="false">IF(IFERROR(INDEX(tsk_Name,GanttView[[#This Row],[_Row]])="",TRUE()),FALSE(),N(INDEX(tsk_Variance,GanttView[[#This Row],[_Row]]))&gt;0)</f>
        <v>0</v>
      </c>
      <c r="T37" s="70" t="n">
        <f aca="false">IF(IFERROR(INDEX(tsk_Name,GanttView[[#This Row],[_Row]])="",TRUE()),0,N(INDEX(tsk_Deadline,GanttView[[#This Row],[_Row]])))</f>
        <v>0</v>
      </c>
      <c r="U37" s="69" t="b">
        <f aca="false">IF(IFERROR(INDEX(tsk_Name,GanttView[[#This Row],[_Row]])="",TRUE()),FALSE(),INDEX(tsk_Critical,GanttView[[#This Row],[_Row]])="Yes")</f>
        <v>0</v>
      </c>
    </row>
    <row r="38" customFormat="false" ht="15" hidden="false" customHeight="false" outlineLevel="0" collapsed="false">
      <c r="A38" s="64" t="str">
        <f aca="false">IF(IFERROR(INDEX(tsk_Name,GanttView[[#This Row],[_Row]])="",TRUE()),"",INDEX(tsk_ID,GanttView[[#This Row],[_Row]]))</f>
        <v/>
      </c>
      <c r="B38" s="64" t="str">
        <f aca="false">IF(IFERROR(INDEX(tsk_Name,GanttView[[#This Row],[_Row]])="",TRUE()),"",INDEX(tsk_WBS,GanttView[[#This Row],[_Row]]))</f>
        <v/>
      </c>
      <c r="C38" s="65" t="str">
        <f aca="false">IF(IFERROR(INDEX(tsk_Name,GanttView[[#This Row],[_Row]])="",TRUE()),"",REPT("    ",INDEX(tsk_Level,GanttView[[#This Row],[_Row]])-1)&amp;INDEX(tsk_Name,GanttView[[#This Row],[_Row]]))</f>
        <v/>
      </c>
      <c r="D3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6" t="str">
        <f aca="false">IF(IFERROR(INDEX(tsk_Name,GanttView[[#This Row],[_Row]])="",TRUE()),"",INDEX(tsk_PlanStart,GanttView[[#This Row],[_Row]]))</f>
        <v/>
      </c>
      <c r="F38" s="66" t="str">
        <f aca="false">IF(IFERROR(INDEX(tsk_Name,GanttView[[#This Row],[_Row]])="",TRUE()),"",INDEX(tsk_PlanFinish,GanttView[[#This Row],[_Row]]))</f>
        <v/>
      </c>
      <c r="G38" s="66" t="str">
        <f aca="false">IF(IFERROR(INDEX(tsk_Name,GanttView[[#This Row],[_Row]])="",TRUE()),"",INDEX(tsk_FcStart,GanttView[[#This Row],[_Row]]))</f>
        <v/>
      </c>
      <c r="H38" s="66" t="str">
        <f aca="false">IF(IFERROR(INDEX(tsk_Name,GanttView[[#This Row],[_Row]])="",TRUE()),"",INDEX(tsk_FcFinish,GanttView[[#This Row],[_Row]]))</f>
        <v/>
      </c>
      <c r="I38" s="67" t="str">
        <f aca="false">IF(IFERROR(INDEX(tsk_Name,GanttView[[#This Row],[_Row]])="",TRUE()),"",INDEX(tsk_Progress,GanttView[[#This Row],[_Row]]))</f>
        <v/>
      </c>
      <c r="J38" s="65" t="str">
        <f aca="false">IF(IFERROR(INDEX(tsk_Name,GanttView[[#This Row],[_Row]])="",TRUE()),"",INDEX(tsk_Resource,GanttView[[#This Row],[_Row]])&amp;"")</f>
        <v/>
      </c>
      <c r="K38" s="64" t="str">
        <f aca="false">IF(IFERROR(INDEX(tsk_Name,GanttView[[#This Row],[_Row]])="",TRUE()),"",INDEX(tsk_Status,GanttView[[#This Row],[_Row]]))</f>
        <v/>
      </c>
      <c r="L38" s="68" t="n">
        <f aca="false">ROW()-ROW(GanttView[[#Headers],[ID]])</f>
        <v>33</v>
      </c>
      <c r="M38" s="69" t="b">
        <f aca="false">IF(IFERROR(INDEX(tsk_Name,GanttView[[#This Row],[_Row]])="",TRUE()),FALSE(),INDEX(tsk_IsSummary,GanttView[[#This Row],[_Row]]))</f>
        <v>0</v>
      </c>
      <c r="N38" s="69" t="b">
        <f aca="false">IF(IFERROR(INDEX(tsk_Name,GanttView[[#This Row],[_Row]])="",TRUE()),FALSE(),AND(INDEX(tsk_IsLeaf,GanttView[[#This Row],[_Row]])=1,N(INDEX(tsk_Duration,GanttView[[#This Row],[_Row]]))=0))</f>
        <v>0</v>
      </c>
      <c r="O3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70" t="n">
        <f aca="false">IF(GanttView[[#This Row],[_RemFrom]]=0,0,GanttView[[#This Row],[Forecast Finish]])</f>
        <v>0</v>
      </c>
      <c r="S38" s="69" t="b">
        <f aca="false">IF(IFERROR(INDEX(tsk_Name,GanttView[[#This Row],[_Row]])="",TRUE()),FALSE(),N(INDEX(tsk_Variance,GanttView[[#This Row],[_Row]]))&gt;0)</f>
        <v>0</v>
      </c>
      <c r="T38" s="70" t="n">
        <f aca="false">IF(IFERROR(INDEX(tsk_Name,GanttView[[#This Row],[_Row]])="",TRUE()),0,N(INDEX(tsk_Deadline,GanttView[[#This Row],[_Row]])))</f>
        <v>0</v>
      </c>
      <c r="U38" s="69" t="b">
        <f aca="false">IF(IFERROR(INDEX(tsk_Name,GanttView[[#This Row],[_Row]])="",TRUE()),FALSE(),INDEX(tsk_Critical,GanttView[[#This Row],[_Row]])="Yes")</f>
        <v>0</v>
      </c>
    </row>
    <row r="39" customFormat="false" ht="15" hidden="false" customHeight="false" outlineLevel="0" collapsed="false">
      <c r="A39" s="64" t="str">
        <f aca="false">IF(IFERROR(INDEX(tsk_Name,GanttView[[#This Row],[_Row]])="",TRUE()),"",INDEX(tsk_ID,GanttView[[#This Row],[_Row]]))</f>
        <v/>
      </c>
      <c r="B39" s="64" t="str">
        <f aca="false">IF(IFERROR(INDEX(tsk_Name,GanttView[[#This Row],[_Row]])="",TRUE()),"",INDEX(tsk_WBS,GanttView[[#This Row],[_Row]]))</f>
        <v/>
      </c>
      <c r="C39" s="65" t="str">
        <f aca="false">IF(IFERROR(INDEX(tsk_Name,GanttView[[#This Row],[_Row]])="",TRUE()),"",REPT("    ",INDEX(tsk_Level,GanttView[[#This Row],[_Row]])-1)&amp;INDEX(tsk_Name,GanttView[[#This Row],[_Row]]))</f>
        <v/>
      </c>
      <c r="D3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6" t="str">
        <f aca="false">IF(IFERROR(INDEX(tsk_Name,GanttView[[#This Row],[_Row]])="",TRUE()),"",INDEX(tsk_PlanStart,GanttView[[#This Row],[_Row]]))</f>
        <v/>
      </c>
      <c r="F39" s="66" t="str">
        <f aca="false">IF(IFERROR(INDEX(tsk_Name,GanttView[[#This Row],[_Row]])="",TRUE()),"",INDEX(tsk_PlanFinish,GanttView[[#This Row],[_Row]]))</f>
        <v/>
      </c>
      <c r="G39" s="66" t="str">
        <f aca="false">IF(IFERROR(INDEX(tsk_Name,GanttView[[#This Row],[_Row]])="",TRUE()),"",INDEX(tsk_FcStart,GanttView[[#This Row],[_Row]]))</f>
        <v/>
      </c>
      <c r="H39" s="66" t="str">
        <f aca="false">IF(IFERROR(INDEX(tsk_Name,GanttView[[#This Row],[_Row]])="",TRUE()),"",INDEX(tsk_FcFinish,GanttView[[#This Row],[_Row]]))</f>
        <v/>
      </c>
      <c r="I39" s="67" t="str">
        <f aca="false">IF(IFERROR(INDEX(tsk_Name,GanttView[[#This Row],[_Row]])="",TRUE()),"",INDEX(tsk_Progress,GanttView[[#This Row],[_Row]]))</f>
        <v/>
      </c>
      <c r="J39" s="65" t="str">
        <f aca="false">IF(IFERROR(INDEX(tsk_Name,GanttView[[#This Row],[_Row]])="",TRUE()),"",INDEX(tsk_Resource,GanttView[[#This Row],[_Row]])&amp;"")</f>
        <v/>
      </c>
      <c r="K39" s="64" t="str">
        <f aca="false">IF(IFERROR(INDEX(tsk_Name,GanttView[[#This Row],[_Row]])="",TRUE()),"",INDEX(tsk_Status,GanttView[[#This Row],[_Row]]))</f>
        <v/>
      </c>
      <c r="L39" s="68" t="n">
        <f aca="false">ROW()-ROW(GanttView[[#Headers],[ID]])</f>
        <v>34</v>
      </c>
      <c r="M39" s="69" t="b">
        <f aca="false">IF(IFERROR(INDEX(tsk_Name,GanttView[[#This Row],[_Row]])="",TRUE()),FALSE(),INDEX(tsk_IsSummary,GanttView[[#This Row],[_Row]]))</f>
        <v>0</v>
      </c>
      <c r="N39" s="69" t="b">
        <f aca="false">IF(IFERROR(INDEX(tsk_Name,GanttView[[#This Row],[_Row]])="",TRUE()),FALSE(),AND(INDEX(tsk_IsLeaf,GanttView[[#This Row],[_Row]])=1,N(INDEX(tsk_Duration,GanttView[[#This Row],[_Row]]))=0))</f>
        <v>0</v>
      </c>
      <c r="O3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70" t="n">
        <f aca="false">IF(GanttView[[#This Row],[_RemFrom]]=0,0,GanttView[[#This Row],[Forecast Finish]])</f>
        <v>0</v>
      </c>
      <c r="S39" s="69" t="b">
        <f aca="false">IF(IFERROR(INDEX(tsk_Name,GanttView[[#This Row],[_Row]])="",TRUE()),FALSE(),N(INDEX(tsk_Variance,GanttView[[#This Row],[_Row]]))&gt;0)</f>
        <v>0</v>
      </c>
      <c r="T39" s="70" t="n">
        <f aca="false">IF(IFERROR(INDEX(tsk_Name,GanttView[[#This Row],[_Row]])="",TRUE()),0,N(INDEX(tsk_Deadline,GanttView[[#This Row],[_Row]])))</f>
        <v>0</v>
      </c>
      <c r="U39" s="69" t="b">
        <f aca="false">IF(IFERROR(INDEX(tsk_Name,GanttView[[#This Row],[_Row]])="",TRUE()),FALSE(),INDEX(tsk_Critical,GanttView[[#This Row],[_Row]])="Yes")</f>
        <v>0</v>
      </c>
    </row>
    <row r="40" customFormat="false" ht="15" hidden="false" customHeight="false" outlineLevel="0" collapsed="false">
      <c r="A40" s="64" t="str">
        <f aca="false">IF(IFERROR(INDEX(tsk_Name,GanttView[[#This Row],[_Row]])="",TRUE()),"",INDEX(tsk_ID,GanttView[[#This Row],[_Row]]))</f>
        <v/>
      </c>
      <c r="B40" s="64" t="str">
        <f aca="false">IF(IFERROR(INDEX(tsk_Name,GanttView[[#This Row],[_Row]])="",TRUE()),"",INDEX(tsk_WBS,GanttView[[#This Row],[_Row]]))</f>
        <v/>
      </c>
      <c r="C40" s="65" t="str">
        <f aca="false">IF(IFERROR(INDEX(tsk_Name,GanttView[[#This Row],[_Row]])="",TRUE()),"",REPT("    ",INDEX(tsk_Level,GanttView[[#This Row],[_Row]])-1)&amp;INDEX(tsk_Name,GanttView[[#This Row],[_Row]]))</f>
        <v/>
      </c>
      <c r="D4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6" t="str">
        <f aca="false">IF(IFERROR(INDEX(tsk_Name,GanttView[[#This Row],[_Row]])="",TRUE()),"",INDEX(tsk_PlanStart,GanttView[[#This Row],[_Row]]))</f>
        <v/>
      </c>
      <c r="F40" s="66" t="str">
        <f aca="false">IF(IFERROR(INDEX(tsk_Name,GanttView[[#This Row],[_Row]])="",TRUE()),"",INDEX(tsk_PlanFinish,GanttView[[#This Row],[_Row]]))</f>
        <v/>
      </c>
      <c r="G40" s="66" t="str">
        <f aca="false">IF(IFERROR(INDEX(tsk_Name,GanttView[[#This Row],[_Row]])="",TRUE()),"",INDEX(tsk_FcStart,GanttView[[#This Row],[_Row]]))</f>
        <v/>
      </c>
      <c r="H40" s="66" t="str">
        <f aca="false">IF(IFERROR(INDEX(tsk_Name,GanttView[[#This Row],[_Row]])="",TRUE()),"",INDEX(tsk_FcFinish,GanttView[[#This Row],[_Row]]))</f>
        <v/>
      </c>
      <c r="I40" s="67" t="str">
        <f aca="false">IF(IFERROR(INDEX(tsk_Name,GanttView[[#This Row],[_Row]])="",TRUE()),"",INDEX(tsk_Progress,GanttView[[#This Row],[_Row]]))</f>
        <v/>
      </c>
      <c r="J40" s="65" t="str">
        <f aca="false">IF(IFERROR(INDEX(tsk_Name,GanttView[[#This Row],[_Row]])="",TRUE()),"",INDEX(tsk_Resource,GanttView[[#This Row],[_Row]])&amp;"")</f>
        <v/>
      </c>
      <c r="K40" s="64" t="str">
        <f aca="false">IF(IFERROR(INDEX(tsk_Name,GanttView[[#This Row],[_Row]])="",TRUE()),"",INDEX(tsk_Status,GanttView[[#This Row],[_Row]]))</f>
        <v/>
      </c>
      <c r="L40" s="68" t="n">
        <f aca="false">ROW()-ROW(GanttView[[#Headers],[ID]])</f>
        <v>35</v>
      </c>
      <c r="M40" s="69" t="b">
        <f aca="false">IF(IFERROR(INDEX(tsk_Name,GanttView[[#This Row],[_Row]])="",TRUE()),FALSE(),INDEX(tsk_IsSummary,GanttView[[#This Row],[_Row]]))</f>
        <v>0</v>
      </c>
      <c r="N40" s="69" t="b">
        <f aca="false">IF(IFERROR(INDEX(tsk_Name,GanttView[[#This Row],[_Row]])="",TRUE()),FALSE(),AND(INDEX(tsk_IsLeaf,GanttView[[#This Row],[_Row]])=1,N(INDEX(tsk_Duration,GanttView[[#This Row],[_Row]]))=0))</f>
        <v>0</v>
      </c>
      <c r="O4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70" t="n">
        <f aca="false">IF(GanttView[[#This Row],[_RemFrom]]=0,0,GanttView[[#This Row],[Forecast Finish]])</f>
        <v>0</v>
      </c>
      <c r="S40" s="69" t="b">
        <f aca="false">IF(IFERROR(INDEX(tsk_Name,GanttView[[#This Row],[_Row]])="",TRUE()),FALSE(),N(INDEX(tsk_Variance,GanttView[[#This Row],[_Row]]))&gt;0)</f>
        <v>0</v>
      </c>
      <c r="T40" s="70" t="n">
        <f aca="false">IF(IFERROR(INDEX(tsk_Name,GanttView[[#This Row],[_Row]])="",TRUE()),0,N(INDEX(tsk_Deadline,GanttView[[#This Row],[_Row]])))</f>
        <v>0</v>
      </c>
      <c r="U40" s="69" t="b">
        <f aca="false">IF(IFERROR(INDEX(tsk_Name,GanttView[[#This Row],[_Row]])="",TRUE()),FALSE(),INDEX(tsk_Critical,GanttView[[#This Row],[_Row]])="Yes")</f>
        <v>0</v>
      </c>
    </row>
    <row r="41" customFormat="false" ht="15" hidden="false" customHeight="false" outlineLevel="0" collapsed="false">
      <c r="A41" s="64" t="str">
        <f aca="false">IF(IFERROR(INDEX(tsk_Name,GanttView[[#This Row],[_Row]])="",TRUE()),"",INDEX(tsk_ID,GanttView[[#This Row],[_Row]]))</f>
        <v/>
      </c>
      <c r="B41" s="64" t="str">
        <f aca="false">IF(IFERROR(INDEX(tsk_Name,GanttView[[#This Row],[_Row]])="",TRUE()),"",INDEX(tsk_WBS,GanttView[[#This Row],[_Row]]))</f>
        <v/>
      </c>
      <c r="C41" s="65" t="str">
        <f aca="false">IF(IFERROR(INDEX(tsk_Name,GanttView[[#This Row],[_Row]])="",TRUE()),"",REPT("    ",INDEX(tsk_Level,GanttView[[#This Row],[_Row]])-1)&amp;INDEX(tsk_Name,GanttView[[#This Row],[_Row]]))</f>
        <v/>
      </c>
      <c r="D4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6" t="str">
        <f aca="false">IF(IFERROR(INDEX(tsk_Name,GanttView[[#This Row],[_Row]])="",TRUE()),"",INDEX(tsk_PlanStart,GanttView[[#This Row],[_Row]]))</f>
        <v/>
      </c>
      <c r="F41" s="66" t="str">
        <f aca="false">IF(IFERROR(INDEX(tsk_Name,GanttView[[#This Row],[_Row]])="",TRUE()),"",INDEX(tsk_PlanFinish,GanttView[[#This Row],[_Row]]))</f>
        <v/>
      </c>
      <c r="G41" s="66" t="str">
        <f aca="false">IF(IFERROR(INDEX(tsk_Name,GanttView[[#This Row],[_Row]])="",TRUE()),"",INDEX(tsk_FcStart,GanttView[[#This Row],[_Row]]))</f>
        <v/>
      </c>
      <c r="H41" s="66" t="str">
        <f aca="false">IF(IFERROR(INDEX(tsk_Name,GanttView[[#This Row],[_Row]])="",TRUE()),"",INDEX(tsk_FcFinish,GanttView[[#This Row],[_Row]]))</f>
        <v/>
      </c>
      <c r="I41" s="67" t="str">
        <f aca="false">IF(IFERROR(INDEX(tsk_Name,GanttView[[#This Row],[_Row]])="",TRUE()),"",INDEX(tsk_Progress,GanttView[[#This Row],[_Row]]))</f>
        <v/>
      </c>
      <c r="J41" s="65" t="str">
        <f aca="false">IF(IFERROR(INDEX(tsk_Name,GanttView[[#This Row],[_Row]])="",TRUE()),"",INDEX(tsk_Resource,GanttView[[#This Row],[_Row]])&amp;"")</f>
        <v/>
      </c>
      <c r="K41" s="64" t="str">
        <f aca="false">IF(IFERROR(INDEX(tsk_Name,GanttView[[#This Row],[_Row]])="",TRUE()),"",INDEX(tsk_Status,GanttView[[#This Row],[_Row]]))</f>
        <v/>
      </c>
      <c r="L41" s="68" t="n">
        <f aca="false">ROW()-ROW(GanttView[[#Headers],[ID]])</f>
        <v>36</v>
      </c>
      <c r="M41" s="69" t="b">
        <f aca="false">IF(IFERROR(INDEX(tsk_Name,GanttView[[#This Row],[_Row]])="",TRUE()),FALSE(),INDEX(tsk_IsSummary,GanttView[[#This Row],[_Row]]))</f>
        <v>0</v>
      </c>
      <c r="N41" s="69" t="b">
        <f aca="false">IF(IFERROR(INDEX(tsk_Name,GanttView[[#This Row],[_Row]])="",TRUE()),FALSE(),AND(INDEX(tsk_IsLeaf,GanttView[[#This Row],[_Row]])=1,N(INDEX(tsk_Duration,GanttView[[#This Row],[_Row]]))=0))</f>
        <v>0</v>
      </c>
      <c r="O4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70" t="n">
        <f aca="false">IF(GanttView[[#This Row],[_RemFrom]]=0,0,GanttView[[#This Row],[Forecast Finish]])</f>
        <v>0</v>
      </c>
      <c r="S41" s="69" t="b">
        <f aca="false">IF(IFERROR(INDEX(tsk_Name,GanttView[[#This Row],[_Row]])="",TRUE()),FALSE(),N(INDEX(tsk_Variance,GanttView[[#This Row],[_Row]]))&gt;0)</f>
        <v>0</v>
      </c>
      <c r="T41" s="70" t="n">
        <f aca="false">IF(IFERROR(INDEX(tsk_Name,GanttView[[#This Row],[_Row]])="",TRUE()),0,N(INDEX(tsk_Deadline,GanttView[[#This Row],[_Row]])))</f>
        <v>0</v>
      </c>
      <c r="U41" s="69" t="b">
        <f aca="false">IF(IFERROR(INDEX(tsk_Name,GanttView[[#This Row],[_Row]])="",TRUE()),FALSE(),INDEX(tsk_Critical,GanttView[[#This Row],[_Row]])="Yes")</f>
        <v>0</v>
      </c>
    </row>
    <row r="42" customFormat="false" ht="15" hidden="false" customHeight="false" outlineLevel="0" collapsed="false">
      <c r="A42" s="64" t="str">
        <f aca="false">IF(IFERROR(INDEX(tsk_Name,GanttView[[#This Row],[_Row]])="",TRUE()),"",INDEX(tsk_ID,GanttView[[#This Row],[_Row]]))</f>
        <v/>
      </c>
      <c r="B42" s="64" t="str">
        <f aca="false">IF(IFERROR(INDEX(tsk_Name,GanttView[[#This Row],[_Row]])="",TRUE()),"",INDEX(tsk_WBS,GanttView[[#This Row],[_Row]]))</f>
        <v/>
      </c>
      <c r="C42" s="65" t="str">
        <f aca="false">IF(IFERROR(INDEX(tsk_Name,GanttView[[#This Row],[_Row]])="",TRUE()),"",REPT("    ",INDEX(tsk_Level,GanttView[[#This Row],[_Row]])-1)&amp;INDEX(tsk_Name,GanttView[[#This Row],[_Row]]))</f>
        <v/>
      </c>
      <c r="D4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6" t="str">
        <f aca="false">IF(IFERROR(INDEX(tsk_Name,GanttView[[#This Row],[_Row]])="",TRUE()),"",INDEX(tsk_PlanStart,GanttView[[#This Row],[_Row]]))</f>
        <v/>
      </c>
      <c r="F42" s="66" t="str">
        <f aca="false">IF(IFERROR(INDEX(tsk_Name,GanttView[[#This Row],[_Row]])="",TRUE()),"",INDEX(tsk_PlanFinish,GanttView[[#This Row],[_Row]]))</f>
        <v/>
      </c>
      <c r="G42" s="66" t="str">
        <f aca="false">IF(IFERROR(INDEX(tsk_Name,GanttView[[#This Row],[_Row]])="",TRUE()),"",INDEX(tsk_FcStart,GanttView[[#This Row],[_Row]]))</f>
        <v/>
      </c>
      <c r="H42" s="66" t="str">
        <f aca="false">IF(IFERROR(INDEX(tsk_Name,GanttView[[#This Row],[_Row]])="",TRUE()),"",INDEX(tsk_FcFinish,GanttView[[#This Row],[_Row]]))</f>
        <v/>
      </c>
      <c r="I42" s="67" t="str">
        <f aca="false">IF(IFERROR(INDEX(tsk_Name,GanttView[[#This Row],[_Row]])="",TRUE()),"",INDEX(tsk_Progress,GanttView[[#This Row],[_Row]]))</f>
        <v/>
      </c>
      <c r="J42" s="65" t="str">
        <f aca="false">IF(IFERROR(INDEX(tsk_Name,GanttView[[#This Row],[_Row]])="",TRUE()),"",INDEX(tsk_Resource,GanttView[[#This Row],[_Row]])&amp;"")</f>
        <v/>
      </c>
      <c r="K42" s="64" t="str">
        <f aca="false">IF(IFERROR(INDEX(tsk_Name,GanttView[[#This Row],[_Row]])="",TRUE()),"",INDEX(tsk_Status,GanttView[[#This Row],[_Row]]))</f>
        <v/>
      </c>
      <c r="L42" s="68" t="n">
        <f aca="false">ROW()-ROW(GanttView[[#Headers],[ID]])</f>
        <v>37</v>
      </c>
      <c r="M42" s="69" t="b">
        <f aca="false">IF(IFERROR(INDEX(tsk_Name,GanttView[[#This Row],[_Row]])="",TRUE()),FALSE(),INDEX(tsk_IsSummary,GanttView[[#This Row],[_Row]]))</f>
        <v>0</v>
      </c>
      <c r="N42" s="69" t="b">
        <f aca="false">IF(IFERROR(INDEX(tsk_Name,GanttView[[#This Row],[_Row]])="",TRUE()),FALSE(),AND(INDEX(tsk_IsLeaf,GanttView[[#This Row],[_Row]])=1,N(INDEX(tsk_Duration,GanttView[[#This Row],[_Row]]))=0))</f>
        <v>0</v>
      </c>
      <c r="O4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70" t="n">
        <f aca="false">IF(GanttView[[#This Row],[_RemFrom]]=0,0,GanttView[[#This Row],[Forecast Finish]])</f>
        <v>0</v>
      </c>
      <c r="S42" s="69" t="b">
        <f aca="false">IF(IFERROR(INDEX(tsk_Name,GanttView[[#This Row],[_Row]])="",TRUE()),FALSE(),N(INDEX(tsk_Variance,GanttView[[#This Row],[_Row]]))&gt;0)</f>
        <v>0</v>
      </c>
      <c r="T42" s="70" t="n">
        <f aca="false">IF(IFERROR(INDEX(tsk_Name,GanttView[[#This Row],[_Row]])="",TRUE()),0,N(INDEX(tsk_Deadline,GanttView[[#This Row],[_Row]])))</f>
        <v>0</v>
      </c>
      <c r="U42" s="69" t="b">
        <f aca="false">IF(IFERROR(INDEX(tsk_Name,GanttView[[#This Row],[_Row]])="",TRUE()),FALSE(),INDEX(tsk_Critical,GanttView[[#This Row],[_Row]])="Yes")</f>
        <v>0</v>
      </c>
    </row>
    <row r="43" customFormat="false" ht="15" hidden="false" customHeight="false" outlineLevel="0" collapsed="false">
      <c r="A43" s="64" t="str">
        <f aca="false">IF(IFERROR(INDEX(tsk_Name,GanttView[[#This Row],[_Row]])="",TRUE()),"",INDEX(tsk_ID,GanttView[[#This Row],[_Row]]))</f>
        <v/>
      </c>
      <c r="B43" s="64" t="str">
        <f aca="false">IF(IFERROR(INDEX(tsk_Name,GanttView[[#This Row],[_Row]])="",TRUE()),"",INDEX(tsk_WBS,GanttView[[#This Row],[_Row]]))</f>
        <v/>
      </c>
      <c r="C43" s="65" t="str">
        <f aca="false">IF(IFERROR(INDEX(tsk_Name,GanttView[[#This Row],[_Row]])="",TRUE()),"",REPT("    ",INDEX(tsk_Level,GanttView[[#This Row],[_Row]])-1)&amp;INDEX(tsk_Name,GanttView[[#This Row],[_Row]]))</f>
        <v/>
      </c>
      <c r="D4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6" t="str">
        <f aca="false">IF(IFERROR(INDEX(tsk_Name,GanttView[[#This Row],[_Row]])="",TRUE()),"",INDEX(tsk_PlanStart,GanttView[[#This Row],[_Row]]))</f>
        <v/>
      </c>
      <c r="F43" s="66" t="str">
        <f aca="false">IF(IFERROR(INDEX(tsk_Name,GanttView[[#This Row],[_Row]])="",TRUE()),"",INDEX(tsk_PlanFinish,GanttView[[#This Row],[_Row]]))</f>
        <v/>
      </c>
      <c r="G43" s="66" t="str">
        <f aca="false">IF(IFERROR(INDEX(tsk_Name,GanttView[[#This Row],[_Row]])="",TRUE()),"",INDEX(tsk_FcStart,GanttView[[#This Row],[_Row]]))</f>
        <v/>
      </c>
      <c r="H43" s="66" t="str">
        <f aca="false">IF(IFERROR(INDEX(tsk_Name,GanttView[[#This Row],[_Row]])="",TRUE()),"",INDEX(tsk_FcFinish,GanttView[[#This Row],[_Row]]))</f>
        <v/>
      </c>
      <c r="I43" s="67" t="str">
        <f aca="false">IF(IFERROR(INDEX(tsk_Name,GanttView[[#This Row],[_Row]])="",TRUE()),"",INDEX(tsk_Progress,GanttView[[#This Row],[_Row]]))</f>
        <v/>
      </c>
      <c r="J43" s="65" t="str">
        <f aca="false">IF(IFERROR(INDEX(tsk_Name,GanttView[[#This Row],[_Row]])="",TRUE()),"",INDEX(tsk_Resource,GanttView[[#This Row],[_Row]])&amp;"")</f>
        <v/>
      </c>
      <c r="K43" s="64" t="str">
        <f aca="false">IF(IFERROR(INDEX(tsk_Name,GanttView[[#This Row],[_Row]])="",TRUE()),"",INDEX(tsk_Status,GanttView[[#This Row],[_Row]]))</f>
        <v/>
      </c>
      <c r="L43" s="68" t="n">
        <f aca="false">ROW()-ROW(GanttView[[#Headers],[ID]])</f>
        <v>38</v>
      </c>
      <c r="M43" s="69" t="b">
        <f aca="false">IF(IFERROR(INDEX(tsk_Name,GanttView[[#This Row],[_Row]])="",TRUE()),FALSE(),INDEX(tsk_IsSummary,GanttView[[#This Row],[_Row]]))</f>
        <v>0</v>
      </c>
      <c r="N43" s="69" t="b">
        <f aca="false">IF(IFERROR(INDEX(tsk_Name,GanttView[[#This Row],[_Row]])="",TRUE()),FALSE(),AND(INDEX(tsk_IsLeaf,GanttView[[#This Row],[_Row]])=1,N(INDEX(tsk_Duration,GanttView[[#This Row],[_Row]]))=0))</f>
        <v>0</v>
      </c>
      <c r="O4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70" t="n">
        <f aca="false">IF(GanttView[[#This Row],[_RemFrom]]=0,0,GanttView[[#This Row],[Forecast Finish]])</f>
        <v>0</v>
      </c>
      <c r="S43" s="69" t="b">
        <f aca="false">IF(IFERROR(INDEX(tsk_Name,GanttView[[#This Row],[_Row]])="",TRUE()),FALSE(),N(INDEX(tsk_Variance,GanttView[[#This Row],[_Row]]))&gt;0)</f>
        <v>0</v>
      </c>
      <c r="T43" s="70" t="n">
        <f aca="false">IF(IFERROR(INDEX(tsk_Name,GanttView[[#This Row],[_Row]])="",TRUE()),0,N(INDEX(tsk_Deadline,GanttView[[#This Row],[_Row]])))</f>
        <v>0</v>
      </c>
      <c r="U43" s="69" t="b">
        <f aca="false">IF(IFERROR(INDEX(tsk_Name,GanttView[[#This Row],[_Row]])="",TRUE()),FALSE(),INDEX(tsk_Critical,GanttView[[#This Row],[_Row]])="Yes")</f>
        <v>0</v>
      </c>
    </row>
    <row r="44" customFormat="false" ht="15" hidden="false" customHeight="false" outlineLevel="0" collapsed="false">
      <c r="A44" s="64" t="str">
        <f aca="false">IF(IFERROR(INDEX(tsk_Name,GanttView[[#This Row],[_Row]])="",TRUE()),"",INDEX(tsk_ID,GanttView[[#This Row],[_Row]]))</f>
        <v/>
      </c>
      <c r="B44" s="64" t="str">
        <f aca="false">IF(IFERROR(INDEX(tsk_Name,GanttView[[#This Row],[_Row]])="",TRUE()),"",INDEX(tsk_WBS,GanttView[[#This Row],[_Row]]))</f>
        <v/>
      </c>
      <c r="C44" s="65" t="str">
        <f aca="false">IF(IFERROR(INDEX(tsk_Name,GanttView[[#This Row],[_Row]])="",TRUE()),"",REPT("    ",INDEX(tsk_Level,GanttView[[#This Row],[_Row]])-1)&amp;INDEX(tsk_Name,GanttView[[#This Row],[_Row]]))</f>
        <v/>
      </c>
      <c r="D4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6" t="str">
        <f aca="false">IF(IFERROR(INDEX(tsk_Name,GanttView[[#This Row],[_Row]])="",TRUE()),"",INDEX(tsk_PlanStart,GanttView[[#This Row],[_Row]]))</f>
        <v/>
      </c>
      <c r="F44" s="66" t="str">
        <f aca="false">IF(IFERROR(INDEX(tsk_Name,GanttView[[#This Row],[_Row]])="",TRUE()),"",INDEX(tsk_PlanFinish,GanttView[[#This Row],[_Row]]))</f>
        <v/>
      </c>
      <c r="G44" s="66" t="str">
        <f aca="false">IF(IFERROR(INDEX(tsk_Name,GanttView[[#This Row],[_Row]])="",TRUE()),"",INDEX(tsk_FcStart,GanttView[[#This Row],[_Row]]))</f>
        <v/>
      </c>
      <c r="H44" s="66" t="str">
        <f aca="false">IF(IFERROR(INDEX(tsk_Name,GanttView[[#This Row],[_Row]])="",TRUE()),"",INDEX(tsk_FcFinish,GanttView[[#This Row],[_Row]]))</f>
        <v/>
      </c>
      <c r="I44" s="67" t="str">
        <f aca="false">IF(IFERROR(INDEX(tsk_Name,GanttView[[#This Row],[_Row]])="",TRUE()),"",INDEX(tsk_Progress,GanttView[[#This Row],[_Row]]))</f>
        <v/>
      </c>
      <c r="J44" s="65" t="str">
        <f aca="false">IF(IFERROR(INDEX(tsk_Name,GanttView[[#This Row],[_Row]])="",TRUE()),"",INDEX(tsk_Resource,GanttView[[#This Row],[_Row]])&amp;"")</f>
        <v/>
      </c>
      <c r="K44" s="64" t="str">
        <f aca="false">IF(IFERROR(INDEX(tsk_Name,GanttView[[#This Row],[_Row]])="",TRUE()),"",INDEX(tsk_Status,GanttView[[#This Row],[_Row]]))</f>
        <v/>
      </c>
      <c r="L44" s="68" t="n">
        <f aca="false">ROW()-ROW(GanttView[[#Headers],[ID]])</f>
        <v>39</v>
      </c>
      <c r="M44" s="69" t="b">
        <f aca="false">IF(IFERROR(INDEX(tsk_Name,GanttView[[#This Row],[_Row]])="",TRUE()),FALSE(),INDEX(tsk_IsSummary,GanttView[[#This Row],[_Row]]))</f>
        <v>0</v>
      </c>
      <c r="N44" s="69" t="b">
        <f aca="false">IF(IFERROR(INDEX(tsk_Name,GanttView[[#This Row],[_Row]])="",TRUE()),FALSE(),AND(INDEX(tsk_IsLeaf,GanttView[[#This Row],[_Row]])=1,N(INDEX(tsk_Duration,GanttView[[#This Row],[_Row]]))=0))</f>
        <v>0</v>
      </c>
      <c r="O4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70" t="n">
        <f aca="false">IF(GanttView[[#This Row],[_RemFrom]]=0,0,GanttView[[#This Row],[Forecast Finish]])</f>
        <v>0</v>
      </c>
      <c r="S44" s="69" t="b">
        <f aca="false">IF(IFERROR(INDEX(tsk_Name,GanttView[[#This Row],[_Row]])="",TRUE()),FALSE(),N(INDEX(tsk_Variance,GanttView[[#This Row],[_Row]]))&gt;0)</f>
        <v>0</v>
      </c>
      <c r="T44" s="70" t="n">
        <f aca="false">IF(IFERROR(INDEX(tsk_Name,GanttView[[#This Row],[_Row]])="",TRUE()),0,N(INDEX(tsk_Deadline,GanttView[[#This Row],[_Row]])))</f>
        <v>0</v>
      </c>
      <c r="U44" s="69" t="b">
        <f aca="false">IF(IFERROR(INDEX(tsk_Name,GanttView[[#This Row],[_Row]])="",TRUE()),FALSE(),INDEX(tsk_Critical,GanttView[[#This Row],[_Row]])="Yes")</f>
        <v>0</v>
      </c>
    </row>
    <row r="45" customFormat="false" ht="15" hidden="false" customHeight="false" outlineLevel="0" collapsed="false">
      <c r="A45" s="64" t="str">
        <f aca="false">IF(IFERROR(INDEX(tsk_Name,GanttView[[#This Row],[_Row]])="",TRUE()),"",INDEX(tsk_ID,GanttView[[#This Row],[_Row]]))</f>
        <v/>
      </c>
      <c r="B45" s="64" t="str">
        <f aca="false">IF(IFERROR(INDEX(tsk_Name,GanttView[[#This Row],[_Row]])="",TRUE()),"",INDEX(tsk_WBS,GanttView[[#This Row],[_Row]]))</f>
        <v/>
      </c>
      <c r="C45" s="65" t="str">
        <f aca="false">IF(IFERROR(INDEX(tsk_Name,GanttView[[#This Row],[_Row]])="",TRUE()),"",REPT("    ",INDEX(tsk_Level,GanttView[[#This Row],[_Row]])-1)&amp;INDEX(tsk_Name,GanttView[[#This Row],[_Row]]))</f>
        <v/>
      </c>
      <c r="D4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6" t="str">
        <f aca="false">IF(IFERROR(INDEX(tsk_Name,GanttView[[#This Row],[_Row]])="",TRUE()),"",INDEX(tsk_PlanStart,GanttView[[#This Row],[_Row]]))</f>
        <v/>
      </c>
      <c r="F45" s="66" t="str">
        <f aca="false">IF(IFERROR(INDEX(tsk_Name,GanttView[[#This Row],[_Row]])="",TRUE()),"",INDEX(tsk_PlanFinish,GanttView[[#This Row],[_Row]]))</f>
        <v/>
      </c>
      <c r="G45" s="66" t="str">
        <f aca="false">IF(IFERROR(INDEX(tsk_Name,GanttView[[#This Row],[_Row]])="",TRUE()),"",INDEX(tsk_FcStart,GanttView[[#This Row],[_Row]]))</f>
        <v/>
      </c>
      <c r="H45" s="66" t="str">
        <f aca="false">IF(IFERROR(INDEX(tsk_Name,GanttView[[#This Row],[_Row]])="",TRUE()),"",INDEX(tsk_FcFinish,GanttView[[#This Row],[_Row]]))</f>
        <v/>
      </c>
      <c r="I45" s="67" t="str">
        <f aca="false">IF(IFERROR(INDEX(tsk_Name,GanttView[[#This Row],[_Row]])="",TRUE()),"",INDEX(tsk_Progress,GanttView[[#This Row],[_Row]]))</f>
        <v/>
      </c>
      <c r="J45" s="65" t="str">
        <f aca="false">IF(IFERROR(INDEX(tsk_Name,GanttView[[#This Row],[_Row]])="",TRUE()),"",INDEX(tsk_Resource,GanttView[[#This Row],[_Row]])&amp;"")</f>
        <v/>
      </c>
      <c r="K45" s="64" t="str">
        <f aca="false">IF(IFERROR(INDEX(tsk_Name,GanttView[[#This Row],[_Row]])="",TRUE()),"",INDEX(tsk_Status,GanttView[[#This Row],[_Row]]))</f>
        <v/>
      </c>
      <c r="L45" s="68" t="n">
        <f aca="false">ROW()-ROW(GanttView[[#Headers],[ID]])</f>
        <v>40</v>
      </c>
      <c r="M45" s="69" t="b">
        <f aca="false">IF(IFERROR(INDEX(tsk_Name,GanttView[[#This Row],[_Row]])="",TRUE()),FALSE(),INDEX(tsk_IsSummary,GanttView[[#This Row],[_Row]]))</f>
        <v>0</v>
      </c>
      <c r="N45" s="69" t="b">
        <f aca="false">IF(IFERROR(INDEX(tsk_Name,GanttView[[#This Row],[_Row]])="",TRUE()),FALSE(),AND(INDEX(tsk_IsLeaf,GanttView[[#This Row],[_Row]])=1,N(INDEX(tsk_Duration,GanttView[[#This Row],[_Row]]))=0))</f>
        <v>0</v>
      </c>
      <c r="O4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70" t="n">
        <f aca="false">IF(GanttView[[#This Row],[_RemFrom]]=0,0,GanttView[[#This Row],[Forecast Finish]])</f>
        <v>0</v>
      </c>
      <c r="S45" s="69" t="b">
        <f aca="false">IF(IFERROR(INDEX(tsk_Name,GanttView[[#This Row],[_Row]])="",TRUE()),FALSE(),N(INDEX(tsk_Variance,GanttView[[#This Row],[_Row]]))&gt;0)</f>
        <v>0</v>
      </c>
      <c r="T45" s="70" t="n">
        <f aca="false">IF(IFERROR(INDEX(tsk_Name,GanttView[[#This Row],[_Row]])="",TRUE()),0,N(INDEX(tsk_Deadline,GanttView[[#This Row],[_Row]])))</f>
        <v>0</v>
      </c>
      <c r="U45" s="69" t="b">
        <f aca="false">IF(IFERROR(INDEX(tsk_Name,GanttView[[#This Row],[_Row]])="",TRUE()),FALSE(),INDEX(tsk_Critical,GanttView[[#This Row],[_Row]])="Yes")</f>
        <v>0</v>
      </c>
    </row>
    <row r="46" customFormat="false" ht="15" hidden="false" customHeight="false" outlineLevel="0" collapsed="false">
      <c r="A46" s="64" t="str">
        <f aca="false">IF(IFERROR(INDEX(tsk_Name,GanttView[[#This Row],[_Row]])="",TRUE()),"",INDEX(tsk_ID,GanttView[[#This Row],[_Row]]))</f>
        <v/>
      </c>
      <c r="B46" s="64" t="str">
        <f aca="false">IF(IFERROR(INDEX(tsk_Name,GanttView[[#This Row],[_Row]])="",TRUE()),"",INDEX(tsk_WBS,GanttView[[#This Row],[_Row]]))</f>
        <v/>
      </c>
      <c r="C46" s="65" t="str">
        <f aca="false">IF(IFERROR(INDEX(tsk_Name,GanttView[[#This Row],[_Row]])="",TRUE()),"",REPT("    ",INDEX(tsk_Level,GanttView[[#This Row],[_Row]])-1)&amp;INDEX(tsk_Name,GanttView[[#This Row],[_Row]]))</f>
        <v/>
      </c>
      <c r="D4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6" t="str">
        <f aca="false">IF(IFERROR(INDEX(tsk_Name,GanttView[[#This Row],[_Row]])="",TRUE()),"",INDEX(tsk_PlanStart,GanttView[[#This Row],[_Row]]))</f>
        <v/>
      </c>
      <c r="F46" s="66" t="str">
        <f aca="false">IF(IFERROR(INDEX(tsk_Name,GanttView[[#This Row],[_Row]])="",TRUE()),"",INDEX(tsk_PlanFinish,GanttView[[#This Row],[_Row]]))</f>
        <v/>
      </c>
      <c r="G46" s="66" t="str">
        <f aca="false">IF(IFERROR(INDEX(tsk_Name,GanttView[[#This Row],[_Row]])="",TRUE()),"",INDEX(tsk_FcStart,GanttView[[#This Row],[_Row]]))</f>
        <v/>
      </c>
      <c r="H46" s="66" t="str">
        <f aca="false">IF(IFERROR(INDEX(tsk_Name,GanttView[[#This Row],[_Row]])="",TRUE()),"",INDEX(tsk_FcFinish,GanttView[[#This Row],[_Row]]))</f>
        <v/>
      </c>
      <c r="I46" s="67" t="str">
        <f aca="false">IF(IFERROR(INDEX(tsk_Name,GanttView[[#This Row],[_Row]])="",TRUE()),"",INDEX(tsk_Progress,GanttView[[#This Row],[_Row]]))</f>
        <v/>
      </c>
      <c r="J46" s="65" t="str">
        <f aca="false">IF(IFERROR(INDEX(tsk_Name,GanttView[[#This Row],[_Row]])="",TRUE()),"",INDEX(tsk_Resource,GanttView[[#This Row],[_Row]])&amp;"")</f>
        <v/>
      </c>
      <c r="K46" s="64" t="str">
        <f aca="false">IF(IFERROR(INDEX(tsk_Name,GanttView[[#This Row],[_Row]])="",TRUE()),"",INDEX(tsk_Status,GanttView[[#This Row],[_Row]]))</f>
        <v/>
      </c>
      <c r="L46" s="68" t="n">
        <f aca="false">ROW()-ROW(GanttView[[#Headers],[ID]])</f>
        <v>41</v>
      </c>
      <c r="M46" s="69" t="b">
        <f aca="false">IF(IFERROR(INDEX(tsk_Name,GanttView[[#This Row],[_Row]])="",TRUE()),FALSE(),INDEX(tsk_IsSummary,GanttView[[#This Row],[_Row]]))</f>
        <v>0</v>
      </c>
      <c r="N46" s="69" t="b">
        <f aca="false">IF(IFERROR(INDEX(tsk_Name,GanttView[[#This Row],[_Row]])="",TRUE()),FALSE(),AND(INDEX(tsk_IsLeaf,GanttView[[#This Row],[_Row]])=1,N(INDEX(tsk_Duration,GanttView[[#This Row],[_Row]]))=0))</f>
        <v>0</v>
      </c>
      <c r="O4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70" t="n">
        <f aca="false">IF(GanttView[[#This Row],[_RemFrom]]=0,0,GanttView[[#This Row],[Forecast Finish]])</f>
        <v>0</v>
      </c>
      <c r="S46" s="69" t="b">
        <f aca="false">IF(IFERROR(INDEX(tsk_Name,GanttView[[#This Row],[_Row]])="",TRUE()),FALSE(),N(INDEX(tsk_Variance,GanttView[[#This Row],[_Row]]))&gt;0)</f>
        <v>0</v>
      </c>
      <c r="T46" s="70" t="n">
        <f aca="false">IF(IFERROR(INDEX(tsk_Name,GanttView[[#This Row],[_Row]])="",TRUE()),0,N(INDEX(tsk_Deadline,GanttView[[#This Row],[_Row]])))</f>
        <v>0</v>
      </c>
      <c r="U46" s="69" t="b">
        <f aca="false">IF(IFERROR(INDEX(tsk_Name,GanttView[[#This Row],[_Row]])="",TRUE()),FALSE(),INDEX(tsk_Critical,GanttView[[#This Row],[_Row]])="Yes")</f>
        <v>0</v>
      </c>
    </row>
    <row r="47" customFormat="false" ht="15" hidden="false" customHeight="false" outlineLevel="0" collapsed="false">
      <c r="A47" s="64" t="str">
        <f aca="false">IF(IFERROR(INDEX(tsk_Name,GanttView[[#This Row],[_Row]])="",TRUE()),"",INDEX(tsk_ID,GanttView[[#This Row],[_Row]]))</f>
        <v/>
      </c>
      <c r="B47" s="64" t="str">
        <f aca="false">IF(IFERROR(INDEX(tsk_Name,GanttView[[#This Row],[_Row]])="",TRUE()),"",INDEX(tsk_WBS,GanttView[[#This Row],[_Row]]))</f>
        <v/>
      </c>
      <c r="C47" s="65" t="str">
        <f aca="false">IF(IFERROR(INDEX(tsk_Name,GanttView[[#This Row],[_Row]])="",TRUE()),"",REPT("    ",INDEX(tsk_Level,GanttView[[#This Row],[_Row]])-1)&amp;INDEX(tsk_Name,GanttView[[#This Row],[_Row]]))</f>
        <v/>
      </c>
      <c r="D4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6" t="str">
        <f aca="false">IF(IFERROR(INDEX(tsk_Name,GanttView[[#This Row],[_Row]])="",TRUE()),"",INDEX(tsk_PlanStart,GanttView[[#This Row],[_Row]]))</f>
        <v/>
      </c>
      <c r="F47" s="66" t="str">
        <f aca="false">IF(IFERROR(INDEX(tsk_Name,GanttView[[#This Row],[_Row]])="",TRUE()),"",INDEX(tsk_PlanFinish,GanttView[[#This Row],[_Row]]))</f>
        <v/>
      </c>
      <c r="G47" s="66" t="str">
        <f aca="false">IF(IFERROR(INDEX(tsk_Name,GanttView[[#This Row],[_Row]])="",TRUE()),"",INDEX(tsk_FcStart,GanttView[[#This Row],[_Row]]))</f>
        <v/>
      </c>
      <c r="H47" s="66" t="str">
        <f aca="false">IF(IFERROR(INDEX(tsk_Name,GanttView[[#This Row],[_Row]])="",TRUE()),"",INDEX(tsk_FcFinish,GanttView[[#This Row],[_Row]]))</f>
        <v/>
      </c>
      <c r="I47" s="67" t="str">
        <f aca="false">IF(IFERROR(INDEX(tsk_Name,GanttView[[#This Row],[_Row]])="",TRUE()),"",INDEX(tsk_Progress,GanttView[[#This Row],[_Row]]))</f>
        <v/>
      </c>
      <c r="J47" s="65" t="str">
        <f aca="false">IF(IFERROR(INDEX(tsk_Name,GanttView[[#This Row],[_Row]])="",TRUE()),"",INDEX(tsk_Resource,GanttView[[#This Row],[_Row]])&amp;"")</f>
        <v/>
      </c>
      <c r="K47" s="64" t="str">
        <f aca="false">IF(IFERROR(INDEX(tsk_Name,GanttView[[#This Row],[_Row]])="",TRUE()),"",INDEX(tsk_Status,GanttView[[#This Row],[_Row]]))</f>
        <v/>
      </c>
      <c r="L47" s="68" t="n">
        <f aca="false">ROW()-ROW(GanttView[[#Headers],[ID]])</f>
        <v>42</v>
      </c>
      <c r="M47" s="69" t="b">
        <f aca="false">IF(IFERROR(INDEX(tsk_Name,GanttView[[#This Row],[_Row]])="",TRUE()),FALSE(),INDEX(tsk_IsSummary,GanttView[[#This Row],[_Row]]))</f>
        <v>0</v>
      </c>
      <c r="N47" s="69" t="b">
        <f aca="false">IF(IFERROR(INDEX(tsk_Name,GanttView[[#This Row],[_Row]])="",TRUE()),FALSE(),AND(INDEX(tsk_IsLeaf,GanttView[[#This Row],[_Row]])=1,N(INDEX(tsk_Duration,GanttView[[#This Row],[_Row]]))=0))</f>
        <v>0</v>
      </c>
      <c r="O4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70" t="n">
        <f aca="false">IF(GanttView[[#This Row],[_RemFrom]]=0,0,GanttView[[#This Row],[Forecast Finish]])</f>
        <v>0</v>
      </c>
      <c r="S47" s="69" t="b">
        <f aca="false">IF(IFERROR(INDEX(tsk_Name,GanttView[[#This Row],[_Row]])="",TRUE()),FALSE(),N(INDEX(tsk_Variance,GanttView[[#This Row],[_Row]]))&gt;0)</f>
        <v>0</v>
      </c>
      <c r="T47" s="70" t="n">
        <f aca="false">IF(IFERROR(INDEX(tsk_Name,GanttView[[#This Row],[_Row]])="",TRUE()),0,N(INDEX(tsk_Deadline,GanttView[[#This Row],[_Row]])))</f>
        <v>0</v>
      </c>
      <c r="U47" s="69" t="b">
        <f aca="false">IF(IFERROR(INDEX(tsk_Name,GanttView[[#This Row],[_Row]])="",TRUE()),FALSE(),INDEX(tsk_Critical,GanttView[[#This Row],[_Row]])="Yes")</f>
        <v>0</v>
      </c>
    </row>
    <row r="48" customFormat="false" ht="15" hidden="false" customHeight="false" outlineLevel="0" collapsed="false">
      <c r="A48" s="64" t="str">
        <f aca="false">IF(IFERROR(INDEX(tsk_Name,GanttView[[#This Row],[_Row]])="",TRUE()),"",INDEX(tsk_ID,GanttView[[#This Row],[_Row]]))</f>
        <v/>
      </c>
      <c r="B48" s="64" t="str">
        <f aca="false">IF(IFERROR(INDEX(tsk_Name,GanttView[[#This Row],[_Row]])="",TRUE()),"",INDEX(tsk_WBS,GanttView[[#This Row],[_Row]]))</f>
        <v/>
      </c>
      <c r="C48" s="65" t="str">
        <f aca="false">IF(IFERROR(INDEX(tsk_Name,GanttView[[#This Row],[_Row]])="",TRUE()),"",REPT("    ",INDEX(tsk_Level,GanttView[[#This Row],[_Row]])-1)&amp;INDEX(tsk_Name,GanttView[[#This Row],[_Row]]))</f>
        <v/>
      </c>
      <c r="D4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6" t="str">
        <f aca="false">IF(IFERROR(INDEX(tsk_Name,GanttView[[#This Row],[_Row]])="",TRUE()),"",INDEX(tsk_PlanStart,GanttView[[#This Row],[_Row]]))</f>
        <v/>
      </c>
      <c r="F48" s="66" t="str">
        <f aca="false">IF(IFERROR(INDEX(tsk_Name,GanttView[[#This Row],[_Row]])="",TRUE()),"",INDEX(tsk_PlanFinish,GanttView[[#This Row],[_Row]]))</f>
        <v/>
      </c>
      <c r="G48" s="66" t="str">
        <f aca="false">IF(IFERROR(INDEX(tsk_Name,GanttView[[#This Row],[_Row]])="",TRUE()),"",INDEX(tsk_FcStart,GanttView[[#This Row],[_Row]]))</f>
        <v/>
      </c>
      <c r="H48" s="66" t="str">
        <f aca="false">IF(IFERROR(INDEX(tsk_Name,GanttView[[#This Row],[_Row]])="",TRUE()),"",INDEX(tsk_FcFinish,GanttView[[#This Row],[_Row]]))</f>
        <v/>
      </c>
      <c r="I48" s="67" t="str">
        <f aca="false">IF(IFERROR(INDEX(tsk_Name,GanttView[[#This Row],[_Row]])="",TRUE()),"",INDEX(tsk_Progress,GanttView[[#This Row],[_Row]]))</f>
        <v/>
      </c>
      <c r="J48" s="65" t="str">
        <f aca="false">IF(IFERROR(INDEX(tsk_Name,GanttView[[#This Row],[_Row]])="",TRUE()),"",INDEX(tsk_Resource,GanttView[[#This Row],[_Row]])&amp;"")</f>
        <v/>
      </c>
      <c r="K48" s="64" t="str">
        <f aca="false">IF(IFERROR(INDEX(tsk_Name,GanttView[[#This Row],[_Row]])="",TRUE()),"",INDEX(tsk_Status,GanttView[[#This Row],[_Row]]))</f>
        <v/>
      </c>
      <c r="L48" s="68" t="n">
        <f aca="false">ROW()-ROW(GanttView[[#Headers],[ID]])</f>
        <v>43</v>
      </c>
      <c r="M48" s="69" t="b">
        <f aca="false">IF(IFERROR(INDEX(tsk_Name,GanttView[[#This Row],[_Row]])="",TRUE()),FALSE(),INDEX(tsk_IsSummary,GanttView[[#This Row],[_Row]]))</f>
        <v>0</v>
      </c>
      <c r="N48" s="69" t="b">
        <f aca="false">IF(IFERROR(INDEX(tsk_Name,GanttView[[#This Row],[_Row]])="",TRUE()),FALSE(),AND(INDEX(tsk_IsLeaf,GanttView[[#This Row],[_Row]])=1,N(INDEX(tsk_Duration,GanttView[[#This Row],[_Row]]))=0))</f>
        <v>0</v>
      </c>
      <c r="O4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70" t="n">
        <f aca="false">IF(GanttView[[#This Row],[_RemFrom]]=0,0,GanttView[[#This Row],[Forecast Finish]])</f>
        <v>0</v>
      </c>
      <c r="S48" s="69" t="b">
        <f aca="false">IF(IFERROR(INDEX(tsk_Name,GanttView[[#This Row],[_Row]])="",TRUE()),FALSE(),N(INDEX(tsk_Variance,GanttView[[#This Row],[_Row]]))&gt;0)</f>
        <v>0</v>
      </c>
      <c r="T48" s="70" t="n">
        <f aca="false">IF(IFERROR(INDEX(tsk_Name,GanttView[[#This Row],[_Row]])="",TRUE()),0,N(INDEX(tsk_Deadline,GanttView[[#This Row],[_Row]])))</f>
        <v>0</v>
      </c>
      <c r="U48" s="69" t="b">
        <f aca="false">IF(IFERROR(INDEX(tsk_Name,GanttView[[#This Row],[_Row]])="",TRUE()),FALSE(),INDEX(tsk_Critical,GanttView[[#This Row],[_Row]])="Yes")</f>
        <v>0</v>
      </c>
    </row>
    <row r="49" customFormat="false" ht="15" hidden="false" customHeight="false" outlineLevel="0" collapsed="false">
      <c r="A49" s="64" t="str">
        <f aca="false">IF(IFERROR(INDEX(tsk_Name,GanttView[[#This Row],[_Row]])="",TRUE()),"",INDEX(tsk_ID,GanttView[[#This Row],[_Row]]))</f>
        <v/>
      </c>
      <c r="B49" s="64" t="str">
        <f aca="false">IF(IFERROR(INDEX(tsk_Name,GanttView[[#This Row],[_Row]])="",TRUE()),"",INDEX(tsk_WBS,GanttView[[#This Row],[_Row]]))</f>
        <v/>
      </c>
      <c r="C49" s="65" t="str">
        <f aca="false">IF(IFERROR(INDEX(tsk_Name,GanttView[[#This Row],[_Row]])="",TRUE()),"",REPT("    ",INDEX(tsk_Level,GanttView[[#This Row],[_Row]])-1)&amp;INDEX(tsk_Name,GanttView[[#This Row],[_Row]]))</f>
        <v/>
      </c>
      <c r="D4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6" t="str">
        <f aca="false">IF(IFERROR(INDEX(tsk_Name,GanttView[[#This Row],[_Row]])="",TRUE()),"",INDEX(tsk_PlanStart,GanttView[[#This Row],[_Row]]))</f>
        <v/>
      </c>
      <c r="F49" s="66" t="str">
        <f aca="false">IF(IFERROR(INDEX(tsk_Name,GanttView[[#This Row],[_Row]])="",TRUE()),"",INDEX(tsk_PlanFinish,GanttView[[#This Row],[_Row]]))</f>
        <v/>
      </c>
      <c r="G49" s="66" t="str">
        <f aca="false">IF(IFERROR(INDEX(tsk_Name,GanttView[[#This Row],[_Row]])="",TRUE()),"",INDEX(tsk_FcStart,GanttView[[#This Row],[_Row]]))</f>
        <v/>
      </c>
      <c r="H49" s="66" t="str">
        <f aca="false">IF(IFERROR(INDEX(tsk_Name,GanttView[[#This Row],[_Row]])="",TRUE()),"",INDEX(tsk_FcFinish,GanttView[[#This Row],[_Row]]))</f>
        <v/>
      </c>
      <c r="I49" s="67" t="str">
        <f aca="false">IF(IFERROR(INDEX(tsk_Name,GanttView[[#This Row],[_Row]])="",TRUE()),"",INDEX(tsk_Progress,GanttView[[#This Row],[_Row]]))</f>
        <v/>
      </c>
      <c r="J49" s="65" t="str">
        <f aca="false">IF(IFERROR(INDEX(tsk_Name,GanttView[[#This Row],[_Row]])="",TRUE()),"",INDEX(tsk_Resource,GanttView[[#This Row],[_Row]])&amp;"")</f>
        <v/>
      </c>
      <c r="K49" s="64" t="str">
        <f aca="false">IF(IFERROR(INDEX(tsk_Name,GanttView[[#This Row],[_Row]])="",TRUE()),"",INDEX(tsk_Status,GanttView[[#This Row],[_Row]]))</f>
        <v/>
      </c>
      <c r="L49" s="68" t="n">
        <f aca="false">ROW()-ROW(GanttView[[#Headers],[ID]])</f>
        <v>44</v>
      </c>
      <c r="M49" s="69" t="b">
        <f aca="false">IF(IFERROR(INDEX(tsk_Name,GanttView[[#This Row],[_Row]])="",TRUE()),FALSE(),INDEX(tsk_IsSummary,GanttView[[#This Row],[_Row]]))</f>
        <v>0</v>
      </c>
      <c r="N49" s="69" t="b">
        <f aca="false">IF(IFERROR(INDEX(tsk_Name,GanttView[[#This Row],[_Row]])="",TRUE()),FALSE(),AND(INDEX(tsk_IsLeaf,GanttView[[#This Row],[_Row]])=1,N(INDEX(tsk_Duration,GanttView[[#This Row],[_Row]]))=0))</f>
        <v>0</v>
      </c>
      <c r="O4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70" t="n">
        <f aca="false">IF(GanttView[[#This Row],[_RemFrom]]=0,0,GanttView[[#This Row],[Forecast Finish]])</f>
        <v>0</v>
      </c>
      <c r="S49" s="69" t="b">
        <f aca="false">IF(IFERROR(INDEX(tsk_Name,GanttView[[#This Row],[_Row]])="",TRUE()),FALSE(),N(INDEX(tsk_Variance,GanttView[[#This Row],[_Row]]))&gt;0)</f>
        <v>0</v>
      </c>
      <c r="T49" s="70" t="n">
        <f aca="false">IF(IFERROR(INDEX(tsk_Name,GanttView[[#This Row],[_Row]])="",TRUE()),0,N(INDEX(tsk_Deadline,GanttView[[#This Row],[_Row]])))</f>
        <v>0</v>
      </c>
      <c r="U49" s="69" t="b">
        <f aca="false">IF(IFERROR(INDEX(tsk_Name,GanttView[[#This Row],[_Row]])="",TRUE()),FALSE(),INDEX(tsk_Critical,GanttView[[#This Row],[_Row]])="Yes")</f>
        <v>0</v>
      </c>
    </row>
    <row r="50" customFormat="false" ht="15" hidden="false" customHeight="false" outlineLevel="0" collapsed="false">
      <c r="A50" s="64" t="str">
        <f aca="false">IF(IFERROR(INDEX(tsk_Name,GanttView[[#This Row],[_Row]])="",TRUE()),"",INDEX(tsk_ID,GanttView[[#This Row],[_Row]]))</f>
        <v/>
      </c>
      <c r="B50" s="64" t="str">
        <f aca="false">IF(IFERROR(INDEX(tsk_Name,GanttView[[#This Row],[_Row]])="",TRUE()),"",INDEX(tsk_WBS,GanttView[[#This Row],[_Row]]))</f>
        <v/>
      </c>
      <c r="C50" s="65" t="str">
        <f aca="false">IF(IFERROR(INDEX(tsk_Name,GanttView[[#This Row],[_Row]])="",TRUE()),"",REPT("    ",INDEX(tsk_Level,GanttView[[#This Row],[_Row]])-1)&amp;INDEX(tsk_Name,GanttView[[#This Row],[_Row]]))</f>
        <v/>
      </c>
      <c r="D5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6" t="str">
        <f aca="false">IF(IFERROR(INDEX(tsk_Name,GanttView[[#This Row],[_Row]])="",TRUE()),"",INDEX(tsk_PlanStart,GanttView[[#This Row],[_Row]]))</f>
        <v/>
      </c>
      <c r="F50" s="66" t="str">
        <f aca="false">IF(IFERROR(INDEX(tsk_Name,GanttView[[#This Row],[_Row]])="",TRUE()),"",INDEX(tsk_PlanFinish,GanttView[[#This Row],[_Row]]))</f>
        <v/>
      </c>
      <c r="G50" s="66" t="str">
        <f aca="false">IF(IFERROR(INDEX(tsk_Name,GanttView[[#This Row],[_Row]])="",TRUE()),"",INDEX(tsk_FcStart,GanttView[[#This Row],[_Row]]))</f>
        <v/>
      </c>
      <c r="H50" s="66" t="str">
        <f aca="false">IF(IFERROR(INDEX(tsk_Name,GanttView[[#This Row],[_Row]])="",TRUE()),"",INDEX(tsk_FcFinish,GanttView[[#This Row],[_Row]]))</f>
        <v/>
      </c>
      <c r="I50" s="67" t="str">
        <f aca="false">IF(IFERROR(INDEX(tsk_Name,GanttView[[#This Row],[_Row]])="",TRUE()),"",INDEX(tsk_Progress,GanttView[[#This Row],[_Row]]))</f>
        <v/>
      </c>
      <c r="J50" s="65" t="str">
        <f aca="false">IF(IFERROR(INDEX(tsk_Name,GanttView[[#This Row],[_Row]])="",TRUE()),"",INDEX(tsk_Resource,GanttView[[#This Row],[_Row]])&amp;"")</f>
        <v/>
      </c>
      <c r="K50" s="64" t="str">
        <f aca="false">IF(IFERROR(INDEX(tsk_Name,GanttView[[#This Row],[_Row]])="",TRUE()),"",INDEX(tsk_Status,GanttView[[#This Row],[_Row]]))</f>
        <v/>
      </c>
      <c r="L50" s="68" t="n">
        <f aca="false">ROW()-ROW(GanttView[[#Headers],[ID]])</f>
        <v>45</v>
      </c>
      <c r="M50" s="69" t="b">
        <f aca="false">IF(IFERROR(INDEX(tsk_Name,GanttView[[#This Row],[_Row]])="",TRUE()),FALSE(),INDEX(tsk_IsSummary,GanttView[[#This Row],[_Row]]))</f>
        <v>0</v>
      </c>
      <c r="N50" s="69" t="b">
        <f aca="false">IF(IFERROR(INDEX(tsk_Name,GanttView[[#This Row],[_Row]])="",TRUE()),FALSE(),AND(INDEX(tsk_IsLeaf,GanttView[[#This Row],[_Row]])=1,N(INDEX(tsk_Duration,GanttView[[#This Row],[_Row]]))=0))</f>
        <v>0</v>
      </c>
      <c r="O5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70" t="n">
        <f aca="false">IF(GanttView[[#This Row],[_RemFrom]]=0,0,GanttView[[#This Row],[Forecast Finish]])</f>
        <v>0</v>
      </c>
      <c r="S50" s="69" t="b">
        <f aca="false">IF(IFERROR(INDEX(tsk_Name,GanttView[[#This Row],[_Row]])="",TRUE()),FALSE(),N(INDEX(tsk_Variance,GanttView[[#This Row],[_Row]]))&gt;0)</f>
        <v>0</v>
      </c>
      <c r="T50" s="70" t="n">
        <f aca="false">IF(IFERROR(INDEX(tsk_Name,GanttView[[#This Row],[_Row]])="",TRUE()),0,N(INDEX(tsk_Deadline,GanttView[[#This Row],[_Row]])))</f>
        <v>0</v>
      </c>
      <c r="U50" s="69" t="b">
        <f aca="false">IF(IFERROR(INDEX(tsk_Name,GanttView[[#This Row],[_Row]])="",TRUE()),FALSE(),INDEX(tsk_Critical,GanttView[[#This Row],[_Row]])="Yes")</f>
        <v>0</v>
      </c>
    </row>
    <row r="51" customFormat="false" ht="15" hidden="false" customHeight="false" outlineLevel="0" collapsed="false">
      <c r="A51" s="64" t="str">
        <f aca="false">IF(IFERROR(INDEX(tsk_Name,GanttView[[#This Row],[_Row]])="",TRUE()),"",INDEX(tsk_ID,GanttView[[#This Row],[_Row]]))</f>
        <v/>
      </c>
      <c r="B51" s="64" t="str">
        <f aca="false">IF(IFERROR(INDEX(tsk_Name,GanttView[[#This Row],[_Row]])="",TRUE()),"",INDEX(tsk_WBS,GanttView[[#This Row],[_Row]]))</f>
        <v/>
      </c>
      <c r="C51" s="65" t="str">
        <f aca="false">IF(IFERROR(INDEX(tsk_Name,GanttView[[#This Row],[_Row]])="",TRUE()),"",REPT("    ",INDEX(tsk_Level,GanttView[[#This Row],[_Row]])-1)&amp;INDEX(tsk_Name,GanttView[[#This Row],[_Row]]))</f>
        <v/>
      </c>
      <c r="D5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6" t="str">
        <f aca="false">IF(IFERROR(INDEX(tsk_Name,GanttView[[#This Row],[_Row]])="",TRUE()),"",INDEX(tsk_PlanStart,GanttView[[#This Row],[_Row]]))</f>
        <v/>
      </c>
      <c r="F51" s="66" t="str">
        <f aca="false">IF(IFERROR(INDEX(tsk_Name,GanttView[[#This Row],[_Row]])="",TRUE()),"",INDEX(tsk_PlanFinish,GanttView[[#This Row],[_Row]]))</f>
        <v/>
      </c>
      <c r="G51" s="66" t="str">
        <f aca="false">IF(IFERROR(INDEX(tsk_Name,GanttView[[#This Row],[_Row]])="",TRUE()),"",INDEX(tsk_FcStart,GanttView[[#This Row],[_Row]]))</f>
        <v/>
      </c>
      <c r="H51" s="66" t="str">
        <f aca="false">IF(IFERROR(INDEX(tsk_Name,GanttView[[#This Row],[_Row]])="",TRUE()),"",INDEX(tsk_FcFinish,GanttView[[#This Row],[_Row]]))</f>
        <v/>
      </c>
      <c r="I51" s="67" t="str">
        <f aca="false">IF(IFERROR(INDEX(tsk_Name,GanttView[[#This Row],[_Row]])="",TRUE()),"",INDEX(tsk_Progress,GanttView[[#This Row],[_Row]]))</f>
        <v/>
      </c>
      <c r="J51" s="65" t="str">
        <f aca="false">IF(IFERROR(INDEX(tsk_Name,GanttView[[#This Row],[_Row]])="",TRUE()),"",INDEX(tsk_Resource,GanttView[[#This Row],[_Row]])&amp;"")</f>
        <v/>
      </c>
      <c r="K51" s="64" t="str">
        <f aca="false">IF(IFERROR(INDEX(tsk_Name,GanttView[[#This Row],[_Row]])="",TRUE()),"",INDEX(tsk_Status,GanttView[[#This Row],[_Row]]))</f>
        <v/>
      </c>
      <c r="L51" s="68" t="n">
        <f aca="false">ROW()-ROW(GanttView[[#Headers],[ID]])</f>
        <v>46</v>
      </c>
      <c r="M51" s="69" t="b">
        <f aca="false">IF(IFERROR(INDEX(tsk_Name,GanttView[[#This Row],[_Row]])="",TRUE()),FALSE(),INDEX(tsk_IsSummary,GanttView[[#This Row],[_Row]]))</f>
        <v>0</v>
      </c>
      <c r="N51" s="69" t="b">
        <f aca="false">IF(IFERROR(INDEX(tsk_Name,GanttView[[#This Row],[_Row]])="",TRUE()),FALSE(),AND(INDEX(tsk_IsLeaf,GanttView[[#This Row],[_Row]])=1,N(INDEX(tsk_Duration,GanttView[[#This Row],[_Row]]))=0))</f>
        <v>0</v>
      </c>
      <c r="O5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70" t="n">
        <f aca="false">IF(GanttView[[#This Row],[_RemFrom]]=0,0,GanttView[[#This Row],[Forecast Finish]])</f>
        <v>0</v>
      </c>
      <c r="S51" s="69" t="b">
        <f aca="false">IF(IFERROR(INDEX(tsk_Name,GanttView[[#This Row],[_Row]])="",TRUE()),FALSE(),N(INDEX(tsk_Variance,GanttView[[#This Row],[_Row]]))&gt;0)</f>
        <v>0</v>
      </c>
      <c r="T51" s="70" t="n">
        <f aca="false">IF(IFERROR(INDEX(tsk_Name,GanttView[[#This Row],[_Row]])="",TRUE()),0,N(INDEX(tsk_Deadline,GanttView[[#This Row],[_Row]])))</f>
        <v>0</v>
      </c>
      <c r="U51" s="69" t="b">
        <f aca="false">IF(IFERROR(INDEX(tsk_Name,GanttView[[#This Row],[_Row]])="",TRUE()),FALSE(),INDEX(tsk_Critical,GanttView[[#This Row],[_Row]])="Yes")</f>
        <v>0</v>
      </c>
    </row>
    <row r="52" customFormat="false" ht="15" hidden="false" customHeight="false" outlineLevel="0" collapsed="false">
      <c r="A52" s="64" t="str">
        <f aca="false">IF(IFERROR(INDEX(tsk_Name,GanttView[[#This Row],[_Row]])="",TRUE()),"",INDEX(tsk_ID,GanttView[[#This Row],[_Row]]))</f>
        <v/>
      </c>
      <c r="B52" s="64" t="str">
        <f aca="false">IF(IFERROR(INDEX(tsk_Name,GanttView[[#This Row],[_Row]])="",TRUE()),"",INDEX(tsk_WBS,GanttView[[#This Row],[_Row]]))</f>
        <v/>
      </c>
      <c r="C52" s="65" t="str">
        <f aca="false">IF(IFERROR(INDEX(tsk_Name,GanttView[[#This Row],[_Row]])="",TRUE()),"",REPT("    ",INDEX(tsk_Level,GanttView[[#This Row],[_Row]])-1)&amp;INDEX(tsk_Name,GanttView[[#This Row],[_Row]]))</f>
        <v/>
      </c>
      <c r="D5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6" t="str">
        <f aca="false">IF(IFERROR(INDEX(tsk_Name,GanttView[[#This Row],[_Row]])="",TRUE()),"",INDEX(tsk_PlanStart,GanttView[[#This Row],[_Row]]))</f>
        <v/>
      </c>
      <c r="F52" s="66" t="str">
        <f aca="false">IF(IFERROR(INDEX(tsk_Name,GanttView[[#This Row],[_Row]])="",TRUE()),"",INDEX(tsk_PlanFinish,GanttView[[#This Row],[_Row]]))</f>
        <v/>
      </c>
      <c r="G52" s="66" t="str">
        <f aca="false">IF(IFERROR(INDEX(tsk_Name,GanttView[[#This Row],[_Row]])="",TRUE()),"",INDEX(tsk_FcStart,GanttView[[#This Row],[_Row]]))</f>
        <v/>
      </c>
      <c r="H52" s="66" t="str">
        <f aca="false">IF(IFERROR(INDEX(tsk_Name,GanttView[[#This Row],[_Row]])="",TRUE()),"",INDEX(tsk_FcFinish,GanttView[[#This Row],[_Row]]))</f>
        <v/>
      </c>
      <c r="I52" s="67" t="str">
        <f aca="false">IF(IFERROR(INDEX(tsk_Name,GanttView[[#This Row],[_Row]])="",TRUE()),"",INDEX(tsk_Progress,GanttView[[#This Row],[_Row]]))</f>
        <v/>
      </c>
      <c r="J52" s="65" t="str">
        <f aca="false">IF(IFERROR(INDEX(tsk_Name,GanttView[[#This Row],[_Row]])="",TRUE()),"",INDEX(tsk_Resource,GanttView[[#This Row],[_Row]])&amp;"")</f>
        <v/>
      </c>
      <c r="K52" s="64" t="str">
        <f aca="false">IF(IFERROR(INDEX(tsk_Name,GanttView[[#This Row],[_Row]])="",TRUE()),"",INDEX(tsk_Status,GanttView[[#This Row],[_Row]]))</f>
        <v/>
      </c>
      <c r="L52" s="68" t="n">
        <f aca="false">ROW()-ROW(GanttView[[#Headers],[ID]])</f>
        <v>47</v>
      </c>
      <c r="M52" s="69" t="b">
        <f aca="false">IF(IFERROR(INDEX(tsk_Name,GanttView[[#This Row],[_Row]])="",TRUE()),FALSE(),INDEX(tsk_IsSummary,GanttView[[#This Row],[_Row]]))</f>
        <v>0</v>
      </c>
      <c r="N52" s="69" t="b">
        <f aca="false">IF(IFERROR(INDEX(tsk_Name,GanttView[[#This Row],[_Row]])="",TRUE()),FALSE(),AND(INDEX(tsk_IsLeaf,GanttView[[#This Row],[_Row]])=1,N(INDEX(tsk_Duration,GanttView[[#This Row],[_Row]]))=0))</f>
        <v>0</v>
      </c>
      <c r="O5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70" t="n">
        <f aca="false">IF(GanttView[[#This Row],[_RemFrom]]=0,0,GanttView[[#This Row],[Forecast Finish]])</f>
        <v>0</v>
      </c>
      <c r="S52" s="69" t="b">
        <f aca="false">IF(IFERROR(INDEX(tsk_Name,GanttView[[#This Row],[_Row]])="",TRUE()),FALSE(),N(INDEX(tsk_Variance,GanttView[[#This Row],[_Row]]))&gt;0)</f>
        <v>0</v>
      </c>
      <c r="T52" s="70" t="n">
        <f aca="false">IF(IFERROR(INDEX(tsk_Name,GanttView[[#This Row],[_Row]])="",TRUE()),0,N(INDEX(tsk_Deadline,GanttView[[#This Row],[_Row]])))</f>
        <v>0</v>
      </c>
      <c r="U52" s="69" t="b">
        <f aca="false">IF(IFERROR(INDEX(tsk_Name,GanttView[[#This Row],[_Row]])="",TRUE()),FALSE(),INDEX(tsk_Critical,GanttView[[#This Row],[_Row]])="Yes")</f>
        <v>0</v>
      </c>
    </row>
    <row r="53" customFormat="false" ht="15" hidden="false" customHeight="false" outlineLevel="0" collapsed="false">
      <c r="A53" s="64" t="str">
        <f aca="false">IF(IFERROR(INDEX(tsk_Name,GanttView[[#This Row],[_Row]])="",TRUE()),"",INDEX(tsk_ID,GanttView[[#This Row],[_Row]]))</f>
        <v/>
      </c>
      <c r="B53" s="64" t="str">
        <f aca="false">IF(IFERROR(INDEX(tsk_Name,GanttView[[#This Row],[_Row]])="",TRUE()),"",INDEX(tsk_WBS,GanttView[[#This Row],[_Row]]))</f>
        <v/>
      </c>
      <c r="C53" s="65" t="str">
        <f aca="false">IF(IFERROR(INDEX(tsk_Name,GanttView[[#This Row],[_Row]])="",TRUE()),"",REPT("    ",INDEX(tsk_Level,GanttView[[#This Row],[_Row]])-1)&amp;INDEX(tsk_Name,GanttView[[#This Row],[_Row]]))</f>
        <v/>
      </c>
      <c r="D5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6" t="str">
        <f aca="false">IF(IFERROR(INDEX(tsk_Name,GanttView[[#This Row],[_Row]])="",TRUE()),"",INDEX(tsk_PlanStart,GanttView[[#This Row],[_Row]]))</f>
        <v/>
      </c>
      <c r="F53" s="66" t="str">
        <f aca="false">IF(IFERROR(INDEX(tsk_Name,GanttView[[#This Row],[_Row]])="",TRUE()),"",INDEX(tsk_PlanFinish,GanttView[[#This Row],[_Row]]))</f>
        <v/>
      </c>
      <c r="G53" s="66" t="str">
        <f aca="false">IF(IFERROR(INDEX(tsk_Name,GanttView[[#This Row],[_Row]])="",TRUE()),"",INDEX(tsk_FcStart,GanttView[[#This Row],[_Row]]))</f>
        <v/>
      </c>
      <c r="H53" s="66" t="str">
        <f aca="false">IF(IFERROR(INDEX(tsk_Name,GanttView[[#This Row],[_Row]])="",TRUE()),"",INDEX(tsk_FcFinish,GanttView[[#This Row],[_Row]]))</f>
        <v/>
      </c>
      <c r="I53" s="67" t="str">
        <f aca="false">IF(IFERROR(INDEX(tsk_Name,GanttView[[#This Row],[_Row]])="",TRUE()),"",INDEX(tsk_Progress,GanttView[[#This Row],[_Row]]))</f>
        <v/>
      </c>
      <c r="J53" s="65" t="str">
        <f aca="false">IF(IFERROR(INDEX(tsk_Name,GanttView[[#This Row],[_Row]])="",TRUE()),"",INDEX(tsk_Resource,GanttView[[#This Row],[_Row]])&amp;"")</f>
        <v/>
      </c>
      <c r="K53" s="64" t="str">
        <f aca="false">IF(IFERROR(INDEX(tsk_Name,GanttView[[#This Row],[_Row]])="",TRUE()),"",INDEX(tsk_Status,GanttView[[#This Row],[_Row]]))</f>
        <v/>
      </c>
      <c r="L53" s="68" t="n">
        <f aca="false">ROW()-ROW(GanttView[[#Headers],[ID]])</f>
        <v>48</v>
      </c>
      <c r="M53" s="69" t="b">
        <f aca="false">IF(IFERROR(INDEX(tsk_Name,GanttView[[#This Row],[_Row]])="",TRUE()),FALSE(),INDEX(tsk_IsSummary,GanttView[[#This Row],[_Row]]))</f>
        <v>0</v>
      </c>
      <c r="N53" s="69" t="b">
        <f aca="false">IF(IFERROR(INDEX(tsk_Name,GanttView[[#This Row],[_Row]])="",TRUE()),FALSE(),AND(INDEX(tsk_IsLeaf,GanttView[[#This Row],[_Row]])=1,N(INDEX(tsk_Duration,GanttView[[#This Row],[_Row]]))=0))</f>
        <v>0</v>
      </c>
      <c r="O5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70" t="n">
        <f aca="false">IF(GanttView[[#This Row],[_RemFrom]]=0,0,GanttView[[#This Row],[Forecast Finish]])</f>
        <v>0</v>
      </c>
      <c r="S53" s="69" t="b">
        <f aca="false">IF(IFERROR(INDEX(tsk_Name,GanttView[[#This Row],[_Row]])="",TRUE()),FALSE(),N(INDEX(tsk_Variance,GanttView[[#This Row],[_Row]]))&gt;0)</f>
        <v>0</v>
      </c>
      <c r="T53" s="70" t="n">
        <f aca="false">IF(IFERROR(INDEX(tsk_Name,GanttView[[#This Row],[_Row]])="",TRUE()),0,N(INDEX(tsk_Deadline,GanttView[[#This Row],[_Row]])))</f>
        <v>0</v>
      </c>
      <c r="U53" s="69" t="b">
        <f aca="false">IF(IFERROR(INDEX(tsk_Name,GanttView[[#This Row],[_Row]])="",TRUE()),FALSE(),INDEX(tsk_Critical,GanttView[[#This Row],[_Row]])="Yes")</f>
        <v>0</v>
      </c>
    </row>
    <row r="54" customFormat="false" ht="15" hidden="false" customHeight="false" outlineLevel="0" collapsed="false">
      <c r="A54" s="64" t="str">
        <f aca="false">IF(IFERROR(INDEX(tsk_Name,GanttView[[#This Row],[_Row]])="",TRUE()),"",INDEX(tsk_ID,GanttView[[#This Row],[_Row]]))</f>
        <v/>
      </c>
      <c r="B54" s="64" t="str">
        <f aca="false">IF(IFERROR(INDEX(tsk_Name,GanttView[[#This Row],[_Row]])="",TRUE()),"",INDEX(tsk_WBS,GanttView[[#This Row],[_Row]]))</f>
        <v/>
      </c>
      <c r="C54" s="65" t="str">
        <f aca="false">IF(IFERROR(INDEX(tsk_Name,GanttView[[#This Row],[_Row]])="",TRUE()),"",REPT("    ",INDEX(tsk_Level,GanttView[[#This Row],[_Row]])-1)&amp;INDEX(tsk_Name,GanttView[[#This Row],[_Row]]))</f>
        <v/>
      </c>
      <c r="D5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6" t="str">
        <f aca="false">IF(IFERROR(INDEX(tsk_Name,GanttView[[#This Row],[_Row]])="",TRUE()),"",INDEX(tsk_PlanStart,GanttView[[#This Row],[_Row]]))</f>
        <v/>
      </c>
      <c r="F54" s="66" t="str">
        <f aca="false">IF(IFERROR(INDEX(tsk_Name,GanttView[[#This Row],[_Row]])="",TRUE()),"",INDEX(tsk_PlanFinish,GanttView[[#This Row],[_Row]]))</f>
        <v/>
      </c>
      <c r="G54" s="66" t="str">
        <f aca="false">IF(IFERROR(INDEX(tsk_Name,GanttView[[#This Row],[_Row]])="",TRUE()),"",INDEX(tsk_FcStart,GanttView[[#This Row],[_Row]]))</f>
        <v/>
      </c>
      <c r="H54" s="66" t="str">
        <f aca="false">IF(IFERROR(INDEX(tsk_Name,GanttView[[#This Row],[_Row]])="",TRUE()),"",INDEX(tsk_FcFinish,GanttView[[#This Row],[_Row]]))</f>
        <v/>
      </c>
      <c r="I54" s="67" t="str">
        <f aca="false">IF(IFERROR(INDEX(tsk_Name,GanttView[[#This Row],[_Row]])="",TRUE()),"",INDEX(tsk_Progress,GanttView[[#This Row],[_Row]]))</f>
        <v/>
      </c>
      <c r="J54" s="65" t="str">
        <f aca="false">IF(IFERROR(INDEX(tsk_Name,GanttView[[#This Row],[_Row]])="",TRUE()),"",INDEX(tsk_Resource,GanttView[[#This Row],[_Row]])&amp;"")</f>
        <v/>
      </c>
      <c r="K54" s="64" t="str">
        <f aca="false">IF(IFERROR(INDEX(tsk_Name,GanttView[[#This Row],[_Row]])="",TRUE()),"",INDEX(tsk_Status,GanttView[[#This Row],[_Row]]))</f>
        <v/>
      </c>
      <c r="L54" s="68" t="n">
        <f aca="false">ROW()-ROW(GanttView[[#Headers],[ID]])</f>
        <v>49</v>
      </c>
      <c r="M54" s="69" t="b">
        <f aca="false">IF(IFERROR(INDEX(tsk_Name,GanttView[[#This Row],[_Row]])="",TRUE()),FALSE(),INDEX(tsk_IsSummary,GanttView[[#This Row],[_Row]]))</f>
        <v>0</v>
      </c>
      <c r="N54" s="69" t="b">
        <f aca="false">IF(IFERROR(INDEX(tsk_Name,GanttView[[#This Row],[_Row]])="",TRUE()),FALSE(),AND(INDEX(tsk_IsLeaf,GanttView[[#This Row],[_Row]])=1,N(INDEX(tsk_Duration,GanttView[[#This Row],[_Row]]))=0))</f>
        <v>0</v>
      </c>
      <c r="O5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70" t="n">
        <f aca="false">IF(GanttView[[#This Row],[_RemFrom]]=0,0,GanttView[[#This Row],[Forecast Finish]])</f>
        <v>0</v>
      </c>
      <c r="S54" s="69" t="b">
        <f aca="false">IF(IFERROR(INDEX(tsk_Name,GanttView[[#This Row],[_Row]])="",TRUE()),FALSE(),N(INDEX(tsk_Variance,GanttView[[#This Row],[_Row]]))&gt;0)</f>
        <v>0</v>
      </c>
      <c r="T54" s="70" t="n">
        <f aca="false">IF(IFERROR(INDEX(tsk_Name,GanttView[[#This Row],[_Row]])="",TRUE()),0,N(INDEX(tsk_Deadline,GanttView[[#This Row],[_Row]])))</f>
        <v>0</v>
      </c>
      <c r="U54" s="69" t="b">
        <f aca="false">IF(IFERROR(INDEX(tsk_Name,GanttView[[#This Row],[_Row]])="",TRUE()),FALSE(),INDEX(tsk_Critical,GanttView[[#This Row],[_Row]])="Yes")</f>
        <v>0</v>
      </c>
    </row>
    <row r="55" customFormat="false" ht="15" hidden="false" customHeight="false" outlineLevel="0" collapsed="false">
      <c r="A55" s="64" t="str">
        <f aca="false">IF(IFERROR(INDEX(tsk_Name,GanttView[[#This Row],[_Row]])="",TRUE()),"",INDEX(tsk_ID,GanttView[[#This Row],[_Row]]))</f>
        <v/>
      </c>
      <c r="B55" s="64" t="str">
        <f aca="false">IF(IFERROR(INDEX(tsk_Name,GanttView[[#This Row],[_Row]])="",TRUE()),"",INDEX(tsk_WBS,GanttView[[#This Row],[_Row]]))</f>
        <v/>
      </c>
      <c r="C55" s="65" t="str">
        <f aca="false">IF(IFERROR(INDEX(tsk_Name,GanttView[[#This Row],[_Row]])="",TRUE()),"",REPT("    ",INDEX(tsk_Level,GanttView[[#This Row],[_Row]])-1)&amp;INDEX(tsk_Name,GanttView[[#This Row],[_Row]]))</f>
        <v/>
      </c>
      <c r="D5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6" t="str">
        <f aca="false">IF(IFERROR(INDEX(tsk_Name,GanttView[[#This Row],[_Row]])="",TRUE()),"",INDEX(tsk_PlanStart,GanttView[[#This Row],[_Row]]))</f>
        <v/>
      </c>
      <c r="F55" s="66" t="str">
        <f aca="false">IF(IFERROR(INDEX(tsk_Name,GanttView[[#This Row],[_Row]])="",TRUE()),"",INDEX(tsk_PlanFinish,GanttView[[#This Row],[_Row]]))</f>
        <v/>
      </c>
      <c r="G55" s="66" t="str">
        <f aca="false">IF(IFERROR(INDEX(tsk_Name,GanttView[[#This Row],[_Row]])="",TRUE()),"",INDEX(tsk_FcStart,GanttView[[#This Row],[_Row]]))</f>
        <v/>
      </c>
      <c r="H55" s="66" t="str">
        <f aca="false">IF(IFERROR(INDEX(tsk_Name,GanttView[[#This Row],[_Row]])="",TRUE()),"",INDEX(tsk_FcFinish,GanttView[[#This Row],[_Row]]))</f>
        <v/>
      </c>
      <c r="I55" s="67" t="str">
        <f aca="false">IF(IFERROR(INDEX(tsk_Name,GanttView[[#This Row],[_Row]])="",TRUE()),"",INDEX(tsk_Progress,GanttView[[#This Row],[_Row]]))</f>
        <v/>
      </c>
      <c r="J55" s="65" t="str">
        <f aca="false">IF(IFERROR(INDEX(tsk_Name,GanttView[[#This Row],[_Row]])="",TRUE()),"",INDEX(tsk_Resource,GanttView[[#This Row],[_Row]])&amp;"")</f>
        <v/>
      </c>
      <c r="K55" s="64" t="str">
        <f aca="false">IF(IFERROR(INDEX(tsk_Name,GanttView[[#This Row],[_Row]])="",TRUE()),"",INDEX(tsk_Status,GanttView[[#This Row],[_Row]]))</f>
        <v/>
      </c>
      <c r="L55" s="68" t="n">
        <f aca="false">ROW()-ROW(GanttView[[#Headers],[ID]])</f>
        <v>50</v>
      </c>
      <c r="M55" s="69" t="b">
        <f aca="false">IF(IFERROR(INDEX(tsk_Name,GanttView[[#This Row],[_Row]])="",TRUE()),FALSE(),INDEX(tsk_IsSummary,GanttView[[#This Row],[_Row]]))</f>
        <v>0</v>
      </c>
      <c r="N55" s="69" t="b">
        <f aca="false">IF(IFERROR(INDEX(tsk_Name,GanttView[[#This Row],[_Row]])="",TRUE()),FALSE(),AND(INDEX(tsk_IsLeaf,GanttView[[#This Row],[_Row]])=1,N(INDEX(tsk_Duration,GanttView[[#This Row],[_Row]]))=0))</f>
        <v>0</v>
      </c>
      <c r="O5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70" t="n">
        <f aca="false">IF(GanttView[[#This Row],[_RemFrom]]=0,0,GanttView[[#This Row],[Forecast Finish]])</f>
        <v>0</v>
      </c>
      <c r="S55" s="69" t="b">
        <f aca="false">IF(IFERROR(INDEX(tsk_Name,GanttView[[#This Row],[_Row]])="",TRUE()),FALSE(),N(INDEX(tsk_Variance,GanttView[[#This Row],[_Row]]))&gt;0)</f>
        <v>0</v>
      </c>
      <c r="T55" s="70" t="n">
        <f aca="false">IF(IFERROR(INDEX(tsk_Name,GanttView[[#This Row],[_Row]])="",TRUE()),0,N(INDEX(tsk_Deadline,GanttView[[#This Row],[_Row]])))</f>
        <v>0</v>
      </c>
      <c r="U55" s="69" t="b">
        <f aca="false">IF(IFERROR(INDEX(tsk_Name,GanttView[[#This Row],[_Row]])="",TRUE()),FALSE(),INDEX(tsk_Critical,GanttView[[#This Row],[_Row]])="Yes")</f>
        <v>0</v>
      </c>
    </row>
    <row r="56" customFormat="false" ht="15" hidden="false" customHeight="false" outlineLevel="0" collapsed="false">
      <c r="A56" s="64" t="str">
        <f aca="false">IF(IFERROR(INDEX(tsk_Name,GanttView[[#This Row],[_Row]])="",TRUE()),"",INDEX(tsk_ID,GanttView[[#This Row],[_Row]]))</f>
        <v/>
      </c>
      <c r="B56" s="64" t="str">
        <f aca="false">IF(IFERROR(INDEX(tsk_Name,GanttView[[#This Row],[_Row]])="",TRUE()),"",INDEX(tsk_WBS,GanttView[[#This Row],[_Row]]))</f>
        <v/>
      </c>
      <c r="C56" s="65" t="str">
        <f aca="false">IF(IFERROR(INDEX(tsk_Name,GanttView[[#This Row],[_Row]])="",TRUE()),"",REPT("    ",INDEX(tsk_Level,GanttView[[#This Row],[_Row]])-1)&amp;INDEX(tsk_Name,GanttView[[#This Row],[_Row]]))</f>
        <v/>
      </c>
      <c r="D5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6" t="str">
        <f aca="false">IF(IFERROR(INDEX(tsk_Name,GanttView[[#This Row],[_Row]])="",TRUE()),"",INDEX(tsk_PlanStart,GanttView[[#This Row],[_Row]]))</f>
        <v/>
      </c>
      <c r="F56" s="66" t="str">
        <f aca="false">IF(IFERROR(INDEX(tsk_Name,GanttView[[#This Row],[_Row]])="",TRUE()),"",INDEX(tsk_PlanFinish,GanttView[[#This Row],[_Row]]))</f>
        <v/>
      </c>
      <c r="G56" s="66" t="str">
        <f aca="false">IF(IFERROR(INDEX(tsk_Name,GanttView[[#This Row],[_Row]])="",TRUE()),"",INDEX(tsk_FcStart,GanttView[[#This Row],[_Row]]))</f>
        <v/>
      </c>
      <c r="H56" s="66" t="str">
        <f aca="false">IF(IFERROR(INDEX(tsk_Name,GanttView[[#This Row],[_Row]])="",TRUE()),"",INDEX(tsk_FcFinish,GanttView[[#This Row],[_Row]]))</f>
        <v/>
      </c>
      <c r="I56" s="67" t="str">
        <f aca="false">IF(IFERROR(INDEX(tsk_Name,GanttView[[#This Row],[_Row]])="",TRUE()),"",INDEX(tsk_Progress,GanttView[[#This Row],[_Row]]))</f>
        <v/>
      </c>
      <c r="J56" s="65" t="str">
        <f aca="false">IF(IFERROR(INDEX(tsk_Name,GanttView[[#This Row],[_Row]])="",TRUE()),"",INDEX(tsk_Resource,GanttView[[#This Row],[_Row]])&amp;"")</f>
        <v/>
      </c>
      <c r="K56" s="64" t="str">
        <f aca="false">IF(IFERROR(INDEX(tsk_Name,GanttView[[#This Row],[_Row]])="",TRUE()),"",INDEX(tsk_Status,GanttView[[#This Row],[_Row]]))</f>
        <v/>
      </c>
      <c r="L56" s="68" t="n">
        <f aca="false">ROW()-ROW(GanttView[[#Headers],[ID]])</f>
        <v>51</v>
      </c>
      <c r="M56" s="69" t="b">
        <f aca="false">IF(IFERROR(INDEX(tsk_Name,GanttView[[#This Row],[_Row]])="",TRUE()),FALSE(),INDEX(tsk_IsSummary,GanttView[[#This Row],[_Row]]))</f>
        <v>0</v>
      </c>
      <c r="N56" s="69" t="b">
        <f aca="false">IF(IFERROR(INDEX(tsk_Name,GanttView[[#This Row],[_Row]])="",TRUE()),FALSE(),AND(INDEX(tsk_IsLeaf,GanttView[[#This Row],[_Row]])=1,N(INDEX(tsk_Duration,GanttView[[#This Row],[_Row]]))=0))</f>
        <v>0</v>
      </c>
      <c r="O5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70" t="n">
        <f aca="false">IF(GanttView[[#This Row],[_RemFrom]]=0,0,GanttView[[#This Row],[Forecast Finish]])</f>
        <v>0</v>
      </c>
      <c r="S56" s="69" t="b">
        <f aca="false">IF(IFERROR(INDEX(tsk_Name,GanttView[[#This Row],[_Row]])="",TRUE()),FALSE(),N(INDEX(tsk_Variance,GanttView[[#This Row],[_Row]]))&gt;0)</f>
        <v>0</v>
      </c>
      <c r="T56" s="70" t="n">
        <f aca="false">IF(IFERROR(INDEX(tsk_Name,GanttView[[#This Row],[_Row]])="",TRUE()),0,N(INDEX(tsk_Deadline,GanttView[[#This Row],[_Row]])))</f>
        <v>0</v>
      </c>
      <c r="U56" s="69" t="b">
        <f aca="false">IF(IFERROR(INDEX(tsk_Name,GanttView[[#This Row],[_Row]])="",TRUE()),FALSE(),INDEX(tsk_Critical,GanttView[[#This Row],[_Row]])="Yes")</f>
        <v>0</v>
      </c>
    </row>
    <row r="57" customFormat="false" ht="15" hidden="false" customHeight="false" outlineLevel="0" collapsed="false">
      <c r="A57" s="64" t="str">
        <f aca="false">IF(IFERROR(INDEX(tsk_Name,GanttView[[#This Row],[_Row]])="",TRUE()),"",INDEX(tsk_ID,GanttView[[#This Row],[_Row]]))</f>
        <v/>
      </c>
      <c r="B57" s="64" t="str">
        <f aca="false">IF(IFERROR(INDEX(tsk_Name,GanttView[[#This Row],[_Row]])="",TRUE()),"",INDEX(tsk_WBS,GanttView[[#This Row],[_Row]]))</f>
        <v/>
      </c>
      <c r="C57" s="65" t="str">
        <f aca="false">IF(IFERROR(INDEX(tsk_Name,GanttView[[#This Row],[_Row]])="",TRUE()),"",REPT("    ",INDEX(tsk_Level,GanttView[[#This Row],[_Row]])-1)&amp;INDEX(tsk_Name,GanttView[[#This Row],[_Row]]))</f>
        <v/>
      </c>
      <c r="D5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6" t="str">
        <f aca="false">IF(IFERROR(INDEX(tsk_Name,GanttView[[#This Row],[_Row]])="",TRUE()),"",INDEX(tsk_PlanStart,GanttView[[#This Row],[_Row]]))</f>
        <v/>
      </c>
      <c r="F57" s="66" t="str">
        <f aca="false">IF(IFERROR(INDEX(tsk_Name,GanttView[[#This Row],[_Row]])="",TRUE()),"",INDEX(tsk_PlanFinish,GanttView[[#This Row],[_Row]]))</f>
        <v/>
      </c>
      <c r="G57" s="66" t="str">
        <f aca="false">IF(IFERROR(INDEX(tsk_Name,GanttView[[#This Row],[_Row]])="",TRUE()),"",INDEX(tsk_FcStart,GanttView[[#This Row],[_Row]]))</f>
        <v/>
      </c>
      <c r="H57" s="66" t="str">
        <f aca="false">IF(IFERROR(INDEX(tsk_Name,GanttView[[#This Row],[_Row]])="",TRUE()),"",INDEX(tsk_FcFinish,GanttView[[#This Row],[_Row]]))</f>
        <v/>
      </c>
      <c r="I57" s="67" t="str">
        <f aca="false">IF(IFERROR(INDEX(tsk_Name,GanttView[[#This Row],[_Row]])="",TRUE()),"",INDEX(tsk_Progress,GanttView[[#This Row],[_Row]]))</f>
        <v/>
      </c>
      <c r="J57" s="65" t="str">
        <f aca="false">IF(IFERROR(INDEX(tsk_Name,GanttView[[#This Row],[_Row]])="",TRUE()),"",INDEX(tsk_Resource,GanttView[[#This Row],[_Row]])&amp;"")</f>
        <v/>
      </c>
      <c r="K57" s="64" t="str">
        <f aca="false">IF(IFERROR(INDEX(tsk_Name,GanttView[[#This Row],[_Row]])="",TRUE()),"",INDEX(tsk_Status,GanttView[[#This Row],[_Row]]))</f>
        <v/>
      </c>
      <c r="L57" s="68" t="n">
        <f aca="false">ROW()-ROW(GanttView[[#Headers],[ID]])</f>
        <v>52</v>
      </c>
      <c r="M57" s="69" t="b">
        <f aca="false">IF(IFERROR(INDEX(tsk_Name,GanttView[[#This Row],[_Row]])="",TRUE()),FALSE(),INDEX(tsk_IsSummary,GanttView[[#This Row],[_Row]]))</f>
        <v>0</v>
      </c>
      <c r="N57" s="69" t="b">
        <f aca="false">IF(IFERROR(INDEX(tsk_Name,GanttView[[#This Row],[_Row]])="",TRUE()),FALSE(),AND(INDEX(tsk_IsLeaf,GanttView[[#This Row],[_Row]])=1,N(INDEX(tsk_Duration,GanttView[[#This Row],[_Row]]))=0))</f>
        <v>0</v>
      </c>
      <c r="O5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70" t="n">
        <f aca="false">IF(GanttView[[#This Row],[_RemFrom]]=0,0,GanttView[[#This Row],[Forecast Finish]])</f>
        <v>0</v>
      </c>
      <c r="S57" s="69" t="b">
        <f aca="false">IF(IFERROR(INDEX(tsk_Name,GanttView[[#This Row],[_Row]])="",TRUE()),FALSE(),N(INDEX(tsk_Variance,GanttView[[#This Row],[_Row]]))&gt;0)</f>
        <v>0</v>
      </c>
      <c r="T57" s="70" t="n">
        <f aca="false">IF(IFERROR(INDEX(tsk_Name,GanttView[[#This Row],[_Row]])="",TRUE()),0,N(INDEX(tsk_Deadline,GanttView[[#This Row],[_Row]])))</f>
        <v>0</v>
      </c>
      <c r="U57" s="69" t="b">
        <f aca="false">IF(IFERROR(INDEX(tsk_Name,GanttView[[#This Row],[_Row]])="",TRUE()),FALSE(),INDEX(tsk_Critical,GanttView[[#This Row],[_Row]])="Yes")</f>
        <v>0</v>
      </c>
    </row>
    <row r="58" customFormat="false" ht="15" hidden="false" customHeight="false" outlineLevel="0" collapsed="false">
      <c r="A58" s="64" t="str">
        <f aca="false">IF(IFERROR(INDEX(tsk_Name,GanttView[[#This Row],[_Row]])="",TRUE()),"",INDEX(tsk_ID,GanttView[[#This Row],[_Row]]))</f>
        <v/>
      </c>
      <c r="B58" s="64" t="str">
        <f aca="false">IF(IFERROR(INDEX(tsk_Name,GanttView[[#This Row],[_Row]])="",TRUE()),"",INDEX(tsk_WBS,GanttView[[#This Row],[_Row]]))</f>
        <v/>
      </c>
      <c r="C58" s="65" t="str">
        <f aca="false">IF(IFERROR(INDEX(tsk_Name,GanttView[[#This Row],[_Row]])="",TRUE()),"",REPT("    ",INDEX(tsk_Level,GanttView[[#This Row],[_Row]])-1)&amp;INDEX(tsk_Name,GanttView[[#This Row],[_Row]]))</f>
        <v/>
      </c>
      <c r="D5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6" t="str">
        <f aca="false">IF(IFERROR(INDEX(tsk_Name,GanttView[[#This Row],[_Row]])="",TRUE()),"",INDEX(tsk_PlanStart,GanttView[[#This Row],[_Row]]))</f>
        <v/>
      </c>
      <c r="F58" s="66" t="str">
        <f aca="false">IF(IFERROR(INDEX(tsk_Name,GanttView[[#This Row],[_Row]])="",TRUE()),"",INDEX(tsk_PlanFinish,GanttView[[#This Row],[_Row]]))</f>
        <v/>
      </c>
      <c r="G58" s="66" t="str">
        <f aca="false">IF(IFERROR(INDEX(tsk_Name,GanttView[[#This Row],[_Row]])="",TRUE()),"",INDEX(tsk_FcStart,GanttView[[#This Row],[_Row]]))</f>
        <v/>
      </c>
      <c r="H58" s="66" t="str">
        <f aca="false">IF(IFERROR(INDEX(tsk_Name,GanttView[[#This Row],[_Row]])="",TRUE()),"",INDEX(tsk_FcFinish,GanttView[[#This Row],[_Row]]))</f>
        <v/>
      </c>
      <c r="I58" s="67" t="str">
        <f aca="false">IF(IFERROR(INDEX(tsk_Name,GanttView[[#This Row],[_Row]])="",TRUE()),"",INDEX(tsk_Progress,GanttView[[#This Row],[_Row]]))</f>
        <v/>
      </c>
      <c r="J58" s="65" t="str">
        <f aca="false">IF(IFERROR(INDEX(tsk_Name,GanttView[[#This Row],[_Row]])="",TRUE()),"",INDEX(tsk_Resource,GanttView[[#This Row],[_Row]])&amp;"")</f>
        <v/>
      </c>
      <c r="K58" s="64" t="str">
        <f aca="false">IF(IFERROR(INDEX(tsk_Name,GanttView[[#This Row],[_Row]])="",TRUE()),"",INDEX(tsk_Status,GanttView[[#This Row],[_Row]]))</f>
        <v/>
      </c>
      <c r="L58" s="68" t="n">
        <f aca="false">ROW()-ROW(GanttView[[#Headers],[ID]])</f>
        <v>53</v>
      </c>
      <c r="M58" s="69" t="b">
        <f aca="false">IF(IFERROR(INDEX(tsk_Name,GanttView[[#This Row],[_Row]])="",TRUE()),FALSE(),INDEX(tsk_IsSummary,GanttView[[#This Row],[_Row]]))</f>
        <v>0</v>
      </c>
      <c r="N58" s="69" t="b">
        <f aca="false">IF(IFERROR(INDEX(tsk_Name,GanttView[[#This Row],[_Row]])="",TRUE()),FALSE(),AND(INDEX(tsk_IsLeaf,GanttView[[#This Row],[_Row]])=1,N(INDEX(tsk_Duration,GanttView[[#This Row],[_Row]]))=0))</f>
        <v>0</v>
      </c>
      <c r="O5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70" t="n">
        <f aca="false">IF(GanttView[[#This Row],[_RemFrom]]=0,0,GanttView[[#This Row],[Forecast Finish]])</f>
        <v>0</v>
      </c>
      <c r="S58" s="69" t="b">
        <f aca="false">IF(IFERROR(INDEX(tsk_Name,GanttView[[#This Row],[_Row]])="",TRUE()),FALSE(),N(INDEX(tsk_Variance,GanttView[[#This Row],[_Row]]))&gt;0)</f>
        <v>0</v>
      </c>
      <c r="T58" s="70" t="n">
        <f aca="false">IF(IFERROR(INDEX(tsk_Name,GanttView[[#This Row],[_Row]])="",TRUE()),0,N(INDEX(tsk_Deadline,GanttView[[#This Row],[_Row]])))</f>
        <v>0</v>
      </c>
      <c r="U58" s="69" t="b">
        <f aca="false">IF(IFERROR(INDEX(tsk_Name,GanttView[[#This Row],[_Row]])="",TRUE()),FALSE(),INDEX(tsk_Critical,GanttView[[#This Row],[_Row]])="Yes")</f>
        <v>0</v>
      </c>
    </row>
    <row r="59" customFormat="false" ht="15" hidden="false" customHeight="false" outlineLevel="0" collapsed="false">
      <c r="A59" s="64" t="str">
        <f aca="false">IF(IFERROR(INDEX(tsk_Name,GanttView[[#This Row],[_Row]])="",TRUE()),"",INDEX(tsk_ID,GanttView[[#This Row],[_Row]]))</f>
        <v/>
      </c>
      <c r="B59" s="64" t="str">
        <f aca="false">IF(IFERROR(INDEX(tsk_Name,GanttView[[#This Row],[_Row]])="",TRUE()),"",INDEX(tsk_WBS,GanttView[[#This Row],[_Row]]))</f>
        <v/>
      </c>
      <c r="C59" s="65" t="str">
        <f aca="false">IF(IFERROR(INDEX(tsk_Name,GanttView[[#This Row],[_Row]])="",TRUE()),"",REPT("    ",INDEX(tsk_Level,GanttView[[#This Row],[_Row]])-1)&amp;INDEX(tsk_Name,GanttView[[#This Row],[_Row]]))</f>
        <v/>
      </c>
      <c r="D5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6" t="str">
        <f aca="false">IF(IFERROR(INDEX(tsk_Name,GanttView[[#This Row],[_Row]])="",TRUE()),"",INDEX(tsk_PlanStart,GanttView[[#This Row],[_Row]]))</f>
        <v/>
      </c>
      <c r="F59" s="66" t="str">
        <f aca="false">IF(IFERROR(INDEX(tsk_Name,GanttView[[#This Row],[_Row]])="",TRUE()),"",INDEX(tsk_PlanFinish,GanttView[[#This Row],[_Row]]))</f>
        <v/>
      </c>
      <c r="G59" s="66" t="str">
        <f aca="false">IF(IFERROR(INDEX(tsk_Name,GanttView[[#This Row],[_Row]])="",TRUE()),"",INDEX(tsk_FcStart,GanttView[[#This Row],[_Row]]))</f>
        <v/>
      </c>
      <c r="H59" s="66" t="str">
        <f aca="false">IF(IFERROR(INDEX(tsk_Name,GanttView[[#This Row],[_Row]])="",TRUE()),"",INDEX(tsk_FcFinish,GanttView[[#This Row],[_Row]]))</f>
        <v/>
      </c>
      <c r="I59" s="67" t="str">
        <f aca="false">IF(IFERROR(INDEX(tsk_Name,GanttView[[#This Row],[_Row]])="",TRUE()),"",INDEX(tsk_Progress,GanttView[[#This Row],[_Row]]))</f>
        <v/>
      </c>
      <c r="J59" s="65" t="str">
        <f aca="false">IF(IFERROR(INDEX(tsk_Name,GanttView[[#This Row],[_Row]])="",TRUE()),"",INDEX(tsk_Resource,GanttView[[#This Row],[_Row]])&amp;"")</f>
        <v/>
      </c>
      <c r="K59" s="64" t="str">
        <f aca="false">IF(IFERROR(INDEX(tsk_Name,GanttView[[#This Row],[_Row]])="",TRUE()),"",INDEX(tsk_Status,GanttView[[#This Row],[_Row]]))</f>
        <v/>
      </c>
      <c r="L59" s="68" t="n">
        <f aca="false">ROW()-ROW(GanttView[[#Headers],[ID]])</f>
        <v>54</v>
      </c>
      <c r="M59" s="69" t="b">
        <f aca="false">IF(IFERROR(INDEX(tsk_Name,GanttView[[#This Row],[_Row]])="",TRUE()),FALSE(),INDEX(tsk_IsSummary,GanttView[[#This Row],[_Row]]))</f>
        <v>0</v>
      </c>
      <c r="N59" s="69" t="b">
        <f aca="false">IF(IFERROR(INDEX(tsk_Name,GanttView[[#This Row],[_Row]])="",TRUE()),FALSE(),AND(INDEX(tsk_IsLeaf,GanttView[[#This Row],[_Row]])=1,N(INDEX(tsk_Duration,GanttView[[#This Row],[_Row]]))=0))</f>
        <v>0</v>
      </c>
      <c r="O5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70" t="n">
        <f aca="false">IF(GanttView[[#This Row],[_RemFrom]]=0,0,GanttView[[#This Row],[Forecast Finish]])</f>
        <v>0</v>
      </c>
      <c r="S59" s="69" t="b">
        <f aca="false">IF(IFERROR(INDEX(tsk_Name,GanttView[[#This Row],[_Row]])="",TRUE()),FALSE(),N(INDEX(tsk_Variance,GanttView[[#This Row],[_Row]]))&gt;0)</f>
        <v>0</v>
      </c>
      <c r="T59" s="70" t="n">
        <f aca="false">IF(IFERROR(INDEX(tsk_Name,GanttView[[#This Row],[_Row]])="",TRUE()),0,N(INDEX(tsk_Deadline,GanttView[[#This Row],[_Row]])))</f>
        <v>0</v>
      </c>
      <c r="U59" s="69" t="b">
        <f aca="false">IF(IFERROR(INDEX(tsk_Name,GanttView[[#This Row],[_Row]])="",TRUE()),FALSE(),INDEX(tsk_Critical,GanttView[[#This Row],[_Row]])="Yes")</f>
        <v>0</v>
      </c>
    </row>
    <row r="60" customFormat="false" ht="15" hidden="false" customHeight="false" outlineLevel="0" collapsed="false">
      <c r="A60" s="64" t="str">
        <f aca="false">IF(IFERROR(INDEX(tsk_Name,GanttView[[#This Row],[_Row]])="",TRUE()),"",INDEX(tsk_ID,GanttView[[#This Row],[_Row]]))</f>
        <v/>
      </c>
      <c r="B60" s="64" t="str">
        <f aca="false">IF(IFERROR(INDEX(tsk_Name,GanttView[[#This Row],[_Row]])="",TRUE()),"",INDEX(tsk_WBS,GanttView[[#This Row],[_Row]]))</f>
        <v/>
      </c>
      <c r="C60" s="65" t="str">
        <f aca="false">IF(IFERROR(INDEX(tsk_Name,GanttView[[#This Row],[_Row]])="",TRUE()),"",REPT("    ",INDEX(tsk_Level,GanttView[[#This Row],[_Row]])-1)&amp;INDEX(tsk_Name,GanttView[[#This Row],[_Row]]))</f>
        <v/>
      </c>
      <c r="D6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6" t="str">
        <f aca="false">IF(IFERROR(INDEX(tsk_Name,GanttView[[#This Row],[_Row]])="",TRUE()),"",INDEX(tsk_PlanStart,GanttView[[#This Row],[_Row]]))</f>
        <v/>
      </c>
      <c r="F60" s="66" t="str">
        <f aca="false">IF(IFERROR(INDEX(tsk_Name,GanttView[[#This Row],[_Row]])="",TRUE()),"",INDEX(tsk_PlanFinish,GanttView[[#This Row],[_Row]]))</f>
        <v/>
      </c>
      <c r="G60" s="66" t="str">
        <f aca="false">IF(IFERROR(INDEX(tsk_Name,GanttView[[#This Row],[_Row]])="",TRUE()),"",INDEX(tsk_FcStart,GanttView[[#This Row],[_Row]]))</f>
        <v/>
      </c>
      <c r="H60" s="66" t="str">
        <f aca="false">IF(IFERROR(INDEX(tsk_Name,GanttView[[#This Row],[_Row]])="",TRUE()),"",INDEX(tsk_FcFinish,GanttView[[#This Row],[_Row]]))</f>
        <v/>
      </c>
      <c r="I60" s="67" t="str">
        <f aca="false">IF(IFERROR(INDEX(tsk_Name,GanttView[[#This Row],[_Row]])="",TRUE()),"",INDEX(tsk_Progress,GanttView[[#This Row],[_Row]]))</f>
        <v/>
      </c>
      <c r="J60" s="65" t="str">
        <f aca="false">IF(IFERROR(INDEX(tsk_Name,GanttView[[#This Row],[_Row]])="",TRUE()),"",INDEX(tsk_Resource,GanttView[[#This Row],[_Row]])&amp;"")</f>
        <v/>
      </c>
      <c r="K60" s="64" t="str">
        <f aca="false">IF(IFERROR(INDEX(tsk_Name,GanttView[[#This Row],[_Row]])="",TRUE()),"",INDEX(tsk_Status,GanttView[[#This Row],[_Row]]))</f>
        <v/>
      </c>
      <c r="L60" s="68" t="n">
        <f aca="false">ROW()-ROW(GanttView[[#Headers],[ID]])</f>
        <v>55</v>
      </c>
      <c r="M60" s="69" t="b">
        <f aca="false">IF(IFERROR(INDEX(tsk_Name,GanttView[[#This Row],[_Row]])="",TRUE()),FALSE(),INDEX(tsk_IsSummary,GanttView[[#This Row],[_Row]]))</f>
        <v>0</v>
      </c>
      <c r="N60" s="69" t="b">
        <f aca="false">IF(IFERROR(INDEX(tsk_Name,GanttView[[#This Row],[_Row]])="",TRUE()),FALSE(),AND(INDEX(tsk_IsLeaf,GanttView[[#This Row],[_Row]])=1,N(INDEX(tsk_Duration,GanttView[[#This Row],[_Row]]))=0))</f>
        <v>0</v>
      </c>
      <c r="O6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70" t="n">
        <f aca="false">IF(GanttView[[#This Row],[_RemFrom]]=0,0,GanttView[[#This Row],[Forecast Finish]])</f>
        <v>0</v>
      </c>
      <c r="S60" s="69" t="b">
        <f aca="false">IF(IFERROR(INDEX(tsk_Name,GanttView[[#This Row],[_Row]])="",TRUE()),FALSE(),N(INDEX(tsk_Variance,GanttView[[#This Row],[_Row]]))&gt;0)</f>
        <v>0</v>
      </c>
      <c r="T60" s="70" t="n">
        <f aca="false">IF(IFERROR(INDEX(tsk_Name,GanttView[[#This Row],[_Row]])="",TRUE()),0,N(INDEX(tsk_Deadline,GanttView[[#This Row],[_Row]])))</f>
        <v>0</v>
      </c>
      <c r="U60" s="69" t="b">
        <f aca="false">IF(IFERROR(INDEX(tsk_Name,GanttView[[#This Row],[_Row]])="",TRUE()),FALSE(),INDEX(tsk_Critical,GanttView[[#This Row],[_Row]])="Yes")</f>
        <v>0</v>
      </c>
    </row>
    <row r="61" customFormat="false" ht="15" hidden="false" customHeight="false" outlineLevel="0" collapsed="false">
      <c r="A61" s="64" t="str">
        <f aca="false">IF(IFERROR(INDEX(tsk_Name,GanttView[[#This Row],[_Row]])="",TRUE()),"",INDEX(tsk_ID,GanttView[[#This Row],[_Row]]))</f>
        <v/>
      </c>
      <c r="B61" s="64" t="str">
        <f aca="false">IF(IFERROR(INDEX(tsk_Name,GanttView[[#This Row],[_Row]])="",TRUE()),"",INDEX(tsk_WBS,GanttView[[#This Row],[_Row]]))</f>
        <v/>
      </c>
      <c r="C61" s="65" t="str">
        <f aca="false">IF(IFERROR(INDEX(tsk_Name,GanttView[[#This Row],[_Row]])="",TRUE()),"",REPT("    ",INDEX(tsk_Level,GanttView[[#This Row],[_Row]])-1)&amp;INDEX(tsk_Name,GanttView[[#This Row],[_Row]]))</f>
        <v/>
      </c>
      <c r="D6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6" t="str">
        <f aca="false">IF(IFERROR(INDEX(tsk_Name,GanttView[[#This Row],[_Row]])="",TRUE()),"",INDEX(tsk_PlanStart,GanttView[[#This Row],[_Row]]))</f>
        <v/>
      </c>
      <c r="F61" s="66" t="str">
        <f aca="false">IF(IFERROR(INDEX(tsk_Name,GanttView[[#This Row],[_Row]])="",TRUE()),"",INDEX(tsk_PlanFinish,GanttView[[#This Row],[_Row]]))</f>
        <v/>
      </c>
      <c r="G61" s="66" t="str">
        <f aca="false">IF(IFERROR(INDEX(tsk_Name,GanttView[[#This Row],[_Row]])="",TRUE()),"",INDEX(tsk_FcStart,GanttView[[#This Row],[_Row]]))</f>
        <v/>
      </c>
      <c r="H61" s="66" t="str">
        <f aca="false">IF(IFERROR(INDEX(tsk_Name,GanttView[[#This Row],[_Row]])="",TRUE()),"",INDEX(tsk_FcFinish,GanttView[[#This Row],[_Row]]))</f>
        <v/>
      </c>
      <c r="I61" s="67" t="str">
        <f aca="false">IF(IFERROR(INDEX(tsk_Name,GanttView[[#This Row],[_Row]])="",TRUE()),"",INDEX(tsk_Progress,GanttView[[#This Row],[_Row]]))</f>
        <v/>
      </c>
      <c r="J61" s="65" t="str">
        <f aca="false">IF(IFERROR(INDEX(tsk_Name,GanttView[[#This Row],[_Row]])="",TRUE()),"",INDEX(tsk_Resource,GanttView[[#This Row],[_Row]])&amp;"")</f>
        <v/>
      </c>
      <c r="K61" s="64" t="str">
        <f aca="false">IF(IFERROR(INDEX(tsk_Name,GanttView[[#This Row],[_Row]])="",TRUE()),"",INDEX(tsk_Status,GanttView[[#This Row],[_Row]]))</f>
        <v/>
      </c>
      <c r="L61" s="68" t="n">
        <f aca="false">ROW()-ROW(GanttView[[#Headers],[ID]])</f>
        <v>56</v>
      </c>
      <c r="M61" s="69" t="b">
        <f aca="false">IF(IFERROR(INDEX(tsk_Name,GanttView[[#This Row],[_Row]])="",TRUE()),FALSE(),INDEX(tsk_IsSummary,GanttView[[#This Row],[_Row]]))</f>
        <v>0</v>
      </c>
      <c r="N61" s="69" t="b">
        <f aca="false">IF(IFERROR(INDEX(tsk_Name,GanttView[[#This Row],[_Row]])="",TRUE()),FALSE(),AND(INDEX(tsk_IsLeaf,GanttView[[#This Row],[_Row]])=1,N(INDEX(tsk_Duration,GanttView[[#This Row],[_Row]]))=0))</f>
        <v>0</v>
      </c>
      <c r="O6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70" t="n">
        <f aca="false">IF(GanttView[[#This Row],[_RemFrom]]=0,0,GanttView[[#This Row],[Forecast Finish]])</f>
        <v>0</v>
      </c>
      <c r="S61" s="69" t="b">
        <f aca="false">IF(IFERROR(INDEX(tsk_Name,GanttView[[#This Row],[_Row]])="",TRUE()),FALSE(),N(INDEX(tsk_Variance,GanttView[[#This Row],[_Row]]))&gt;0)</f>
        <v>0</v>
      </c>
      <c r="T61" s="70" t="n">
        <f aca="false">IF(IFERROR(INDEX(tsk_Name,GanttView[[#This Row],[_Row]])="",TRUE()),0,N(INDEX(tsk_Deadline,GanttView[[#This Row],[_Row]])))</f>
        <v>0</v>
      </c>
      <c r="U61" s="69" t="b">
        <f aca="false">IF(IFERROR(INDEX(tsk_Name,GanttView[[#This Row],[_Row]])="",TRUE()),FALSE(),INDEX(tsk_Critical,GanttView[[#This Row],[_Row]])="Yes")</f>
        <v>0</v>
      </c>
    </row>
    <row r="62" customFormat="false" ht="15" hidden="false" customHeight="false" outlineLevel="0" collapsed="false">
      <c r="A62" s="64" t="str">
        <f aca="false">IF(IFERROR(INDEX(tsk_Name,GanttView[[#This Row],[_Row]])="",TRUE()),"",INDEX(tsk_ID,GanttView[[#This Row],[_Row]]))</f>
        <v/>
      </c>
      <c r="B62" s="64" t="str">
        <f aca="false">IF(IFERROR(INDEX(tsk_Name,GanttView[[#This Row],[_Row]])="",TRUE()),"",INDEX(tsk_WBS,GanttView[[#This Row],[_Row]]))</f>
        <v/>
      </c>
      <c r="C62" s="65" t="str">
        <f aca="false">IF(IFERROR(INDEX(tsk_Name,GanttView[[#This Row],[_Row]])="",TRUE()),"",REPT("    ",INDEX(tsk_Level,GanttView[[#This Row],[_Row]])-1)&amp;INDEX(tsk_Name,GanttView[[#This Row],[_Row]]))</f>
        <v/>
      </c>
      <c r="D6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6" t="str">
        <f aca="false">IF(IFERROR(INDEX(tsk_Name,GanttView[[#This Row],[_Row]])="",TRUE()),"",INDEX(tsk_PlanStart,GanttView[[#This Row],[_Row]]))</f>
        <v/>
      </c>
      <c r="F62" s="66" t="str">
        <f aca="false">IF(IFERROR(INDEX(tsk_Name,GanttView[[#This Row],[_Row]])="",TRUE()),"",INDEX(tsk_PlanFinish,GanttView[[#This Row],[_Row]]))</f>
        <v/>
      </c>
      <c r="G62" s="66" t="str">
        <f aca="false">IF(IFERROR(INDEX(tsk_Name,GanttView[[#This Row],[_Row]])="",TRUE()),"",INDEX(tsk_FcStart,GanttView[[#This Row],[_Row]]))</f>
        <v/>
      </c>
      <c r="H62" s="66" t="str">
        <f aca="false">IF(IFERROR(INDEX(tsk_Name,GanttView[[#This Row],[_Row]])="",TRUE()),"",INDEX(tsk_FcFinish,GanttView[[#This Row],[_Row]]))</f>
        <v/>
      </c>
      <c r="I62" s="67" t="str">
        <f aca="false">IF(IFERROR(INDEX(tsk_Name,GanttView[[#This Row],[_Row]])="",TRUE()),"",INDEX(tsk_Progress,GanttView[[#This Row],[_Row]]))</f>
        <v/>
      </c>
      <c r="J62" s="65" t="str">
        <f aca="false">IF(IFERROR(INDEX(tsk_Name,GanttView[[#This Row],[_Row]])="",TRUE()),"",INDEX(tsk_Resource,GanttView[[#This Row],[_Row]])&amp;"")</f>
        <v/>
      </c>
      <c r="K62" s="64" t="str">
        <f aca="false">IF(IFERROR(INDEX(tsk_Name,GanttView[[#This Row],[_Row]])="",TRUE()),"",INDEX(tsk_Status,GanttView[[#This Row],[_Row]]))</f>
        <v/>
      </c>
      <c r="L62" s="68" t="n">
        <f aca="false">ROW()-ROW(GanttView[[#Headers],[ID]])</f>
        <v>57</v>
      </c>
      <c r="M62" s="69" t="b">
        <f aca="false">IF(IFERROR(INDEX(tsk_Name,GanttView[[#This Row],[_Row]])="",TRUE()),FALSE(),INDEX(tsk_IsSummary,GanttView[[#This Row],[_Row]]))</f>
        <v>0</v>
      </c>
      <c r="N62" s="69" t="b">
        <f aca="false">IF(IFERROR(INDEX(tsk_Name,GanttView[[#This Row],[_Row]])="",TRUE()),FALSE(),AND(INDEX(tsk_IsLeaf,GanttView[[#This Row],[_Row]])=1,N(INDEX(tsk_Duration,GanttView[[#This Row],[_Row]]))=0))</f>
        <v>0</v>
      </c>
      <c r="O6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70" t="n">
        <f aca="false">IF(GanttView[[#This Row],[_RemFrom]]=0,0,GanttView[[#This Row],[Forecast Finish]])</f>
        <v>0</v>
      </c>
      <c r="S62" s="69" t="b">
        <f aca="false">IF(IFERROR(INDEX(tsk_Name,GanttView[[#This Row],[_Row]])="",TRUE()),FALSE(),N(INDEX(tsk_Variance,GanttView[[#This Row],[_Row]]))&gt;0)</f>
        <v>0</v>
      </c>
      <c r="T62" s="70" t="n">
        <f aca="false">IF(IFERROR(INDEX(tsk_Name,GanttView[[#This Row],[_Row]])="",TRUE()),0,N(INDEX(tsk_Deadline,GanttView[[#This Row],[_Row]])))</f>
        <v>0</v>
      </c>
      <c r="U62" s="69" t="b">
        <f aca="false">IF(IFERROR(INDEX(tsk_Name,GanttView[[#This Row],[_Row]])="",TRUE()),FALSE(),INDEX(tsk_Critical,GanttView[[#This Row],[_Row]])="Yes")</f>
        <v>0</v>
      </c>
    </row>
    <row r="63" customFormat="false" ht="15" hidden="false" customHeight="false" outlineLevel="0" collapsed="false">
      <c r="A63" s="64" t="str">
        <f aca="false">IF(IFERROR(INDEX(tsk_Name,GanttView[[#This Row],[_Row]])="",TRUE()),"",INDEX(tsk_ID,GanttView[[#This Row],[_Row]]))</f>
        <v/>
      </c>
      <c r="B63" s="64" t="str">
        <f aca="false">IF(IFERROR(INDEX(tsk_Name,GanttView[[#This Row],[_Row]])="",TRUE()),"",INDEX(tsk_WBS,GanttView[[#This Row],[_Row]]))</f>
        <v/>
      </c>
      <c r="C63" s="65" t="str">
        <f aca="false">IF(IFERROR(INDEX(tsk_Name,GanttView[[#This Row],[_Row]])="",TRUE()),"",REPT("    ",INDEX(tsk_Level,GanttView[[#This Row],[_Row]])-1)&amp;INDEX(tsk_Name,GanttView[[#This Row],[_Row]]))</f>
        <v/>
      </c>
      <c r="D6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6" t="str">
        <f aca="false">IF(IFERROR(INDEX(tsk_Name,GanttView[[#This Row],[_Row]])="",TRUE()),"",INDEX(tsk_PlanStart,GanttView[[#This Row],[_Row]]))</f>
        <v/>
      </c>
      <c r="F63" s="66" t="str">
        <f aca="false">IF(IFERROR(INDEX(tsk_Name,GanttView[[#This Row],[_Row]])="",TRUE()),"",INDEX(tsk_PlanFinish,GanttView[[#This Row],[_Row]]))</f>
        <v/>
      </c>
      <c r="G63" s="66" t="str">
        <f aca="false">IF(IFERROR(INDEX(tsk_Name,GanttView[[#This Row],[_Row]])="",TRUE()),"",INDEX(tsk_FcStart,GanttView[[#This Row],[_Row]]))</f>
        <v/>
      </c>
      <c r="H63" s="66" t="str">
        <f aca="false">IF(IFERROR(INDEX(tsk_Name,GanttView[[#This Row],[_Row]])="",TRUE()),"",INDEX(tsk_FcFinish,GanttView[[#This Row],[_Row]]))</f>
        <v/>
      </c>
      <c r="I63" s="67" t="str">
        <f aca="false">IF(IFERROR(INDEX(tsk_Name,GanttView[[#This Row],[_Row]])="",TRUE()),"",INDEX(tsk_Progress,GanttView[[#This Row],[_Row]]))</f>
        <v/>
      </c>
      <c r="J63" s="65" t="str">
        <f aca="false">IF(IFERROR(INDEX(tsk_Name,GanttView[[#This Row],[_Row]])="",TRUE()),"",INDEX(tsk_Resource,GanttView[[#This Row],[_Row]])&amp;"")</f>
        <v/>
      </c>
      <c r="K63" s="64" t="str">
        <f aca="false">IF(IFERROR(INDEX(tsk_Name,GanttView[[#This Row],[_Row]])="",TRUE()),"",INDEX(tsk_Status,GanttView[[#This Row],[_Row]]))</f>
        <v/>
      </c>
      <c r="L63" s="68" t="n">
        <f aca="false">ROW()-ROW(GanttView[[#Headers],[ID]])</f>
        <v>58</v>
      </c>
      <c r="M63" s="69" t="b">
        <f aca="false">IF(IFERROR(INDEX(tsk_Name,GanttView[[#This Row],[_Row]])="",TRUE()),FALSE(),INDEX(tsk_IsSummary,GanttView[[#This Row],[_Row]]))</f>
        <v>0</v>
      </c>
      <c r="N63" s="69" t="b">
        <f aca="false">IF(IFERROR(INDEX(tsk_Name,GanttView[[#This Row],[_Row]])="",TRUE()),FALSE(),AND(INDEX(tsk_IsLeaf,GanttView[[#This Row],[_Row]])=1,N(INDEX(tsk_Duration,GanttView[[#This Row],[_Row]]))=0))</f>
        <v>0</v>
      </c>
      <c r="O6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70" t="n">
        <f aca="false">IF(GanttView[[#This Row],[_RemFrom]]=0,0,GanttView[[#This Row],[Forecast Finish]])</f>
        <v>0</v>
      </c>
      <c r="S63" s="69" t="b">
        <f aca="false">IF(IFERROR(INDEX(tsk_Name,GanttView[[#This Row],[_Row]])="",TRUE()),FALSE(),N(INDEX(tsk_Variance,GanttView[[#This Row],[_Row]]))&gt;0)</f>
        <v>0</v>
      </c>
      <c r="T63" s="70" t="n">
        <f aca="false">IF(IFERROR(INDEX(tsk_Name,GanttView[[#This Row],[_Row]])="",TRUE()),0,N(INDEX(tsk_Deadline,GanttView[[#This Row],[_Row]])))</f>
        <v>0</v>
      </c>
      <c r="U63" s="69" t="b">
        <f aca="false">IF(IFERROR(INDEX(tsk_Name,GanttView[[#This Row],[_Row]])="",TRUE()),FALSE(),INDEX(tsk_Critical,GanttView[[#This Row],[_Row]])="Yes")</f>
        <v>0</v>
      </c>
    </row>
    <row r="64" customFormat="false" ht="15" hidden="false" customHeight="false" outlineLevel="0" collapsed="false">
      <c r="A64" s="64" t="str">
        <f aca="false">IF(IFERROR(INDEX(tsk_Name,GanttView[[#This Row],[_Row]])="",TRUE()),"",INDEX(tsk_ID,GanttView[[#This Row],[_Row]]))</f>
        <v/>
      </c>
      <c r="B64" s="64" t="str">
        <f aca="false">IF(IFERROR(INDEX(tsk_Name,GanttView[[#This Row],[_Row]])="",TRUE()),"",INDEX(tsk_WBS,GanttView[[#This Row],[_Row]]))</f>
        <v/>
      </c>
      <c r="C64" s="65" t="str">
        <f aca="false">IF(IFERROR(INDEX(tsk_Name,GanttView[[#This Row],[_Row]])="",TRUE()),"",REPT("    ",INDEX(tsk_Level,GanttView[[#This Row],[_Row]])-1)&amp;INDEX(tsk_Name,GanttView[[#This Row],[_Row]]))</f>
        <v/>
      </c>
      <c r="D6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6" t="str">
        <f aca="false">IF(IFERROR(INDEX(tsk_Name,GanttView[[#This Row],[_Row]])="",TRUE()),"",INDEX(tsk_PlanStart,GanttView[[#This Row],[_Row]]))</f>
        <v/>
      </c>
      <c r="F64" s="66" t="str">
        <f aca="false">IF(IFERROR(INDEX(tsk_Name,GanttView[[#This Row],[_Row]])="",TRUE()),"",INDEX(tsk_PlanFinish,GanttView[[#This Row],[_Row]]))</f>
        <v/>
      </c>
      <c r="G64" s="66" t="str">
        <f aca="false">IF(IFERROR(INDEX(tsk_Name,GanttView[[#This Row],[_Row]])="",TRUE()),"",INDEX(tsk_FcStart,GanttView[[#This Row],[_Row]]))</f>
        <v/>
      </c>
      <c r="H64" s="66" t="str">
        <f aca="false">IF(IFERROR(INDEX(tsk_Name,GanttView[[#This Row],[_Row]])="",TRUE()),"",INDEX(tsk_FcFinish,GanttView[[#This Row],[_Row]]))</f>
        <v/>
      </c>
      <c r="I64" s="67" t="str">
        <f aca="false">IF(IFERROR(INDEX(tsk_Name,GanttView[[#This Row],[_Row]])="",TRUE()),"",INDEX(tsk_Progress,GanttView[[#This Row],[_Row]]))</f>
        <v/>
      </c>
      <c r="J64" s="65" t="str">
        <f aca="false">IF(IFERROR(INDEX(tsk_Name,GanttView[[#This Row],[_Row]])="",TRUE()),"",INDEX(tsk_Resource,GanttView[[#This Row],[_Row]])&amp;"")</f>
        <v/>
      </c>
      <c r="K64" s="64" t="str">
        <f aca="false">IF(IFERROR(INDEX(tsk_Name,GanttView[[#This Row],[_Row]])="",TRUE()),"",INDEX(tsk_Status,GanttView[[#This Row],[_Row]]))</f>
        <v/>
      </c>
      <c r="L64" s="68" t="n">
        <f aca="false">ROW()-ROW(GanttView[[#Headers],[ID]])</f>
        <v>59</v>
      </c>
      <c r="M64" s="69" t="b">
        <f aca="false">IF(IFERROR(INDEX(tsk_Name,GanttView[[#This Row],[_Row]])="",TRUE()),FALSE(),INDEX(tsk_IsSummary,GanttView[[#This Row],[_Row]]))</f>
        <v>0</v>
      </c>
      <c r="N64" s="69" t="b">
        <f aca="false">IF(IFERROR(INDEX(tsk_Name,GanttView[[#This Row],[_Row]])="",TRUE()),FALSE(),AND(INDEX(tsk_IsLeaf,GanttView[[#This Row],[_Row]])=1,N(INDEX(tsk_Duration,GanttView[[#This Row],[_Row]]))=0))</f>
        <v>0</v>
      </c>
      <c r="O6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70" t="n">
        <f aca="false">IF(GanttView[[#This Row],[_RemFrom]]=0,0,GanttView[[#This Row],[Forecast Finish]])</f>
        <v>0</v>
      </c>
      <c r="S64" s="69" t="b">
        <f aca="false">IF(IFERROR(INDEX(tsk_Name,GanttView[[#This Row],[_Row]])="",TRUE()),FALSE(),N(INDEX(tsk_Variance,GanttView[[#This Row],[_Row]]))&gt;0)</f>
        <v>0</v>
      </c>
      <c r="T64" s="70" t="n">
        <f aca="false">IF(IFERROR(INDEX(tsk_Name,GanttView[[#This Row],[_Row]])="",TRUE()),0,N(INDEX(tsk_Deadline,GanttView[[#This Row],[_Row]])))</f>
        <v>0</v>
      </c>
      <c r="U64" s="69" t="b">
        <f aca="false">IF(IFERROR(INDEX(tsk_Name,GanttView[[#This Row],[_Row]])="",TRUE()),FALSE(),INDEX(tsk_Critical,GanttView[[#This Row],[_Row]])="Yes")</f>
        <v>0</v>
      </c>
    </row>
    <row r="65" customFormat="false" ht="15" hidden="false" customHeight="false" outlineLevel="0" collapsed="false">
      <c r="A65" s="64" t="str">
        <f aca="false">IF(IFERROR(INDEX(tsk_Name,GanttView[[#This Row],[_Row]])="",TRUE()),"",INDEX(tsk_ID,GanttView[[#This Row],[_Row]]))</f>
        <v/>
      </c>
      <c r="B65" s="64" t="str">
        <f aca="false">IF(IFERROR(INDEX(tsk_Name,GanttView[[#This Row],[_Row]])="",TRUE()),"",INDEX(tsk_WBS,GanttView[[#This Row],[_Row]]))</f>
        <v/>
      </c>
      <c r="C65" s="65" t="str">
        <f aca="false">IF(IFERROR(INDEX(tsk_Name,GanttView[[#This Row],[_Row]])="",TRUE()),"",REPT("    ",INDEX(tsk_Level,GanttView[[#This Row],[_Row]])-1)&amp;INDEX(tsk_Name,GanttView[[#This Row],[_Row]]))</f>
        <v/>
      </c>
      <c r="D6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6" t="str">
        <f aca="false">IF(IFERROR(INDEX(tsk_Name,GanttView[[#This Row],[_Row]])="",TRUE()),"",INDEX(tsk_PlanStart,GanttView[[#This Row],[_Row]]))</f>
        <v/>
      </c>
      <c r="F65" s="66" t="str">
        <f aca="false">IF(IFERROR(INDEX(tsk_Name,GanttView[[#This Row],[_Row]])="",TRUE()),"",INDEX(tsk_PlanFinish,GanttView[[#This Row],[_Row]]))</f>
        <v/>
      </c>
      <c r="G65" s="66" t="str">
        <f aca="false">IF(IFERROR(INDEX(tsk_Name,GanttView[[#This Row],[_Row]])="",TRUE()),"",INDEX(tsk_FcStart,GanttView[[#This Row],[_Row]]))</f>
        <v/>
      </c>
      <c r="H65" s="66" t="str">
        <f aca="false">IF(IFERROR(INDEX(tsk_Name,GanttView[[#This Row],[_Row]])="",TRUE()),"",INDEX(tsk_FcFinish,GanttView[[#This Row],[_Row]]))</f>
        <v/>
      </c>
      <c r="I65" s="67" t="str">
        <f aca="false">IF(IFERROR(INDEX(tsk_Name,GanttView[[#This Row],[_Row]])="",TRUE()),"",INDEX(tsk_Progress,GanttView[[#This Row],[_Row]]))</f>
        <v/>
      </c>
      <c r="J65" s="65" t="str">
        <f aca="false">IF(IFERROR(INDEX(tsk_Name,GanttView[[#This Row],[_Row]])="",TRUE()),"",INDEX(tsk_Resource,GanttView[[#This Row],[_Row]])&amp;"")</f>
        <v/>
      </c>
      <c r="K65" s="64" t="str">
        <f aca="false">IF(IFERROR(INDEX(tsk_Name,GanttView[[#This Row],[_Row]])="",TRUE()),"",INDEX(tsk_Status,GanttView[[#This Row],[_Row]]))</f>
        <v/>
      </c>
      <c r="L65" s="68" t="n">
        <f aca="false">ROW()-ROW(GanttView[[#Headers],[ID]])</f>
        <v>60</v>
      </c>
      <c r="M65" s="69" t="b">
        <f aca="false">IF(IFERROR(INDEX(tsk_Name,GanttView[[#This Row],[_Row]])="",TRUE()),FALSE(),INDEX(tsk_IsSummary,GanttView[[#This Row],[_Row]]))</f>
        <v>0</v>
      </c>
      <c r="N65" s="69" t="b">
        <f aca="false">IF(IFERROR(INDEX(tsk_Name,GanttView[[#This Row],[_Row]])="",TRUE()),FALSE(),AND(INDEX(tsk_IsLeaf,GanttView[[#This Row],[_Row]])=1,N(INDEX(tsk_Duration,GanttView[[#This Row],[_Row]]))=0))</f>
        <v>0</v>
      </c>
      <c r="O6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70" t="n">
        <f aca="false">IF(GanttView[[#This Row],[_RemFrom]]=0,0,GanttView[[#This Row],[Forecast Finish]])</f>
        <v>0</v>
      </c>
      <c r="S65" s="69" t="b">
        <f aca="false">IF(IFERROR(INDEX(tsk_Name,GanttView[[#This Row],[_Row]])="",TRUE()),FALSE(),N(INDEX(tsk_Variance,GanttView[[#This Row],[_Row]]))&gt;0)</f>
        <v>0</v>
      </c>
      <c r="T65" s="70" t="n">
        <f aca="false">IF(IFERROR(INDEX(tsk_Name,GanttView[[#This Row],[_Row]])="",TRUE()),0,N(INDEX(tsk_Deadline,GanttView[[#This Row],[_Row]])))</f>
        <v>0</v>
      </c>
      <c r="U65" s="69" t="b">
        <f aca="false">IF(IFERROR(INDEX(tsk_Name,GanttView[[#This Row],[_Row]])="",TRUE()),FALSE(),INDEX(tsk_Critical,GanttView[[#This Row],[_Row]])="Yes")</f>
        <v>0</v>
      </c>
    </row>
    <row r="66" customFormat="false" ht="15" hidden="false" customHeight="false" outlineLevel="0" collapsed="false">
      <c r="A66" s="64" t="str">
        <f aca="false">IF(IFERROR(INDEX(tsk_Name,GanttView[[#This Row],[_Row]])="",TRUE()),"",INDEX(tsk_ID,GanttView[[#This Row],[_Row]]))</f>
        <v/>
      </c>
      <c r="B66" s="64" t="str">
        <f aca="false">IF(IFERROR(INDEX(tsk_Name,GanttView[[#This Row],[_Row]])="",TRUE()),"",INDEX(tsk_WBS,GanttView[[#This Row],[_Row]]))</f>
        <v/>
      </c>
      <c r="C66" s="65" t="str">
        <f aca="false">IF(IFERROR(INDEX(tsk_Name,GanttView[[#This Row],[_Row]])="",TRUE()),"",REPT("    ",INDEX(tsk_Level,GanttView[[#This Row],[_Row]])-1)&amp;INDEX(tsk_Name,GanttView[[#This Row],[_Row]]))</f>
        <v/>
      </c>
      <c r="D6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6" t="str">
        <f aca="false">IF(IFERROR(INDEX(tsk_Name,GanttView[[#This Row],[_Row]])="",TRUE()),"",INDEX(tsk_PlanStart,GanttView[[#This Row],[_Row]]))</f>
        <v/>
      </c>
      <c r="F66" s="66" t="str">
        <f aca="false">IF(IFERROR(INDEX(tsk_Name,GanttView[[#This Row],[_Row]])="",TRUE()),"",INDEX(tsk_PlanFinish,GanttView[[#This Row],[_Row]]))</f>
        <v/>
      </c>
      <c r="G66" s="66" t="str">
        <f aca="false">IF(IFERROR(INDEX(tsk_Name,GanttView[[#This Row],[_Row]])="",TRUE()),"",INDEX(tsk_FcStart,GanttView[[#This Row],[_Row]]))</f>
        <v/>
      </c>
      <c r="H66" s="66" t="str">
        <f aca="false">IF(IFERROR(INDEX(tsk_Name,GanttView[[#This Row],[_Row]])="",TRUE()),"",INDEX(tsk_FcFinish,GanttView[[#This Row],[_Row]]))</f>
        <v/>
      </c>
      <c r="I66" s="67" t="str">
        <f aca="false">IF(IFERROR(INDEX(tsk_Name,GanttView[[#This Row],[_Row]])="",TRUE()),"",INDEX(tsk_Progress,GanttView[[#This Row],[_Row]]))</f>
        <v/>
      </c>
      <c r="J66" s="65" t="str">
        <f aca="false">IF(IFERROR(INDEX(tsk_Name,GanttView[[#This Row],[_Row]])="",TRUE()),"",INDEX(tsk_Resource,GanttView[[#This Row],[_Row]])&amp;"")</f>
        <v/>
      </c>
      <c r="K66" s="64" t="str">
        <f aca="false">IF(IFERROR(INDEX(tsk_Name,GanttView[[#This Row],[_Row]])="",TRUE()),"",INDEX(tsk_Status,GanttView[[#This Row],[_Row]]))</f>
        <v/>
      </c>
      <c r="L66" s="68" t="n">
        <f aca="false">ROW()-ROW(GanttView[[#Headers],[ID]])</f>
        <v>61</v>
      </c>
      <c r="M66" s="69" t="b">
        <f aca="false">IF(IFERROR(INDEX(tsk_Name,GanttView[[#This Row],[_Row]])="",TRUE()),FALSE(),INDEX(tsk_IsSummary,GanttView[[#This Row],[_Row]]))</f>
        <v>0</v>
      </c>
      <c r="N66" s="69" t="b">
        <f aca="false">IF(IFERROR(INDEX(tsk_Name,GanttView[[#This Row],[_Row]])="",TRUE()),FALSE(),AND(INDEX(tsk_IsLeaf,GanttView[[#This Row],[_Row]])=1,N(INDEX(tsk_Duration,GanttView[[#This Row],[_Row]]))=0))</f>
        <v>0</v>
      </c>
      <c r="O6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70" t="n">
        <f aca="false">IF(GanttView[[#This Row],[_RemFrom]]=0,0,GanttView[[#This Row],[Forecast Finish]])</f>
        <v>0</v>
      </c>
      <c r="S66" s="69" t="b">
        <f aca="false">IF(IFERROR(INDEX(tsk_Name,GanttView[[#This Row],[_Row]])="",TRUE()),FALSE(),N(INDEX(tsk_Variance,GanttView[[#This Row],[_Row]]))&gt;0)</f>
        <v>0</v>
      </c>
      <c r="T66" s="70" t="n">
        <f aca="false">IF(IFERROR(INDEX(tsk_Name,GanttView[[#This Row],[_Row]])="",TRUE()),0,N(INDEX(tsk_Deadline,GanttView[[#This Row],[_Row]])))</f>
        <v>0</v>
      </c>
      <c r="U66" s="69" t="b">
        <f aca="false">IF(IFERROR(INDEX(tsk_Name,GanttView[[#This Row],[_Row]])="",TRUE()),FALSE(),INDEX(tsk_Critical,GanttView[[#This Row],[_Row]])="Yes")</f>
        <v>0</v>
      </c>
    </row>
    <row r="67" customFormat="false" ht="15" hidden="false" customHeight="false" outlineLevel="0" collapsed="false">
      <c r="A67" s="64" t="str">
        <f aca="false">IF(IFERROR(INDEX(tsk_Name,GanttView[[#This Row],[_Row]])="",TRUE()),"",INDEX(tsk_ID,GanttView[[#This Row],[_Row]]))</f>
        <v/>
      </c>
      <c r="B67" s="64" t="str">
        <f aca="false">IF(IFERROR(INDEX(tsk_Name,GanttView[[#This Row],[_Row]])="",TRUE()),"",INDEX(tsk_WBS,GanttView[[#This Row],[_Row]]))</f>
        <v/>
      </c>
      <c r="C67" s="65" t="str">
        <f aca="false">IF(IFERROR(INDEX(tsk_Name,GanttView[[#This Row],[_Row]])="",TRUE()),"",REPT("    ",INDEX(tsk_Level,GanttView[[#This Row],[_Row]])-1)&amp;INDEX(tsk_Name,GanttView[[#This Row],[_Row]]))</f>
        <v/>
      </c>
      <c r="D6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6" t="str">
        <f aca="false">IF(IFERROR(INDEX(tsk_Name,GanttView[[#This Row],[_Row]])="",TRUE()),"",INDEX(tsk_PlanStart,GanttView[[#This Row],[_Row]]))</f>
        <v/>
      </c>
      <c r="F67" s="66" t="str">
        <f aca="false">IF(IFERROR(INDEX(tsk_Name,GanttView[[#This Row],[_Row]])="",TRUE()),"",INDEX(tsk_PlanFinish,GanttView[[#This Row],[_Row]]))</f>
        <v/>
      </c>
      <c r="G67" s="66" t="str">
        <f aca="false">IF(IFERROR(INDEX(tsk_Name,GanttView[[#This Row],[_Row]])="",TRUE()),"",INDEX(tsk_FcStart,GanttView[[#This Row],[_Row]]))</f>
        <v/>
      </c>
      <c r="H67" s="66" t="str">
        <f aca="false">IF(IFERROR(INDEX(tsk_Name,GanttView[[#This Row],[_Row]])="",TRUE()),"",INDEX(tsk_FcFinish,GanttView[[#This Row],[_Row]]))</f>
        <v/>
      </c>
      <c r="I67" s="67" t="str">
        <f aca="false">IF(IFERROR(INDEX(tsk_Name,GanttView[[#This Row],[_Row]])="",TRUE()),"",INDEX(tsk_Progress,GanttView[[#This Row],[_Row]]))</f>
        <v/>
      </c>
      <c r="J67" s="65" t="str">
        <f aca="false">IF(IFERROR(INDEX(tsk_Name,GanttView[[#This Row],[_Row]])="",TRUE()),"",INDEX(tsk_Resource,GanttView[[#This Row],[_Row]])&amp;"")</f>
        <v/>
      </c>
      <c r="K67" s="64" t="str">
        <f aca="false">IF(IFERROR(INDEX(tsk_Name,GanttView[[#This Row],[_Row]])="",TRUE()),"",INDEX(tsk_Status,GanttView[[#This Row],[_Row]]))</f>
        <v/>
      </c>
      <c r="L67" s="68" t="n">
        <f aca="false">ROW()-ROW(GanttView[[#Headers],[ID]])</f>
        <v>62</v>
      </c>
      <c r="M67" s="69" t="b">
        <f aca="false">IF(IFERROR(INDEX(tsk_Name,GanttView[[#This Row],[_Row]])="",TRUE()),FALSE(),INDEX(tsk_IsSummary,GanttView[[#This Row],[_Row]]))</f>
        <v>0</v>
      </c>
      <c r="N67" s="69" t="b">
        <f aca="false">IF(IFERROR(INDEX(tsk_Name,GanttView[[#This Row],[_Row]])="",TRUE()),FALSE(),AND(INDEX(tsk_IsLeaf,GanttView[[#This Row],[_Row]])=1,N(INDEX(tsk_Duration,GanttView[[#This Row],[_Row]]))=0))</f>
        <v>0</v>
      </c>
      <c r="O6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70" t="n">
        <f aca="false">IF(GanttView[[#This Row],[_RemFrom]]=0,0,GanttView[[#This Row],[Forecast Finish]])</f>
        <v>0</v>
      </c>
      <c r="S67" s="69" t="b">
        <f aca="false">IF(IFERROR(INDEX(tsk_Name,GanttView[[#This Row],[_Row]])="",TRUE()),FALSE(),N(INDEX(tsk_Variance,GanttView[[#This Row],[_Row]]))&gt;0)</f>
        <v>0</v>
      </c>
      <c r="T67" s="70" t="n">
        <f aca="false">IF(IFERROR(INDEX(tsk_Name,GanttView[[#This Row],[_Row]])="",TRUE()),0,N(INDEX(tsk_Deadline,GanttView[[#This Row],[_Row]])))</f>
        <v>0</v>
      </c>
      <c r="U67" s="69" t="b">
        <f aca="false">IF(IFERROR(INDEX(tsk_Name,GanttView[[#This Row],[_Row]])="",TRUE()),FALSE(),INDEX(tsk_Critical,GanttView[[#This Row],[_Row]])="Yes")</f>
        <v>0</v>
      </c>
    </row>
    <row r="68" customFormat="false" ht="15" hidden="false" customHeight="false" outlineLevel="0" collapsed="false">
      <c r="A68" s="64" t="str">
        <f aca="false">IF(IFERROR(INDEX(tsk_Name,GanttView[[#This Row],[_Row]])="",TRUE()),"",INDEX(tsk_ID,GanttView[[#This Row],[_Row]]))</f>
        <v/>
      </c>
      <c r="B68" s="64" t="str">
        <f aca="false">IF(IFERROR(INDEX(tsk_Name,GanttView[[#This Row],[_Row]])="",TRUE()),"",INDEX(tsk_WBS,GanttView[[#This Row],[_Row]]))</f>
        <v/>
      </c>
      <c r="C68" s="65" t="str">
        <f aca="false">IF(IFERROR(INDEX(tsk_Name,GanttView[[#This Row],[_Row]])="",TRUE()),"",REPT("    ",INDEX(tsk_Level,GanttView[[#This Row],[_Row]])-1)&amp;INDEX(tsk_Name,GanttView[[#This Row],[_Row]]))</f>
        <v/>
      </c>
      <c r="D6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6" t="str">
        <f aca="false">IF(IFERROR(INDEX(tsk_Name,GanttView[[#This Row],[_Row]])="",TRUE()),"",INDEX(tsk_PlanStart,GanttView[[#This Row],[_Row]]))</f>
        <v/>
      </c>
      <c r="F68" s="66" t="str">
        <f aca="false">IF(IFERROR(INDEX(tsk_Name,GanttView[[#This Row],[_Row]])="",TRUE()),"",INDEX(tsk_PlanFinish,GanttView[[#This Row],[_Row]]))</f>
        <v/>
      </c>
      <c r="G68" s="66" t="str">
        <f aca="false">IF(IFERROR(INDEX(tsk_Name,GanttView[[#This Row],[_Row]])="",TRUE()),"",INDEX(tsk_FcStart,GanttView[[#This Row],[_Row]]))</f>
        <v/>
      </c>
      <c r="H68" s="66" t="str">
        <f aca="false">IF(IFERROR(INDEX(tsk_Name,GanttView[[#This Row],[_Row]])="",TRUE()),"",INDEX(tsk_FcFinish,GanttView[[#This Row],[_Row]]))</f>
        <v/>
      </c>
      <c r="I68" s="67" t="str">
        <f aca="false">IF(IFERROR(INDEX(tsk_Name,GanttView[[#This Row],[_Row]])="",TRUE()),"",INDEX(tsk_Progress,GanttView[[#This Row],[_Row]]))</f>
        <v/>
      </c>
      <c r="J68" s="65" t="str">
        <f aca="false">IF(IFERROR(INDEX(tsk_Name,GanttView[[#This Row],[_Row]])="",TRUE()),"",INDEX(tsk_Resource,GanttView[[#This Row],[_Row]])&amp;"")</f>
        <v/>
      </c>
      <c r="K68" s="64" t="str">
        <f aca="false">IF(IFERROR(INDEX(tsk_Name,GanttView[[#This Row],[_Row]])="",TRUE()),"",INDEX(tsk_Status,GanttView[[#This Row],[_Row]]))</f>
        <v/>
      </c>
      <c r="L68" s="68" t="n">
        <f aca="false">ROW()-ROW(GanttView[[#Headers],[ID]])</f>
        <v>63</v>
      </c>
      <c r="M68" s="69" t="b">
        <f aca="false">IF(IFERROR(INDEX(tsk_Name,GanttView[[#This Row],[_Row]])="",TRUE()),FALSE(),INDEX(tsk_IsSummary,GanttView[[#This Row],[_Row]]))</f>
        <v>0</v>
      </c>
      <c r="N68" s="69" t="b">
        <f aca="false">IF(IFERROR(INDEX(tsk_Name,GanttView[[#This Row],[_Row]])="",TRUE()),FALSE(),AND(INDEX(tsk_IsLeaf,GanttView[[#This Row],[_Row]])=1,N(INDEX(tsk_Duration,GanttView[[#This Row],[_Row]]))=0))</f>
        <v>0</v>
      </c>
      <c r="O6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70" t="n">
        <f aca="false">IF(GanttView[[#This Row],[_RemFrom]]=0,0,GanttView[[#This Row],[Forecast Finish]])</f>
        <v>0</v>
      </c>
      <c r="S68" s="69" t="b">
        <f aca="false">IF(IFERROR(INDEX(tsk_Name,GanttView[[#This Row],[_Row]])="",TRUE()),FALSE(),N(INDEX(tsk_Variance,GanttView[[#This Row],[_Row]]))&gt;0)</f>
        <v>0</v>
      </c>
      <c r="T68" s="70" t="n">
        <f aca="false">IF(IFERROR(INDEX(tsk_Name,GanttView[[#This Row],[_Row]])="",TRUE()),0,N(INDEX(tsk_Deadline,GanttView[[#This Row],[_Row]])))</f>
        <v>0</v>
      </c>
      <c r="U68" s="69" t="b">
        <f aca="false">IF(IFERROR(INDEX(tsk_Name,GanttView[[#This Row],[_Row]])="",TRUE()),FALSE(),INDEX(tsk_Critical,GanttView[[#This Row],[_Row]])="Yes")</f>
        <v>0</v>
      </c>
    </row>
    <row r="69" customFormat="false" ht="15" hidden="false" customHeight="false" outlineLevel="0" collapsed="false">
      <c r="A69" s="64" t="str">
        <f aca="false">IF(IFERROR(INDEX(tsk_Name,GanttView[[#This Row],[_Row]])="",TRUE()),"",INDEX(tsk_ID,GanttView[[#This Row],[_Row]]))</f>
        <v/>
      </c>
      <c r="B69" s="64" t="str">
        <f aca="false">IF(IFERROR(INDEX(tsk_Name,GanttView[[#This Row],[_Row]])="",TRUE()),"",INDEX(tsk_WBS,GanttView[[#This Row],[_Row]]))</f>
        <v/>
      </c>
      <c r="C69" s="65" t="str">
        <f aca="false">IF(IFERROR(INDEX(tsk_Name,GanttView[[#This Row],[_Row]])="",TRUE()),"",REPT("    ",INDEX(tsk_Level,GanttView[[#This Row],[_Row]])-1)&amp;INDEX(tsk_Name,GanttView[[#This Row],[_Row]]))</f>
        <v/>
      </c>
      <c r="D6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6" t="str">
        <f aca="false">IF(IFERROR(INDEX(tsk_Name,GanttView[[#This Row],[_Row]])="",TRUE()),"",INDEX(tsk_PlanStart,GanttView[[#This Row],[_Row]]))</f>
        <v/>
      </c>
      <c r="F69" s="66" t="str">
        <f aca="false">IF(IFERROR(INDEX(tsk_Name,GanttView[[#This Row],[_Row]])="",TRUE()),"",INDEX(tsk_PlanFinish,GanttView[[#This Row],[_Row]]))</f>
        <v/>
      </c>
      <c r="G69" s="66" t="str">
        <f aca="false">IF(IFERROR(INDEX(tsk_Name,GanttView[[#This Row],[_Row]])="",TRUE()),"",INDEX(tsk_FcStart,GanttView[[#This Row],[_Row]]))</f>
        <v/>
      </c>
      <c r="H69" s="66" t="str">
        <f aca="false">IF(IFERROR(INDEX(tsk_Name,GanttView[[#This Row],[_Row]])="",TRUE()),"",INDEX(tsk_FcFinish,GanttView[[#This Row],[_Row]]))</f>
        <v/>
      </c>
      <c r="I69" s="67" t="str">
        <f aca="false">IF(IFERROR(INDEX(tsk_Name,GanttView[[#This Row],[_Row]])="",TRUE()),"",INDEX(tsk_Progress,GanttView[[#This Row],[_Row]]))</f>
        <v/>
      </c>
      <c r="J69" s="65" t="str">
        <f aca="false">IF(IFERROR(INDEX(tsk_Name,GanttView[[#This Row],[_Row]])="",TRUE()),"",INDEX(tsk_Resource,GanttView[[#This Row],[_Row]])&amp;"")</f>
        <v/>
      </c>
      <c r="K69" s="64" t="str">
        <f aca="false">IF(IFERROR(INDEX(tsk_Name,GanttView[[#This Row],[_Row]])="",TRUE()),"",INDEX(tsk_Status,GanttView[[#This Row],[_Row]]))</f>
        <v/>
      </c>
      <c r="L69" s="68" t="n">
        <f aca="false">ROW()-ROW(GanttView[[#Headers],[ID]])</f>
        <v>64</v>
      </c>
      <c r="M69" s="69" t="b">
        <f aca="false">IF(IFERROR(INDEX(tsk_Name,GanttView[[#This Row],[_Row]])="",TRUE()),FALSE(),INDEX(tsk_IsSummary,GanttView[[#This Row],[_Row]]))</f>
        <v>0</v>
      </c>
      <c r="N69" s="69" t="b">
        <f aca="false">IF(IFERROR(INDEX(tsk_Name,GanttView[[#This Row],[_Row]])="",TRUE()),FALSE(),AND(INDEX(tsk_IsLeaf,GanttView[[#This Row],[_Row]])=1,N(INDEX(tsk_Duration,GanttView[[#This Row],[_Row]]))=0))</f>
        <v>0</v>
      </c>
      <c r="O6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70" t="n">
        <f aca="false">IF(GanttView[[#This Row],[_RemFrom]]=0,0,GanttView[[#This Row],[Forecast Finish]])</f>
        <v>0</v>
      </c>
      <c r="S69" s="69" t="b">
        <f aca="false">IF(IFERROR(INDEX(tsk_Name,GanttView[[#This Row],[_Row]])="",TRUE()),FALSE(),N(INDEX(tsk_Variance,GanttView[[#This Row],[_Row]]))&gt;0)</f>
        <v>0</v>
      </c>
      <c r="T69" s="70" t="n">
        <f aca="false">IF(IFERROR(INDEX(tsk_Name,GanttView[[#This Row],[_Row]])="",TRUE()),0,N(INDEX(tsk_Deadline,GanttView[[#This Row],[_Row]])))</f>
        <v>0</v>
      </c>
      <c r="U69" s="69" t="b">
        <f aca="false">IF(IFERROR(INDEX(tsk_Name,GanttView[[#This Row],[_Row]])="",TRUE()),FALSE(),INDEX(tsk_Critical,GanttView[[#This Row],[_Row]])="Yes")</f>
        <v>0</v>
      </c>
    </row>
    <row r="70" customFormat="false" ht="15" hidden="false" customHeight="false" outlineLevel="0" collapsed="false">
      <c r="A70" s="64" t="str">
        <f aca="false">IF(IFERROR(INDEX(tsk_Name,GanttView[[#This Row],[_Row]])="",TRUE()),"",INDEX(tsk_ID,GanttView[[#This Row],[_Row]]))</f>
        <v/>
      </c>
      <c r="B70" s="64" t="str">
        <f aca="false">IF(IFERROR(INDEX(tsk_Name,GanttView[[#This Row],[_Row]])="",TRUE()),"",INDEX(tsk_WBS,GanttView[[#This Row],[_Row]]))</f>
        <v/>
      </c>
      <c r="C70" s="65" t="str">
        <f aca="false">IF(IFERROR(INDEX(tsk_Name,GanttView[[#This Row],[_Row]])="",TRUE()),"",REPT("    ",INDEX(tsk_Level,GanttView[[#This Row],[_Row]])-1)&amp;INDEX(tsk_Name,GanttView[[#This Row],[_Row]]))</f>
        <v/>
      </c>
      <c r="D7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6" t="str">
        <f aca="false">IF(IFERROR(INDEX(tsk_Name,GanttView[[#This Row],[_Row]])="",TRUE()),"",INDEX(tsk_PlanStart,GanttView[[#This Row],[_Row]]))</f>
        <v/>
      </c>
      <c r="F70" s="66" t="str">
        <f aca="false">IF(IFERROR(INDEX(tsk_Name,GanttView[[#This Row],[_Row]])="",TRUE()),"",INDEX(tsk_PlanFinish,GanttView[[#This Row],[_Row]]))</f>
        <v/>
      </c>
      <c r="G70" s="66" t="str">
        <f aca="false">IF(IFERROR(INDEX(tsk_Name,GanttView[[#This Row],[_Row]])="",TRUE()),"",INDEX(tsk_FcStart,GanttView[[#This Row],[_Row]]))</f>
        <v/>
      </c>
      <c r="H70" s="66" t="str">
        <f aca="false">IF(IFERROR(INDEX(tsk_Name,GanttView[[#This Row],[_Row]])="",TRUE()),"",INDEX(tsk_FcFinish,GanttView[[#This Row],[_Row]]))</f>
        <v/>
      </c>
      <c r="I70" s="67" t="str">
        <f aca="false">IF(IFERROR(INDEX(tsk_Name,GanttView[[#This Row],[_Row]])="",TRUE()),"",INDEX(tsk_Progress,GanttView[[#This Row],[_Row]]))</f>
        <v/>
      </c>
      <c r="J70" s="65" t="str">
        <f aca="false">IF(IFERROR(INDEX(tsk_Name,GanttView[[#This Row],[_Row]])="",TRUE()),"",INDEX(tsk_Resource,GanttView[[#This Row],[_Row]])&amp;"")</f>
        <v/>
      </c>
      <c r="K70" s="64" t="str">
        <f aca="false">IF(IFERROR(INDEX(tsk_Name,GanttView[[#This Row],[_Row]])="",TRUE()),"",INDEX(tsk_Status,GanttView[[#This Row],[_Row]]))</f>
        <v/>
      </c>
      <c r="L70" s="68" t="n">
        <f aca="false">ROW()-ROW(GanttView[[#Headers],[ID]])</f>
        <v>65</v>
      </c>
      <c r="M70" s="69" t="b">
        <f aca="false">IF(IFERROR(INDEX(tsk_Name,GanttView[[#This Row],[_Row]])="",TRUE()),FALSE(),INDEX(tsk_IsSummary,GanttView[[#This Row],[_Row]]))</f>
        <v>0</v>
      </c>
      <c r="N70" s="69" t="b">
        <f aca="false">IF(IFERROR(INDEX(tsk_Name,GanttView[[#This Row],[_Row]])="",TRUE()),FALSE(),AND(INDEX(tsk_IsLeaf,GanttView[[#This Row],[_Row]])=1,N(INDEX(tsk_Duration,GanttView[[#This Row],[_Row]]))=0))</f>
        <v>0</v>
      </c>
      <c r="O7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70" t="n">
        <f aca="false">IF(GanttView[[#This Row],[_RemFrom]]=0,0,GanttView[[#This Row],[Forecast Finish]])</f>
        <v>0</v>
      </c>
      <c r="S70" s="69" t="b">
        <f aca="false">IF(IFERROR(INDEX(tsk_Name,GanttView[[#This Row],[_Row]])="",TRUE()),FALSE(),N(INDEX(tsk_Variance,GanttView[[#This Row],[_Row]]))&gt;0)</f>
        <v>0</v>
      </c>
      <c r="T70" s="70" t="n">
        <f aca="false">IF(IFERROR(INDEX(tsk_Name,GanttView[[#This Row],[_Row]])="",TRUE()),0,N(INDEX(tsk_Deadline,GanttView[[#This Row],[_Row]])))</f>
        <v>0</v>
      </c>
      <c r="U70" s="69" t="b">
        <f aca="false">IF(IFERROR(INDEX(tsk_Name,GanttView[[#This Row],[_Row]])="",TRUE()),FALSE(),INDEX(tsk_Critical,GanttView[[#This Row],[_Row]])="Yes")</f>
        <v>0</v>
      </c>
    </row>
    <row r="71" customFormat="false" ht="15" hidden="false" customHeight="false" outlineLevel="0" collapsed="false">
      <c r="A71" s="64" t="str">
        <f aca="false">IF(IFERROR(INDEX(tsk_Name,GanttView[[#This Row],[_Row]])="",TRUE()),"",INDEX(tsk_ID,GanttView[[#This Row],[_Row]]))</f>
        <v/>
      </c>
      <c r="B71" s="64" t="str">
        <f aca="false">IF(IFERROR(INDEX(tsk_Name,GanttView[[#This Row],[_Row]])="",TRUE()),"",INDEX(tsk_WBS,GanttView[[#This Row],[_Row]]))</f>
        <v/>
      </c>
      <c r="C71" s="65" t="str">
        <f aca="false">IF(IFERROR(INDEX(tsk_Name,GanttView[[#This Row],[_Row]])="",TRUE()),"",REPT("    ",INDEX(tsk_Level,GanttView[[#This Row],[_Row]])-1)&amp;INDEX(tsk_Name,GanttView[[#This Row],[_Row]]))</f>
        <v/>
      </c>
      <c r="D7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6" t="str">
        <f aca="false">IF(IFERROR(INDEX(tsk_Name,GanttView[[#This Row],[_Row]])="",TRUE()),"",INDEX(tsk_PlanStart,GanttView[[#This Row],[_Row]]))</f>
        <v/>
      </c>
      <c r="F71" s="66" t="str">
        <f aca="false">IF(IFERROR(INDEX(tsk_Name,GanttView[[#This Row],[_Row]])="",TRUE()),"",INDEX(tsk_PlanFinish,GanttView[[#This Row],[_Row]]))</f>
        <v/>
      </c>
      <c r="G71" s="66" t="str">
        <f aca="false">IF(IFERROR(INDEX(tsk_Name,GanttView[[#This Row],[_Row]])="",TRUE()),"",INDEX(tsk_FcStart,GanttView[[#This Row],[_Row]]))</f>
        <v/>
      </c>
      <c r="H71" s="66" t="str">
        <f aca="false">IF(IFERROR(INDEX(tsk_Name,GanttView[[#This Row],[_Row]])="",TRUE()),"",INDEX(tsk_FcFinish,GanttView[[#This Row],[_Row]]))</f>
        <v/>
      </c>
      <c r="I71" s="67" t="str">
        <f aca="false">IF(IFERROR(INDEX(tsk_Name,GanttView[[#This Row],[_Row]])="",TRUE()),"",INDEX(tsk_Progress,GanttView[[#This Row],[_Row]]))</f>
        <v/>
      </c>
      <c r="J71" s="65" t="str">
        <f aca="false">IF(IFERROR(INDEX(tsk_Name,GanttView[[#This Row],[_Row]])="",TRUE()),"",INDEX(tsk_Resource,GanttView[[#This Row],[_Row]])&amp;"")</f>
        <v/>
      </c>
      <c r="K71" s="64" t="str">
        <f aca="false">IF(IFERROR(INDEX(tsk_Name,GanttView[[#This Row],[_Row]])="",TRUE()),"",INDEX(tsk_Status,GanttView[[#This Row],[_Row]]))</f>
        <v/>
      </c>
      <c r="L71" s="68" t="n">
        <f aca="false">ROW()-ROW(GanttView[[#Headers],[ID]])</f>
        <v>66</v>
      </c>
      <c r="M71" s="69" t="b">
        <f aca="false">IF(IFERROR(INDEX(tsk_Name,GanttView[[#This Row],[_Row]])="",TRUE()),FALSE(),INDEX(tsk_IsSummary,GanttView[[#This Row],[_Row]]))</f>
        <v>0</v>
      </c>
      <c r="N71" s="69" t="b">
        <f aca="false">IF(IFERROR(INDEX(tsk_Name,GanttView[[#This Row],[_Row]])="",TRUE()),FALSE(),AND(INDEX(tsk_IsLeaf,GanttView[[#This Row],[_Row]])=1,N(INDEX(tsk_Duration,GanttView[[#This Row],[_Row]]))=0))</f>
        <v>0</v>
      </c>
      <c r="O7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70" t="n">
        <f aca="false">IF(GanttView[[#This Row],[_RemFrom]]=0,0,GanttView[[#This Row],[Forecast Finish]])</f>
        <v>0</v>
      </c>
      <c r="S71" s="69" t="b">
        <f aca="false">IF(IFERROR(INDEX(tsk_Name,GanttView[[#This Row],[_Row]])="",TRUE()),FALSE(),N(INDEX(tsk_Variance,GanttView[[#This Row],[_Row]]))&gt;0)</f>
        <v>0</v>
      </c>
      <c r="T71" s="70" t="n">
        <f aca="false">IF(IFERROR(INDEX(tsk_Name,GanttView[[#This Row],[_Row]])="",TRUE()),0,N(INDEX(tsk_Deadline,GanttView[[#This Row],[_Row]])))</f>
        <v>0</v>
      </c>
      <c r="U71" s="69" t="b">
        <f aca="false">IF(IFERROR(INDEX(tsk_Name,GanttView[[#This Row],[_Row]])="",TRUE()),FALSE(),INDEX(tsk_Critical,GanttView[[#This Row],[_Row]])="Yes")</f>
        <v>0</v>
      </c>
    </row>
    <row r="72" customFormat="false" ht="15" hidden="false" customHeight="false" outlineLevel="0" collapsed="false">
      <c r="A72" s="64" t="str">
        <f aca="false">IF(IFERROR(INDEX(tsk_Name,GanttView[[#This Row],[_Row]])="",TRUE()),"",INDEX(tsk_ID,GanttView[[#This Row],[_Row]]))</f>
        <v/>
      </c>
      <c r="B72" s="64" t="str">
        <f aca="false">IF(IFERROR(INDEX(tsk_Name,GanttView[[#This Row],[_Row]])="",TRUE()),"",INDEX(tsk_WBS,GanttView[[#This Row],[_Row]]))</f>
        <v/>
      </c>
      <c r="C72" s="65" t="str">
        <f aca="false">IF(IFERROR(INDEX(tsk_Name,GanttView[[#This Row],[_Row]])="",TRUE()),"",REPT("    ",INDEX(tsk_Level,GanttView[[#This Row],[_Row]])-1)&amp;INDEX(tsk_Name,GanttView[[#This Row],[_Row]]))</f>
        <v/>
      </c>
      <c r="D7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6" t="str">
        <f aca="false">IF(IFERROR(INDEX(tsk_Name,GanttView[[#This Row],[_Row]])="",TRUE()),"",INDEX(tsk_PlanStart,GanttView[[#This Row],[_Row]]))</f>
        <v/>
      </c>
      <c r="F72" s="66" t="str">
        <f aca="false">IF(IFERROR(INDEX(tsk_Name,GanttView[[#This Row],[_Row]])="",TRUE()),"",INDEX(tsk_PlanFinish,GanttView[[#This Row],[_Row]]))</f>
        <v/>
      </c>
      <c r="G72" s="66" t="str">
        <f aca="false">IF(IFERROR(INDEX(tsk_Name,GanttView[[#This Row],[_Row]])="",TRUE()),"",INDEX(tsk_FcStart,GanttView[[#This Row],[_Row]]))</f>
        <v/>
      </c>
      <c r="H72" s="66" t="str">
        <f aca="false">IF(IFERROR(INDEX(tsk_Name,GanttView[[#This Row],[_Row]])="",TRUE()),"",INDEX(tsk_FcFinish,GanttView[[#This Row],[_Row]]))</f>
        <v/>
      </c>
      <c r="I72" s="67" t="str">
        <f aca="false">IF(IFERROR(INDEX(tsk_Name,GanttView[[#This Row],[_Row]])="",TRUE()),"",INDEX(tsk_Progress,GanttView[[#This Row],[_Row]]))</f>
        <v/>
      </c>
      <c r="J72" s="65" t="str">
        <f aca="false">IF(IFERROR(INDEX(tsk_Name,GanttView[[#This Row],[_Row]])="",TRUE()),"",INDEX(tsk_Resource,GanttView[[#This Row],[_Row]])&amp;"")</f>
        <v/>
      </c>
      <c r="K72" s="64" t="str">
        <f aca="false">IF(IFERROR(INDEX(tsk_Name,GanttView[[#This Row],[_Row]])="",TRUE()),"",INDEX(tsk_Status,GanttView[[#This Row],[_Row]]))</f>
        <v/>
      </c>
      <c r="L72" s="68" t="n">
        <f aca="false">ROW()-ROW(GanttView[[#Headers],[ID]])</f>
        <v>67</v>
      </c>
      <c r="M72" s="69" t="b">
        <f aca="false">IF(IFERROR(INDEX(tsk_Name,GanttView[[#This Row],[_Row]])="",TRUE()),FALSE(),INDEX(tsk_IsSummary,GanttView[[#This Row],[_Row]]))</f>
        <v>0</v>
      </c>
      <c r="N72" s="69" t="b">
        <f aca="false">IF(IFERROR(INDEX(tsk_Name,GanttView[[#This Row],[_Row]])="",TRUE()),FALSE(),AND(INDEX(tsk_IsLeaf,GanttView[[#This Row],[_Row]])=1,N(INDEX(tsk_Duration,GanttView[[#This Row],[_Row]]))=0))</f>
        <v>0</v>
      </c>
      <c r="O7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70" t="n">
        <f aca="false">IF(GanttView[[#This Row],[_RemFrom]]=0,0,GanttView[[#This Row],[Forecast Finish]])</f>
        <v>0</v>
      </c>
      <c r="S72" s="69" t="b">
        <f aca="false">IF(IFERROR(INDEX(tsk_Name,GanttView[[#This Row],[_Row]])="",TRUE()),FALSE(),N(INDEX(tsk_Variance,GanttView[[#This Row],[_Row]]))&gt;0)</f>
        <v>0</v>
      </c>
      <c r="T72" s="70" t="n">
        <f aca="false">IF(IFERROR(INDEX(tsk_Name,GanttView[[#This Row],[_Row]])="",TRUE()),0,N(INDEX(tsk_Deadline,GanttView[[#This Row],[_Row]])))</f>
        <v>0</v>
      </c>
      <c r="U72" s="69" t="b">
        <f aca="false">IF(IFERROR(INDEX(tsk_Name,GanttView[[#This Row],[_Row]])="",TRUE()),FALSE(),INDEX(tsk_Critical,GanttView[[#This Row],[_Row]])="Yes")</f>
        <v>0</v>
      </c>
    </row>
    <row r="73" customFormat="false" ht="15" hidden="false" customHeight="false" outlineLevel="0" collapsed="false">
      <c r="A73" s="64" t="str">
        <f aca="false">IF(IFERROR(INDEX(tsk_Name,GanttView[[#This Row],[_Row]])="",TRUE()),"",INDEX(tsk_ID,GanttView[[#This Row],[_Row]]))</f>
        <v/>
      </c>
      <c r="B73" s="64" t="str">
        <f aca="false">IF(IFERROR(INDEX(tsk_Name,GanttView[[#This Row],[_Row]])="",TRUE()),"",INDEX(tsk_WBS,GanttView[[#This Row],[_Row]]))</f>
        <v/>
      </c>
      <c r="C73" s="65" t="str">
        <f aca="false">IF(IFERROR(INDEX(tsk_Name,GanttView[[#This Row],[_Row]])="",TRUE()),"",REPT("    ",INDEX(tsk_Level,GanttView[[#This Row],[_Row]])-1)&amp;INDEX(tsk_Name,GanttView[[#This Row],[_Row]]))</f>
        <v/>
      </c>
      <c r="D7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6" t="str">
        <f aca="false">IF(IFERROR(INDEX(tsk_Name,GanttView[[#This Row],[_Row]])="",TRUE()),"",INDEX(tsk_PlanStart,GanttView[[#This Row],[_Row]]))</f>
        <v/>
      </c>
      <c r="F73" s="66" t="str">
        <f aca="false">IF(IFERROR(INDEX(tsk_Name,GanttView[[#This Row],[_Row]])="",TRUE()),"",INDEX(tsk_PlanFinish,GanttView[[#This Row],[_Row]]))</f>
        <v/>
      </c>
      <c r="G73" s="66" t="str">
        <f aca="false">IF(IFERROR(INDEX(tsk_Name,GanttView[[#This Row],[_Row]])="",TRUE()),"",INDEX(tsk_FcStart,GanttView[[#This Row],[_Row]]))</f>
        <v/>
      </c>
      <c r="H73" s="66" t="str">
        <f aca="false">IF(IFERROR(INDEX(tsk_Name,GanttView[[#This Row],[_Row]])="",TRUE()),"",INDEX(tsk_FcFinish,GanttView[[#This Row],[_Row]]))</f>
        <v/>
      </c>
      <c r="I73" s="67" t="str">
        <f aca="false">IF(IFERROR(INDEX(tsk_Name,GanttView[[#This Row],[_Row]])="",TRUE()),"",INDEX(tsk_Progress,GanttView[[#This Row],[_Row]]))</f>
        <v/>
      </c>
      <c r="J73" s="65" t="str">
        <f aca="false">IF(IFERROR(INDEX(tsk_Name,GanttView[[#This Row],[_Row]])="",TRUE()),"",INDEX(tsk_Resource,GanttView[[#This Row],[_Row]])&amp;"")</f>
        <v/>
      </c>
      <c r="K73" s="64" t="str">
        <f aca="false">IF(IFERROR(INDEX(tsk_Name,GanttView[[#This Row],[_Row]])="",TRUE()),"",INDEX(tsk_Status,GanttView[[#This Row],[_Row]]))</f>
        <v/>
      </c>
      <c r="L73" s="68" t="n">
        <f aca="false">ROW()-ROW(GanttView[[#Headers],[ID]])</f>
        <v>68</v>
      </c>
      <c r="M73" s="69" t="b">
        <f aca="false">IF(IFERROR(INDEX(tsk_Name,GanttView[[#This Row],[_Row]])="",TRUE()),FALSE(),INDEX(tsk_IsSummary,GanttView[[#This Row],[_Row]]))</f>
        <v>0</v>
      </c>
      <c r="N73" s="69" t="b">
        <f aca="false">IF(IFERROR(INDEX(tsk_Name,GanttView[[#This Row],[_Row]])="",TRUE()),FALSE(),AND(INDEX(tsk_IsLeaf,GanttView[[#This Row],[_Row]])=1,N(INDEX(tsk_Duration,GanttView[[#This Row],[_Row]]))=0))</f>
        <v>0</v>
      </c>
      <c r="O7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70" t="n">
        <f aca="false">IF(GanttView[[#This Row],[_RemFrom]]=0,0,GanttView[[#This Row],[Forecast Finish]])</f>
        <v>0</v>
      </c>
      <c r="S73" s="69" t="b">
        <f aca="false">IF(IFERROR(INDEX(tsk_Name,GanttView[[#This Row],[_Row]])="",TRUE()),FALSE(),N(INDEX(tsk_Variance,GanttView[[#This Row],[_Row]]))&gt;0)</f>
        <v>0</v>
      </c>
      <c r="T73" s="70" t="n">
        <f aca="false">IF(IFERROR(INDEX(tsk_Name,GanttView[[#This Row],[_Row]])="",TRUE()),0,N(INDEX(tsk_Deadline,GanttView[[#This Row],[_Row]])))</f>
        <v>0</v>
      </c>
      <c r="U73" s="69" t="b">
        <f aca="false">IF(IFERROR(INDEX(tsk_Name,GanttView[[#This Row],[_Row]])="",TRUE()),FALSE(),INDEX(tsk_Critical,GanttView[[#This Row],[_Row]])="Yes")</f>
        <v>0</v>
      </c>
    </row>
    <row r="74" customFormat="false" ht="15" hidden="false" customHeight="false" outlineLevel="0" collapsed="false">
      <c r="A74" s="64" t="str">
        <f aca="false">IF(IFERROR(INDEX(tsk_Name,GanttView[[#This Row],[_Row]])="",TRUE()),"",INDEX(tsk_ID,GanttView[[#This Row],[_Row]]))</f>
        <v/>
      </c>
      <c r="B74" s="64" t="str">
        <f aca="false">IF(IFERROR(INDEX(tsk_Name,GanttView[[#This Row],[_Row]])="",TRUE()),"",INDEX(tsk_WBS,GanttView[[#This Row],[_Row]]))</f>
        <v/>
      </c>
      <c r="C74" s="65" t="str">
        <f aca="false">IF(IFERROR(INDEX(tsk_Name,GanttView[[#This Row],[_Row]])="",TRUE()),"",REPT("    ",INDEX(tsk_Level,GanttView[[#This Row],[_Row]])-1)&amp;INDEX(tsk_Name,GanttView[[#This Row],[_Row]]))</f>
        <v/>
      </c>
      <c r="D7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6" t="str">
        <f aca="false">IF(IFERROR(INDEX(tsk_Name,GanttView[[#This Row],[_Row]])="",TRUE()),"",INDEX(tsk_PlanStart,GanttView[[#This Row],[_Row]]))</f>
        <v/>
      </c>
      <c r="F74" s="66" t="str">
        <f aca="false">IF(IFERROR(INDEX(tsk_Name,GanttView[[#This Row],[_Row]])="",TRUE()),"",INDEX(tsk_PlanFinish,GanttView[[#This Row],[_Row]]))</f>
        <v/>
      </c>
      <c r="G74" s="66" t="str">
        <f aca="false">IF(IFERROR(INDEX(tsk_Name,GanttView[[#This Row],[_Row]])="",TRUE()),"",INDEX(tsk_FcStart,GanttView[[#This Row],[_Row]]))</f>
        <v/>
      </c>
      <c r="H74" s="66" t="str">
        <f aca="false">IF(IFERROR(INDEX(tsk_Name,GanttView[[#This Row],[_Row]])="",TRUE()),"",INDEX(tsk_FcFinish,GanttView[[#This Row],[_Row]]))</f>
        <v/>
      </c>
      <c r="I74" s="67" t="str">
        <f aca="false">IF(IFERROR(INDEX(tsk_Name,GanttView[[#This Row],[_Row]])="",TRUE()),"",INDEX(tsk_Progress,GanttView[[#This Row],[_Row]]))</f>
        <v/>
      </c>
      <c r="J74" s="65" t="str">
        <f aca="false">IF(IFERROR(INDEX(tsk_Name,GanttView[[#This Row],[_Row]])="",TRUE()),"",INDEX(tsk_Resource,GanttView[[#This Row],[_Row]])&amp;"")</f>
        <v/>
      </c>
      <c r="K74" s="64" t="str">
        <f aca="false">IF(IFERROR(INDEX(tsk_Name,GanttView[[#This Row],[_Row]])="",TRUE()),"",INDEX(tsk_Status,GanttView[[#This Row],[_Row]]))</f>
        <v/>
      </c>
      <c r="L74" s="68" t="n">
        <f aca="false">ROW()-ROW(GanttView[[#Headers],[ID]])</f>
        <v>69</v>
      </c>
      <c r="M74" s="69" t="b">
        <f aca="false">IF(IFERROR(INDEX(tsk_Name,GanttView[[#This Row],[_Row]])="",TRUE()),FALSE(),INDEX(tsk_IsSummary,GanttView[[#This Row],[_Row]]))</f>
        <v>0</v>
      </c>
      <c r="N74" s="69" t="b">
        <f aca="false">IF(IFERROR(INDEX(tsk_Name,GanttView[[#This Row],[_Row]])="",TRUE()),FALSE(),AND(INDEX(tsk_IsLeaf,GanttView[[#This Row],[_Row]])=1,N(INDEX(tsk_Duration,GanttView[[#This Row],[_Row]]))=0))</f>
        <v>0</v>
      </c>
      <c r="O7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70" t="n">
        <f aca="false">IF(GanttView[[#This Row],[_RemFrom]]=0,0,GanttView[[#This Row],[Forecast Finish]])</f>
        <v>0</v>
      </c>
      <c r="S74" s="69" t="b">
        <f aca="false">IF(IFERROR(INDEX(tsk_Name,GanttView[[#This Row],[_Row]])="",TRUE()),FALSE(),N(INDEX(tsk_Variance,GanttView[[#This Row],[_Row]]))&gt;0)</f>
        <v>0</v>
      </c>
      <c r="T74" s="70" t="n">
        <f aca="false">IF(IFERROR(INDEX(tsk_Name,GanttView[[#This Row],[_Row]])="",TRUE()),0,N(INDEX(tsk_Deadline,GanttView[[#This Row],[_Row]])))</f>
        <v>0</v>
      </c>
      <c r="U74" s="69" t="b">
        <f aca="false">IF(IFERROR(INDEX(tsk_Name,GanttView[[#This Row],[_Row]])="",TRUE()),FALSE(),INDEX(tsk_Critical,GanttView[[#This Row],[_Row]])="Yes")</f>
        <v>0</v>
      </c>
    </row>
    <row r="75" customFormat="false" ht="15" hidden="false" customHeight="false" outlineLevel="0" collapsed="false">
      <c r="A75" s="64" t="str">
        <f aca="false">IF(IFERROR(INDEX(tsk_Name,GanttView[[#This Row],[_Row]])="",TRUE()),"",INDEX(tsk_ID,GanttView[[#This Row],[_Row]]))</f>
        <v/>
      </c>
      <c r="B75" s="64" t="str">
        <f aca="false">IF(IFERROR(INDEX(tsk_Name,GanttView[[#This Row],[_Row]])="",TRUE()),"",INDEX(tsk_WBS,GanttView[[#This Row],[_Row]]))</f>
        <v/>
      </c>
      <c r="C75" s="65" t="str">
        <f aca="false">IF(IFERROR(INDEX(tsk_Name,GanttView[[#This Row],[_Row]])="",TRUE()),"",REPT("    ",INDEX(tsk_Level,GanttView[[#This Row],[_Row]])-1)&amp;INDEX(tsk_Name,GanttView[[#This Row],[_Row]]))</f>
        <v/>
      </c>
      <c r="D7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6" t="str">
        <f aca="false">IF(IFERROR(INDEX(tsk_Name,GanttView[[#This Row],[_Row]])="",TRUE()),"",INDEX(tsk_PlanStart,GanttView[[#This Row],[_Row]]))</f>
        <v/>
      </c>
      <c r="F75" s="66" t="str">
        <f aca="false">IF(IFERROR(INDEX(tsk_Name,GanttView[[#This Row],[_Row]])="",TRUE()),"",INDEX(tsk_PlanFinish,GanttView[[#This Row],[_Row]]))</f>
        <v/>
      </c>
      <c r="G75" s="66" t="str">
        <f aca="false">IF(IFERROR(INDEX(tsk_Name,GanttView[[#This Row],[_Row]])="",TRUE()),"",INDEX(tsk_FcStart,GanttView[[#This Row],[_Row]]))</f>
        <v/>
      </c>
      <c r="H75" s="66" t="str">
        <f aca="false">IF(IFERROR(INDEX(tsk_Name,GanttView[[#This Row],[_Row]])="",TRUE()),"",INDEX(tsk_FcFinish,GanttView[[#This Row],[_Row]]))</f>
        <v/>
      </c>
      <c r="I75" s="67" t="str">
        <f aca="false">IF(IFERROR(INDEX(tsk_Name,GanttView[[#This Row],[_Row]])="",TRUE()),"",INDEX(tsk_Progress,GanttView[[#This Row],[_Row]]))</f>
        <v/>
      </c>
      <c r="J75" s="65" t="str">
        <f aca="false">IF(IFERROR(INDEX(tsk_Name,GanttView[[#This Row],[_Row]])="",TRUE()),"",INDEX(tsk_Resource,GanttView[[#This Row],[_Row]])&amp;"")</f>
        <v/>
      </c>
      <c r="K75" s="64" t="str">
        <f aca="false">IF(IFERROR(INDEX(tsk_Name,GanttView[[#This Row],[_Row]])="",TRUE()),"",INDEX(tsk_Status,GanttView[[#This Row],[_Row]]))</f>
        <v/>
      </c>
      <c r="L75" s="68" t="n">
        <f aca="false">ROW()-ROW(GanttView[[#Headers],[ID]])</f>
        <v>70</v>
      </c>
      <c r="M75" s="69" t="b">
        <f aca="false">IF(IFERROR(INDEX(tsk_Name,GanttView[[#This Row],[_Row]])="",TRUE()),FALSE(),INDEX(tsk_IsSummary,GanttView[[#This Row],[_Row]]))</f>
        <v>0</v>
      </c>
      <c r="N75" s="69" t="b">
        <f aca="false">IF(IFERROR(INDEX(tsk_Name,GanttView[[#This Row],[_Row]])="",TRUE()),FALSE(),AND(INDEX(tsk_IsLeaf,GanttView[[#This Row],[_Row]])=1,N(INDEX(tsk_Duration,GanttView[[#This Row],[_Row]]))=0))</f>
        <v>0</v>
      </c>
      <c r="O7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70" t="n">
        <f aca="false">IF(GanttView[[#This Row],[_RemFrom]]=0,0,GanttView[[#This Row],[Forecast Finish]])</f>
        <v>0</v>
      </c>
      <c r="S75" s="69" t="b">
        <f aca="false">IF(IFERROR(INDEX(tsk_Name,GanttView[[#This Row],[_Row]])="",TRUE()),FALSE(),N(INDEX(tsk_Variance,GanttView[[#This Row],[_Row]]))&gt;0)</f>
        <v>0</v>
      </c>
      <c r="T75" s="70" t="n">
        <f aca="false">IF(IFERROR(INDEX(tsk_Name,GanttView[[#This Row],[_Row]])="",TRUE()),0,N(INDEX(tsk_Deadline,GanttView[[#This Row],[_Row]])))</f>
        <v>0</v>
      </c>
      <c r="U75" s="69" t="b">
        <f aca="false">IF(IFERROR(INDEX(tsk_Name,GanttView[[#This Row],[_Row]])="",TRUE()),FALSE(),INDEX(tsk_Critical,GanttView[[#This Row],[_Row]])="Yes")</f>
        <v>0</v>
      </c>
    </row>
    <row r="76" customFormat="false" ht="15" hidden="false" customHeight="false" outlineLevel="0" collapsed="false">
      <c r="A76" s="64" t="str">
        <f aca="false">IF(IFERROR(INDEX(tsk_Name,GanttView[[#This Row],[_Row]])="",TRUE()),"",INDEX(tsk_ID,GanttView[[#This Row],[_Row]]))</f>
        <v/>
      </c>
      <c r="B76" s="64" t="str">
        <f aca="false">IF(IFERROR(INDEX(tsk_Name,GanttView[[#This Row],[_Row]])="",TRUE()),"",INDEX(tsk_WBS,GanttView[[#This Row],[_Row]]))</f>
        <v/>
      </c>
      <c r="C76" s="65" t="str">
        <f aca="false">IF(IFERROR(INDEX(tsk_Name,GanttView[[#This Row],[_Row]])="",TRUE()),"",REPT("    ",INDEX(tsk_Level,GanttView[[#This Row],[_Row]])-1)&amp;INDEX(tsk_Name,GanttView[[#This Row],[_Row]]))</f>
        <v/>
      </c>
      <c r="D7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6" t="str">
        <f aca="false">IF(IFERROR(INDEX(tsk_Name,GanttView[[#This Row],[_Row]])="",TRUE()),"",INDEX(tsk_PlanStart,GanttView[[#This Row],[_Row]]))</f>
        <v/>
      </c>
      <c r="F76" s="66" t="str">
        <f aca="false">IF(IFERROR(INDEX(tsk_Name,GanttView[[#This Row],[_Row]])="",TRUE()),"",INDEX(tsk_PlanFinish,GanttView[[#This Row],[_Row]]))</f>
        <v/>
      </c>
      <c r="G76" s="66" t="str">
        <f aca="false">IF(IFERROR(INDEX(tsk_Name,GanttView[[#This Row],[_Row]])="",TRUE()),"",INDEX(tsk_FcStart,GanttView[[#This Row],[_Row]]))</f>
        <v/>
      </c>
      <c r="H76" s="66" t="str">
        <f aca="false">IF(IFERROR(INDEX(tsk_Name,GanttView[[#This Row],[_Row]])="",TRUE()),"",INDEX(tsk_FcFinish,GanttView[[#This Row],[_Row]]))</f>
        <v/>
      </c>
      <c r="I76" s="67" t="str">
        <f aca="false">IF(IFERROR(INDEX(tsk_Name,GanttView[[#This Row],[_Row]])="",TRUE()),"",INDEX(tsk_Progress,GanttView[[#This Row],[_Row]]))</f>
        <v/>
      </c>
      <c r="J76" s="65" t="str">
        <f aca="false">IF(IFERROR(INDEX(tsk_Name,GanttView[[#This Row],[_Row]])="",TRUE()),"",INDEX(tsk_Resource,GanttView[[#This Row],[_Row]])&amp;"")</f>
        <v/>
      </c>
      <c r="K76" s="64" t="str">
        <f aca="false">IF(IFERROR(INDEX(tsk_Name,GanttView[[#This Row],[_Row]])="",TRUE()),"",INDEX(tsk_Status,GanttView[[#This Row],[_Row]]))</f>
        <v/>
      </c>
      <c r="L76" s="68" t="n">
        <f aca="false">ROW()-ROW(GanttView[[#Headers],[ID]])</f>
        <v>71</v>
      </c>
      <c r="M76" s="69" t="b">
        <f aca="false">IF(IFERROR(INDEX(tsk_Name,GanttView[[#This Row],[_Row]])="",TRUE()),FALSE(),INDEX(tsk_IsSummary,GanttView[[#This Row],[_Row]]))</f>
        <v>0</v>
      </c>
      <c r="N76" s="69" t="b">
        <f aca="false">IF(IFERROR(INDEX(tsk_Name,GanttView[[#This Row],[_Row]])="",TRUE()),FALSE(),AND(INDEX(tsk_IsLeaf,GanttView[[#This Row],[_Row]])=1,N(INDEX(tsk_Duration,GanttView[[#This Row],[_Row]]))=0))</f>
        <v>0</v>
      </c>
      <c r="O7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70" t="n">
        <f aca="false">IF(GanttView[[#This Row],[_RemFrom]]=0,0,GanttView[[#This Row],[Forecast Finish]])</f>
        <v>0</v>
      </c>
      <c r="S76" s="69" t="b">
        <f aca="false">IF(IFERROR(INDEX(tsk_Name,GanttView[[#This Row],[_Row]])="",TRUE()),FALSE(),N(INDEX(tsk_Variance,GanttView[[#This Row],[_Row]]))&gt;0)</f>
        <v>0</v>
      </c>
      <c r="T76" s="70" t="n">
        <f aca="false">IF(IFERROR(INDEX(tsk_Name,GanttView[[#This Row],[_Row]])="",TRUE()),0,N(INDEX(tsk_Deadline,GanttView[[#This Row],[_Row]])))</f>
        <v>0</v>
      </c>
      <c r="U76" s="69" t="b">
        <f aca="false">IF(IFERROR(INDEX(tsk_Name,GanttView[[#This Row],[_Row]])="",TRUE()),FALSE(),INDEX(tsk_Critical,GanttView[[#This Row],[_Row]])="Yes")</f>
        <v>0</v>
      </c>
    </row>
    <row r="77" customFormat="false" ht="15" hidden="false" customHeight="false" outlineLevel="0" collapsed="false">
      <c r="A77" s="64" t="str">
        <f aca="false">IF(IFERROR(INDEX(tsk_Name,GanttView[[#This Row],[_Row]])="",TRUE()),"",INDEX(tsk_ID,GanttView[[#This Row],[_Row]]))</f>
        <v/>
      </c>
      <c r="B77" s="64" t="str">
        <f aca="false">IF(IFERROR(INDEX(tsk_Name,GanttView[[#This Row],[_Row]])="",TRUE()),"",INDEX(tsk_WBS,GanttView[[#This Row],[_Row]]))</f>
        <v/>
      </c>
      <c r="C77" s="65" t="str">
        <f aca="false">IF(IFERROR(INDEX(tsk_Name,GanttView[[#This Row],[_Row]])="",TRUE()),"",REPT("    ",INDEX(tsk_Level,GanttView[[#This Row],[_Row]])-1)&amp;INDEX(tsk_Name,GanttView[[#This Row],[_Row]]))</f>
        <v/>
      </c>
      <c r="D7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6" t="str">
        <f aca="false">IF(IFERROR(INDEX(tsk_Name,GanttView[[#This Row],[_Row]])="",TRUE()),"",INDEX(tsk_PlanStart,GanttView[[#This Row],[_Row]]))</f>
        <v/>
      </c>
      <c r="F77" s="66" t="str">
        <f aca="false">IF(IFERROR(INDEX(tsk_Name,GanttView[[#This Row],[_Row]])="",TRUE()),"",INDEX(tsk_PlanFinish,GanttView[[#This Row],[_Row]]))</f>
        <v/>
      </c>
      <c r="G77" s="66" t="str">
        <f aca="false">IF(IFERROR(INDEX(tsk_Name,GanttView[[#This Row],[_Row]])="",TRUE()),"",INDEX(tsk_FcStart,GanttView[[#This Row],[_Row]]))</f>
        <v/>
      </c>
      <c r="H77" s="66" t="str">
        <f aca="false">IF(IFERROR(INDEX(tsk_Name,GanttView[[#This Row],[_Row]])="",TRUE()),"",INDEX(tsk_FcFinish,GanttView[[#This Row],[_Row]]))</f>
        <v/>
      </c>
      <c r="I77" s="67" t="str">
        <f aca="false">IF(IFERROR(INDEX(tsk_Name,GanttView[[#This Row],[_Row]])="",TRUE()),"",INDEX(tsk_Progress,GanttView[[#This Row],[_Row]]))</f>
        <v/>
      </c>
      <c r="J77" s="65" t="str">
        <f aca="false">IF(IFERROR(INDEX(tsk_Name,GanttView[[#This Row],[_Row]])="",TRUE()),"",INDEX(tsk_Resource,GanttView[[#This Row],[_Row]])&amp;"")</f>
        <v/>
      </c>
      <c r="K77" s="64" t="str">
        <f aca="false">IF(IFERROR(INDEX(tsk_Name,GanttView[[#This Row],[_Row]])="",TRUE()),"",INDEX(tsk_Status,GanttView[[#This Row],[_Row]]))</f>
        <v/>
      </c>
      <c r="L77" s="68" t="n">
        <f aca="false">ROW()-ROW(GanttView[[#Headers],[ID]])</f>
        <v>72</v>
      </c>
      <c r="M77" s="69" t="b">
        <f aca="false">IF(IFERROR(INDEX(tsk_Name,GanttView[[#This Row],[_Row]])="",TRUE()),FALSE(),INDEX(tsk_IsSummary,GanttView[[#This Row],[_Row]]))</f>
        <v>0</v>
      </c>
      <c r="N77" s="69" t="b">
        <f aca="false">IF(IFERROR(INDEX(tsk_Name,GanttView[[#This Row],[_Row]])="",TRUE()),FALSE(),AND(INDEX(tsk_IsLeaf,GanttView[[#This Row],[_Row]])=1,N(INDEX(tsk_Duration,GanttView[[#This Row],[_Row]]))=0))</f>
        <v>0</v>
      </c>
      <c r="O7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70" t="n">
        <f aca="false">IF(GanttView[[#This Row],[_RemFrom]]=0,0,GanttView[[#This Row],[Forecast Finish]])</f>
        <v>0</v>
      </c>
      <c r="S77" s="69" t="b">
        <f aca="false">IF(IFERROR(INDEX(tsk_Name,GanttView[[#This Row],[_Row]])="",TRUE()),FALSE(),N(INDEX(tsk_Variance,GanttView[[#This Row],[_Row]]))&gt;0)</f>
        <v>0</v>
      </c>
      <c r="T77" s="70" t="n">
        <f aca="false">IF(IFERROR(INDEX(tsk_Name,GanttView[[#This Row],[_Row]])="",TRUE()),0,N(INDEX(tsk_Deadline,GanttView[[#This Row],[_Row]])))</f>
        <v>0</v>
      </c>
      <c r="U77" s="69" t="b">
        <f aca="false">IF(IFERROR(INDEX(tsk_Name,GanttView[[#This Row],[_Row]])="",TRUE()),FALSE(),INDEX(tsk_Critical,GanttView[[#This Row],[_Row]])="Yes")</f>
        <v>0</v>
      </c>
    </row>
    <row r="78" customFormat="false" ht="15" hidden="false" customHeight="false" outlineLevel="0" collapsed="false">
      <c r="A78" s="64" t="str">
        <f aca="false">IF(IFERROR(INDEX(tsk_Name,GanttView[[#This Row],[_Row]])="",TRUE()),"",INDEX(tsk_ID,GanttView[[#This Row],[_Row]]))</f>
        <v/>
      </c>
      <c r="B78" s="64" t="str">
        <f aca="false">IF(IFERROR(INDEX(tsk_Name,GanttView[[#This Row],[_Row]])="",TRUE()),"",INDEX(tsk_WBS,GanttView[[#This Row],[_Row]]))</f>
        <v/>
      </c>
      <c r="C78" s="65" t="str">
        <f aca="false">IF(IFERROR(INDEX(tsk_Name,GanttView[[#This Row],[_Row]])="",TRUE()),"",REPT("    ",INDEX(tsk_Level,GanttView[[#This Row],[_Row]])-1)&amp;INDEX(tsk_Name,GanttView[[#This Row],[_Row]]))</f>
        <v/>
      </c>
      <c r="D7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6" t="str">
        <f aca="false">IF(IFERROR(INDEX(tsk_Name,GanttView[[#This Row],[_Row]])="",TRUE()),"",INDEX(tsk_PlanStart,GanttView[[#This Row],[_Row]]))</f>
        <v/>
      </c>
      <c r="F78" s="66" t="str">
        <f aca="false">IF(IFERROR(INDEX(tsk_Name,GanttView[[#This Row],[_Row]])="",TRUE()),"",INDEX(tsk_PlanFinish,GanttView[[#This Row],[_Row]]))</f>
        <v/>
      </c>
      <c r="G78" s="66" t="str">
        <f aca="false">IF(IFERROR(INDEX(tsk_Name,GanttView[[#This Row],[_Row]])="",TRUE()),"",INDEX(tsk_FcStart,GanttView[[#This Row],[_Row]]))</f>
        <v/>
      </c>
      <c r="H78" s="66" t="str">
        <f aca="false">IF(IFERROR(INDEX(tsk_Name,GanttView[[#This Row],[_Row]])="",TRUE()),"",INDEX(tsk_FcFinish,GanttView[[#This Row],[_Row]]))</f>
        <v/>
      </c>
      <c r="I78" s="67" t="str">
        <f aca="false">IF(IFERROR(INDEX(tsk_Name,GanttView[[#This Row],[_Row]])="",TRUE()),"",INDEX(tsk_Progress,GanttView[[#This Row],[_Row]]))</f>
        <v/>
      </c>
      <c r="J78" s="65" t="str">
        <f aca="false">IF(IFERROR(INDEX(tsk_Name,GanttView[[#This Row],[_Row]])="",TRUE()),"",INDEX(tsk_Resource,GanttView[[#This Row],[_Row]])&amp;"")</f>
        <v/>
      </c>
      <c r="K78" s="64" t="str">
        <f aca="false">IF(IFERROR(INDEX(tsk_Name,GanttView[[#This Row],[_Row]])="",TRUE()),"",INDEX(tsk_Status,GanttView[[#This Row],[_Row]]))</f>
        <v/>
      </c>
      <c r="L78" s="68" t="n">
        <f aca="false">ROW()-ROW(GanttView[[#Headers],[ID]])</f>
        <v>73</v>
      </c>
      <c r="M78" s="69" t="b">
        <f aca="false">IF(IFERROR(INDEX(tsk_Name,GanttView[[#This Row],[_Row]])="",TRUE()),FALSE(),INDEX(tsk_IsSummary,GanttView[[#This Row],[_Row]]))</f>
        <v>0</v>
      </c>
      <c r="N78" s="69" t="b">
        <f aca="false">IF(IFERROR(INDEX(tsk_Name,GanttView[[#This Row],[_Row]])="",TRUE()),FALSE(),AND(INDEX(tsk_IsLeaf,GanttView[[#This Row],[_Row]])=1,N(INDEX(tsk_Duration,GanttView[[#This Row],[_Row]]))=0))</f>
        <v>0</v>
      </c>
      <c r="O7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70" t="n">
        <f aca="false">IF(GanttView[[#This Row],[_RemFrom]]=0,0,GanttView[[#This Row],[Forecast Finish]])</f>
        <v>0</v>
      </c>
      <c r="S78" s="69" t="b">
        <f aca="false">IF(IFERROR(INDEX(tsk_Name,GanttView[[#This Row],[_Row]])="",TRUE()),FALSE(),N(INDEX(tsk_Variance,GanttView[[#This Row],[_Row]]))&gt;0)</f>
        <v>0</v>
      </c>
      <c r="T78" s="70" t="n">
        <f aca="false">IF(IFERROR(INDEX(tsk_Name,GanttView[[#This Row],[_Row]])="",TRUE()),0,N(INDEX(tsk_Deadline,GanttView[[#This Row],[_Row]])))</f>
        <v>0</v>
      </c>
      <c r="U78" s="69" t="b">
        <f aca="false">IF(IFERROR(INDEX(tsk_Name,GanttView[[#This Row],[_Row]])="",TRUE()),FALSE(),INDEX(tsk_Critical,GanttView[[#This Row],[_Row]])="Yes")</f>
        <v>0</v>
      </c>
    </row>
    <row r="79" customFormat="false" ht="15" hidden="false" customHeight="false" outlineLevel="0" collapsed="false">
      <c r="A79" s="64" t="str">
        <f aca="false">IF(IFERROR(INDEX(tsk_Name,GanttView[[#This Row],[_Row]])="",TRUE()),"",INDEX(tsk_ID,GanttView[[#This Row],[_Row]]))</f>
        <v/>
      </c>
      <c r="B79" s="64" t="str">
        <f aca="false">IF(IFERROR(INDEX(tsk_Name,GanttView[[#This Row],[_Row]])="",TRUE()),"",INDEX(tsk_WBS,GanttView[[#This Row],[_Row]]))</f>
        <v/>
      </c>
      <c r="C79" s="65" t="str">
        <f aca="false">IF(IFERROR(INDEX(tsk_Name,GanttView[[#This Row],[_Row]])="",TRUE()),"",REPT("    ",INDEX(tsk_Level,GanttView[[#This Row],[_Row]])-1)&amp;INDEX(tsk_Name,GanttView[[#This Row],[_Row]]))</f>
        <v/>
      </c>
      <c r="D7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6" t="str">
        <f aca="false">IF(IFERROR(INDEX(tsk_Name,GanttView[[#This Row],[_Row]])="",TRUE()),"",INDEX(tsk_PlanStart,GanttView[[#This Row],[_Row]]))</f>
        <v/>
      </c>
      <c r="F79" s="66" t="str">
        <f aca="false">IF(IFERROR(INDEX(tsk_Name,GanttView[[#This Row],[_Row]])="",TRUE()),"",INDEX(tsk_PlanFinish,GanttView[[#This Row],[_Row]]))</f>
        <v/>
      </c>
      <c r="G79" s="66" t="str">
        <f aca="false">IF(IFERROR(INDEX(tsk_Name,GanttView[[#This Row],[_Row]])="",TRUE()),"",INDEX(tsk_FcStart,GanttView[[#This Row],[_Row]]))</f>
        <v/>
      </c>
      <c r="H79" s="66" t="str">
        <f aca="false">IF(IFERROR(INDEX(tsk_Name,GanttView[[#This Row],[_Row]])="",TRUE()),"",INDEX(tsk_FcFinish,GanttView[[#This Row],[_Row]]))</f>
        <v/>
      </c>
      <c r="I79" s="67" t="str">
        <f aca="false">IF(IFERROR(INDEX(tsk_Name,GanttView[[#This Row],[_Row]])="",TRUE()),"",INDEX(tsk_Progress,GanttView[[#This Row],[_Row]]))</f>
        <v/>
      </c>
      <c r="J79" s="65" t="str">
        <f aca="false">IF(IFERROR(INDEX(tsk_Name,GanttView[[#This Row],[_Row]])="",TRUE()),"",INDEX(tsk_Resource,GanttView[[#This Row],[_Row]])&amp;"")</f>
        <v/>
      </c>
      <c r="K79" s="64" t="str">
        <f aca="false">IF(IFERROR(INDEX(tsk_Name,GanttView[[#This Row],[_Row]])="",TRUE()),"",INDEX(tsk_Status,GanttView[[#This Row],[_Row]]))</f>
        <v/>
      </c>
      <c r="L79" s="68" t="n">
        <f aca="false">ROW()-ROW(GanttView[[#Headers],[ID]])</f>
        <v>74</v>
      </c>
      <c r="M79" s="69" t="b">
        <f aca="false">IF(IFERROR(INDEX(tsk_Name,GanttView[[#This Row],[_Row]])="",TRUE()),FALSE(),INDEX(tsk_IsSummary,GanttView[[#This Row],[_Row]]))</f>
        <v>0</v>
      </c>
      <c r="N79" s="69" t="b">
        <f aca="false">IF(IFERROR(INDEX(tsk_Name,GanttView[[#This Row],[_Row]])="",TRUE()),FALSE(),AND(INDEX(tsk_IsLeaf,GanttView[[#This Row],[_Row]])=1,N(INDEX(tsk_Duration,GanttView[[#This Row],[_Row]]))=0))</f>
        <v>0</v>
      </c>
      <c r="O7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70" t="n">
        <f aca="false">IF(GanttView[[#This Row],[_RemFrom]]=0,0,GanttView[[#This Row],[Forecast Finish]])</f>
        <v>0</v>
      </c>
      <c r="S79" s="69" t="b">
        <f aca="false">IF(IFERROR(INDEX(tsk_Name,GanttView[[#This Row],[_Row]])="",TRUE()),FALSE(),N(INDEX(tsk_Variance,GanttView[[#This Row],[_Row]]))&gt;0)</f>
        <v>0</v>
      </c>
      <c r="T79" s="70" t="n">
        <f aca="false">IF(IFERROR(INDEX(tsk_Name,GanttView[[#This Row],[_Row]])="",TRUE()),0,N(INDEX(tsk_Deadline,GanttView[[#This Row],[_Row]])))</f>
        <v>0</v>
      </c>
      <c r="U79" s="69" t="b">
        <f aca="false">IF(IFERROR(INDEX(tsk_Name,GanttView[[#This Row],[_Row]])="",TRUE()),FALSE(),INDEX(tsk_Critical,GanttView[[#This Row],[_Row]])="Yes")</f>
        <v>0</v>
      </c>
    </row>
    <row r="80" customFormat="false" ht="15" hidden="false" customHeight="false" outlineLevel="0" collapsed="false">
      <c r="A80" s="64" t="str">
        <f aca="false">IF(IFERROR(INDEX(tsk_Name,GanttView[[#This Row],[_Row]])="",TRUE()),"",INDEX(tsk_ID,GanttView[[#This Row],[_Row]]))</f>
        <v/>
      </c>
      <c r="B80" s="64" t="str">
        <f aca="false">IF(IFERROR(INDEX(tsk_Name,GanttView[[#This Row],[_Row]])="",TRUE()),"",INDEX(tsk_WBS,GanttView[[#This Row],[_Row]]))</f>
        <v/>
      </c>
      <c r="C80" s="65" t="str">
        <f aca="false">IF(IFERROR(INDEX(tsk_Name,GanttView[[#This Row],[_Row]])="",TRUE()),"",REPT("    ",INDEX(tsk_Level,GanttView[[#This Row],[_Row]])-1)&amp;INDEX(tsk_Name,GanttView[[#This Row],[_Row]]))</f>
        <v/>
      </c>
      <c r="D8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6" t="str">
        <f aca="false">IF(IFERROR(INDEX(tsk_Name,GanttView[[#This Row],[_Row]])="",TRUE()),"",INDEX(tsk_PlanStart,GanttView[[#This Row],[_Row]]))</f>
        <v/>
      </c>
      <c r="F80" s="66" t="str">
        <f aca="false">IF(IFERROR(INDEX(tsk_Name,GanttView[[#This Row],[_Row]])="",TRUE()),"",INDEX(tsk_PlanFinish,GanttView[[#This Row],[_Row]]))</f>
        <v/>
      </c>
      <c r="G80" s="66" t="str">
        <f aca="false">IF(IFERROR(INDEX(tsk_Name,GanttView[[#This Row],[_Row]])="",TRUE()),"",INDEX(tsk_FcStart,GanttView[[#This Row],[_Row]]))</f>
        <v/>
      </c>
      <c r="H80" s="66" t="str">
        <f aca="false">IF(IFERROR(INDEX(tsk_Name,GanttView[[#This Row],[_Row]])="",TRUE()),"",INDEX(tsk_FcFinish,GanttView[[#This Row],[_Row]]))</f>
        <v/>
      </c>
      <c r="I80" s="67" t="str">
        <f aca="false">IF(IFERROR(INDEX(tsk_Name,GanttView[[#This Row],[_Row]])="",TRUE()),"",INDEX(tsk_Progress,GanttView[[#This Row],[_Row]]))</f>
        <v/>
      </c>
      <c r="J80" s="65" t="str">
        <f aca="false">IF(IFERROR(INDEX(tsk_Name,GanttView[[#This Row],[_Row]])="",TRUE()),"",INDEX(tsk_Resource,GanttView[[#This Row],[_Row]])&amp;"")</f>
        <v/>
      </c>
      <c r="K80" s="64" t="str">
        <f aca="false">IF(IFERROR(INDEX(tsk_Name,GanttView[[#This Row],[_Row]])="",TRUE()),"",INDEX(tsk_Status,GanttView[[#This Row],[_Row]]))</f>
        <v/>
      </c>
      <c r="L80" s="68" t="n">
        <f aca="false">ROW()-ROW(GanttView[[#Headers],[ID]])</f>
        <v>75</v>
      </c>
      <c r="M80" s="69" t="b">
        <f aca="false">IF(IFERROR(INDEX(tsk_Name,GanttView[[#This Row],[_Row]])="",TRUE()),FALSE(),INDEX(tsk_IsSummary,GanttView[[#This Row],[_Row]]))</f>
        <v>0</v>
      </c>
      <c r="N80" s="69" t="b">
        <f aca="false">IF(IFERROR(INDEX(tsk_Name,GanttView[[#This Row],[_Row]])="",TRUE()),FALSE(),AND(INDEX(tsk_IsLeaf,GanttView[[#This Row],[_Row]])=1,N(INDEX(tsk_Duration,GanttView[[#This Row],[_Row]]))=0))</f>
        <v>0</v>
      </c>
      <c r="O8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70" t="n">
        <f aca="false">IF(GanttView[[#This Row],[_RemFrom]]=0,0,GanttView[[#This Row],[Forecast Finish]])</f>
        <v>0</v>
      </c>
      <c r="S80" s="69" t="b">
        <f aca="false">IF(IFERROR(INDEX(tsk_Name,GanttView[[#This Row],[_Row]])="",TRUE()),FALSE(),N(INDEX(tsk_Variance,GanttView[[#This Row],[_Row]]))&gt;0)</f>
        <v>0</v>
      </c>
      <c r="T80" s="70" t="n">
        <f aca="false">IF(IFERROR(INDEX(tsk_Name,GanttView[[#This Row],[_Row]])="",TRUE()),0,N(INDEX(tsk_Deadline,GanttView[[#This Row],[_Row]])))</f>
        <v>0</v>
      </c>
      <c r="U80" s="69" t="b">
        <f aca="false">IF(IFERROR(INDEX(tsk_Name,GanttView[[#This Row],[_Row]])="",TRUE()),FALSE(),INDEX(tsk_Critical,GanttView[[#This Row],[_Row]])="Yes")</f>
        <v>0</v>
      </c>
    </row>
    <row r="81" customFormat="false" ht="15" hidden="false" customHeight="false" outlineLevel="0" collapsed="false">
      <c r="A81" s="64" t="str">
        <f aca="false">IF(IFERROR(INDEX(tsk_Name,GanttView[[#This Row],[_Row]])="",TRUE()),"",INDEX(tsk_ID,GanttView[[#This Row],[_Row]]))</f>
        <v/>
      </c>
      <c r="B81" s="64" t="str">
        <f aca="false">IF(IFERROR(INDEX(tsk_Name,GanttView[[#This Row],[_Row]])="",TRUE()),"",INDEX(tsk_WBS,GanttView[[#This Row],[_Row]]))</f>
        <v/>
      </c>
      <c r="C81" s="65" t="str">
        <f aca="false">IF(IFERROR(INDEX(tsk_Name,GanttView[[#This Row],[_Row]])="",TRUE()),"",REPT("    ",INDEX(tsk_Level,GanttView[[#This Row],[_Row]])-1)&amp;INDEX(tsk_Name,GanttView[[#This Row],[_Row]]))</f>
        <v/>
      </c>
      <c r="D8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6" t="str">
        <f aca="false">IF(IFERROR(INDEX(tsk_Name,GanttView[[#This Row],[_Row]])="",TRUE()),"",INDEX(tsk_PlanStart,GanttView[[#This Row],[_Row]]))</f>
        <v/>
      </c>
      <c r="F81" s="66" t="str">
        <f aca="false">IF(IFERROR(INDEX(tsk_Name,GanttView[[#This Row],[_Row]])="",TRUE()),"",INDEX(tsk_PlanFinish,GanttView[[#This Row],[_Row]]))</f>
        <v/>
      </c>
      <c r="G81" s="66" t="str">
        <f aca="false">IF(IFERROR(INDEX(tsk_Name,GanttView[[#This Row],[_Row]])="",TRUE()),"",INDEX(tsk_FcStart,GanttView[[#This Row],[_Row]]))</f>
        <v/>
      </c>
      <c r="H81" s="66" t="str">
        <f aca="false">IF(IFERROR(INDEX(tsk_Name,GanttView[[#This Row],[_Row]])="",TRUE()),"",INDEX(tsk_FcFinish,GanttView[[#This Row],[_Row]]))</f>
        <v/>
      </c>
      <c r="I81" s="67" t="str">
        <f aca="false">IF(IFERROR(INDEX(tsk_Name,GanttView[[#This Row],[_Row]])="",TRUE()),"",INDEX(tsk_Progress,GanttView[[#This Row],[_Row]]))</f>
        <v/>
      </c>
      <c r="J81" s="65" t="str">
        <f aca="false">IF(IFERROR(INDEX(tsk_Name,GanttView[[#This Row],[_Row]])="",TRUE()),"",INDEX(tsk_Resource,GanttView[[#This Row],[_Row]])&amp;"")</f>
        <v/>
      </c>
      <c r="K81" s="64" t="str">
        <f aca="false">IF(IFERROR(INDEX(tsk_Name,GanttView[[#This Row],[_Row]])="",TRUE()),"",INDEX(tsk_Status,GanttView[[#This Row],[_Row]]))</f>
        <v/>
      </c>
      <c r="L81" s="68" t="n">
        <f aca="false">ROW()-ROW(GanttView[[#Headers],[ID]])</f>
        <v>76</v>
      </c>
      <c r="M81" s="69" t="b">
        <f aca="false">IF(IFERROR(INDEX(tsk_Name,GanttView[[#This Row],[_Row]])="",TRUE()),FALSE(),INDEX(tsk_IsSummary,GanttView[[#This Row],[_Row]]))</f>
        <v>0</v>
      </c>
      <c r="N81" s="69" t="b">
        <f aca="false">IF(IFERROR(INDEX(tsk_Name,GanttView[[#This Row],[_Row]])="",TRUE()),FALSE(),AND(INDEX(tsk_IsLeaf,GanttView[[#This Row],[_Row]])=1,N(INDEX(tsk_Duration,GanttView[[#This Row],[_Row]]))=0))</f>
        <v>0</v>
      </c>
      <c r="O8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70" t="n">
        <f aca="false">IF(GanttView[[#This Row],[_RemFrom]]=0,0,GanttView[[#This Row],[Forecast Finish]])</f>
        <v>0</v>
      </c>
      <c r="S81" s="69" t="b">
        <f aca="false">IF(IFERROR(INDEX(tsk_Name,GanttView[[#This Row],[_Row]])="",TRUE()),FALSE(),N(INDEX(tsk_Variance,GanttView[[#This Row],[_Row]]))&gt;0)</f>
        <v>0</v>
      </c>
      <c r="T81" s="70" t="n">
        <f aca="false">IF(IFERROR(INDEX(tsk_Name,GanttView[[#This Row],[_Row]])="",TRUE()),0,N(INDEX(tsk_Deadline,GanttView[[#This Row],[_Row]])))</f>
        <v>0</v>
      </c>
      <c r="U81" s="69" t="b">
        <f aca="false">IF(IFERROR(INDEX(tsk_Name,GanttView[[#This Row],[_Row]])="",TRUE()),FALSE(),INDEX(tsk_Critical,GanttView[[#This Row],[_Row]])="Yes")</f>
        <v>0</v>
      </c>
    </row>
    <row r="82" customFormat="false" ht="15" hidden="false" customHeight="false" outlineLevel="0" collapsed="false">
      <c r="A82" s="64" t="str">
        <f aca="false">IF(IFERROR(INDEX(tsk_Name,GanttView[[#This Row],[_Row]])="",TRUE()),"",INDEX(tsk_ID,GanttView[[#This Row],[_Row]]))</f>
        <v/>
      </c>
      <c r="B82" s="64" t="str">
        <f aca="false">IF(IFERROR(INDEX(tsk_Name,GanttView[[#This Row],[_Row]])="",TRUE()),"",INDEX(tsk_WBS,GanttView[[#This Row],[_Row]]))</f>
        <v/>
      </c>
      <c r="C82" s="65" t="str">
        <f aca="false">IF(IFERROR(INDEX(tsk_Name,GanttView[[#This Row],[_Row]])="",TRUE()),"",REPT("    ",INDEX(tsk_Level,GanttView[[#This Row],[_Row]])-1)&amp;INDEX(tsk_Name,GanttView[[#This Row],[_Row]]))</f>
        <v/>
      </c>
      <c r="D8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6" t="str">
        <f aca="false">IF(IFERROR(INDEX(tsk_Name,GanttView[[#This Row],[_Row]])="",TRUE()),"",INDEX(tsk_PlanStart,GanttView[[#This Row],[_Row]]))</f>
        <v/>
      </c>
      <c r="F82" s="66" t="str">
        <f aca="false">IF(IFERROR(INDEX(tsk_Name,GanttView[[#This Row],[_Row]])="",TRUE()),"",INDEX(tsk_PlanFinish,GanttView[[#This Row],[_Row]]))</f>
        <v/>
      </c>
      <c r="G82" s="66" t="str">
        <f aca="false">IF(IFERROR(INDEX(tsk_Name,GanttView[[#This Row],[_Row]])="",TRUE()),"",INDEX(tsk_FcStart,GanttView[[#This Row],[_Row]]))</f>
        <v/>
      </c>
      <c r="H82" s="66" t="str">
        <f aca="false">IF(IFERROR(INDEX(tsk_Name,GanttView[[#This Row],[_Row]])="",TRUE()),"",INDEX(tsk_FcFinish,GanttView[[#This Row],[_Row]]))</f>
        <v/>
      </c>
      <c r="I82" s="67" t="str">
        <f aca="false">IF(IFERROR(INDEX(tsk_Name,GanttView[[#This Row],[_Row]])="",TRUE()),"",INDEX(tsk_Progress,GanttView[[#This Row],[_Row]]))</f>
        <v/>
      </c>
      <c r="J82" s="65" t="str">
        <f aca="false">IF(IFERROR(INDEX(tsk_Name,GanttView[[#This Row],[_Row]])="",TRUE()),"",INDEX(tsk_Resource,GanttView[[#This Row],[_Row]])&amp;"")</f>
        <v/>
      </c>
      <c r="K82" s="64" t="str">
        <f aca="false">IF(IFERROR(INDEX(tsk_Name,GanttView[[#This Row],[_Row]])="",TRUE()),"",INDEX(tsk_Status,GanttView[[#This Row],[_Row]]))</f>
        <v/>
      </c>
      <c r="L82" s="68" t="n">
        <f aca="false">ROW()-ROW(GanttView[[#Headers],[ID]])</f>
        <v>77</v>
      </c>
      <c r="M82" s="69" t="b">
        <f aca="false">IF(IFERROR(INDEX(tsk_Name,GanttView[[#This Row],[_Row]])="",TRUE()),FALSE(),INDEX(tsk_IsSummary,GanttView[[#This Row],[_Row]]))</f>
        <v>0</v>
      </c>
      <c r="N82" s="69" t="b">
        <f aca="false">IF(IFERROR(INDEX(tsk_Name,GanttView[[#This Row],[_Row]])="",TRUE()),FALSE(),AND(INDEX(tsk_IsLeaf,GanttView[[#This Row],[_Row]])=1,N(INDEX(tsk_Duration,GanttView[[#This Row],[_Row]]))=0))</f>
        <v>0</v>
      </c>
      <c r="O8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70" t="n">
        <f aca="false">IF(GanttView[[#This Row],[_RemFrom]]=0,0,GanttView[[#This Row],[Forecast Finish]])</f>
        <v>0</v>
      </c>
      <c r="S82" s="69" t="b">
        <f aca="false">IF(IFERROR(INDEX(tsk_Name,GanttView[[#This Row],[_Row]])="",TRUE()),FALSE(),N(INDEX(tsk_Variance,GanttView[[#This Row],[_Row]]))&gt;0)</f>
        <v>0</v>
      </c>
      <c r="T82" s="70" t="n">
        <f aca="false">IF(IFERROR(INDEX(tsk_Name,GanttView[[#This Row],[_Row]])="",TRUE()),0,N(INDEX(tsk_Deadline,GanttView[[#This Row],[_Row]])))</f>
        <v>0</v>
      </c>
      <c r="U82" s="69" t="b">
        <f aca="false">IF(IFERROR(INDEX(tsk_Name,GanttView[[#This Row],[_Row]])="",TRUE()),FALSE(),INDEX(tsk_Critical,GanttView[[#This Row],[_Row]])="Yes")</f>
        <v>0</v>
      </c>
    </row>
    <row r="83" customFormat="false" ht="15" hidden="false" customHeight="false" outlineLevel="0" collapsed="false">
      <c r="A83" s="64" t="str">
        <f aca="false">IF(IFERROR(INDEX(tsk_Name,GanttView[[#This Row],[_Row]])="",TRUE()),"",INDEX(tsk_ID,GanttView[[#This Row],[_Row]]))</f>
        <v/>
      </c>
      <c r="B83" s="64" t="str">
        <f aca="false">IF(IFERROR(INDEX(tsk_Name,GanttView[[#This Row],[_Row]])="",TRUE()),"",INDEX(tsk_WBS,GanttView[[#This Row],[_Row]]))</f>
        <v/>
      </c>
      <c r="C83" s="65" t="str">
        <f aca="false">IF(IFERROR(INDEX(tsk_Name,GanttView[[#This Row],[_Row]])="",TRUE()),"",REPT("    ",INDEX(tsk_Level,GanttView[[#This Row],[_Row]])-1)&amp;INDEX(tsk_Name,GanttView[[#This Row],[_Row]]))</f>
        <v/>
      </c>
      <c r="D8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6" t="str">
        <f aca="false">IF(IFERROR(INDEX(tsk_Name,GanttView[[#This Row],[_Row]])="",TRUE()),"",INDEX(tsk_PlanStart,GanttView[[#This Row],[_Row]]))</f>
        <v/>
      </c>
      <c r="F83" s="66" t="str">
        <f aca="false">IF(IFERROR(INDEX(tsk_Name,GanttView[[#This Row],[_Row]])="",TRUE()),"",INDEX(tsk_PlanFinish,GanttView[[#This Row],[_Row]]))</f>
        <v/>
      </c>
      <c r="G83" s="66" t="str">
        <f aca="false">IF(IFERROR(INDEX(tsk_Name,GanttView[[#This Row],[_Row]])="",TRUE()),"",INDEX(tsk_FcStart,GanttView[[#This Row],[_Row]]))</f>
        <v/>
      </c>
      <c r="H83" s="66" t="str">
        <f aca="false">IF(IFERROR(INDEX(tsk_Name,GanttView[[#This Row],[_Row]])="",TRUE()),"",INDEX(tsk_FcFinish,GanttView[[#This Row],[_Row]]))</f>
        <v/>
      </c>
      <c r="I83" s="67" t="str">
        <f aca="false">IF(IFERROR(INDEX(tsk_Name,GanttView[[#This Row],[_Row]])="",TRUE()),"",INDEX(tsk_Progress,GanttView[[#This Row],[_Row]]))</f>
        <v/>
      </c>
      <c r="J83" s="65" t="str">
        <f aca="false">IF(IFERROR(INDEX(tsk_Name,GanttView[[#This Row],[_Row]])="",TRUE()),"",INDEX(tsk_Resource,GanttView[[#This Row],[_Row]])&amp;"")</f>
        <v/>
      </c>
      <c r="K83" s="64" t="str">
        <f aca="false">IF(IFERROR(INDEX(tsk_Name,GanttView[[#This Row],[_Row]])="",TRUE()),"",INDEX(tsk_Status,GanttView[[#This Row],[_Row]]))</f>
        <v/>
      </c>
      <c r="L83" s="68" t="n">
        <f aca="false">ROW()-ROW(GanttView[[#Headers],[ID]])</f>
        <v>78</v>
      </c>
      <c r="M83" s="69" t="b">
        <f aca="false">IF(IFERROR(INDEX(tsk_Name,GanttView[[#This Row],[_Row]])="",TRUE()),FALSE(),INDEX(tsk_IsSummary,GanttView[[#This Row],[_Row]]))</f>
        <v>0</v>
      </c>
      <c r="N83" s="69" t="b">
        <f aca="false">IF(IFERROR(INDEX(tsk_Name,GanttView[[#This Row],[_Row]])="",TRUE()),FALSE(),AND(INDEX(tsk_IsLeaf,GanttView[[#This Row],[_Row]])=1,N(INDEX(tsk_Duration,GanttView[[#This Row],[_Row]]))=0))</f>
        <v>0</v>
      </c>
      <c r="O8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70" t="n">
        <f aca="false">IF(GanttView[[#This Row],[_RemFrom]]=0,0,GanttView[[#This Row],[Forecast Finish]])</f>
        <v>0</v>
      </c>
      <c r="S83" s="69" t="b">
        <f aca="false">IF(IFERROR(INDEX(tsk_Name,GanttView[[#This Row],[_Row]])="",TRUE()),FALSE(),N(INDEX(tsk_Variance,GanttView[[#This Row],[_Row]]))&gt;0)</f>
        <v>0</v>
      </c>
      <c r="T83" s="70" t="n">
        <f aca="false">IF(IFERROR(INDEX(tsk_Name,GanttView[[#This Row],[_Row]])="",TRUE()),0,N(INDEX(tsk_Deadline,GanttView[[#This Row],[_Row]])))</f>
        <v>0</v>
      </c>
      <c r="U83" s="69" t="b">
        <f aca="false">IF(IFERROR(INDEX(tsk_Name,GanttView[[#This Row],[_Row]])="",TRUE()),FALSE(),INDEX(tsk_Critical,GanttView[[#This Row],[_Row]])="Yes")</f>
        <v>0</v>
      </c>
    </row>
    <row r="84" customFormat="false" ht="15" hidden="false" customHeight="false" outlineLevel="0" collapsed="false">
      <c r="A84" s="64" t="str">
        <f aca="false">IF(IFERROR(INDEX(tsk_Name,GanttView[[#This Row],[_Row]])="",TRUE()),"",INDEX(tsk_ID,GanttView[[#This Row],[_Row]]))</f>
        <v/>
      </c>
      <c r="B84" s="64" t="str">
        <f aca="false">IF(IFERROR(INDEX(tsk_Name,GanttView[[#This Row],[_Row]])="",TRUE()),"",INDEX(tsk_WBS,GanttView[[#This Row],[_Row]]))</f>
        <v/>
      </c>
      <c r="C84" s="65" t="str">
        <f aca="false">IF(IFERROR(INDEX(tsk_Name,GanttView[[#This Row],[_Row]])="",TRUE()),"",REPT("    ",INDEX(tsk_Level,GanttView[[#This Row],[_Row]])-1)&amp;INDEX(tsk_Name,GanttView[[#This Row],[_Row]]))</f>
        <v/>
      </c>
      <c r="D8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6" t="str">
        <f aca="false">IF(IFERROR(INDEX(tsk_Name,GanttView[[#This Row],[_Row]])="",TRUE()),"",INDEX(tsk_PlanStart,GanttView[[#This Row],[_Row]]))</f>
        <v/>
      </c>
      <c r="F84" s="66" t="str">
        <f aca="false">IF(IFERROR(INDEX(tsk_Name,GanttView[[#This Row],[_Row]])="",TRUE()),"",INDEX(tsk_PlanFinish,GanttView[[#This Row],[_Row]]))</f>
        <v/>
      </c>
      <c r="G84" s="66" t="str">
        <f aca="false">IF(IFERROR(INDEX(tsk_Name,GanttView[[#This Row],[_Row]])="",TRUE()),"",INDEX(tsk_FcStart,GanttView[[#This Row],[_Row]]))</f>
        <v/>
      </c>
      <c r="H84" s="66" t="str">
        <f aca="false">IF(IFERROR(INDEX(tsk_Name,GanttView[[#This Row],[_Row]])="",TRUE()),"",INDEX(tsk_FcFinish,GanttView[[#This Row],[_Row]]))</f>
        <v/>
      </c>
      <c r="I84" s="67" t="str">
        <f aca="false">IF(IFERROR(INDEX(tsk_Name,GanttView[[#This Row],[_Row]])="",TRUE()),"",INDEX(tsk_Progress,GanttView[[#This Row],[_Row]]))</f>
        <v/>
      </c>
      <c r="J84" s="65" t="str">
        <f aca="false">IF(IFERROR(INDEX(tsk_Name,GanttView[[#This Row],[_Row]])="",TRUE()),"",INDEX(tsk_Resource,GanttView[[#This Row],[_Row]])&amp;"")</f>
        <v/>
      </c>
      <c r="K84" s="64" t="str">
        <f aca="false">IF(IFERROR(INDEX(tsk_Name,GanttView[[#This Row],[_Row]])="",TRUE()),"",INDEX(tsk_Status,GanttView[[#This Row],[_Row]]))</f>
        <v/>
      </c>
      <c r="L84" s="68" t="n">
        <f aca="false">ROW()-ROW(GanttView[[#Headers],[ID]])</f>
        <v>79</v>
      </c>
      <c r="M84" s="69" t="b">
        <f aca="false">IF(IFERROR(INDEX(tsk_Name,GanttView[[#This Row],[_Row]])="",TRUE()),FALSE(),INDEX(tsk_IsSummary,GanttView[[#This Row],[_Row]]))</f>
        <v>0</v>
      </c>
      <c r="N84" s="69" t="b">
        <f aca="false">IF(IFERROR(INDEX(tsk_Name,GanttView[[#This Row],[_Row]])="",TRUE()),FALSE(),AND(INDEX(tsk_IsLeaf,GanttView[[#This Row],[_Row]])=1,N(INDEX(tsk_Duration,GanttView[[#This Row],[_Row]]))=0))</f>
        <v>0</v>
      </c>
      <c r="O8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70" t="n">
        <f aca="false">IF(GanttView[[#This Row],[_RemFrom]]=0,0,GanttView[[#This Row],[Forecast Finish]])</f>
        <v>0</v>
      </c>
      <c r="S84" s="69" t="b">
        <f aca="false">IF(IFERROR(INDEX(tsk_Name,GanttView[[#This Row],[_Row]])="",TRUE()),FALSE(),N(INDEX(tsk_Variance,GanttView[[#This Row],[_Row]]))&gt;0)</f>
        <v>0</v>
      </c>
      <c r="T84" s="70" t="n">
        <f aca="false">IF(IFERROR(INDEX(tsk_Name,GanttView[[#This Row],[_Row]])="",TRUE()),0,N(INDEX(tsk_Deadline,GanttView[[#This Row],[_Row]])))</f>
        <v>0</v>
      </c>
      <c r="U84" s="69" t="b">
        <f aca="false">IF(IFERROR(INDEX(tsk_Name,GanttView[[#This Row],[_Row]])="",TRUE()),FALSE(),INDEX(tsk_Critical,GanttView[[#This Row],[_Row]])="Yes")</f>
        <v>0</v>
      </c>
    </row>
    <row r="85" customFormat="false" ht="15" hidden="false" customHeight="false" outlineLevel="0" collapsed="false">
      <c r="A85" s="64" t="str">
        <f aca="false">IF(IFERROR(INDEX(tsk_Name,GanttView[[#This Row],[_Row]])="",TRUE()),"",INDEX(tsk_ID,GanttView[[#This Row],[_Row]]))</f>
        <v/>
      </c>
      <c r="B85" s="64" t="str">
        <f aca="false">IF(IFERROR(INDEX(tsk_Name,GanttView[[#This Row],[_Row]])="",TRUE()),"",INDEX(tsk_WBS,GanttView[[#This Row],[_Row]]))</f>
        <v/>
      </c>
      <c r="C85" s="65" t="str">
        <f aca="false">IF(IFERROR(INDEX(tsk_Name,GanttView[[#This Row],[_Row]])="",TRUE()),"",REPT("    ",INDEX(tsk_Level,GanttView[[#This Row],[_Row]])-1)&amp;INDEX(tsk_Name,GanttView[[#This Row],[_Row]]))</f>
        <v/>
      </c>
      <c r="D8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6" t="str">
        <f aca="false">IF(IFERROR(INDEX(tsk_Name,GanttView[[#This Row],[_Row]])="",TRUE()),"",INDEX(tsk_PlanStart,GanttView[[#This Row],[_Row]]))</f>
        <v/>
      </c>
      <c r="F85" s="66" t="str">
        <f aca="false">IF(IFERROR(INDEX(tsk_Name,GanttView[[#This Row],[_Row]])="",TRUE()),"",INDEX(tsk_PlanFinish,GanttView[[#This Row],[_Row]]))</f>
        <v/>
      </c>
      <c r="G85" s="66" t="str">
        <f aca="false">IF(IFERROR(INDEX(tsk_Name,GanttView[[#This Row],[_Row]])="",TRUE()),"",INDEX(tsk_FcStart,GanttView[[#This Row],[_Row]]))</f>
        <v/>
      </c>
      <c r="H85" s="66" t="str">
        <f aca="false">IF(IFERROR(INDEX(tsk_Name,GanttView[[#This Row],[_Row]])="",TRUE()),"",INDEX(tsk_FcFinish,GanttView[[#This Row],[_Row]]))</f>
        <v/>
      </c>
      <c r="I85" s="67" t="str">
        <f aca="false">IF(IFERROR(INDEX(tsk_Name,GanttView[[#This Row],[_Row]])="",TRUE()),"",INDEX(tsk_Progress,GanttView[[#This Row],[_Row]]))</f>
        <v/>
      </c>
      <c r="J85" s="65" t="str">
        <f aca="false">IF(IFERROR(INDEX(tsk_Name,GanttView[[#This Row],[_Row]])="",TRUE()),"",INDEX(tsk_Resource,GanttView[[#This Row],[_Row]])&amp;"")</f>
        <v/>
      </c>
      <c r="K85" s="64" t="str">
        <f aca="false">IF(IFERROR(INDEX(tsk_Name,GanttView[[#This Row],[_Row]])="",TRUE()),"",INDEX(tsk_Status,GanttView[[#This Row],[_Row]]))</f>
        <v/>
      </c>
      <c r="L85" s="68" t="n">
        <f aca="false">ROW()-ROW(GanttView[[#Headers],[ID]])</f>
        <v>80</v>
      </c>
      <c r="M85" s="69" t="b">
        <f aca="false">IF(IFERROR(INDEX(tsk_Name,GanttView[[#This Row],[_Row]])="",TRUE()),FALSE(),INDEX(tsk_IsSummary,GanttView[[#This Row],[_Row]]))</f>
        <v>0</v>
      </c>
      <c r="N85" s="69" t="b">
        <f aca="false">IF(IFERROR(INDEX(tsk_Name,GanttView[[#This Row],[_Row]])="",TRUE()),FALSE(),AND(INDEX(tsk_IsLeaf,GanttView[[#This Row],[_Row]])=1,N(INDEX(tsk_Duration,GanttView[[#This Row],[_Row]]))=0))</f>
        <v>0</v>
      </c>
      <c r="O8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70" t="n">
        <f aca="false">IF(GanttView[[#This Row],[_RemFrom]]=0,0,GanttView[[#This Row],[Forecast Finish]])</f>
        <v>0</v>
      </c>
      <c r="S85" s="69" t="b">
        <f aca="false">IF(IFERROR(INDEX(tsk_Name,GanttView[[#This Row],[_Row]])="",TRUE()),FALSE(),N(INDEX(tsk_Variance,GanttView[[#This Row],[_Row]]))&gt;0)</f>
        <v>0</v>
      </c>
      <c r="T85" s="70" t="n">
        <f aca="false">IF(IFERROR(INDEX(tsk_Name,GanttView[[#This Row],[_Row]])="",TRUE()),0,N(INDEX(tsk_Deadline,GanttView[[#This Row],[_Row]])))</f>
        <v>0</v>
      </c>
      <c r="U85" s="69" t="b">
        <f aca="false">IF(IFERROR(INDEX(tsk_Name,GanttView[[#This Row],[_Row]])="",TRUE()),FALSE(),INDEX(tsk_Critical,GanttView[[#This Row],[_Row]])="Yes")</f>
        <v>0</v>
      </c>
    </row>
    <row r="86" customFormat="false" ht="15" hidden="false" customHeight="false" outlineLevel="0" collapsed="false">
      <c r="A86" s="64" t="str">
        <f aca="false">IF(IFERROR(INDEX(tsk_Name,GanttView[[#This Row],[_Row]])="",TRUE()),"",INDEX(tsk_ID,GanttView[[#This Row],[_Row]]))</f>
        <v/>
      </c>
      <c r="B86" s="64" t="str">
        <f aca="false">IF(IFERROR(INDEX(tsk_Name,GanttView[[#This Row],[_Row]])="",TRUE()),"",INDEX(tsk_WBS,GanttView[[#This Row],[_Row]]))</f>
        <v/>
      </c>
      <c r="C86" s="65" t="str">
        <f aca="false">IF(IFERROR(INDEX(tsk_Name,GanttView[[#This Row],[_Row]])="",TRUE()),"",REPT("    ",INDEX(tsk_Level,GanttView[[#This Row],[_Row]])-1)&amp;INDEX(tsk_Name,GanttView[[#This Row],[_Row]]))</f>
        <v/>
      </c>
      <c r="D8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6" t="str">
        <f aca="false">IF(IFERROR(INDEX(tsk_Name,GanttView[[#This Row],[_Row]])="",TRUE()),"",INDEX(tsk_PlanStart,GanttView[[#This Row],[_Row]]))</f>
        <v/>
      </c>
      <c r="F86" s="66" t="str">
        <f aca="false">IF(IFERROR(INDEX(tsk_Name,GanttView[[#This Row],[_Row]])="",TRUE()),"",INDEX(tsk_PlanFinish,GanttView[[#This Row],[_Row]]))</f>
        <v/>
      </c>
      <c r="G86" s="66" t="str">
        <f aca="false">IF(IFERROR(INDEX(tsk_Name,GanttView[[#This Row],[_Row]])="",TRUE()),"",INDEX(tsk_FcStart,GanttView[[#This Row],[_Row]]))</f>
        <v/>
      </c>
      <c r="H86" s="66" t="str">
        <f aca="false">IF(IFERROR(INDEX(tsk_Name,GanttView[[#This Row],[_Row]])="",TRUE()),"",INDEX(tsk_FcFinish,GanttView[[#This Row],[_Row]]))</f>
        <v/>
      </c>
      <c r="I86" s="67" t="str">
        <f aca="false">IF(IFERROR(INDEX(tsk_Name,GanttView[[#This Row],[_Row]])="",TRUE()),"",INDEX(tsk_Progress,GanttView[[#This Row],[_Row]]))</f>
        <v/>
      </c>
      <c r="J86" s="65" t="str">
        <f aca="false">IF(IFERROR(INDEX(tsk_Name,GanttView[[#This Row],[_Row]])="",TRUE()),"",INDEX(tsk_Resource,GanttView[[#This Row],[_Row]])&amp;"")</f>
        <v/>
      </c>
      <c r="K86" s="64" t="str">
        <f aca="false">IF(IFERROR(INDEX(tsk_Name,GanttView[[#This Row],[_Row]])="",TRUE()),"",INDEX(tsk_Status,GanttView[[#This Row],[_Row]]))</f>
        <v/>
      </c>
      <c r="L86" s="68" t="n">
        <f aca="false">ROW()-ROW(GanttView[[#Headers],[ID]])</f>
        <v>81</v>
      </c>
      <c r="M86" s="69" t="b">
        <f aca="false">IF(IFERROR(INDEX(tsk_Name,GanttView[[#This Row],[_Row]])="",TRUE()),FALSE(),INDEX(tsk_IsSummary,GanttView[[#This Row],[_Row]]))</f>
        <v>0</v>
      </c>
      <c r="N86" s="69" t="b">
        <f aca="false">IF(IFERROR(INDEX(tsk_Name,GanttView[[#This Row],[_Row]])="",TRUE()),FALSE(),AND(INDEX(tsk_IsLeaf,GanttView[[#This Row],[_Row]])=1,N(INDEX(tsk_Duration,GanttView[[#This Row],[_Row]]))=0))</f>
        <v>0</v>
      </c>
      <c r="O8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70" t="n">
        <f aca="false">IF(GanttView[[#This Row],[_RemFrom]]=0,0,GanttView[[#This Row],[Forecast Finish]])</f>
        <v>0</v>
      </c>
      <c r="S86" s="69" t="b">
        <f aca="false">IF(IFERROR(INDEX(tsk_Name,GanttView[[#This Row],[_Row]])="",TRUE()),FALSE(),N(INDEX(tsk_Variance,GanttView[[#This Row],[_Row]]))&gt;0)</f>
        <v>0</v>
      </c>
      <c r="T86" s="70" t="n">
        <f aca="false">IF(IFERROR(INDEX(tsk_Name,GanttView[[#This Row],[_Row]])="",TRUE()),0,N(INDEX(tsk_Deadline,GanttView[[#This Row],[_Row]])))</f>
        <v>0</v>
      </c>
      <c r="U86" s="69" t="b">
        <f aca="false">IF(IFERROR(INDEX(tsk_Name,GanttView[[#This Row],[_Row]])="",TRUE()),FALSE(),INDEX(tsk_Critical,GanttView[[#This Row],[_Row]])="Yes")</f>
        <v>0</v>
      </c>
    </row>
    <row r="87" customFormat="false" ht="15" hidden="false" customHeight="false" outlineLevel="0" collapsed="false">
      <c r="A87" s="64" t="str">
        <f aca="false">IF(IFERROR(INDEX(tsk_Name,GanttView[[#This Row],[_Row]])="",TRUE()),"",INDEX(tsk_ID,GanttView[[#This Row],[_Row]]))</f>
        <v/>
      </c>
      <c r="B87" s="64" t="str">
        <f aca="false">IF(IFERROR(INDEX(tsk_Name,GanttView[[#This Row],[_Row]])="",TRUE()),"",INDEX(tsk_WBS,GanttView[[#This Row],[_Row]]))</f>
        <v/>
      </c>
      <c r="C87" s="65" t="str">
        <f aca="false">IF(IFERROR(INDEX(tsk_Name,GanttView[[#This Row],[_Row]])="",TRUE()),"",REPT("    ",INDEX(tsk_Level,GanttView[[#This Row],[_Row]])-1)&amp;INDEX(tsk_Name,GanttView[[#This Row],[_Row]]))</f>
        <v/>
      </c>
      <c r="D8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6" t="str">
        <f aca="false">IF(IFERROR(INDEX(tsk_Name,GanttView[[#This Row],[_Row]])="",TRUE()),"",INDEX(tsk_PlanStart,GanttView[[#This Row],[_Row]]))</f>
        <v/>
      </c>
      <c r="F87" s="66" t="str">
        <f aca="false">IF(IFERROR(INDEX(tsk_Name,GanttView[[#This Row],[_Row]])="",TRUE()),"",INDEX(tsk_PlanFinish,GanttView[[#This Row],[_Row]]))</f>
        <v/>
      </c>
      <c r="G87" s="66" t="str">
        <f aca="false">IF(IFERROR(INDEX(tsk_Name,GanttView[[#This Row],[_Row]])="",TRUE()),"",INDEX(tsk_FcStart,GanttView[[#This Row],[_Row]]))</f>
        <v/>
      </c>
      <c r="H87" s="66" t="str">
        <f aca="false">IF(IFERROR(INDEX(tsk_Name,GanttView[[#This Row],[_Row]])="",TRUE()),"",INDEX(tsk_FcFinish,GanttView[[#This Row],[_Row]]))</f>
        <v/>
      </c>
      <c r="I87" s="67" t="str">
        <f aca="false">IF(IFERROR(INDEX(tsk_Name,GanttView[[#This Row],[_Row]])="",TRUE()),"",INDEX(tsk_Progress,GanttView[[#This Row],[_Row]]))</f>
        <v/>
      </c>
      <c r="J87" s="65" t="str">
        <f aca="false">IF(IFERROR(INDEX(tsk_Name,GanttView[[#This Row],[_Row]])="",TRUE()),"",INDEX(tsk_Resource,GanttView[[#This Row],[_Row]])&amp;"")</f>
        <v/>
      </c>
      <c r="K87" s="64" t="str">
        <f aca="false">IF(IFERROR(INDEX(tsk_Name,GanttView[[#This Row],[_Row]])="",TRUE()),"",INDEX(tsk_Status,GanttView[[#This Row],[_Row]]))</f>
        <v/>
      </c>
      <c r="L87" s="68" t="n">
        <f aca="false">ROW()-ROW(GanttView[[#Headers],[ID]])</f>
        <v>82</v>
      </c>
      <c r="M87" s="69" t="b">
        <f aca="false">IF(IFERROR(INDEX(tsk_Name,GanttView[[#This Row],[_Row]])="",TRUE()),FALSE(),INDEX(tsk_IsSummary,GanttView[[#This Row],[_Row]]))</f>
        <v>0</v>
      </c>
      <c r="N87" s="69" t="b">
        <f aca="false">IF(IFERROR(INDEX(tsk_Name,GanttView[[#This Row],[_Row]])="",TRUE()),FALSE(),AND(INDEX(tsk_IsLeaf,GanttView[[#This Row],[_Row]])=1,N(INDEX(tsk_Duration,GanttView[[#This Row],[_Row]]))=0))</f>
        <v>0</v>
      </c>
      <c r="O8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70" t="n">
        <f aca="false">IF(GanttView[[#This Row],[_RemFrom]]=0,0,GanttView[[#This Row],[Forecast Finish]])</f>
        <v>0</v>
      </c>
      <c r="S87" s="69" t="b">
        <f aca="false">IF(IFERROR(INDEX(tsk_Name,GanttView[[#This Row],[_Row]])="",TRUE()),FALSE(),N(INDEX(tsk_Variance,GanttView[[#This Row],[_Row]]))&gt;0)</f>
        <v>0</v>
      </c>
      <c r="T87" s="70" t="n">
        <f aca="false">IF(IFERROR(INDEX(tsk_Name,GanttView[[#This Row],[_Row]])="",TRUE()),0,N(INDEX(tsk_Deadline,GanttView[[#This Row],[_Row]])))</f>
        <v>0</v>
      </c>
      <c r="U87" s="69" t="b">
        <f aca="false">IF(IFERROR(INDEX(tsk_Name,GanttView[[#This Row],[_Row]])="",TRUE()),FALSE(),INDEX(tsk_Critical,GanttView[[#This Row],[_Row]])="Yes")</f>
        <v>0</v>
      </c>
    </row>
    <row r="88" customFormat="false" ht="15" hidden="false" customHeight="false" outlineLevel="0" collapsed="false">
      <c r="A88" s="64" t="str">
        <f aca="false">IF(IFERROR(INDEX(tsk_Name,GanttView[[#This Row],[_Row]])="",TRUE()),"",INDEX(tsk_ID,GanttView[[#This Row],[_Row]]))</f>
        <v/>
      </c>
      <c r="B88" s="64" t="str">
        <f aca="false">IF(IFERROR(INDEX(tsk_Name,GanttView[[#This Row],[_Row]])="",TRUE()),"",INDEX(tsk_WBS,GanttView[[#This Row],[_Row]]))</f>
        <v/>
      </c>
      <c r="C88" s="65" t="str">
        <f aca="false">IF(IFERROR(INDEX(tsk_Name,GanttView[[#This Row],[_Row]])="",TRUE()),"",REPT("    ",INDEX(tsk_Level,GanttView[[#This Row],[_Row]])-1)&amp;INDEX(tsk_Name,GanttView[[#This Row],[_Row]]))</f>
        <v/>
      </c>
      <c r="D8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6" t="str">
        <f aca="false">IF(IFERROR(INDEX(tsk_Name,GanttView[[#This Row],[_Row]])="",TRUE()),"",INDEX(tsk_PlanStart,GanttView[[#This Row],[_Row]]))</f>
        <v/>
      </c>
      <c r="F88" s="66" t="str">
        <f aca="false">IF(IFERROR(INDEX(tsk_Name,GanttView[[#This Row],[_Row]])="",TRUE()),"",INDEX(tsk_PlanFinish,GanttView[[#This Row],[_Row]]))</f>
        <v/>
      </c>
      <c r="G88" s="66" t="str">
        <f aca="false">IF(IFERROR(INDEX(tsk_Name,GanttView[[#This Row],[_Row]])="",TRUE()),"",INDEX(tsk_FcStart,GanttView[[#This Row],[_Row]]))</f>
        <v/>
      </c>
      <c r="H88" s="66" t="str">
        <f aca="false">IF(IFERROR(INDEX(tsk_Name,GanttView[[#This Row],[_Row]])="",TRUE()),"",INDEX(tsk_FcFinish,GanttView[[#This Row],[_Row]]))</f>
        <v/>
      </c>
      <c r="I88" s="67" t="str">
        <f aca="false">IF(IFERROR(INDEX(tsk_Name,GanttView[[#This Row],[_Row]])="",TRUE()),"",INDEX(tsk_Progress,GanttView[[#This Row],[_Row]]))</f>
        <v/>
      </c>
      <c r="J88" s="65" t="str">
        <f aca="false">IF(IFERROR(INDEX(tsk_Name,GanttView[[#This Row],[_Row]])="",TRUE()),"",INDEX(tsk_Resource,GanttView[[#This Row],[_Row]])&amp;"")</f>
        <v/>
      </c>
      <c r="K88" s="64" t="str">
        <f aca="false">IF(IFERROR(INDEX(tsk_Name,GanttView[[#This Row],[_Row]])="",TRUE()),"",INDEX(tsk_Status,GanttView[[#This Row],[_Row]]))</f>
        <v/>
      </c>
      <c r="L88" s="68" t="n">
        <f aca="false">ROW()-ROW(GanttView[[#Headers],[ID]])</f>
        <v>83</v>
      </c>
      <c r="M88" s="69" t="b">
        <f aca="false">IF(IFERROR(INDEX(tsk_Name,GanttView[[#This Row],[_Row]])="",TRUE()),FALSE(),INDEX(tsk_IsSummary,GanttView[[#This Row],[_Row]]))</f>
        <v>0</v>
      </c>
      <c r="N88" s="69" t="b">
        <f aca="false">IF(IFERROR(INDEX(tsk_Name,GanttView[[#This Row],[_Row]])="",TRUE()),FALSE(),AND(INDEX(tsk_IsLeaf,GanttView[[#This Row],[_Row]])=1,N(INDEX(tsk_Duration,GanttView[[#This Row],[_Row]]))=0))</f>
        <v>0</v>
      </c>
      <c r="O8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70" t="n">
        <f aca="false">IF(GanttView[[#This Row],[_RemFrom]]=0,0,GanttView[[#This Row],[Forecast Finish]])</f>
        <v>0</v>
      </c>
      <c r="S88" s="69" t="b">
        <f aca="false">IF(IFERROR(INDEX(tsk_Name,GanttView[[#This Row],[_Row]])="",TRUE()),FALSE(),N(INDEX(tsk_Variance,GanttView[[#This Row],[_Row]]))&gt;0)</f>
        <v>0</v>
      </c>
      <c r="T88" s="70" t="n">
        <f aca="false">IF(IFERROR(INDEX(tsk_Name,GanttView[[#This Row],[_Row]])="",TRUE()),0,N(INDEX(tsk_Deadline,GanttView[[#This Row],[_Row]])))</f>
        <v>0</v>
      </c>
      <c r="U88" s="69" t="b">
        <f aca="false">IF(IFERROR(INDEX(tsk_Name,GanttView[[#This Row],[_Row]])="",TRUE()),FALSE(),INDEX(tsk_Critical,GanttView[[#This Row],[_Row]])="Yes")</f>
        <v>0</v>
      </c>
    </row>
    <row r="89" customFormat="false" ht="15" hidden="false" customHeight="false" outlineLevel="0" collapsed="false">
      <c r="A89" s="64" t="str">
        <f aca="false">IF(IFERROR(INDEX(tsk_Name,GanttView[[#This Row],[_Row]])="",TRUE()),"",INDEX(tsk_ID,GanttView[[#This Row],[_Row]]))</f>
        <v/>
      </c>
      <c r="B89" s="64" t="str">
        <f aca="false">IF(IFERROR(INDEX(tsk_Name,GanttView[[#This Row],[_Row]])="",TRUE()),"",INDEX(tsk_WBS,GanttView[[#This Row],[_Row]]))</f>
        <v/>
      </c>
      <c r="C89" s="65" t="str">
        <f aca="false">IF(IFERROR(INDEX(tsk_Name,GanttView[[#This Row],[_Row]])="",TRUE()),"",REPT("    ",INDEX(tsk_Level,GanttView[[#This Row],[_Row]])-1)&amp;INDEX(tsk_Name,GanttView[[#This Row],[_Row]]))</f>
        <v/>
      </c>
      <c r="D8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6" t="str">
        <f aca="false">IF(IFERROR(INDEX(tsk_Name,GanttView[[#This Row],[_Row]])="",TRUE()),"",INDEX(tsk_PlanStart,GanttView[[#This Row],[_Row]]))</f>
        <v/>
      </c>
      <c r="F89" s="66" t="str">
        <f aca="false">IF(IFERROR(INDEX(tsk_Name,GanttView[[#This Row],[_Row]])="",TRUE()),"",INDEX(tsk_PlanFinish,GanttView[[#This Row],[_Row]]))</f>
        <v/>
      </c>
      <c r="G89" s="66" t="str">
        <f aca="false">IF(IFERROR(INDEX(tsk_Name,GanttView[[#This Row],[_Row]])="",TRUE()),"",INDEX(tsk_FcStart,GanttView[[#This Row],[_Row]]))</f>
        <v/>
      </c>
      <c r="H89" s="66" t="str">
        <f aca="false">IF(IFERROR(INDEX(tsk_Name,GanttView[[#This Row],[_Row]])="",TRUE()),"",INDEX(tsk_FcFinish,GanttView[[#This Row],[_Row]]))</f>
        <v/>
      </c>
      <c r="I89" s="67" t="str">
        <f aca="false">IF(IFERROR(INDEX(tsk_Name,GanttView[[#This Row],[_Row]])="",TRUE()),"",INDEX(tsk_Progress,GanttView[[#This Row],[_Row]]))</f>
        <v/>
      </c>
      <c r="J89" s="65" t="str">
        <f aca="false">IF(IFERROR(INDEX(tsk_Name,GanttView[[#This Row],[_Row]])="",TRUE()),"",INDEX(tsk_Resource,GanttView[[#This Row],[_Row]])&amp;"")</f>
        <v/>
      </c>
      <c r="K89" s="64" t="str">
        <f aca="false">IF(IFERROR(INDEX(tsk_Name,GanttView[[#This Row],[_Row]])="",TRUE()),"",INDEX(tsk_Status,GanttView[[#This Row],[_Row]]))</f>
        <v/>
      </c>
      <c r="L89" s="68" t="n">
        <f aca="false">ROW()-ROW(GanttView[[#Headers],[ID]])</f>
        <v>84</v>
      </c>
      <c r="M89" s="69" t="b">
        <f aca="false">IF(IFERROR(INDEX(tsk_Name,GanttView[[#This Row],[_Row]])="",TRUE()),FALSE(),INDEX(tsk_IsSummary,GanttView[[#This Row],[_Row]]))</f>
        <v>0</v>
      </c>
      <c r="N89" s="69" t="b">
        <f aca="false">IF(IFERROR(INDEX(tsk_Name,GanttView[[#This Row],[_Row]])="",TRUE()),FALSE(),AND(INDEX(tsk_IsLeaf,GanttView[[#This Row],[_Row]])=1,N(INDEX(tsk_Duration,GanttView[[#This Row],[_Row]]))=0))</f>
        <v>0</v>
      </c>
      <c r="O8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70" t="n">
        <f aca="false">IF(GanttView[[#This Row],[_RemFrom]]=0,0,GanttView[[#This Row],[Forecast Finish]])</f>
        <v>0</v>
      </c>
      <c r="S89" s="69" t="b">
        <f aca="false">IF(IFERROR(INDEX(tsk_Name,GanttView[[#This Row],[_Row]])="",TRUE()),FALSE(),N(INDEX(tsk_Variance,GanttView[[#This Row],[_Row]]))&gt;0)</f>
        <v>0</v>
      </c>
      <c r="T89" s="70" t="n">
        <f aca="false">IF(IFERROR(INDEX(tsk_Name,GanttView[[#This Row],[_Row]])="",TRUE()),0,N(INDEX(tsk_Deadline,GanttView[[#This Row],[_Row]])))</f>
        <v>0</v>
      </c>
      <c r="U89" s="69" t="b">
        <f aca="false">IF(IFERROR(INDEX(tsk_Name,GanttView[[#This Row],[_Row]])="",TRUE()),FALSE(),INDEX(tsk_Critical,GanttView[[#This Row],[_Row]])="Yes")</f>
        <v>0</v>
      </c>
    </row>
    <row r="90" customFormat="false" ht="15" hidden="false" customHeight="false" outlineLevel="0" collapsed="false">
      <c r="A90" s="64" t="str">
        <f aca="false">IF(IFERROR(INDEX(tsk_Name,GanttView[[#This Row],[_Row]])="",TRUE()),"",INDEX(tsk_ID,GanttView[[#This Row],[_Row]]))</f>
        <v/>
      </c>
      <c r="B90" s="64" t="str">
        <f aca="false">IF(IFERROR(INDEX(tsk_Name,GanttView[[#This Row],[_Row]])="",TRUE()),"",INDEX(tsk_WBS,GanttView[[#This Row],[_Row]]))</f>
        <v/>
      </c>
      <c r="C90" s="65" t="str">
        <f aca="false">IF(IFERROR(INDEX(tsk_Name,GanttView[[#This Row],[_Row]])="",TRUE()),"",REPT("    ",INDEX(tsk_Level,GanttView[[#This Row],[_Row]])-1)&amp;INDEX(tsk_Name,GanttView[[#This Row],[_Row]]))</f>
        <v/>
      </c>
      <c r="D9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6" t="str">
        <f aca="false">IF(IFERROR(INDEX(tsk_Name,GanttView[[#This Row],[_Row]])="",TRUE()),"",INDEX(tsk_PlanStart,GanttView[[#This Row],[_Row]]))</f>
        <v/>
      </c>
      <c r="F90" s="66" t="str">
        <f aca="false">IF(IFERROR(INDEX(tsk_Name,GanttView[[#This Row],[_Row]])="",TRUE()),"",INDEX(tsk_PlanFinish,GanttView[[#This Row],[_Row]]))</f>
        <v/>
      </c>
      <c r="G90" s="66" t="str">
        <f aca="false">IF(IFERROR(INDEX(tsk_Name,GanttView[[#This Row],[_Row]])="",TRUE()),"",INDEX(tsk_FcStart,GanttView[[#This Row],[_Row]]))</f>
        <v/>
      </c>
      <c r="H90" s="66" t="str">
        <f aca="false">IF(IFERROR(INDEX(tsk_Name,GanttView[[#This Row],[_Row]])="",TRUE()),"",INDEX(tsk_FcFinish,GanttView[[#This Row],[_Row]]))</f>
        <v/>
      </c>
      <c r="I90" s="67" t="str">
        <f aca="false">IF(IFERROR(INDEX(tsk_Name,GanttView[[#This Row],[_Row]])="",TRUE()),"",INDEX(tsk_Progress,GanttView[[#This Row],[_Row]]))</f>
        <v/>
      </c>
      <c r="J90" s="65" t="str">
        <f aca="false">IF(IFERROR(INDEX(tsk_Name,GanttView[[#This Row],[_Row]])="",TRUE()),"",INDEX(tsk_Resource,GanttView[[#This Row],[_Row]])&amp;"")</f>
        <v/>
      </c>
      <c r="K90" s="64" t="str">
        <f aca="false">IF(IFERROR(INDEX(tsk_Name,GanttView[[#This Row],[_Row]])="",TRUE()),"",INDEX(tsk_Status,GanttView[[#This Row],[_Row]]))</f>
        <v/>
      </c>
      <c r="L90" s="68" t="n">
        <f aca="false">ROW()-ROW(GanttView[[#Headers],[ID]])</f>
        <v>85</v>
      </c>
      <c r="M90" s="69" t="b">
        <f aca="false">IF(IFERROR(INDEX(tsk_Name,GanttView[[#This Row],[_Row]])="",TRUE()),FALSE(),INDEX(tsk_IsSummary,GanttView[[#This Row],[_Row]]))</f>
        <v>0</v>
      </c>
      <c r="N90" s="69" t="b">
        <f aca="false">IF(IFERROR(INDEX(tsk_Name,GanttView[[#This Row],[_Row]])="",TRUE()),FALSE(),AND(INDEX(tsk_IsLeaf,GanttView[[#This Row],[_Row]])=1,N(INDEX(tsk_Duration,GanttView[[#This Row],[_Row]]))=0))</f>
        <v>0</v>
      </c>
      <c r="O9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70" t="n">
        <f aca="false">IF(GanttView[[#This Row],[_RemFrom]]=0,0,GanttView[[#This Row],[Forecast Finish]])</f>
        <v>0</v>
      </c>
      <c r="S90" s="69" t="b">
        <f aca="false">IF(IFERROR(INDEX(tsk_Name,GanttView[[#This Row],[_Row]])="",TRUE()),FALSE(),N(INDEX(tsk_Variance,GanttView[[#This Row],[_Row]]))&gt;0)</f>
        <v>0</v>
      </c>
      <c r="T90" s="70" t="n">
        <f aca="false">IF(IFERROR(INDEX(tsk_Name,GanttView[[#This Row],[_Row]])="",TRUE()),0,N(INDEX(tsk_Deadline,GanttView[[#This Row],[_Row]])))</f>
        <v>0</v>
      </c>
      <c r="U90" s="69" t="b">
        <f aca="false">IF(IFERROR(INDEX(tsk_Name,GanttView[[#This Row],[_Row]])="",TRUE()),FALSE(),INDEX(tsk_Critical,GanttView[[#This Row],[_Row]])="Yes")</f>
        <v>0</v>
      </c>
    </row>
    <row r="91" customFormat="false" ht="15" hidden="false" customHeight="false" outlineLevel="0" collapsed="false">
      <c r="A91" s="64" t="str">
        <f aca="false">IF(IFERROR(INDEX(tsk_Name,GanttView[[#This Row],[_Row]])="",TRUE()),"",INDEX(tsk_ID,GanttView[[#This Row],[_Row]]))</f>
        <v/>
      </c>
      <c r="B91" s="64" t="str">
        <f aca="false">IF(IFERROR(INDEX(tsk_Name,GanttView[[#This Row],[_Row]])="",TRUE()),"",INDEX(tsk_WBS,GanttView[[#This Row],[_Row]]))</f>
        <v/>
      </c>
      <c r="C91" s="65" t="str">
        <f aca="false">IF(IFERROR(INDEX(tsk_Name,GanttView[[#This Row],[_Row]])="",TRUE()),"",REPT("    ",INDEX(tsk_Level,GanttView[[#This Row],[_Row]])-1)&amp;INDEX(tsk_Name,GanttView[[#This Row],[_Row]]))</f>
        <v/>
      </c>
      <c r="D9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6" t="str">
        <f aca="false">IF(IFERROR(INDEX(tsk_Name,GanttView[[#This Row],[_Row]])="",TRUE()),"",INDEX(tsk_PlanStart,GanttView[[#This Row],[_Row]]))</f>
        <v/>
      </c>
      <c r="F91" s="66" t="str">
        <f aca="false">IF(IFERROR(INDEX(tsk_Name,GanttView[[#This Row],[_Row]])="",TRUE()),"",INDEX(tsk_PlanFinish,GanttView[[#This Row],[_Row]]))</f>
        <v/>
      </c>
      <c r="G91" s="66" t="str">
        <f aca="false">IF(IFERROR(INDEX(tsk_Name,GanttView[[#This Row],[_Row]])="",TRUE()),"",INDEX(tsk_FcStart,GanttView[[#This Row],[_Row]]))</f>
        <v/>
      </c>
      <c r="H91" s="66" t="str">
        <f aca="false">IF(IFERROR(INDEX(tsk_Name,GanttView[[#This Row],[_Row]])="",TRUE()),"",INDEX(tsk_FcFinish,GanttView[[#This Row],[_Row]]))</f>
        <v/>
      </c>
      <c r="I91" s="67" t="str">
        <f aca="false">IF(IFERROR(INDEX(tsk_Name,GanttView[[#This Row],[_Row]])="",TRUE()),"",INDEX(tsk_Progress,GanttView[[#This Row],[_Row]]))</f>
        <v/>
      </c>
      <c r="J91" s="65" t="str">
        <f aca="false">IF(IFERROR(INDEX(tsk_Name,GanttView[[#This Row],[_Row]])="",TRUE()),"",INDEX(tsk_Resource,GanttView[[#This Row],[_Row]])&amp;"")</f>
        <v/>
      </c>
      <c r="K91" s="64" t="str">
        <f aca="false">IF(IFERROR(INDEX(tsk_Name,GanttView[[#This Row],[_Row]])="",TRUE()),"",INDEX(tsk_Status,GanttView[[#This Row],[_Row]]))</f>
        <v/>
      </c>
      <c r="L91" s="68" t="n">
        <f aca="false">ROW()-ROW(GanttView[[#Headers],[ID]])</f>
        <v>86</v>
      </c>
      <c r="M91" s="69" t="b">
        <f aca="false">IF(IFERROR(INDEX(tsk_Name,GanttView[[#This Row],[_Row]])="",TRUE()),FALSE(),INDEX(tsk_IsSummary,GanttView[[#This Row],[_Row]]))</f>
        <v>0</v>
      </c>
      <c r="N91" s="69" t="b">
        <f aca="false">IF(IFERROR(INDEX(tsk_Name,GanttView[[#This Row],[_Row]])="",TRUE()),FALSE(),AND(INDEX(tsk_IsLeaf,GanttView[[#This Row],[_Row]])=1,N(INDEX(tsk_Duration,GanttView[[#This Row],[_Row]]))=0))</f>
        <v>0</v>
      </c>
      <c r="O9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70" t="n">
        <f aca="false">IF(GanttView[[#This Row],[_RemFrom]]=0,0,GanttView[[#This Row],[Forecast Finish]])</f>
        <v>0</v>
      </c>
      <c r="S91" s="69" t="b">
        <f aca="false">IF(IFERROR(INDEX(tsk_Name,GanttView[[#This Row],[_Row]])="",TRUE()),FALSE(),N(INDEX(tsk_Variance,GanttView[[#This Row],[_Row]]))&gt;0)</f>
        <v>0</v>
      </c>
      <c r="T91" s="70" t="n">
        <f aca="false">IF(IFERROR(INDEX(tsk_Name,GanttView[[#This Row],[_Row]])="",TRUE()),0,N(INDEX(tsk_Deadline,GanttView[[#This Row],[_Row]])))</f>
        <v>0</v>
      </c>
      <c r="U91" s="69" t="b">
        <f aca="false">IF(IFERROR(INDEX(tsk_Name,GanttView[[#This Row],[_Row]])="",TRUE()),FALSE(),INDEX(tsk_Critical,GanttView[[#This Row],[_Row]])="Yes")</f>
        <v>0</v>
      </c>
    </row>
    <row r="92" customFormat="false" ht="15" hidden="false" customHeight="false" outlineLevel="0" collapsed="false">
      <c r="A92" s="64" t="str">
        <f aca="false">IF(IFERROR(INDEX(tsk_Name,GanttView[[#This Row],[_Row]])="",TRUE()),"",INDEX(tsk_ID,GanttView[[#This Row],[_Row]]))</f>
        <v/>
      </c>
      <c r="B92" s="64" t="str">
        <f aca="false">IF(IFERROR(INDEX(tsk_Name,GanttView[[#This Row],[_Row]])="",TRUE()),"",INDEX(tsk_WBS,GanttView[[#This Row],[_Row]]))</f>
        <v/>
      </c>
      <c r="C92" s="65" t="str">
        <f aca="false">IF(IFERROR(INDEX(tsk_Name,GanttView[[#This Row],[_Row]])="",TRUE()),"",REPT("    ",INDEX(tsk_Level,GanttView[[#This Row],[_Row]])-1)&amp;INDEX(tsk_Name,GanttView[[#This Row],[_Row]]))</f>
        <v/>
      </c>
      <c r="D9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6" t="str">
        <f aca="false">IF(IFERROR(INDEX(tsk_Name,GanttView[[#This Row],[_Row]])="",TRUE()),"",INDEX(tsk_PlanStart,GanttView[[#This Row],[_Row]]))</f>
        <v/>
      </c>
      <c r="F92" s="66" t="str">
        <f aca="false">IF(IFERROR(INDEX(tsk_Name,GanttView[[#This Row],[_Row]])="",TRUE()),"",INDEX(tsk_PlanFinish,GanttView[[#This Row],[_Row]]))</f>
        <v/>
      </c>
      <c r="G92" s="66" t="str">
        <f aca="false">IF(IFERROR(INDEX(tsk_Name,GanttView[[#This Row],[_Row]])="",TRUE()),"",INDEX(tsk_FcStart,GanttView[[#This Row],[_Row]]))</f>
        <v/>
      </c>
      <c r="H92" s="66" t="str">
        <f aca="false">IF(IFERROR(INDEX(tsk_Name,GanttView[[#This Row],[_Row]])="",TRUE()),"",INDEX(tsk_FcFinish,GanttView[[#This Row],[_Row]]))</f>
        <v/>
      </c>
      <c r="I92" s="67" t="str">
        <f aca="false">IF(IFERROR(INDEX(tsk_Name,GanttView[[#This Row],[_Row]])="",TRUE()),"",INDEX(tsk_Progress,GanttView[[#This Row],[_Row]]))</f>
        <v/>
      </c>
      <c r="J92" s="65" t="str">
        <f aca="false">IF(IFERROR(INDEX(tsk_Name,GanttView[[#This Row],[_Row]])="",TRUE()),"",INDEX(tsk_Resource,GanttView[[#This Row],[_Row]])&amp;"")</f>
        <v/>
      </c>
      <c r="K92" s="64" t="str">
        <f aca="false">IF(IFERROR(INDEX(tsk_Name,GanttView[[#This Row],[_Row]])="",TRUE()),"",INDEX(tsk_Status,GanttView[[#This Row],[_Row]]))</f>
        <v/>
      </c>
      <c r="L92" s="68" t="n">
        <f aca="false">ROW()-ROW(GanttView[[#Headers],[ID]])</f>
        <v>87</v>
      </c>
      <c r="M92" s="69" t="b">
        <f aca="false">IF(IFERROR(INDEX(tsk_Name,GanttView[[#This Row],[_Row]])="",TRUE()),FALSE(),INDEX(tsk_IsSummary,GanttView[[#This Row],[_Row]]))</f>
        <v>0</v>
      </c>
      <c r="N92" s="69" t="b">
        <f aca="false">IF(IFERROR(INDEX(tsk_Name,GanttView[[#This Row],[_Row]])="",TRUE()),FALSE(),AND(INDEX(tsk_IsLeaf,GanttView[[#This Row],[_Row]])=1,N(INDEX(tsk_Duration,GanttView[[#This Row],[_Row]]))=0))</f>
        <v>0</v>
      </c>
      <c r="O9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70" t="n">
        <f aca="false">IF(GanttView[[#This Row],[_RemFrom]]=0,0,GanttView[[#This Row],[Forecast Finish]])</f>
        <v>0</v>
      </c>
      <c r="S92" s="69" t="b">
        <f aca="false">IF(IFERROR(INDEX(tsk_Name,GanttView[[#This Row],[_Row]])="",TRUE()),FALSE(),N(INDEX(tsk_Variance,GanttView[[#This Row],[_Row]]))&gt;0)</f>
        <v>0</v>
      </c>
      <c r="T92" s="70" t="n">
        <f aca="false">IF(IFERROR(INDEX(tsk_Name,GanttView[[#This Row],[_Row]])="",TRUE()),0,N(INDEX(tsk_Deadline,GanttView[[#This Row],[_Row]])))</f>
        <v>0</v>
      </c>
      <c r="U92" s="69" t="b">
        <f aca="false">IF(IFERROR(INDEX(tsk_Name,GanttView[[#This Row],[_Row]])="",TRUE()),FALSE(),INDEX(tsk_Critical,GanttView[[#This Row],[_Row]])="Yes")</f>
        <v>0</v>
      </c>
    </row>
    <row r="93" customFormat="false" ht="15" hidden="false" customHeight="false" outlineLevel="0" collapsed="false">
      <c r="A93" s="64" t="str">
        <f aca="false">IF(IFERROR(INDEX(tsk_Name,GanttView[[#This Row],[_Row]])="",TRUE()),"",INDEX(tsk_ID,GanttView[[#This Row],[_Row]]))</f>
        <v/>
      </c>
      <c r="B93" s="64" t="str">
        <f aca="false">IF(IFERROR(INDEX(tsk_Name,GanttView[[#This Row],[_Row]])="",TRUE()),"",INDEX(tsk_WBS,GanttView[[#This Row],[_Row]]))</f>
        <v/>
      </c>
      <c r="C93" s="65" t="str">
        <f aca="false">IF(IFERROR(INDEX(tsk_Name,GanttView[[#This Row],[_Row]])="",TRUE()),"",REPT("    ",INDEX(tsk_Level,GanttView[[#This Row],[_Row]])-1)&amp;INDEX(tsk_Name,GanttView[[#This Row],[_Row]]))</f>
        <v/>
      </c>
      <c r="D9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6" t="str">
        <f aca="false">IF(IFERROR(INDEX(tsk_Name,GanttView[[#This Row],[_Row]])="",TRUE()),"",INDEX(tsk_PlanStart,GanttView[[#This Row],[_Row]]))</f>
        <v/>
      </c>
      <c r="F93" s="66" t="str">
        <f aca="false">IF(IFERROR(INDEX(tsk_Name,GanttView[[#This Row],[_Row]])="",TRUE()),"",INDEX(tsk_PlanFinish,GanttView[[#This Row],[_Row]]))</f>
        <v/>
      </c>
      <c r="G93" s="66" t="str">
        <f aca="false">IF(IFERROR(INDEX(tsk_Name,GanttView[[#This Row],[_Row]])="",TRUE()),"",INDEX(tsk_FcStart,GanttView[[#This Row],[_Row]]))</f>
        <v/>
      </c>
      <c r="H93" s="66" t="str">
        <f aca="false">IF(IFERROR(INDEX(tsk_Name,GanttView[[#This Row],[_Row]])="",TRUE()),"",INDEX(tsk_FcFinish,GanttView[[#This Row],[_Row]]))</f>
        <v/>
      </c>
      <c r="I93" s="67" t="str">
        <f aca="false">IF(IFERROR(INDEX(tsk_Name,GanttView[[#This Row],[_Row]])="",TRUE()),"",INDEX(tsk_Progress,GanttView[[#This Row],[_Row]]))</f>
        <v/>
      </c>
      <c r="J93" s="65" t="str">
        <f aca="false">IF(IFERROR(INDEX(tsk_Name,GanttView[[#This Row],[_Row]])="",TRUE()),"",INDEX(tsk_Resource,GanttView[[#This Row],[_Row]])&amp;"")</f>
        <v/>
      </c>
      <c r="K93" s="64" t="str">
        <f aca="false">IF(IFERROR(INDEX(tsk_Name,GanttView[[#This Row],[_Row]])="",TRUE()),"",INDEX(tsk_Status,GanttView[[#This Row],[_Row]]))</f>
        <v/>
      </c>
      <c r="L93" s="68" t="n">
        <f aca="false">ROW()-ROW(GanttView[[#Headers],[ID]])</f>
        <v>88</v>
      </c>
      <c r="M93" s="69" t="b">
        <f aca="false">IF(IFERROR(INDEX(tsk_Name,GanttView[[#This Row],[_Row]])="",TRUE()),FALSE(),INDEX(tsk_IsSummary,GanttView[[#This Row],[_Row]]))</f>
        <v>0</v>
      </c>
      <c r="N93" s="69" t="b">
        <f aca="false">IF(IFERROR(INDEX(tsk_Name,GanttView[[#This Row],[_Row]])="",TRUE()),FALSE(),AND(INDEX(tsk_IsLeaf,GanttView[[#This Row],[_Row]])=1,N(INDEX(tsk_Duration,GanttView[[#This Row],[_Row]]))=0))</f>
        <v>0</v>
      </c>
      <c r="O9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70" t="n">
        <f aca="false">IF(GanttView[[#This Row],[_RemFrom]]=0,0,GanttView[[#This Row],[Forecast Finish]])</f>
        <v>0</v>
      </c>
      <c r="S93" s="69" t="b">
        <f aca="false">IF(IFERROR(INDEX(tsk_Name,GanttView[[#This Row],[_Row]])="",TRUE()),FALSE(),N(INDEX(tsk_Variance,GanttView[[#This Row],[_Row]]))&gt;0)</f>
        <v>0</v>
      </c>
      <c r="T93" s="70" t="n">
        <f aca="false">IF(IFERROR(INDEX(tsk_Name,GanttView[[#This Row],[_Row]])="",TRUE()),0,N(INDEX(tsk_Deadline,GanttView[[#This Row],[_Row]])))</f>
        <v>0</v>
      </c>
      <c r="U93" s="69" t="b">
        <f aca="false">IF(IFERROR(INDEX(tsk_Name,GanttView[[#This Row],[_Row]])="",TRUE()),FALSE(),INDEX(tsk_Critical,GanttView[[#This Row],[_Row]])="Yes")</f>
        <v>0</v>
      </c>
    </row>
    <row r="94" customFormat="false" ht="15" hidden="false" customHeight="false" outlineLevel="0" collapsed="false">
      <c r="A94" s="64" t="str">
        <f aca="false">IF(IFERROR(INDEX(tsk_Name,GanttView[[#This Row],[_Row]])="",TRUE()),"",INDEX(tsk_ID,GanttView[[#This Row],[_Row]]))</f>
        <v/>
      </c>
      <c r="B94" s="64" t="str">
        <f aca="false">IF(IFERROR(INDEX(tsk_Name,GanttView[[#This Row],[_Row]])="",TRUE()),"",INDEX(tsk_WBS,GanttView[[#This Row],[_Row]]))</f>
        <v/>
      </c>
      <c r="C94" s="65" t="str">
        <f aca="false">IF(IFERROR(INDEX(tsk_Name,GanttView[[#This Row],[_Row]])="",TRUE()),"",REPT("    ",INDEX(tsk_Level,GanttView[[#This Row],[_Row]])-1)&amp;INDEX(tsk_Name,GanttView[[#This Row],[_Row]]))</f>
        <v/>
      </c>
      <c r="D9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6" t="str">
        <f aca="false">IF(IFERROR(INDEX(tsk_Name,GanttView[[#This Row],[_Row]])="",TRUE()),"",INDEX(tsk_PlanStart,GanttView[[#This Row],[_Row]]))</f>
        <v/>
      </c>
      <c r="F94" s="66" t="str">
        <f aca="false">IF(IFERROR(INDEX(tsk_Name,GanttView[[#This Row],[_Row]])="",TRUE()),"",INDEX(tsk_PlanFinish,GanttView[[#This Row],[_Row]]))</f>
        <v/>
      </c>
      <c r="G94" s="66" t="str">
        <f aca="false">IF(IFERROR(INDEX(tsk_Name,GanttView[[#This Row],[_Row]])="",TRUE()),"",INDEX(tsk_FcStart,GanttView[[#This Row],[_Row]]))</f>
        <v/>
      </c>
      <c r="H94" s="66" t="str">
        <f aca="false">IF(IFERROR(INDEX(tsk_Name,GanttView[[#This Row],[_Row]])="",TRUE()),"",INDEX(tsk_FcFinish,GanttView[[#This Row],[_Row]]))</f>
        <v/>
      </c>
      <c r="I94" s="67" t="str">
        <f aca="false">IF(IFERROR(INDEX(tsk_Name,GanttView[[#This Row],[_Row]])="",TRUE()),"",INDEX(tsk_Progress,GanttView[[#This Row],[_Row]]))</f>
        <v/>
      </c>
      <c r="J94" s="65" t="str">
        <f aca="false">IF(IFERROR(INDEX(tsk_Name,GanttView[[#This Row],[_Row]])="",TRUE()),"",INDEX(tsk_Resource,GanttView[[#This Row],[_Row]])&amp;"")</f>
        <v/>
      </c>
      <c r="K94" s="64" t="str">
        <f aca="false">IF(IFERROR(INDEX(tsk_Name,GanttView[[#This Row],[_Row]])="",TRUE()),"",INDEX(tsk_Status,GanttView[[#This Row],[_Row]]))</f>
        <v/>
      </c>
      <c r="L94" s="68" t="n">
        <f aca="false">ROW()-ROW(GanttView[[#Headers],[ID]])</f>
        <v>89</v>
      </c>
      <c r="M94" s="69" t="b">
        <f aca="false">IF(IFERROR(INDEX(tsk_Name,GanttView[[#This Row],[_Row]])="",TRUE()),FALSE(),INDEX(tsk_IsSummary,GanttView[[#This Row],[_Row]]))</f>
        <v>0</v>
      </c>
      <c r="N94" s="69" t="b">
        <f aca="false">IF(IFERROR(INDEX(tsk_Name,GanttView[[#This Row],[_Row]])="",TRUE()),FALSE(),AND(INDEX(tsk_IsLeaf,GanttView[[#This Row],[_Row]])=1,N(INDEX(tsk_Duration,GanttView[[#This Row],[_Row]]))=0))</f>
        <v>0</v>
      </c>
      <c r="O9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70" t="n">
        <f aca="false">IF(GanttView[[#This Row],[_RemFrom]]=0,0,GanttView[[#This Row],[Forecast Finish]])</f>
        <v>0</v>
      </c>
      <c r="S94" s="69" t="b">
        <f aca="false">IF(IFERROR(INDEX(tsk_Name,GanttView[[#This Row],[_Row]])="",TRUE()),FALSE(),N(INDEX(tsk_Variance,GanttView[[#This Row],[_Row]]))&gt;0)</f>
        <v>0</v>
      </c>
      <c r="T94" s="70" t="n">
        <f aca="false">IF(IFERROR(INDEX(tsk_Name,GanttView[[#This Row],[_Row]])="",TRUE()),0,N(INDEX(tsk_Deadline,GanttView[[#This Row],[_Row]])))</f>
        <v>0</v>
      </c>
      <c r="U94" s="69" t="b">
        <f aca="false">IF(IFERROR(INDEX(tsk_Name,GanttView[[#This Row],[_Row]])="",TRUE()),FALSE(),INDEX(tsk_Critical,GanttView[[#This Row],[_Row]])="Yes")</f>
        <v>0</v>
      </c>
    </row>
    <row r="95" customFormat="false" ht="15" hidden="false" customHeight="false" outlineLevel="0" collapsed="false">
      <c r="A95" s="64" t="str">
        <f aca="false">IF(IFERROR(INDEX(tsk_Name,GanttView[[#This Row],[_Row]])="",TRUE()),"",INDEX(tsk_ID,GanttView[[#This Row],[_Row]]))</f>
        <v/>
      </c>
      <c r="B95" s="64" t="str">
        <f aca="false">IF(IFERROR(INDEX(tsk_Name,GanttView[[#This Row],[_Row]])="",TRUE()),"",INDEX(tsk_WBS,GanttView[[#This Row],[_Row]]))</f>
        <v/>
      </c>
      <c r="C95" s="65" t="str">
        <f aca="false">IF(IFERROR(INDEX(tsk_Name,GanttView[[#This Row],[_Row]])="",TRUE()),"",REPT("    ",INDEX(tsk_Level,GanttView[[#This Row],[_Row]])-1)&amp;INDEX(tsk_Name,GanttView[[#This Row],[_Row]]))</f>
        <v/>
      </c>
      <c r="D9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6" t="str">
        <f aca="false">IF(IFERROR(INDEX(tsk_Name,GanttView[[#This Row],[_Row]])="",TRUE()),"",INDEX(tsk_PlanStart,GanttView[[#This Row],[_Row]]))</f>
        <v/>
      </c>
      <c r="F95" s="66" t="str">
        <f aca="false">IF(IFERROR(INDEX(tsk_Name,GanttView[[#This Row],[_Row]])="",TRUE()),"",INDEX(tsk_PlanFinish,GanttView[[#This Row],[_Row]]))</f>
        <v/>
      </c>
      <c r="G95" s="66" t="str">
        <f aca="false">IF(IFERROR(INDEX(tsk_Name,GanttView[[#This Row],[_Row]])="",TRUE()),"",INDEX(tsk_FcStart,GanttView[[#This Row],[_Row]]))</f>
        <v/>
      </c>
      <c r="H95" s="66" t="str">
        <f aca="false">IF(IFERROR(INDEX(tsk_Name,GanttView[[#This Row],[_Row]])="",TRUE()),"",INDEX(tsk_FcFinish,GanttView[[#This Row],[_Row]]))</f>
        <v/>
      </c>
      <c r="I95" s="67" t="str">
        <f aca="false">IF(IFERROR(INDEX(tsk_Name,GanttView[[#This Row],[_Row]])="",TRUE()),"",INDEX(tsk_Progress,GanttView[[#This Row],[_Row]]))</f>
        <v/>
      </c>
      <c r="J95" s="65" t="str">
        <f aca="false">IF(IFERROR(INDEX(tsk_Name,GanttView[[#This Row],[_Row]])="",TRUE()),"",INDEX(tsk_Resource,GanttView[[#This Row],[_Row]])&amp;"")</f>
        <v/>
      </c>
      <c r="K95" s="64" t="str">
        <f aca="false">IF(IFERROR(INDEX(tsk_Name,GanttView[[#This Row],[_Row]])="",TRUE()),"",INDEX(tsk_Status,GanttView[[#This Row],[_Row]]))</f>
        <v/>
      </c>
      <c r="L95" s="68" t="n">
        <f aca="false">ROW()-ROW(GanttView[[#Headers],[ID]])</f>
        <v>90</v>
      </c>
      <c r="M95" s="69" t="b">
        <f aca="false">IF(IFERROR(INDEX(tsk_Name,GanttView[[#This Row],[_Row]])="",TRUE()),FALSE(),INDEX(tsk_IsSummary,GanttView[[#This Row],[_Row]]))</f>
        <v>0</v>
      </c>
      <c r="N95" s="69" t="b">
        <f aca="false">IF(IFERROR(INDEX(tsk_Name,GanttView[[#This Row],[_Row]])="",TRUE()),FALSE(),AND(INDEX(tsk_IsLeaf,GanttView[[#This Row],[_Row]])=1,N(INDEX(tsk_Duration,GanttView[[#This Row],[_Row]]))=0))</f>
        <v>0</v>
      </c>
      <c r="O9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70" t="n">
        <f aca="false">IF(GanttView[[#This Row],[_RemFrom]]=0,0,GanttView[[#This Row],[Forecast Finish]])</f>
        <v>0</v>
      </c>
      <c r="S95" s="69" t="b">
        <f aca="false">IF(IFERROR(INDEX(tsk_Name,GanttView[[#This Row],[_Row]])="",TRUE()),FALSE(),N(INDEX(tsk_Variance,GanttView[[#This Row],[_Row]]))&gt;0)</f>
        <v>0</v>
      </c>
      <c r="T95" s="70" t="n">
        <f aca="false">IF(IFERROR(INDEX(tsk_Name,GanttView[[#This Row],[_Row]])="",TRUE()),0,N(INDEX(tsk_Deadline,GanttView[[#This Row],[_Row]])))</f>
        <v>0</v>
      </c>
      <c r="U95" s="69" t="b">
        <f aca="false">IF(IFERROR(INDEX(tsk_Name,GanttView[[#This Row],[_Row]])="",TRUE()),FALSE(),INDEX(tsk_Critical,GanttView[[#This Row],[_Row]])="Yes")</f>
        <v>0</v>
      </c>
    </row>
    <row r="96" customFormat="false" ht="15" hidden="false" customHeight="false" outlineLevel="0" collapsed="false">
      <c r="A96" s="64" t="str">
        <f aca="false">IF(IFERROR(INDEX(tsk_Name,GanttView[[#This Row],[_Row]])="",TRUE()),"",INDEX(tsk_ID,GanttView[[#This Row],[_Row]]))</f>
        <v/>
      </c>
      <c r="B96" s="64" t="str">
        <f aca="false">IF(IFERROR(INDEX(tsk_Name,GanttView[[#This Row],[_Row]])="",TRUE()),"",INDEX(tsk_WBS,GanttView[[#This Row],[_Row]]))</f>
        <v/>
      </c>
      <c r="C96" s="65" t="str">
        <f aca="false">IF(IFERROR(INDEX(tsk_Name,GanttView[[#This Row],[_Row]])="",TRUE()),"",REPT("    ",INDEX(tsk_Level,GanttView[[#This Row],[_Row]])-1)&amp;INDEX(tsk_Name,GanttView[[#This Row],[_Row]]))</f>
        <v/>
      </c>
      <c r="D9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6" t="str">
        <f aca="false">IF(IFERROR(INDEX(tsk_Name,GanttView[[#This Row],[_Row]])="",TRUE()),"",INDEX(tsk_PlanStart,GanttView[[#This Row],[_Row]]))</f>
        <v/>
      </c>
      <c r="F96" s="66" t="str">
        <f aca="false">IF(IFERROR(INDEX(tsk_Name,GanttView[[#This Row],[_Row]])="",TRUE()),"",INDEX(tsk_PlanFinish,GanttView[[#This Row],[_Row]]))</f>
        <v/>
      </c>
      <c r="G96" s="66" t="str">
        <f aca="false">IF(IFERROR(INDEX(tsk_Name,GanttView[[#This Row],[_Row]])="",TRUE()),"",INDEX(tsk_FcStart,GanttView[[#This Row],[_Row]]))</f>
        <v/>
      </c>
      <c r="H96" s="66" t="str">
        <f aca="false">IF(IFERROR(INDEX(tsk_Name,GanttView[[#This Row],[_Row]])="",TRUE()),"",INDEX(tsk_FcFinish,GanttView[[#This Row],[_Row]]))</f>
        <v/>
      </c>
      <c r="I96" s="67" t="str">
        <f aca="false">IF(IFERROR(INDEX(tsk_Name,GanttView[[#This Row],[_Row]])="",TRUE()),"",INDEX(tsk_Progress,GanttView[[#This Row],[_Row]]))</f>
        <v/>
      </c>
      <c r="J96" s="65" t="str">
        <f aca="false">IF(IFERROR(INDEX(tsk_Name,GanttView[[#This Row],[_Row]])="",TRUE()),"",INDEX(tsk_Resource,GanttView[[#This Row],[_Row]])&amp;"")</f>
        <v/>
      </c>
      <c r="K96" s="64" t="str">
        <f aca="false">IF(IFERROR(INDEX(tsk_Name,GanttView[[#This Row],[_Row]])="",TRUE()),"",INDEX(tsk_Status,GanttView[[#This Row],[_Row]]))</f>
        <v/>
      </c>
      <c r="L96" s="68" t="n">
        <f aca="false">ROW()-ROW(GanttView[[#Headers],[ID]])</f>
        <v>91</v>
      </c>
      <c r="M96" s="69" t="b">
        <f aca="false">IF(IFERROR(INDEX(tsk_Name,GanttView[[#This Row],[_Row]])="",TRUE()),FALSE(),INDEX(tsk_IsSummary,GanttView[[#This Row],[_Row]]))</f>
        <v>0</v>
      </c>
      <c r="N96" s="69" t="b">
        <f aca="false">IF(IFERROR(INDEX(tsk_Name,GanttView[[#This Row],[_Row]])="",TRUE()),FALSE(),AND(INDEX(tsk_IsLeaf,GanttView[[#This Row],[_Row]])=1,N(INDEX(tsk_Duration,GanttView[[#This Row],[_Row]]))=0))</f>
        <v>0</v>
      </c>
      <c r="O9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70" t="n">
        <f aca="false">IF(GanttView[[#This Row],[_RemFrom]]=0,0,GanttView[[#This Row],[Forecast Finish]])</f>
        <v>0</v>
      </c>
      <c r="S96" s="69" t="b">
        <f aca="false">IF(IFERROR(INDEX(tsk_Name,GanttView[[#This Row],[_Row]])="",TRUE()),FALSE(),N(INDEX(tsk_Variance,GanttView[[#This Row],[_Row]]))&gt;0)</f>
        <v>0</v>
      </c>
      <c r="T96" s="70" t="n">
        <f aca="false">IF(IFERROR(INDEX(tsk_Name,GanttView[[#This Row],[_Row]])="",TRUE()),0,N(INDEX(tsk_Deadline,GanttView[[#This Row],[_Row]])))</f>
        <v>0</v>
      </c>
      <c r="U96" s="69" t="b">
        <f aca="false">IF(IFERROR(INDEX(tsk_Name,GanttView[[#This Row],[_Row]])="",TRUE()),FALSE(),INDEX(tsk_Critical,GanttView[[#This Row],[_Row]])="Yes")</f>
        <v>0</v>
      </c>
    </row>
    <row r="97" customFormat="false" ht="15" hidden="false" customHeight="false" outlineLevel="0" collapsed="false">
      <c r="A97" s="64" t="str">
        <f aca="false">IF(IFERROR(INDEX(tsk_Name,GanttView[[#This Row],[_Row]])="",TRUE()),"",INDEX(tsk_ID,GanttView[[#This Row],[_Row]]))</f>
        <v/>
      </c>
      <c r="B97" s="64" t="str">
        <f aca="false">IF(IFERROR(INDEX(tsk_Name,GanttView[[#This Row],[_Row]])="",TRUE()),"",INDEX(tsk_WBS,GanttView[[#This Row],[_Row]]))</f>
        <v/>
      </c>
      <c r="C97" s="65" t="str">
        <f aca="false">IF(IFERROR(INDEX(tsk_Name,GanttView[[#This Row],[_Row]])="",TRUE()),"",REPT("    ",INDEX(tsk_Level,GanttView[[#This Row],[_Row]])-1)&amp;INDEX(tsk_Name,GanttView[[#This Row],[_Row]]))</f>
        <v/>
      </c>
      <c r="D9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6" t="str">
        <f aca="false">IF(IFERROR(INDEX(tsk_Name,GanttView[[#This Row],[_Row]])="",TRUE()),"",INDEX(tsk_PlanStart,GanttView[[#This Row],[_Row]]))</f>
        <v/>
      </c>
      <c r="F97" s="66" t="str">
        <f aca="false">IF(IFERROR(INDEX(tsk_Name,GanttView[[#This Row],[_Row]])="",TRUE()),"",INDEX(tsk_PlanFinish,GanttView[[#This Row],[_Row]]))</f>
        <v/>
      </c>
      <c r="G97" s="66" t="str">
        <f aca="false">IF(IFERROR(INDEX(tsk_Name,GanttView[[#This Row],[_Row]])="",TRUE()),"",INDEX(tsk_FcStart,GanttView[[#This Row],[_Row]]))</f>
        <v/>
      </c>
      <c r="H97" s="66" t="str">
        <f aca="false">IF(IFERROR(INDEX(tsk_Name,GanttView[[#This Row],[_Row]])="",TRUE()),"",INDEX(tsk_FcFinish,GanttView[[#This Row],[_Row]]))</f>
        <v/>
      </c>
      <c r="I97" s="67" t="str">
        <f aca="false">IF(IFERROR(INDEX(tsk_Name,GanttView[[#This Row],[_Row]])="",TRUE()),"",INDEX(tsk_Progress,GanttView[[#This Row],[_Row]]))</f>
        <v/>
      </c>
      <c r="J97" s="65" t="str">
        <f aca="false">IF(IFERROR(INDEX(tsk_Name,GanttView[[#This Row],[_Row]])="",TRUE()),"",INDEX(tsk_Resource,GanttView[[#This Row],[_Row]])&amp;"")</f>
        <v/>
      </c>
      <c r="K97" s="64" t="str">
        <f aca="false">IF(IFERROR(INDEX(tsk_Name,GanttView[[#This Row],[_Row]])="",TRUE()),"",INDEX(tsk_Status,GanttView[[#This Row],[_Row]]))</f>
        <v/>
      </c>
      <c r="L97" s="68" t="n">
        <f aca="false">ROW()-ROW(GanttView[[#Headers],[ID]])</f>
        <v>92</v>
      </c>
      <c r="M97" s="69" t="b">
        <f aca="false">IF(IFERROR(INDEX(tsk_Name,GanttView[[#This Row],[_Row]])="",TRUE()),FALSE(),INDEX(tsk_IsSummary,GanttView[[#This Row],[_Row]]))</f>
        <v>0</v>
      </c>
      <c r="N97" s="69" t="b">
        <f aca="false">IF(IFERROR(INDEX(tsk_Name,GanttView[[#This Row],[_Row]])="",TRUE()),FALSE(),AND(INDEX(tsk_IsLeaf,GanttView[[#This Row],[_Row]])=1,N(INDEX(tsk_Duration,GanttView[[#This Row],[_Row]]))=0))</f>
        <v>0</v>
      </c>
      <c r="O9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70" t="n">
        <f aca="false">IF(GanttView[[#This Row],[_RemFrom]]=0,0,GanttView[[#This Row],[Forecast Finish]])</f>
        <v>0</v>
      </c>
      <c r="S97" s="69" t="b">
        <f aca="false">IF(IFERROR(INDEX(tsk_Name,GanttView[[#This Row],[_Row]])="",TRUE()),FALSE(),N(INDEX(tsk_Variance,GanttView[[#This Row],[_Row]]))&gt;0)</f>
        <v>0</v>
      </c>
      <c r="T97" s="70" t="n">
        <f aca="false">IF(IFERROR(INDEX(tsk_Name,GanttView[[#This Row],[_Row]])="",TRUE()),0,N(INDEX(tsk_Deadline,GanttView[[#This Row],[_Row]])))</f>
        <v>0</v>
      </c>
      <c r="U97" s="69" t="b">
        <f aca="false">IF(IFERROR(INDEX(tsk_Name,GanttView[[#This Row],[_Row]])="",TRUE()),FALSE(),INDEX(tsk_Critical,GanttView[[#This Row],[_Row]])="Yes")</f>
        <v>0</v>
      </c>
    </row>
    <row r="98" customFormat="false" ht="15" hidden="false" customHeight="false" outlineLevel="0" collapsed="false">
      <c r="A98" s="64" t="str">
        <f aca="false">IF(IFERROR(INDEX(tsk_Name,GanttView[[#This Row],[_Row]])="",TRUE()),"",INDEX(tsk_ID,GanttView[[#This Row],[_Row]]))</f>
        <v/>
      </c>
      <c r="B98" s="64" t="str">
        <f aca="false">IF(IFERROR(INDEX(tsk_Name,GanttView[[#This Row],[_Row]])="",TRUE()),"",INDEX(tsk_WBS,GanttView[[#This Row],[_Row]]))</f>
        <v/>
      </c>
      <c r="C98" s="65" t="str">
        <f aca="false">IF(IFERROR(INDEX(tsk_Name,GanttView[[#This Row],[_Row]])="",TRUE()),"",REPT("    ",INDEX(tsk_Level,GanttView[[#This Row],[_Row]])-1)&amp;INDEX(tsk_Name,GanttView[[#This Row],[_Row]]))</f>
        <v/>
      </c>
      <c r="D9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6" t="str">
        <f aca="false">IF(IFERROR(INDEX(tsk_Name,GanttView[[#This Row],[_Row]])="",TRUE()),"",INDEX(tsk_PlanStart,GanttView[[#This Row],[_Row]]))</f>
        <v/>
      </c>
      <c r="F98" s="66" t="str">
        <f aca="false">IF(IFERROR(INDEX(tsk_Name,GanttView[[#This Row],[_Row]])="",TRUE()),"",INDEX(tsk_PlanFinish,GanttView[[#This Row],[_Row]]))</f>
        <v/>
      </c>
      <c r="G98" s="66" t="str">
        <f aca="false">IF(IFERROR(INDEX(tsk_Name,GanttView[[#This Row],[_Row]])="",TRUE()),"",INDEX(tsk_FcStart,GanttView[[#This Row],[_Row]]))</f>
        <v/>
      </c>
      <c r="H98" s="66" t="str">
        <f aca="false">IF(IFERROR(INDEX(tsk_Name,GanttView[[#This Row],[_Row]])="",TRUE()),"",INDEX(tsk_FcFinish,GanttView[[#This Row],[_Row]]))</f>
        <v/>
      </c>
      <c r="I98" s="67" t="str">
        <f aca="false">IF(IFERROR(INDEX(tsk_Name,GanttView[[#This Row],[_Row]])="",TRUE()),"",INDEX(tsk_Progress,GanttView[[#This Row],[_Row]]))</f>
        <v/>
      </c>
      <c r="J98" s="65" t="str">
        <f aca="false">IF(IFERROR(INDEX(tsk_Name,GanttView[[#This Row],[_Row]])="",TRUE()),"",INDEX(tsk_Resource,GanttView[[#This Row],[_Row]])&amp;"")</f>
        <v/>
      </c>
      <c r="K98" s="64" t="str">
        <f aca="false">IF(IFERROR(INDEX(tsk_Name,GanttView[[#This Row],[_Row]])="",TRUE()),"",INDEX(tsk_Status,GanttView[[#This Row],[_Row]]))</f>
        <v/>
      </c>
      <c r="L98" s="68" t="n">
        <f aca="false">ROW()-ROW(GanttView[[#Headers],[ID]])</f>
        <v>93</v>
      </c>
      <c r="M98" s="69" t="b">
        <f aca="false">IF(IFERROR(INDEX(tsk_Name,GanttView[[#This Row],[_Row]])="",TRUE()),FALSE(),INDEX(tsk_IsSummary,GanttView[[#This Row],[_Row]]))</f>
        <v>0</v>
      </c>
      <c r="N98" s="69" t="b">
        <f aca="false">IF(IFERROR(INDEX(tsk_Name,GanttView[[#This Row],[_Row]])="",TRUE()),FALSE(),AND(INDEX(tsk_IsLeaf,GanttView[[#This Row],[_Row]])=1,N(INDEX(tsk_Duration,GanttView[[#This Row],[_Row]]))=0))</f>
        <v>0</v>
      </c>
      <c r="O9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70" t="n">
        <f aca="false">IF(GanttView[[#This Row],[_RemFrom]]=0,0,GanttView[[#This Row],[Forecast Finish]])</f>
        <v>0</v>
      </c>
      <c r="S98" s="69" t="b">
        <f aca="false">IF(IFERROR(INDEX(tsk_Name,GanttView[[#This Row],[_Row]])="",TRUE()),FALSE(),N(INDEX(tsk_Variance,GanttView[[#This Row],[_Row]]))&gt;0)</f>
        <v>0</v>
      </c>
      <c r="T98" s="70" t="n">
        <f aca="false">IF(IFERROR(INDEX(tsk_Name,GanttView[[#This Row],[_Row]])="",TRUE()),0,N(INDEX(tsk_Deadline,GanttView[[#This Row],[_Row]])))</f>
        <v>0</v>
      </c>
      <c r="U98" s="69" t="b">
        <f aca="false">IF(IFERROR(INDEX(tsk_Name,GanttView[[#This Row],[_Row]])="",TRUE()),FALSE(),INDEX(tsk_Critical,GanttView[[#This Row],[_Row]])="Yes")</f>
        <v>0</v>
      </c>
    </row>
    <row r="99" customFormat="false" ht="15" hidden="false" customHeight="false" outlineLevel="0" collapsed="false">
      <c r="A99" s="64" t="str">
        <f aca="false">IF(IFERROR(INDEX(tsk_Name,GanttView[[#This Row],[_Row]])="",TRUE()),"",INDEX(tsk_ID,GanttView[[#This Row],[_Row]]))</f>
        <v/>
      </c>
      <c r="B99" s="64" t="str">
        <f aca="false">IF(IFERROR(INDEX(tsk_Name,GanttView[[#This Row],[_Row]])="",TRUE()),"",INDEX(tsk_WBS,GanttView[[#This Row],[_Row]]))</f>
        <v/>
      </c>
      <c r="C99" s="65" t="str">
        <f aca="false">IF(IFERROR(INDEX(tsk_Name,GanttView[[#This Row],[_Row]])="",TRUE()),"",REPT("    ",INDEX(tsk_Level,GanttView[[#This Row],[_Row]])-1)&amp;INDEX(tsk_Name,GanttView[[#This Row],[_Row]]))</f>
        <v/>
      </c>
      <c r="D9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6" t="str">
        <f aca="false">IF(IFERROR(INDEX(tsk_Name,GanttView[[#This Row],[_Row]])="",TRUE()),"",INDEX(tsk_PlanStart,GanttView[[#This Row],[_Row]]))</f>
        <v/>
      </c>
      <c r="F99" s="66" t="str">
        <f aca="false">IF(IFERROR(INDEX(tsk_Name,GanttView[[#This Row],[_Row]])="",TRUE()),"",INDEX(tsk_PlanFinish,GanttView[[#This Row],[_Row]]))</f>
        <v/>
      </c>
      <c r="G99" s="66" t="str">
        <f aca="false">IF(IFERROR(INDEX(tsk_Name,GanttView[[#This Row],[_Row]])="",TRUE()),"",INDEX(tsk_FcStart,GanttView[[#This Row],[_Row]]))</f>
        <v/>
      </c>
      <c r="H99" s="66" t="str">
        <f aca="false">IF(IFERROR(INDEX(tsk_Name,GanttView[[#This Row],[_Row]])="",TRUE()),"",INDEX(tsk_FcFinish,GanttView[[#This Row],[_Row]]))</f>
        <v/>
      </c>
      <c r="I99" s="67" t="str">
        <f aca="false">IF(IFERROR(INDEX(tsk_Name,GanttView[[#This Row],[_Row]])="",TRUE()),"",INDEX(tsk_Progress,GanttView[[#This Row],[_Row]]))</f>
        <v/>
      </c>
      <c r="J99" s="65" t="str">
        <f aca="false">IF(IFERROR(INDEX(tsk_Name,GanttView[[#This Row],[_Row]])="",TRUE()),"",INDEX(tsk_Resource,GanttView[[#This Row],[_Row]])&amp;"")</f>
        <v/>
      </c>
      <c r="K99" s="64" t="str">
        <f aca="false">IF(IFERROR(INDEX(tsk_Name,GanttView[[#This Row],[_Row]])="",TRUE()),"",INDEX(tsk_Status,GanttView[[#This Row],[_Row]]))</f>
        <v/>
      </c>
      <c r="L99" s="68" t="n">
        <f aca="false">ROW()-ROW(GanttView[[#Headers],[ID]])</f>
        <v>94</v>
      </c>
      <c r="M99" s="69" t="b">
        <f aca="false">IF(IFERROR(INDEX(tsk_Name,GanttView[[#This Row],[_Row]])="",TRUE()),FALSE(),INDEX(tsk_IsSummary,GanttView[[#This Row],[_Row]]))</f>
        <v>0</v>
      </c>
      <c r="N99" s="69" t="b">
        <f aca="false">IF(IFERROR(INDEX(tsk_Name,GanttView[[#This Row],[_Row]])="",TRUE()),FALSE(),AND(INDEX(tsk_IsLeaf,GanttView[[#This Row],[_Row]])=1,N(INDEX(tsk_Duration,GanttView[[#This Row],[_Row]]))=0))</f>
        <v>0</v>
      </c>
      <c r="O9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70" t="n">
        <f aca="false">IF(GanttView[[#This Row],[_RemFrom]]=0,0,GanttView[[#This Row],[Forecast Finish]])</f>
        <v>0</v>
      </c>
      <c r="S99" s="69" t="b">
        <f aca="false">IF(IFERROR(INDEX(tsk_Name,GanttView[[#This Row],[_Row]])="",TRUE()),FALSE(),N(INDEX(tsk_Variance,GanttView[[#This Row],[_Row]]))&gt;0)</f>
        <v>0</v>
      </c>
      <c r="T99" s="70" t="n">
        <f aca="false">IF(IFERROR(INDEX(tsk_Name,GanttView[[#This Row],[_Row]])="",TRUE()),0,N(INDEX(tsk_Deadline,GanttView[[#This Row],[_Row]])))</f>
        <v>0</v>
      </c>
      <c r="U99" s="69" t="b">
        <f aca="false">IF(IFERROR(INDEX(tsk_Name,GanttView[[#This Row],[_Row]])="",TRUE()),FALSE(),INDEX(tsk_Critical,GanttView[[#This Row],[_Row]])="Yes")</f>
        <v>0</v>
      </c>
    </row>
    <row r="100" customFormat="false" ht="15" hidden="false" customHeight="false" outlineLevel="0" collapsed="false">
      <c r="A100" s="64" t="str">
        <f aca="false">IF(IFERROR(INDEX(tsk_Name,GanttView[[#This Row],[_Row]])="",TRUE()),"",INDEX(tsk_ID,GanttView[[#This Row],[_Row]]))</f>
        <v/>
      </c>
      <c r="B100" s="64" t="str">
        <f aca="false">IF(IFERROR(INDEX(tsk_Name,GanttView[[#This Row],[_Row]])="",TRUE()),"",INDEX(tsk_WBS,GanttView[[#This Row],[_Row]]))</f>
        <v/>
      </c>
      <c r="C100" s="65" t="str">
        <f aca="false">IF(IFERROR(INDEX(tsk_Name,GanttView[[#This Row],[_Row]])="",TRUE()),"",REPT("    ",INDEX(tsk_Level,GanttView[[#This Row],[_Row]])-1)&amp;INDEX(tsk_Name,GanttView[[#This Row],[_Row]]))</f>
        <v/>
      </c>
      <c r="D10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6" t="str">
        <f aca="false">IF(IFERROR(INDEX(tsk_Name,GanttView[[#This Row],[_Row]])="",TRUE()),"",INDEX(tsk_PlanStart,GanttView[[#This Row],[_Row]]))</f>
        <v/>
      </c>
      <c r="F100" s="66" t="str">
        <f aca="false">IF(IFERROR(INDEX(tsk_Name,GanttView[[#This Row],[_Row]])="",TRUE()),"",INDEX(tsk_PlanFinish,GanttView[[#This Row],[_Row]]))</f>
        <v/>
      </c>
      <c r="G100" s="66" t="str">
        <f aca="false">IF(IFERROR(INDEX(tsk_Name,GanttView[[#This Row],[_Row]])="",TRUE()),"",INDEX(tsk_FcStart,GanttView[[#This Row],[_Row]]))</f>
        <v/>
      </c>
      <c r="H100" s="66" t="str">
        <f aca="false">IF(IFERROR(INDEX(tsk_Name,GanttView[[#This Row],[_Row]])="",TRUE()),"",INDEX(tsk_FcFinish,GanttView[[#This Row],[_Row]]))</f>
        <v/>
      </c>
      <c r="I100" s="67" t="str">
        <f aca="false">IF(IFERROR(INDEX(tsk_Name,GanttView[[#This Row],[_Row]])="",TRUE()),"",INDEX(tsk_Progress,GanttView[[#This Row],[_Row]]))</f>
        <v/>
      </c>
      <c r="J100" s="65" t="str">
        <f aca="false">IF(IFERROR(INDEX(tsk_Name,GanttView[[#This Row],[_Row]])="",TRUE()),"",INDEX(tsk_Resource,GanttView[[#This Row],[_Row]])&amp;"")</f>
        <v/>
      </c>
      <c r="K100" s="64" t="str">
        <f aca="false">IF(IFERROR(INDEX(tsk_Name,GanttView[[#This Row],[_Row]])="",TRUE()),"",INDEX(tsk_Status,GanttView[[#This Row],[_Row]]))</f>
        <v/>
      </c>
      <c r="L100" s="68" t="n">
        <f aca="false">ROW()-ROW(GanttView[[#Headers],[ID]])</f>
        <v>95</v>
      </c>
      <c r="M100" s="69" t="b">
        <f aca="false">IF(IFERROR(INDEX(tsk_Name,GanttView[[#This Row],[_Row]])="",TRUE()),FALSE(),INDEX(tsk_IsSummary,GanttView[[#This Row],[_Row]]))</f>
        <v>0</v>
      </c>
      <c r="N100" s="69" t="b">
        <f aca="false">IF(IFERROR(INDEX(tsk_Name,GanttView[[#This Row],[_Row]])="",TRUE()),FALSE(),AND(INDEX(tsk_IsLeaf,GanttView[[#This Row],[_Row]])=1,N(INDEX(tsk_Duration,GanttView[[#This Row],[_Row]]))=0))</f>
        <v>0</v>
      </c>
      <c r="O10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70" t="n">
        <f aca="false">IF(GanttView[[#This Row],[_RemFrom]]=0,0,GanttView[[#This Row],[Forecast Finish]])</f>
        <v>0</v>
      </c>
      <c r="S100" s="69" t="b">
        <f aca="false">IF(IFERROR(INDEX(tsk_Name,GanttView[[#This Row],[_Row]])="",TRUE()),FALSE(),N(INDEX(tsk_Variance,GanttView[[#This Row],[_Row]]))&gt;0)</f>
        <v>0</v>
      </c>
      <c r="T100" s="70" t="n">
        <f aca="false">IF(IFERROR(INDEX(tsk_Name,GanttView[[#This Row],[_Row]])="",TRUE()),0,N(INDEX(tsk_Deadline,GanttView[[#This Row],[_Row]])))</f>
        <v>0</v>
      </c>
      <c r="U100" s="69" t="b">
        <f aca="false">IF(IFERROR(INDEX(tsk_Name,GanttView[[#This Row],[_Row]])="",TRUE()),FALSE(),INDEX(tsk_Critical,GanttView[[#This Row],[_Row]])="Yes")</f>
        <v>0</v>
      </c>
    </row>
    <row r="101" customFormat="false" ht="15" hidden="false" customHeight="false" outlineLevel="0" collapsed="false">
      <c r="A101" s="64" t="str">
        <f aca="false">IF(IFERROR(INDEX(tsk_Name,GanttView[[#This Row],[_Row]])="",TRUE()),"",INDEX(tsk_ID,GanttView[[#This Row],[_Row]]))</f>
        <v/>
      </c>
      <c r="B101" s="64" t="str">
        <f aca="false">IF(IFERROR(INDEX(tsk_Name,GanttView[[#This Row],[_Row]])="",TRUE()),"",INDEX(tsk_WBS,GanttView[[#This Row],[_Row]]))</f>
        <v/>
      </c>
      <c r="C101" s="65" t="str">
        <f aca="false">IF(IFERROR(INDEX(tsk_Name,GanttView[[#This Row],[_Row]])="",TRUE()),"",REPT("    ",INDEX(tsk_Level,GanttView[[#This Row],[_Row]])-1)&amp;INDEX(tsk_Name,GanttView[[#This Row],[_Row]]))</f>
        <v/>
      </c>
      <c r="D10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6" t="str">
        <f aca="false">IF(IFERROR(INDEX(tsk_Name,GanttView[[#This Row],[_Row]])="",TRUE()),"",INDEX(tsk_PlanStart,GanttView[[#This Row],[_Row]]))</f>
        <v/>
      </c>
      <c r="F101" s="66" t="str">
        <f aca="false">IF(IFERROR(INDEX(tsk_Name,GanttView[[#This Row],[_Row]])="",TRUE()),"",INDEX(tsk_PlanFinish,GanttView[[#This Row],[_Row]]))</f>
        <v/>
      </c>
      <c r="G101" s="66" t="str">
        <f aca="false">IF(IFERROR(INDEX(tsk_Name,GanttView[[#This Row],[_Row]])="",TRUE()),"",INDEX(tsk_FcStart,GanttView[[#This Row],[_Row]]))</f>
        <v/>
      </c>
      <c r="H101" s="66" t="str">
        <f aca="false">IF(IFERROR(INDEX(tsk_Name,GanttView[[#This Row],[_Row]])="",TRUE()),"",INDEX(tsk_FcFinish,GanttView[[#This Row],[_Row]]))</f>
        <v/>
      </c>
      <c r="I101" s="67" t="str">
        <f aca="false">IF(IFERROR(INDEX(tsk_Name,GanttView[[#This Row],[_Row]])="",TRUE()),"",INDEX(tsk_Progress,GanttView[[#This Row],[_Row]]))</f>
        <v/>
      </c>
      <c r="J101" s="65" t="str">
        <f aca="false">IF(IFERROR(INDEX(tsk_Name,GanttView[[#This Row],[_Row]])="",TRUE()),"",INDEX(tsk_Resource,GanttView[[#This Row],[_Row]])&amp;"")</f>
        <v/>
      </c>
      <c r="K101" s="64" t="str">
        <f aca="false">IF(IFERROR(INDEX(tsk_Name,GanttView[[#This Row],[_Row]])="",TRUE()),"",INDEX(tsk_Status,GanttView[[#This Row],[_Row]]))</f>
        <v/>
      </c>
      <c r="L101" s="68" t="n">
        <f aca="false">ROW()-ROW(GanttView[[#Headers],[ID]])</f>
        <v>96</v>
      </c>
      <c r="M101" s="69" t="b">
        <f aca="false">IF(IFERROR(INDEX(tsk_Name,GanttView[[#This Row],[_Row]])="",TRUE()),FALSE(),INDEX(tsk_IsSummary,GanttView[[#This Row],[_Row]]))</f>
        <v>0</v>
      </c>
      <c r="N101" s="69" t="b">
        <f aca="false">IF(IFERROR(INDEX(tsk_Name,GanttView[[#This Row],[_Row]])="",TRUE()),FALSE(),AND(INDEX(tsk_IsLeaf,GanttView[[#This Row],[_Row]])=1,N(INDEX(tsk_Duration,GanttView[[#This Row],[_Row]]))=0))</f>
        <v>0</v>
      </c>
      <c r="O10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70" t="n">
        <f aca="false">IF(GanttView[[#This Row],[_RemFrom]]=0,0,GanttView[[#This Row],[Forecast Finish]])</f>
        <v>0</v>
      </c>
      <c r="S101" s="69" t="b">
        <f aca="false">IF(IFERROR(INDEX(tsk_Name,GanttView[[#This Row],[_Row]])="",TRUE()),FALSE(),N(INDEX(tsk_Variance,GanttView[[#This Row],[_Row]]))&gt;0)</f>
        <v>0</v>
      </c>
      <c r="T101" s="70" t="n">
        <f aca="false">IF(IFERROR(INDEX(tsk_Name,GanttView[[#This Row],[_Row]])="",TRUE()),0,N(INDEX(tsk_Deadline,GanttView[[#This Row],[_Row]])))</f>
        <v>0</v>
      </c>
      <c r="U101" s="69" t="b">
        <f aca="false">IF(IFERROR(INDEX(tsk_Name,GanttView[[#This Row],[_Row]])="",TRUE()),FALSE(),INDEX(tsk_Critical,GanttView[[#This Row],[_Row]])="Yes")</f>
        <v>0</v>
      </c>
    </row>
    <row r="102" customFormat="false" ht="15" hidden="false" customHeight="false" outlineLevel="0" collapsed="false">
      <c r="A102" s="64" t="str">
        <f aca="false">IF(IFERROR(INDEX(tsk_Name,GanttView[[#This Row],[_Row]])="",TRUE()),"",INDEX(tsk_ID,GanttView[[#This Row],[_Row]]))</f>
        <v/>
      </c>
      <c r="B102" s="64" t="str">
        <f aca="false">IF(IFERROR(INDEX(tsk_Name,GanttView[[#This Row],[_Row]])="",TRUE()),"",INDEX(tsk_WBS,GanttView[[#This Row],[_Row]]))</f>
        <v/>
      </c>
      <c r="C102" s="65" t="str">
        <f aca="false">IF(IFERROR(INDEX(tsk_Name,GanttView[[#This Row],[_Row]])="",TRUE()),"",REPT("    ",INDEX(tsk_Level,GanttView[[#This Row],[_Row]])-1)&amp;INDEX(tsk_Name,GanttView[[#This Row],[_Row]]))</f>
        <v/>
      </c>
      <c r="D10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6" t="str">
        <f aca="false">IF(IFERROR(INDEX(tsk_Name,GanttView[[#This Row],[_Row]])="",TRUE()),"",INDEX(tsk_PlanStart,GanttView[[#This Row],[_Row]]))</f>
        <v/>
      </c>
      <c r="F102" s="66" t="str">
        <f aca="false">IF(IFERROR(INDEX(tsk_Name,GanttView[[#This Row],[_Row]])="",TRUE()),"",INDEX(tsk_PlanFinish,GanttView[[#This Row],[_Row]]))</f>
        <v/>
      </c>
      <c r="G102" s="66" t="str">
        <f aca="false">IF(IFERROR(INDEX(tsk_Name,GanttView[[#This Row],[_Row]])="",TRUE()),"",INDEX(tsk_FcStart,GanttView[[#This Row],[_Row]]))</f>
        <v/>
      </c>
      <c r="H102" s="66" t="str">
        <f aca="false">IF(IFERROR(INDEX(tsk_Name,GanttView[[#This Row],[_Row]])="",TRUE()),"",INDEX(tsk_FcFinish,GanttView[[#This Row],[_Row]]))</f>
        <v/>
      </c>
      <c r="I102" s="67" t="str">
        <f aca="false">IF(IFERROR(INDEX(tsk_Name,GanttView[[#This Row],[_Row]])="",TRUE()),"",INDEX(tsk_Progress,GanttView[[#This Row],[_Row]]))</f>
        <v/>
      </c>
      <c r="J102" s="65" t="str">
        <f aca="false">IF(IFERROR(INDEX(tsk_Name,GanttView[[#This Row],[_Row]])="",TRUE()),"",INDEX(tsk_Resource,GanttView[[#This Row],[_Row]])&amp;"")</f>
        <v/>
      </c>
      <c r="K102" s="64" t="str">
        <f aca="false">IF(IFERROR(INDEX(tsk_Name,GanttView[[#This Row],[_Row]])="",TRUE()),"",INDEX(tsk_Status,GanttView[[#This Row],[_Row]]))</f>
        <v/>
      </c>
      <c r="L102" s="68" t="n">
        <f aca="false">ROW()-ROW(GanttView[[#Headers],[ID]])</f>
        <v>97</v>
      </c>
      <c r="M102" s="69" t="b">
        <f aca="false">IF(IFERROR(INDEX(tsk_Name,GanttView[[#This Row],[_Row]])="",TRUE()),FALSE(),INDEX(tsk_IsSummary,GanttView[[#This Row],[_Row]]))</f>
        <v>0</v>
      </c>
      <c r="N102" s="69" t="b">
        <f aca="false">IF(IFERROR(INDEX(tsk_Name,GanttView[[#This Row],[_Row]])="",TRUE()),FALSE(),AND(INDEX(tsk_IsLeaf,GanttView[[#This Row],[_Row]])=1,N(INDEX(tsk_Duration,GanttView[[#This Row],[_Row]]))=0))</f>
        <v>0</v>
      </c>
      <c r="O10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70" t="n">
        <f aca="false">IF(GanttView[[#This Row],[_RemFrom]]=0,0,GanttView[[#This Row],[Forecast Finish]])</f>
        <v>0</v>
      </c>
      <c r="S102" s="69" t="b">
        <f aca="false">IF(IFERROR(INDEX(tsk_Name,GanttView[[#This Row],[_Row]])="",TRUE()),FALSE(),N(INDEX(tsk_Variance,GanttView[[#This Row],[_Row]]))&gt;0)</f>
        <v>0</v>
      </c>
      <c r="T102" s="70" t="n">
        <f aca="false">IF(IFERROR(INDEX(tsk_Name,GanttView[[#This Row],[_Row]])="",TRUE()),0,N(INDEX(tsk_Deadline,GanttView[[#This Row],[_Row]])))</f>
        <v>0</v>
      </c>
      <c r="U102" s="69" t="b">
        <f aca="false">IF(IFERROR(INDEX(tsk_Name,GanttView[[#This Row],[_Row]])="",TRUE()),FALSE(),INDEX(tsk_Critical,GanttView[[#This Row],[_Row]])="Yes")</f>
        <v>0</v>
      </c>
    </row>
    <row r="103" customFormat="false" ht="15" hidden="false" customHeight="false" outlineLevel="0" collapsed="false">
      <c r="A103" s="64" t="str">
        <f aca="false">IF(IFERROR(INDEX(tsk_Name,GanttView[[#This Row],[_Row]])="",TRUE()),"",INDEX(tsk_ID,GanttView[[#This Row],[_Row]]))</f>
        <v/>
      </c>
      <c r="B103" s="64" t="str">
        <f aca="false">IF(IFERROR(INDEX(tsk_Name,GanttView[[#This Row],[_Row]])="",TRUE()),"",INDEX(tsk_WBS,GanttView[[#This Row],[_Row]]))</f>
        <v/>
      </c>
      <c r="C103" s="65" t="str">
        <f aca="false">IF(IFERROR(INDEX(tsk_Name,GanttView[[#This Row],[_Row]])="",TRUE()),"",REPT("    ",INDEX(tsk_Level,GanttView[[#This Row],[_Row]])-1)&amp;INDEX(tsk_Name,GanttView[[#This Row],[_Row]]))</f>
        <v/>
      </c>
      <c r="D10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6" t="str">
        <f aca="false">IF(IFERROR(INDEX(tsk_Name,GanttView[[#This Row],[_Row]])="",TRUE()),"",INDEX(tsk_PlanStart,GanttView[[#This Row],[_Row]]))</f>
        <v/>
      </c>
      <c r="F103" s="66" t="str">
        <f aca="false">IF(IFERROR(INDEX(tsk_Name,GanttView[[#This Row],[_Row]])="",TRUE()),"",INDEX(tsk_PlanFinish,GanttView[[#This Row],[_Row]]))</f>
        <v/>
      </c>
      <c r="G103" s="66" t="str">
        <f aca="false">IF(IFERROR(INDEX(tsk_Name,GanttView[[#This Row],[_Row]])="",TRUE()),"",INDEX(tsk_FcStart,GanttView[[#This Row],[_Row]]))</f>
        <v/>
      </c>
      <c r="H103" s="66" t="str">
        <f aca="false">IF(IFERROR(INDEX(tsk_Name,GanttView[[#This Row],[_Row]])="",TRUE()),"",INDEX(tsk_FcFinish,GanttView[[#This Row],[_Row]]))</f>
        <v/>
      </c>
      <c r="I103" s="67" t="str">
        <f aca="false">IF(IFERROR(INDEX(tsk_Name,GanttView[[#This Row],[_Row]])="",TRUE()),"",INDEX(tsk_Progress,GanttView[[#This Row],[_Row]]))</f>
        <v/>
      </c>
      <c r="J103" s="65" t="str">
        <f aca="false">IF(IFERROR(INDEX(tsk_Name,GanttView[[#This Row],[_Row]])="",TRUE()),"",INDEX(tsk_Resource,GanttView[[#This Row],[_Row]])&amp;"")</f>
        <v/>
      </c>
      <c r="K103" s="64" t="str">
        <f aca="false">IF(IFERROR(INDEX(tsk_Name,GanttView[[#This Row],[_Row]])="",TRUE()),"",INDEX(tsk_Status,GanttView[[#This Row],[_Row]]))</f>
        <v/>
      </c>
      <c r="L103" s="68" t="n">
        <f aca="false">ROW()-ROW(GanttView[[#Headers],[ID]])</f>
        <v>98</v>
      </c>
      <c r="M103" s="69" t="b">
        <f aca="false">IF(IFERROR(INDEX(tsk_Name,GanttView[[#This Row],[_Row]])="",TRUE()),FALSE(),INDEX(tsk_IsSummary,GanttView[[#This Row],[_Row]]))</f>
        <v>0</v>
      </c>
      <c r="N103" s="69" t="b">
        <f aca="false">IF(IFERROR(INDEX(tsk_Name,GanttView[[#This Row],[_Row]])="",TRUE()),FALSE(),AND(INDEX(tsk_IsLeaf,GanttView[[#This Row],[_Row]])=1,N(INDEX(tsk_Duration,GanttView[[#This Row],[_Row]]))=0))</f>
        <v>0</v>
      </c>
      <c r="O10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70" t="n">
        <f aca="false">IF(GanttView[[#This Row],[_RemFrom]]=0,0,GanttView[[#This Row],[Forecast Finish]])</f>
        <v>0</v>
      </c>
      <c r="S103" s="69" t="b">
        <f aca="false">IF(IFERROR(INDEX(tsk_Name,GanttView[[#This Row],[_Row]])="",TRUE()),FALSE(),N(INDEX(tsk_Variance,GanttView[[#This Row],[_Row]]))&gt;0)</f>
        <v>0</v>
      </c>
      <c r="T103" s="70" t="n">
        <f aca="false">IF(IFERROR(INDEX(tsk_Name,GanttView[[#This Row],[_Row]])="",TRUE()),0,N(INDEX(tsk_Deadline,GanttView[[#This Row],[_Row]])))</f>
        <v>0</v>
      </c>
      <c r="U103" s="69" t="b">
        <f aca="false">IF(IFERROR(INDEX(tsk_Name,GanttView[[#This Row],[_Row]])="",TRUE()),FALSE(),INDEX(tsk_Critical,GanttView[[#This Row],[_Row]])="Yes")</f>
        <v>0</v>
      </c>
    </row>
    <row r="104" customFormat="false" ht="15" hidden="false" customHeight="false" outlineLevel="0" collapsed="false">
      <c r="A104" s="64" t="str">
        <f aca="false">IF(IFERROR(INDEX(tsk_Name,GanttView[[#This Row],[_Row]])="",TRUE()),"",INDEX(tsk_ID,GanttView[[#This Row],[_Row]]))</f>
        <v/>
      </c>
      <c r="B104" s="64" t="str">
        <f aca="false">IF(IFERROR(INDEX(tsk_Name,GanttView[[#This Row],[_Row]])="",TRUE()),"",INDEX(tsk_WBS,GanttView[[#This Row],[_Row]]))</f>
        <v/>
      </c>
      <c r="C104" s="65" t="str">
        <f aca="false">IF(IFERROR(INDEX(tsk_Name,GanttView[[#This Row],[_Row]])="",TRUE()),"",REPT("    ",INDEX(tsk_Level,GanttView[[#This Row],[_Row]])-1)&amp;INDEX(tsk_Name,GanttView[[#This Row],[_Row]]))</f>
        <v/>
      </c>
      <c r="D10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6" t="str">
        <f aca="false">IF(IFERROR(INDEX(tsk_Name,GanttView[[#This Row],[_Row]])="",TRUE()),"",INDEX(tsk_PlanStart,GanttView[[#This Row],[_Row]]))</f>
        <v/>
      </c>
      <c r="F104" s="66" t="str">
        <f aca="false">IF(IFERROR(INDEX(tsk_Name,GanttView[[#This Row],[_Row]])="",TRUE()),"",INDEX(tsk_PlanFinish,GanttView[[#This Row],[_Row]]))</f>
        <v/>
      </c>
      <c r="G104" s="66" t="str">
        <f aca="false">IF(IFERROR(INDEX(tsk_Name,GanttView[[#This Row],[_Row]])="",TRUE()),"",INDEX(tsk_FcStart,GanttView[[#This Row],[_Row]]))</f>
        <v/>
      </c>
      <c r="H104" s="66" t="str">
        <f aca="false">IF(IFERROR(INDEX(tsk_Name,GanttView[[#This Row],[_Row]])="",TRUE()),"",INDEX(tsk_FcFinish,GanttView[[#This Row],[_Row]]))</f>
        <v/>
      </c>
      <c r="I104" s="67" t="str">
        <f aca="false">IF(IFERROR(INDEX(tsk_Name,GanttView[[#This Row],[_Row]])="",TRUE()),"",INDEX(tsk_Progress,GanttView[[#This Row],[_Row]]))</f>
        <v/>
      </c>
      <c r="J104" s="65" t="str">
        <f aca="false">IF(IFERROR(INDEX(tsk_Name,GanttView[[#This Row],[_Row]])="",TRUE()),"",INDEX(tsk_Resource,GanttView[[#This Row],[_Row]])&amp;"")</f>
        <v/>
      </c>
      <c r="K104" s="64" t="str">
        <f aca="false">IF(IFERROR(INDEX(tsk_Name,GanttView[[#This Row],[_Row]])="",TRUE()),"",INDEX(tsk_Status,GanttView[[#This Row],[_Row]]))</f>
        <v/>
      </c>
      <c r="L104" s="68" t="n">
        <f aca="false">ROW()-ROW(GanttView[[#Headers],[ID]])</f>
        <v>99</v>
      </c>
      <c r="M104" s="69" t="b">
        <f aca="false">IF(IFERROR(INDEX(tsk_Name,GanttView[[#This Row],[_Row]])="",TRUE()),FALSE(),INDEX(tsk_IsSummary,GanttView[[#This Row],[_Row]]))</f>
        <v>0</v>
      </c>
      <c r="N104" s="69" t="b">
        <f aca="false">IF(IFERROR(INDEX(tsk_Name,GanttView[[#This Row],[_Row]])="",TRUE()),FALSE(),AND(INDEX(tsk_IsLeaf,GanttView[[#This Row],[_Row]])=1,N(INDEX(tsk_Duration,GanttView[[#This Row],[_Row]]))=0))</f>
        <v>0</v>
      </c>
      <c r="O10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70" t="n">
        <f aca="false">IF(GanttView[[#This Row],[_RemFrom]]=0,0,GanttView[[#This Row],[Forecast Finish]])</f>
        <v>0</v>
      </c>
      <c r="S104" s="69" t="b">
        <f aca="false">IF(IFERROR(INDEX(tsk_Name,GanttView[[#This Row],[_Row]])="",TRUE()),FALSE(),N(INDEX(tsk_Variance,GanttView[[#This Row],[_Row]]))&gt;0)</f>
        <v>0</v>
      </c>
      <c r="T104" s="70" t="n">
        <f aca="false">IF(IFERROR(INDEX(tsk_Name,GanttView[[#This Row],[_Row]])="",TRUE()),0,N(INDEX(tsk_Deadline,GanttView[[#This Row],[_Row]])))</f>
        <v>0</v>
      </c>
      <c r="U104" s="69" t="b">
        <f aca="false">IF(IFERROR(INDEX(tsk_Name,GanttView[[#This Row],[_Row]])="",TRUE()),FALSE(),INDEX(tsk_Critical,GanttView[[#This Row],[_Row]])="Yes")</f>
        <v>0</v>
      </c>
    </row>
    <row r="105" customFormat="false" ht="15" hidden="false" customHeight="false" outlineLevel="0" collapsed="false">
      <c r="A105" s="64" t="str">
        <f aca="false">IF(IFERROR(INDEX(tsk_Name,GanttView[[#This Row],[_Row]])="",TRUE()),"",INDEX(tsk_ID,GanttView[[#This Row],[_Row]]))</f>
        <v/>
      </c>
      <c r="B105" s="64" t="str">
        <f aca="false">IF(IFERROR(INDEX(tsk_Name,GanttView[[#This Row],[_Row]])="",TRUE()),"",INDEX(tsk_WBS,GanttView[[#This Row],[_Row]]))</f>
        <v/>
      </c>
      <c r="C105" s="65" t="str">
        <f aca="false">IF(IFERROR(INDEX(tsk_Name,GanttView[[#This Row],[_Row]])="",TRUE()),"",REPT("    ",INDEX(tsk_Level,GanttView[[#This Row],[_Row]])-1)&amp;INDEX(tsk_Name,GanttView[[#This Row],[_Row]]))</f>
        <v/>
      </c>
      <c r="D10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6" t="str">
        <f aca="false">IF(IFERROR(INDEX(tsk_Name,GanttView[[#This Row],[_Row]])="",TRUE()),"",INDEX(tsk_PlanStart,GanttView[[#This Row],[_Row]]))</f>
        <v/>
      </c>
      <c r="F105" s="66" t="str">
        <f aca="false">IF(IFERROR(INDEX(tsk_Name,GanttView[[#This Row],[_Row]])="",TRUE()),"",INDEX(tsk_PlanFinish,GanttView[[#This Row],[_Row]]))</f>
        <v/>
      </c>
      <c r="G105" s="66" t="str">
        <f aca="false">IF(IFERROR(INDEX(tsk_Name,GanttView[[#This Row],[_Row]])="",TRUE()),"",INDEX(tsk_FcStart,GanttView[[#This Row],[_Row]]))</f>
        <v/>
      </c>
      <c r="H105" s="66" t="str">
        <f aca="false">IF(IFERROR(INDEX(tsk_Name,GanttView[[#This Row],[_Row]])="",TRUE()),"",INDEX(tsk_FcFinish,GanttView[[#This Row],[_Row]]))</f>
        <v/>
      </c>
      <c r="I105" s="67" t="str">
        <f aca="false">IF(IFERROR(INDEX(tsk_Name,GanttView[[#This Row],[_Row]])="",TRUE()),"",INDEX(tsk_Progress,GanttView[[#This Row],[_Row]]))</f>
        <v/>
      </c>
      <c r="J105" s="65" t="str">
        <f aca="false">IF(IFERROR(INDEX(tsk_Name,GanttView[[#This Row],[_Row]])="",TRUE()),"",INDEX(tsk_Resource,GanttView[[#This Row],[_Row]])&amp;"")</f>
        <v/>
      </c>
      <c r="K105" s="64" t="str">
        <f aca="false">IF(IFERROR(INDEX(tsk_Name,GanttView[[#This Row],[_Row]])="",TRUE()),"",INDEX(tsk_Status,GanttView[[#This Row],[_Row]]))</f>
        <v/>
      </c>
      <c r="L105" s="68" t="n">
        <f aca="false">ROW()-ROW(GanttView[[#Headers],[ID]])</f>
        <v>100</v>
      </c>
      <c r="M105" s="69" t="b">
        <f aca="false">IF(IFERROR(INDEX(tsk_Name,GanttView[[#This Row],[_Row]])="",TRUE()),FALSE(),INDEX(tsk_IsSummary,GanttView[[#This Row],[_Row]]))</f>
        <v>0</v>
      </c>
      <c r="N105" s="69" t="b">
        <f aca="false">IF(IFERROR(INDEX(tsk_Name,GanttView[[#This Row],[_Row]])="",TRUE()),FALSE(),AND(INDEX(tsk_IsLeaf,GanttView[[#This Row],[_Row]])=1,N(INDEX(tsk_Duration,GanttView[[#This Row],[_Row]]))=0))</f>
        <v>0</v>
      </c>
      <c r="O10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70" t="n">
        <f aca="false">IF(GanttView[[#This Row],[_RemFrom]]=0,0,GanttView[[#This Row],[Forecast Finish]])</f>
        <v>0</v>
      </c>
      <c r="S105" s="69" t="b">
        <f aca="false">IF(IFERROR(INDEX(tsk_Name,GanttView[[#This Row],[_Row]])="",TRUE()),FALSE(),N(INDEX(tsk_Variance,GanttView[[#This Row],[_Row]]))&gt;0)</f>
        <v>0</v>
      </c>
      <c r="T105" s="70" t="n">
        <f aca="false">IF(IFERROR(INDEX(tsk_Name,GanttView[[#This Row],[_Row]])="",TRUE()),0,N(INDEX(tsk_Deadline,GanttView[[#This Row],[_Row]])))</f>
        <v>0</v>
      </c>
      <c r="U105" s="69" t="b">
        <f aca="false">IF(IFERROR(INDEX(tsk_Name,GanttView[[#This Row],[_Row]])="",TRUE()),FALSE(),INDEX(tsk_Critical,GanttView[[#This Row],[_Row]])="Yes")</f>
        <v>0</v>
      </c>
    </row>
    <row r="106" customFormat="false" ht="15" hidden="false" customHeight="false" outlineLevel="0" collapsed="false">
      <c r="A106" s="64" t="str">
        <f aca="false">IF(IFERROR(INDEX(tsk_Name,GanttView[[#This Row],[_Row]])="",TRUE()),"",INDEX(tsk_ID,GanttView[[#This Row],[_Row]]))</f>
        <v/>
      </c>
      <c r="B106" s="64" t="str">
        <f aca="false">IF(IFERROR(INDEX(tsk_Name,GanttView[[#This Row],[_Row]])="",TRUE()),"",INDEX(tsk_WBS,GanttView[[#This Row],[_Row]]))</f>
        <v/>
      </c>
      <c r="C106" s="65" t="str">
        <f aca="false">IF(IFERROR(INDEX(tsk_Name,GanttView[[#This Row],[_Row]])="",TRUE()),"",REPT("    ",INDEX(tsk_Level,GanttView[[#This Row],[_Row]])-1)&amp;INDEX(tsk_Name,GanttView[[#This Row],[_Row]]))</f>
        <v/>
      </c>
      <c r="D10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6" t="str">
        <f aca="false">IF(IFERROR(INDEX(tsk_Name,GanttView[[#This Row],[_Row]])="",TRUE()),"",INDEX(tsk_PlanStart,GanttView[[#This Row],[_Row]]))</f>
        <v/>
      </c>
      <c r="F106" s="66" t="str">
        <f aca="false">IF(IFERROR(INDEX(tsk_Name,GanttView[[#This Row],[_Row]])="",TRUE()),"",INDEX(tsk_PlanFinish,GanttView[[#This Row],[_Row]]))</f>
        <v/>
      </c>
      <c r="G106" s="66" t="str">
        <f aca="false">IF(IFERROR(INDEX(tsk_Name,GanttView[[#This Row],[_Row]])="",TRUE()),"",INDEX(tsk_FcStart,GanttView[[#This Row],[_Row]]))</f>
        <v/>
      </c>
      <c r="H106" s="66" t="str">
        <f aca="false">IF(IFERROR(INDEX(tsk_Name,GanttView[[#This Row],[_Row]])="",TRUE()),"",INDEX(tsk_FcFinish,GanttView[[#This Row],[_Row]]))</f>
        <v/>
      </c>
      <c r="I106" s="67" t="str">
        <f aca="false">IF(IFERROR(INDEX(tsk_Name,GanttView[[#This Row],[_Row]])="",TRUE()),"",INDEX(tsk_Progress,GanttView[[#This Row],[_Row]]))</f>
        <v/>
      </c>
      <c r="J106" s="65" t="str">
        <f aca="false">IF(IFERROR(INDEX(tsk_Name,GanttView[[#This Row],[_Row]])="",TRUE()),"",INDEX(tsk_Resource,GanttView[[#This Row],[_Row]])&amp;"")</f>
        <v/>
      </c>
      <c r="K106" s="64" t="str">
        <f aca="false">IF(IFERROR(INDEX(tsk_Name,GanttView[[#This Row],[_Row]])="",TRUE()),"",INDEX(tsk_Status,GanttView[[#This Row],[_Row]]))</f>
        <v/>
      </c>
      <c r="L106" s="68" t="n">
        <f aca="false">ROW()-ROW(GanttView[[#Headers],[ID]])</f>
        <v>101</v>
      </c>
      <c r="M106" s="69" t="b">
        <f aca="false">IF(IFERROR(INDEX(tsk_Name,GanttView[[#This Row],[_Row]])="",TRUE()),FALSE(),INDEX(tsk_IsSummary,GanttView[[#This Row],[_Row]]))</f>
        <v>0</v>
      </c>
      <c r="N106" s="69" t="b">
        <f aca="false">IF(IFERROR(INDEX(tsk_Name,GanttView[[#This Row],[_Row]])="",TRUE()),FALSE(),AND(INDEX(tsk_IsLeaf,GanttView[[#This Row],[_Row]])=1,N(INDEX(tsk_Duration,GanttView[[#This Row],[_Row]]))=0))</f>
        <v>0</v>
      </c>
      <c r="O10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70" t="n">
        <f aca="false">IF(GanttView[[#This Row],[_RemFrom]]=0,0,GanttView[[#This Row],[Forecast Finish]])</f>
        <v>0</v>
      </c>
      <c r="S106" s="69" t="b">
        <f aca="false">IF(IFERROR(INDEX(tsk_Name,GanttView[[#This Row],[_Row]])="",TRUE()),FALSE(),N(INDEX(tsk_Variance,GanttView[[#This Row],[_Row]]))&gt;0)</f>
        <v>0</v>
      </c>
      <c r="T106" s="70" t="n">
        <f aca="false">IF(IFERROR(INDEX(tsk_Name,GanttView[[#This Row],[_Row]])="",TRUE()),0,N(INDEX(tsk_Deadline,GanttView[[#This Row],[_Row]])))</f>
        <v>0</v>
      </c>
      <c r="U106" s="69" t="b">
        <f aca="false">IF(IFERROR(INDEX(tsk_Name,GanttView[[#This Row],[_Row]])="",TRUE()),FALSE(),INDEX(tsk_Critical,GanttView[[#This Row],[_Row]])="Yes")</f>
        <v>0</v>
      </c>
    </row>
    <row r="107" customFormat="false" ht="15" hidden="false" customHeight="false" outlineLevel="0" collapsed="false">
      <c r="A107" s="64" t="str">
        <f aca="false">IF(IFERROR(INDEX(tsk_Name,GanttView[[#This Row],[_Row]])="",TRUE()),"",INDEX(tsk_ID,GanttView[[#This Row],[_Row]]))</f>
        <v/>
      </c>
      <c r="B107" s="64" t="str">
        <f aca="false">IF(IFERROR(INDEX(tsk_Name,GanttView[[#This Row],[_Row]])="",TRUE()),"",INDEX(tsk_WBS,GanttView[[#This Row],[_Row]]))</f>
        <v/>
      </c>
      <c r="C107" s="65" t="str">
        <f aca="false">IF(IFERROR(INDEX(tsk_Name,GanttView[[#This Row],[_Row]])="",TRUE()),"",REPT("    ",INDEX(tsk_Level,GanttView[[#This Row],[_Row]])-1)&amp;INDEX(tsk_Name,GanttView[[#This Row],[_Row]]))</f>
        <v/>
      </c>
      <c r="D10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6" t="str">
        <f aca="false">IF(IFERROR(INDEX(tsk_Name,GanttView[[#This Row],[_Row]])="",TRUE()),"",INDEX(tsk_PlanStart,GanttView[[#This Row],[_Row]]))</f>
        <v/>
      </c>
      <c r="F107" s="66" t="str">
        <f aca="false">IF(IFERROR(INDEX(tsk_Name,GanttView[[#This Row],[_Row]])="",TRUE()),"",INDEX(tsk_PlanFinish,GanttView[[#This Row],[_Row]]))</f>
        <v/>
      </c>
      <c r="G107" s="66" t="str">
        <f aca="false">IF(IFERROR(INDEX(tsk_Name,GanttView[[#This Row],[_Row]])="",TRUE()),"",INDEX(tsk_FcStart,GanttView[[#This Row],[_Row]]))</f>
        <v/>
      </c>
      <c r="H107" s="66" t="str">
        <f aca="false">IF(IFERROR(INDEX(tsk_Name,GanttView[[#This Row],[_Row]])="",TRUE()),"",INDEX(tsk_FcFinish,GanttView[[#This Row],[_Row]]))</f>
        <v/>
      </c>
      <c r="I107" s="67" t="str">
        <f aca="false">IF(IFERROR(INDEX(tsk_Name,GanttView[[#This Row],[_Row]])="",TRUE()),"",INDEX(tsk_Progress,GanttView[[#This Row],[_Row]]))</f>
        <v/>
      </c>
      <c r="J107" s="65" t="str">
        <f aca="false">IF(IFERROR(INDEX(tsk_Name,GanttView[[#This Row],[_Row]])="",TRUE()),"",INDEX(tsk_Resource,GanttView[[#This Row],[_Row]])&amp;"")</f>
        <v/>
      </c>
      <c r="K107" s="64" t="str">
        <f aca="false">IF(IFERROR(INDEX(tsk_Name,GanttView[[#This Row],[_Row]])="",TRUE()),"",INDEX(tsk_Status,GanttView[[#This Row],[_Row]]))</f>
        <v/>
      </c>
      <c r="L107" s="68" t="n">
        <f aca="false">ROW()-ROW(GanttView[[#Headers],[ID]])</f>
        <v>102</v>
      </c>
      <c r="M107" s="69" t="b">
        <f aca="false">IF(IFERROR(INDEX(tsk_Name,GanttView[[#This Row],[_Row]])="",TRUE()),FALSE(),INDEX(tsk_IsSummary,GanttView[[#This Row],[_Row]]))</f>
        <v>0</v>
      </c>
      <c r="N107" s="69" t="b">
        <f aca="false">IF(IFERROR(INDEX(tsk_Name,GanttView[[#This Row],[_Row]])="",TRUE()),FALSE(),AND(INDEX(tsk_IsLeaf,GanttView[[#This Row],[_Row]])=1,N(INDEX(tsk_Duration,GanttView[[#This Row],[_Row]]))=0))</f>
        <v>0</v>
      </c>
      <c r="O10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70" t="n">
        <f aca="false">IF(GanttView[[#This Row],[_RemFrom]]=0,0,GanttView[[#This Row],[Forecast Finish]])</f>
        <v>0</v>
      </c>
      <c r="S107" s="69" t="b">
        <f aca="false">IF(IFERROR(INDEX(tsk_Name,GanttView[[#This Row],[_Row]])="",TRUE()),FALSE(),N(INDEX(tsk_Variance,GanttView[[#This Row],[_Row]]))&gt;0)</f>
        <v>0</v>
      </c>
      <c r="T107" s="70" t="n">
        <f aca="false">IF(IFERROR(INDEX(tsk_Name,GanttView[[#This Row],[_Row]])="",TRUE()),0,N(INDEX(tsk_Deadline,GanttView[[#This Row],[_Row]])))</f>
        <v>0</v>
      </c>
      <c r="U107" s="69" t="b">
        <f aca="false">IF(IFERROR(INDEX(tsk_Name,GanttView[[#This Row],[_Row]])="",TRUE()),FALSE(),INDEX(tsk_Critical,GanttView[[#This Row],[_Row]])="Yes")</f>
        <v>0</v>
      </c>
    </row>
    <row r="108" customFormat="false" ht="15" hidden="false" customHeight="false" outlineLevel="0" collapsed="false">
      <c r="A108" s="64" t="str">
        <f aca="false">IF(IFERROR(INDEX(tsk_Name,GanttView[[#This Row],[_Row]])="",TRUE()),"",INDEX(tsk_ID,GanttView[[#This Row],[_Row]]))</f>
        <v/>
      </c>
      <c r="B108" s="64" t="str">
        <f aca="false">IF(IFERROR(INDEX(tsk_Name,GanttView[[#This Row],[_Row]])="",TRUE()),"",INDEX(tsk_WBS,GanttView[[#This Row],[_Row]]))</f>
        <v/>
      </c>
      <c r="C108" s="65" t="str">
        <f aca="false">IF(IFERROR(INDEX(tsk_Name,GanttView[[#This Row],[_Row]])="",TRUE()),"",REPT("    ",INDEX(tsk_Level,GanttView[[#This Row],[_Row]])-1)&amp;INDEX(tsk_Name,GanttView[[#This Row],[_Row]]))</f>
        <v/>
      </c>
      <c r="D10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6" t="str">
        <f aca="false">IF(IFERROR(INDEX(tsk_Name,GanttView[[#This Row],[_Row]])="",TRUE()),"",INDEX(tsk_PlanStart,GanttView[[#This Row],[_Row]]))</f>
        <v/>
      </c>
      <c r="F108" s="66" t="str">
        <f aca="false">IF(IFERROR(INDEX(tsk_Name,GanttView[[#This Row],[_Row]])="",TRUE()),"",INDEX(tsk_PlanFinish,GanttView[[#This Row],[_Row]]))</f>
        <v/>
      </c>
      <c r="G108" s="66" t="str">
        <f aca="false">IF(IFERROR(INDEX(tsk_Name,GanttView[[#This Row],[_Row]])="",TRUE()),"",INDEX(tsk_FcStart,GanttView[[#This Row],[_Row]]))</f>
        <v/>
      </c>
      <c r="H108" s="66" t="str">
        <f aca="false">IF(IFERROR(INDEX(tsk_Name,GanttView[[#This Row],[_Row]])="",TRUE()),"",INDEX(tsk_FcFinish,GanttView[[#This Row],[_Row]]))</f>
        <v/>
      </c>
      <c r="I108" s="67" t="str">
        <f aca="false">IF(IFERROR(INDEX(tsk_Name,GanttView[[#This Row],[_Row]])="",TRUE()),"",INDEX(tsk_Progress,GanttView[[#This Row],[_Row]]))</f>
        <v/>
      </c>
      <c r="J108" s="65" t="str">
        <f aca="false">IF(IFERROR(INDEX(tsk_Name,GanttView[[#This Row],[_Row]])="",TRUE()),"",INDEX(tsk_Resource,GanttView[[#This Row],[_Row]])&amp;"")</f>
        <v/>
      </c>
      <c r="K108" s="64" t="str">
        <f aca="false">IF(IFERROR(INDEX(tsk_Name,GanttView[[#This Row],[_Row]])="",TRUE()),"",INDEX(tsk_Status,GanttView[[#This Row],[_Row]]))</f>
        <v/>
      </c>
      <c r="L108" s="68" t="n">
        <f aca="false">ROW()-ROW(GanttView[[#Headers],[ID]])</f>
        <v>103</v>
      </c>
      <c r="M108" s="69" t="b">
        <f aca="false">IF(IFERROR(INDEX(tsk_Name,GanttView[[#This Row],[_Row]])="",TRUE()),FALSE(),INDEX(tsk_IsSummary,GanttView[[#This Row],[_Row]]))</f>
        <v>0</v>
      </c>
      <c r="N108" s="69" t="b">
        <f aca="false">IF(IFERROR(INDEX(tsk_Name,GanttView[[#This Row],[_Row]])="",TRUE()),FALSE(),AND(INDEX(tsk_IsLeaf,GanttView[[#This Row],[_Row]])=1,N(INDEX(tsk_Duration,GanttView[[#This Row],[_Row]]))=0))</f>
        <v>0</v>
      </c>
      <c r="O10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70" t="n">
        <f aca="false">IF(GanttView[[#This Row],[_RemFrom]]=0,0,GanttView[[#This Row],[Forecast Finish]])</f>
        <v>0</v>
      </c>
      <c r="S108" s="69" t="b">
        <f aca="false">IF(IFERROR(INDEX(tsk_Name,GanttView[[#This Row],[_Row]])="",TRUE()),FALSE(),N(INDEX(tsk_Variance,GanttView[[#This Row],[_Row]]))&gt;0)</f>
        <v>0</v>
      </c>
      <c r="T108" s="70" t="n">
        <f aca="false">IF(IFERROR(INDEX(tsk_Name,GanttView[[#This Row],[_Row]])="",TRUE()),0,N(INDEX(tsk_Deadline,GanttView[[#This Row],[_Row]])))</f>
        <v>0</v>
      </c>
      <c r="U108" s="69" t="b">
        <f aca="false">IF(IFERROR(INDEX(tsk_Name,GanttView[[#This Row],[_Row]])="",TRUE()),FALSE(),INDEX(tsk_Critical,GanttView[[#This Row],[_Row]])="Yes")</f>
        <v>0</v>
      </c>
    </row>
    <row r="109" customFormat="false" ht="15" hidden="false" customHeight="false" outlineLevel="0" collapsed="false">
      <c r="A109" s="64" t="str">
        <f aca="false">IF(IFERROR(INDEX(tsk_Name,GanttView[[#This Row],[_Row]])="",TRUE()),"",INDEX(tsk_ID,GanttView[[#This Row],[_Row]]))</f>
        <v/>
      </c>
      <c r="B109" s="64" t="str">
        <f aca="false">IF(IFERROR(INDEX(tsk_Name,GanttView[[#This Row],[_Row]])="",TRUE()),"",INDEX(tsk_WBS,GanttView[[#This Row],[_Row]]))</f>
        <v/>
      </c>
      <c r="C109" s="65" t="str">
        <f aca="false">IF(IFERROR(INDEX(tsk_Name,GanttView[[#This Row],[_Row]])="",TRUE()),"",REPT("    ",INDEX(tsk_Level,GanttView[[#This Row],[_Row]])-1)&amp;INDEX(tsk_Name,GanttView[[#This Row],[_Row]]))</f>
        <v/>
      </c>
      <c r="D10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6" t="str">
        <f aca="false">IF(IFERROR(INDEX(tsk_Name,GanttView[[#This Row],[_Row]])="",TRUE()),"",INDEX(tsk_PlanStart,GanttView[[#This Row],[_Row]]))</f>
        <v/>
      </c>
      <c r="F109" s="66" t="str">
        <f aca="false">IF(IFERROR(INDEX(tsk_Name,GanttView[[#This Row],[_Row]])="",TRUE()),"",INDEX(tsk_PlanFinish,GanttView[[#This Row],[_Row]]))</f>
        <v/>
      </c>
      <c r="G109" s="66" t="str">
        <f aca="false">IF(IFERROR(INDEX(tsk_Name,GanttView[[#This Row],[_Row]])="",TRUE()),"",INDEX(tsk_FcStart,GanttView[[#This Row],[_Row]]))</f>
        <v/>
      </c>
      <c r="H109" s="66" t="str">
        <f aca="false">IF(IFERROR(INDEX(tsk_Name,GanttView[[#This Row],[_Row]])="",TRUE()),"",INDEX(tsk_FcFinish,GanttView[[#This Row],[_Row]]))</f>
        <v/>
      </c>
      <c r="I109" s="67" t="str">
        <f aca="false">IF(IFERROR(INDEX(tsk_Name,GanttView[[#This Row],[_Row]])="",TRUE()),"",INDEX(tsk_Progress,GanttView[[#This Row],[_Row]]))</f>
        <v/>
      </c>
      <c r="J109" s="65" t="str">
        <f aca="false">IF(IFERROR(INDEX(tsk_Name,GanttView[[#This Row],[_Row]])="",TRUE()),"",INDEX(tsk_Resource,GanttView[[#This Row],[_Row]])&amp;"")</f>
        <v/>
      </c>
      <c r="K109" s="64" t="str">
        <f aca="false">IF(IFERROR(INDEX(tsk_Name,GanttView[[#This Row],[_Row]])="",TRUE()),"",INDEX(tsk_Status,GanttView[[#This Row],[_Row]]))</f>
        <v/>
      </c>
      <c r="L109" s="68" t="n">
        <f aca="false">ROW()-ROW(GanttView[[#Headers],[ID]])</f>
        <v>104</v>
      </c>
      <c r="M109" s="69" t="b">
        <f aca="false">IF(IFERROR(INDEX(tsk_Name,GanttView[[#This Row],[_Row]])="",TRUE()),FALSE(),INDEX(tsk_IsSummary,GanttView[[#This Row],[_Row]]))</f>
        <v>0</v>
      </c>
      <c r="N109" s="69" t="b">
        <f aca="false">IF(IFERROR(INDEX(tsk_Name,GanttView[[#This Row],[_Row]])="",TRUE()),FALSE(),AND(INDEX(tsk_IsLeaf,GanttView[[#This Row],[_Row]])=1,N(INDEX(tsk_Duration,GanttView[[#This Row],[_Row]]))=0))</f>
        <v>0</v>
      </c>
      <c r="O10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70" t="n">
        <f aca="false">IF(GanttView[[#This Row],[_RemFrom]]=0,0,GanttView[[#This Row],[Forecast Finish]])</f>
        <v>0</v>
      </c>
      <c r="S109" s="69" t="b">
        <f aca="false">IF(IFERROR(INDEX(tsk_Name,GanttView[[#This Row],[_Row]])="",TRUE()),FALSE(),N(INDEX(tsk_Variance,GanttView[[#This Row],[_Row]]))&gt;0)</f>
        <v>0</v>
      </c>
      <c r="T109" s="70" t="n">
        <f aca="false">IF(IFERROR(INDEX(tsk_Name,GanttView[[#This Row],[_Row]])="",TRUE()),0,N(INDEX(tsk_Deadline,GanttView[[#This Row],[_Row]])))</f>
        <v>0</v>
      </c>
      <c r="U109" s="69" t="b">
        <f aca="false">IF(IFERROR(INDEX(tsk_Name,GanttView[[#This Row],[_Row]])="",TRUE()),FALSE(),INDEX(tsk_Critical,GanttView[[#This Row],[_Row]])="Yes")</f>
        <v>0</v>
      </c>
    </row>
    <row r="110" customFormat="false" ht="15" hidden="false" customHeight="false" outlineLevel="0" collapsed="false">
      <c r="A110" s="64" t="str">
        <f aca="false">IF(IFERROR(INDEX(tsk_Name,GanttView[[#This Row],[_Row]])="",TRUE()),"",INDEX(tsk_ID,GanttView[[#This Row],[_Row]]))</f>
        <v/>
      </c>
      <c r="B110" s="64" t="str">
        <f aca="false">IF(IFERROR(INDEX(tsk_Name,GanttView[[#This Row],[_Row]])="",TRUE()),"",INDEX(tsk_WBS,GanttView[[#This Row],[_Row]]))</f>
        <v/>
      </c>
      <c r="C110" s="65" t="str">
        <f aca="false">IF(IFERROR(INDEX(tsk_Name,GanttView[[#This Row],[_Row]])="",TRUE()),"",REPT("    ",INDEX(tsk_Level,GanttView[[#This Row],[_Row]])-1)&amp;INDEX(tsk_Name,GanttView[[#This Row],[_Row]]))</f>
        <v/>
      </c>
      <c r="D11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6" t="str">
        <f aca="false">IF(IFERROR(INDEX(tsk_Name,GanttView[[#This Row],[_Row]])="",TRUE()),"",INDEX(tsk_PlanStart,GanttView[[#This Row],[_Row]]))</f>
        <v/>
      </c>
      <c r="F110" s="66" t="str">
        <f aca="false">IF(IFERROR(INDEX(tsk_Name,GanttView[[#This Row],[_Row]])="",TRUE()),"",INDEX(tsk_PlanFinish,GanttView[[#This Row],[_Row]]))</f>
        <v/>
      </c>
      <c r="G110" s="66" t="str">
        <f aca="false">IF(IFERROR(INDEX(tsk_Name,GanttView[[#This Row],[_Row]])="",TRUE()),"",INDEX(tsk_FcStart,GanttView[[#This Row],[_Row]]))</f>
        <v/>
      </c>
      <c r="H110" s="66" t="str">
        <f aca="false">IF(IFERROR(INDEX(tsk_Name,GanttView[[#This Row],[_Row]])="",TRUE()),"",INDEX(tsk_FcFinish,GanttView[[#This Row],[_Row]]))</f>
        <v/>
      </c>
      <c r="I110" s="67" t="str">
        <f aca="false">IF(IFERROR(INDEX(tsk_Name,GanttView[[#This Row],[_Row]])="",TRUE()),"",INDEX(tsk_Progress,GanttView[[#This Row],[_Row]]))</f>
        <v/>
      </c>
      <c r="J110" s="65" t="str">
        <f aca="false">IF(IFERROR(INDEX(tsk_Name,GanttView[[#This Row],[_Row]])="",TRUE()),"",INDEX(tsk_Resource,GanttView[[#This Row],[_Row]])&amp;"")</f>
        <v/>
      </c>
      <c r="K110" s="64" t="str">
        <f aca="false">IF(IFERROR(INDEX(tsk_Name,GanttView[[#This Row],[_Row]])="",TRUE()),"",INDEX(tsk_Status,GanttView[[#This Row],[_Row]]))</f>
        <v/>
      </c>
      <c r="L110" s="68" t="n">
        <f aca="false">ROW()-ROW(GanttView[[#Headers],[ID]])</f>
        <v>105</v>
      </c>
      <c r="M110" s="69" t="b">
        <f aca="false">IF(IFERROR(INDEX(tsk_Name,GanttView[[#This Row],[_Row]])="",TRUE()),FALSE(),INDEX(tsk_IsSummary,GanttView[[#This Row],[_Row]]))</f>
        <v>0</v>
      </c>
      <c r="N110" s="69" t="b">
        <f aca="false">IF(IFERROR(INDEX(tsk_Name,GanttView[[#This Row],[_Row]])="",TRUE()),FALSE(),AND(INDEX(tsk_IsLeaf,GanttView[[#This Row],[_Row]])=1,N(INDEX(tsk_Duration,GanttView[[#This Row],[_Row]]))=0))</f>
        <v>0</v>
      </c>
      <c r="O11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70" t="n">
        <f aca="false">IF(GanttView[[#This Row],[_RemFrom]]=0,0,GanttView[[#This Row],[Forecast Finish]])</f>
        <v>0</v>
      </c>
      <c r="S110" s="69" t="b">
        <f aca="false">IF(IFERROR(INDEX(tsk_Name,GanttView[[#This Row],[_Row]])="",TRUE()),FALSE(),N(INDEX(tsk_Variance,GanttView[[#This Row],[_Row]]))&gt;0)</f>
        <v>0</v>
      </c>
      <c r="T110" s="70" t="n">
        <f aca="false">IF(IFERROR(INDEX(tsk_Name,GanttView[[#This Row],[_Row]])="",TRUE()),0,N(INDEX(tsk_Deadline,GanttView[[#This Row],[_Row]])))</f>
        <v>0</v>
      </c>
      <c r="U110" s="69" t="b">
        <f aca="false">IF(IFERROR(INDEX(tsk_Name,GanttView[[#This Row],[_Row]])="",TRUE()),FALSE(),INDEX(tsk_Critical,GanttView[[#This Row],[_Row]])="Yes")</f>
        <v>0</v>
      </c>
    </row>
    <row r="111" customFormat="false" ht="15" hidden="false" customHeight="false" outlineLevel="0" collapsed="false">
      <c r="A111" s="64" t="str">
        <f aca="false">IF(IFERROR(INDEX(tsk_Name,GanttView[[#This Row],[_Row]])="",TRUE()),"",INDEX(tsk_ID,GanttView[[#This Row],[_Row]]))</f>
        <v/>
      </c>
      <c r="B111" s="64" t="str">
        <f aca="false">IF(IFERROR(INDEX(tsk_Name,GanttView[[#This Row],[_Row]])="",TRUE()),"",INDEX(tsk_WBS,GanttView[[#This Row],[_Row]]))</f>
        <v/>
      </c>
      <c r="C111" s="65" t="str">
        <f aca="false">IF(IFERROR(INDEX(tsk_Name,GanttView[[#This Row],[_Row]])="",TRUE()),"",REPT("    ",INDEX(tsk_Level,GanttView[[#This Row],[_Row]])-1)&amp;INDEX(tsk_Name,GanttView[[#This Row],[_Row]]))</f>
        <v/>
      </c>
      <c r="D11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6" t="str">
        <f aca="false">IF(IFERROR(INDEX(tsk_Name,GanttView[[#This Row],[_Row]])="",TRUE()),"",INDEX(tsk_PlanStart,GanttView[[#This Row],[_Row]]))</f>
        <v/>
      </c>
      <c r="F111" s="66" t="str">
        <f aca="false">IF(IFERROR(INDEX(tsk_Name,GanttView[[#This Row],[_Row]])="",TRUE()),"",INDEX(tsk_PlanFinish,GanttView[[#This Row],[_Row]]))</f>
        <v/>
      </c>
      <c r="G111" s="66" t="str">
        <f aca="false">IF(IFERROR(INDEX(tsk_Name,GanttView[[#This Row],[_Row]])="",TRUE()),"",INDEX(tsk_FcStart,GanttView[[#This Row],[_Row]]))</f>
        <v/>
      </c>
      <c r="H111" s="66" t="str">
        <f aca="false">IF(IFERROR(INDEX(tsk_Name,GanttView[[#This Row],[_Row]])="",TRUE()),"",INDEX(tsk_FcFinish,GanttView[[#This Row],[_Row]]))</f>
        <v/>
      </c>
      <c r="I111" s="67" t="str">
        <f aca="false">IF(IFERROR(INDEX(tsk_Name,GanttView[[#This Row],[_Row]])="",TRUE()),"",INDEX(tsk_Progress,GanttView[[#This Row],[_Row]]))</f>
        <v/>
      </c>
      <c r="J111" s="65" t="str">
        <f aca="false">IF(IFERROR(INDEX(tsk_Name,GanttView[[#This Row],[_Row]])="",TRUE()),"",INDEX(tsk_Resource,GanttView[[#This Row],[_Row]])&amp;"")</f>
        <v/>
      </c>
      <c r="K111" s="64" t="str">
        <f aca="false">IF(IFERROR(INDEX(tsk_Name,GanttView[[#This Row],[_Row]])="",TRUE()),"",INDEX(tsk_Status,GanttView[[#This Row],[_Row]]))</f>
        <v/>
      </c>
      <c r="L111" s="68" t="n">
        <f aca="false">ROW()-ROW(GanttView[[#Headers],[ID]])</f>
        <v>106</v>
      </c>
      <c r="M111" s="69" t="b">
        <f aca="false">IF(IFERROR(INDEX(tsk_Name,GanttView[[#This Row],[_Row]])="",TRUE()),FALSE(),INDEX(tsk_IsSummary,GanttView[[#This Row],[_Row]]))</f>
        <v>0</v>
      </c>
      <c r="N111" s="69" t="b">
        <f aca="false">IF(IFERROR(INDEX(tsk_Name,GanttView[[#This Row],[_Row]])="",TRUE()),FALSE(),AND(INDEX(tsk_IsLeaf,GanttView[[#This Row],[_Row]])=1,N(INDEX(tsk_Duration,GanttView[[#This Row],[_Row]]))=0))</f>
        <v>0</v>
      </c>
      <c r="O11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70" t="n">
        <f aca="false">IF(GanttView[[#This Row],[_RemFrom]]=0,0,GanttView[[#This Row],[Forecast Finish]])</f>
        <v>0</v>
      </c>
      <c r="S111" s="69" t="b">
        <f aca="false">IF(IFERROR(INDEX(tsk_Name,GanttView[[#This Row],[_Row]])="",TRUE()),FALSE(),N(INDEX(tsk_Variance,GanttView[[#This Row],[_Row]]))&gt;0)</f>
        <v>0</v>
      </c>
      <c r="T111" s="70" t="n">
        <f aca="false">IF(IFERROR(INDEX(tsk_Name,GanttView[[#This Row],[_Row]])="",TRUE()),0,N(INDEX(tsk_Deadline,GanttView[[#This Row],[_Row]])))</f>
        <v>0</v>
      </c>
      <c r="U111" s="69" t="b">
        <f aca="false">IF(IFERROR(INDEX(tsk_Name,GanttView[[#This Row],[_Row]])="",TRUE()),FALSE(),INDEX(tsk_Critical,GanttView[[#This Row],[_Row]])="Yes")</f>
        <v>0</v>
      </c>
    </row>
    <row r="112" customFormat="false" ht="15" hidden="false" customHeight="false" outlineLevel="0" collapsed="false">
      <c r="A112" s="64" t="str">
        <f aca="false">IF(IFERROR(INDEX(tsk_Name,GanttView[[#This Row],[_Row]])="",TRUE()),"",INDEX(tsk_ID,GanttView[[#This Row],[_Row]]))</f>
        <v/>
      </c>
      <c r="B112" s="64" t="str">
        <f aca="false">IF(IFERROR(INDEX(tsk_Name,GanttView[[#This Row],[_Row]])="",TRUE()),"",INDEX(tsk_WBS,GanttView[[#This Row],[_Row]]))</f>
        <v/>
      </c>
      <c r="C112" s="65" t="str">
        <f aca="false">IF(IFERROR(INDEX(tsk_Name,GanttView[[#This Row],[_Row]])="",TRUE()),"",REPT("    ",INDEX(tsk_Level,GanttView[[#This Row],[_Row]])-1)&amp;INDEX(tsk_Name,GanttView[[#This Row],[_Row]]))</f>
        <v/>
      </c>
      <c r="D11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6" t="str">
        <f aca="false">IF(IFERROR(INDEX(tsk_Name,GanttView[[#This Row],[_Row]])="",TRUE()),"",INDEX(tsk_PlanStart,GanttView[[#This Row],[_Row]]))</f>
        <v/>
      </c>
      <c r="F112" s="66" t="str">
        <f aca="false">IF(IFERROR(INDEX(tsk_Name,GanttView[[#This Row],[_Row]])="",TRUE()),"",INDEX(tsk_PlanFinish,GanttView[[#This Row],[_Row]]))</f>
        <v/>
      </c>
      <c r="G112" s="66" t="str">
        <f aca="false">IF(IFERROR(INDEX(tsk_Name,GanttView[[#This Row],[_Row]])="",TRUE()),"",INDEX(tsk_FcStart,GanttView[[#This Row],[_Row]]))</f>
        <v/>
      </c>
      <c r="H112" s="66" t="str">
        <f aca="false">IF(IFERROR(INDEX(tsk_Name,GanttView[[#This Row],[_Row]])="",TRUE()),"",INDEX(tsk_FcFinish,GanttView[[#This Row],[_Row]]))</f>
        <v/>
      </c>
      <c r="I112" s="67" t="str">
        <f aca="false">IF(IFERROR(INDEX(tsk_Name,GanttView[[#This Row],[_Row]])="",TRUE()),"",INDEX(tsk_Progress,GanttView[[#This Row],[_Row]]))</f>
        <v/>
      </c>
      <c r="J112" s="65" t="str">
        <f aca="false">IF(IFERROR(INDEX(tsk_Name,GanttView[[#This Row],[_Row]])="",TRUE()),"",INDEX(tsk_Resource,GanttView[[#This Row],[_Row]])&amp;"")</f>
        <v/>
      </c>
      <c r="K112" s="64" t="str">
        <f aca="false">IF(IFERROR(INDEX(tsk_Name,GanttView[[#This Row],[_Row]])="",TRUE()),"",INDEX(tsk_Status,GanttView[[#This Row],[_Row]]))</f>
        <v/>
      </c>
      <c r="L112" s="68" t="n">
        <f aca="false">ROW()-ROW(GanttView[[#Headers],[ID]])</f>
        <v>107</v>
      </c>
      <c r="M112" s="69" t="b">
        <f aca="false">IF(IFERROR(INDEX(tsk_Name,GanttView[[#This Row],[_Row]])="",TRUE()),FALSE(),INDEX(tsk_IsSummary,GanttView[[#This Row],[_Row]]))</f>
        <v>0</v>
      </c>
      <c r="N112" s="69" t="b">
        <f aca="false">IF(IFERROR(INDEX(tsk_Name,GanttView[[#This Row],[_Row]])="",TRUE()),FALSE(),AND(INDEX(tsk_IsLeaf,GanttView[[#This Row],[_Row]])=1,N(INDEX(tsk_Duration,GanttView[[#This Row],[_Row]]))=0))</f>
        <v>0</v>
      </c>
      <c r="O11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70" t="n">
        <f aca="false">IF(GanttView[[#This Row],[_RemFrom]]=0,0,GanttView[[#This Row],[Forecast Finish]])</f>
        <v>0</v>
      </c>
      <c r="S112" s="69" t="b">
        <f aca="false">IF(IFERROR(INDEX(tsk_Name,GanttView[[#This Row],[_Row]])="",TRUE()),FALSE(),N(INDEX(tsk_Variance,GanttView[[#This Row],[_Row]]))&gt;0)</f>
        <v>0</v>
      </c>
      <c r="T112" s="70" t="n">
        <f aca="false">IF(IFERROR(INDEX(tsk_Name,GanttView[[#This Row],[_Row]])="",TRUE()),0,N(INDEX(tsk_Deadline,GanttView[[#This Row],[_Row]])))</f>
        <v>0</v>
      </c>
      <c r="U112" s="69" t="b">
        <f aca="false">IF(IFERROR(INDEX(tsk_Name,GanttView[[#This Row],[_Row]])="",TRUE()),FALSE(),INDEX(tsk_Critical,GanttView[[#This Row],[_Row]])="Yes")</f>
        <v>0</v>
      </c>
    </row>
    <row r="113" customFormat="false" ht="15" hidden="false" customHeight="false" outlineLevel="0" collapsed="false">
      <c r="A113" s="64" t="str">
        <f aca="false">IF(IFERROR(INDEX(tsk_Name,GanttView[[#This Row],[_Row]])="",TRUE()),"",INDEX(tsk_ID,GanttView[[#This Row],[_Row]]))</f>
        <v/>
      </c>
      <c r="B113" s="64" t="str">
        <f aca="false">IF(IFERROR(INDEX(tsk_Name,GanttView[[#This Row],[_Row]])="",TRUE()),"",INDEX(tsk_WBS,GanttView[[#This Row],[_Row]]))</f>
        <v/>
      </c>
      <c r="C113" s="65" t="str">
        <f aca="false">IF(IFERROR(INDEX(tsk_Name,GanttView[[#This Row],[_Row]])="",TRUE()),"",REPT("    ",INDEX(tsk_Level,GanttView[[#This Row],[_Row]])-1)&amp;INDEX(tsk_Name,GanttView[[#This Row],[_Row]]))</f>
        <v/>
      </c>
      <c r="D11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6" t="str">
        <f aca="false">IF(IFERROR(INDEX(tsk_Name,GanttView[[#This Row],[_Row]])="",TRUE()),"",INDEX(tsk_PlanStart,GanttView[[#This Row],[_Row]]))</f>
        <v/>
      </c>
      <c r="F113" s="66" t="str">
        <f aca="false">IF(IFERROR(INDEX(tsk_Name,GanttView[[#This Row],[_Row]])="",TRUE()),"",INDEX(tsk_PlanFinish,GanttView[[#This Row],[_Row]]))</f>
        <v/>
      </c>
      <c r="G113" s="66" t="str">
        <f aca="false">IF(IFERROR(INDEX(tsk_Name,GanttView[[#This Row],[_Row]])="",TRUE()),"",INDEX(tsk_FcStart,GanttView[[#This Row],[_Row]]))</f>
        <v/>
      </c>
      <c r="H113" s="66" t="str">
        <f aca="false">IF(IFERROR(INDEX(tsk_Name,GanttView[[#This Row],[_Row]])="",TRUE()),"",INDEX(tsk_FcFinish,GanttView[[#This Row],[_Row]]))</f>
        <v/>
      </c>
      <c r="I113" s="67" t="str">
        <f aca="false">IF(IFERROR(INDEX(tsk_Name,GanttView[[#This Row],[_Row]])="",TRUE()),"",INDEX(tsk_Progress,GanttView[[#This Row],[_Row]]))</f>
        <v/>
      </c>
      <c r="J113" s="65" t="str">
        <f aca="false">IF(IFERROR(INDEX(tsk_Name,GanttView[[#This Row],[_Row]])="",TRUE()),"",INDEX(tsk_Resource,GanttView[[#This Row],[_Row]])&amp;"")</f>
        <v/>
      </c>
      <c r="K113" s="64" t="str">
        <f aca="false">IF(IFERROR(INDEX(tsk_Name,GanttView[[#This Row],[_Row]])="",TRUE()),"",INDEX(tsk_Status,GanttView[[#This Row],[_Row]]))</f>
        <v/>
      </c>
      <c r="L113" s="68" t="n">
        <f aca="false">ROW()-ROW(GanttView[[#Headers],[ID]])</f>
        <v>108</v>
      </c>
      <c r="M113" s="69" t="b">
        <f aca="false">IF(IFERROR(INDEX(tsk_Name,GanttView[[#This Row],[_Row]])="",TRUE()),FALSE(),INDEX(tsk_IsSummary,GanttView[[#This Row],[_Row]]))</f>
        <v>0</v>
      </c>
      <c r="N113" s="69" t="b">
        <f aca="false">IF(IFERROR(INDEX(tsk_Name,GanttView[[#This Row],[_Row]])="",TRUE()),FALSE(),AND(INDEX(tsk_IsLeaf,GanttView[[#This Row],[_Row]])=1,N(INDEX(tsk_Duration,GanttView[[#This Row],[_Row]]))=0))</f>
        <v>0</v>
      </c>
      <c r="O11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70" t="n">
        <f aca="false">IF(GanttView[[#This Row],[_RemFrom]]=0,0,GanttView[[#This Row],[Forecast Finish]])</f>
        <v>0</v>
      </c>
      <c r="S113" s="69" t="b">
        <f aca="false">IF(IFERROR(INDEX(tsk_Name,GanttView[[#This Row],[_Row]])="",TRUE()),FALSE(),N(INDEX(tsk_Variance,GanttView[[#This Row],[_Row]]))&gt;0)</f>
        <v>0</v>
      </c>
      <c r="T113" s="70" t="n">
        <f aca="false">IF(IFERROR(INDEX(tsk_Name,GanttView[[#This Row],[_Row]])="",TRUE()),0,N(INDEX(tsk_Deadline,GanttView[[#This Row],[_Row]])))</f>
        <v>0</v>
      </c>
      <c r="U113" s="69" t="b">
        <f aca="false">IF(IFERROR(INDEX(tsk_Name,GanttView[[#This Row],[_Row]])="",TRUE()),FALSE(),INDEX(tsk_Critical,GanttView[[#This Row],[_Row]])="Yes")</f>
        <v>0</v>
      </c>
    </row>
    <row r="114" customFormat="false" ht="15" hidden="false" customHeight="false" outlineLevel="0" collapsed="false">
      <c r="A114" s="64" t="str">
        <f aca="false">IF(IFERROR(INDEX(tsk_Name,GanttView[[#This Row],[_Row]])="",TRUE()),"",INDEX(tsk_ID,GanttView[[#This Row],[_Row]]))</f>
        <v/>
      </c>
      <c r="B114" s="64" t="str">
        <f aca="false">IF(IFERROR(INDEX(tsk_Name,GanttView[[#This Row],[_Row]])="",TRUE()),"",INDEX(tsk_WBS,GanttView[[#This Row],[_Row]]))</f>
        <v/>
      </c>
      <c r="C114" s="65" t="str">
        <f aca="false">IF(IFERROR(INDEX(tsk_Name,GanttView[[#This Row],[_Row]])="",TRUE()),"",REPT("    ",INDEX(tsk_Level,GanttView[[#This Row],[_Row]])-1)&amp;INDEX(tsk_Name,GanttView[[#This Row],[_Row]]))</f>
        <v/>
      </c>
      <c r="D11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6" t="str">
        <f aca="false">IF(IFERROR(INDEX(tsk_Name,GanttView[[#This Row],[_Row]])="",TRUE()),"",INDEX(tsk_PlanStart,GanttView[[#This Row],[_Row]]))</f>
        <v/>
      </c>
      <c r="F114" s="66" t="str">
        <f aca="false">IF(IFERROR(INDEX(tsk_Name,GanttView[[#This Row],[_Row]])="",TRUE()),"",INDEX(tsk_PlanFinish,GanttView[[#This Row],[_Row]]))</f>
        <v/>
      </c>
      <c r="G114" s="66" t="str">
        <f aca="false">IF(IFERROR(INDEX(tsk_Name,GanttView[[#This Row],[_Row]])="",TRUE()),"",INDEX(tsk_FcStart,GanttView[[#This Row],[_Row]]))</f>
        <v/>
      </c>
      <c r="H114" s="66" t="str">
        <f aca="false">IF(IFERROR(INDEX(tsk_Name,GanttView[[#This Row],[_Row]])="",TRUE()),"",INDEX(tsk_FcFinish,GanttView[[#This Row],[_Row]]))</f>
        <v/>
      </c>
      <c r="I114" s="67" t="str">
        <f aca="false">IF(IFERROR(INDEX(tsk_Name,GanttView[[#This Row],[_Row]])="",TRUE()),"",INDEX(tsk_Progress,GanttView[[#This Row],[_Row]]))</f>
        <v/>
      </c>
      <c r="J114" s="65" t="str">
        <f aca="false">IF(IFERROR(INDEX(tsk_Name,GanttView[[#This Row],[_Row]])="",TRUE()),"",INDEX(tsk_Resource,GanttView[[#This Row],[_Row]])&amp;"")</f>
        <v/>
      </c>
      <c r="K114" s="64" t="str">
        <f aca="false">IF(IFERROR(INDEX(tsk_Name,GanttView[[#This Row],[_Row]])="",TRUE()),"",INDEX(tsk_Status,GanttView[[#This Row],[_Row]]))</f>
        <v/>
      </c>
      <c r="L114" s="68" t="n">
        <f aca="false">ROW()-ROW(GanttView[[#Headers],[ID]])</f>
        <v>109</v>
      </c>
      <c r="M114" s="69" t="b">
        <f aca="false">IF(IFERROR(INDEX(tsk_Name,GanttView[[#This Row],[_Row]])="",TRUE()),FALSE(),INDEX(tsk_IsSummary,GanttView[[#This Row],[_Row]]))</f>
        <v>0</v>
      </c>
      <c r="N114" s="69" t="b">
        <f aca="false">IF(IFERROR(INDEX(tsk_Name,GanttView[[#This Row],[_Row]])="",TRUE()),FALSE(),AND(INDEX(tsk_IsLeaf,GanttView[[#This Row],[_Row]])=1,N(INDEX(tsk_Duration,GanttView[[#This Row],[_Row]]))=0))</f>
        <v>0</v>
      </c>
      <c r="O11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70" t="n">
        <f aca="false">IF(GanttView[[#This Row],[_RemFrom]]=0,0,GanttView[[#This Row],[Forecast Finish]])</f>
        <v>0</v>
      </c>
      <c r="S114" s="69" t="b">
        <f aca="false">IF(IFERROR(INDEX(tsk_Name,GanttView[[#This Row],[_Row]])="",TRUE()),FALSE(),N(INDEX(tsk_Variance,GanttView[[#This Row],[_Row]]))&gt;0)</f>
        <v>0</v>
      </c>
      <c r="T114" s="70" t="n">
        <f aca="false">IF(IFERROR(INDEX(tsk_Name,GanttView[[#This Row],[_Row]])="",TRUE()),0,N(INDEX(tsk_Deadline,GanttView[[#This Row],[_Row]])))</f>
        <v>0</v>
      </c>
      <c r="U114" s="69" t="b">
        <f aca="false">IF(IFERROR(INDEX(tsk_Name,GanttView[[#This Row],[_Row]])="",TRUE()),FALSE(),INDEX(tsk_Critical,GanttView[[#This Row],[_Row]])="Yes")</f>
        <v>0</v>
      </c>
    </row>
    <row r="115" customFormat="false" ht="15" hidden="false" customHeight="false" outlineLevel="0" collapsed="false">
      <c r="A115" s="64" t="str">
        <f aca="false">IF(IFERROR(INDEX(tsk_Name,GanttView[[#This Row],[_Row]])="",TRUE()),"",INDEX(tsk_ID,GanttView[[#This Row],[_Row]]))</f>
        <v/>
      </c>
      <c r="B115" s="64" t="str">
        <f aca="false">IF(IFERROR(INDEX(tsk_Name,GanttView[[#This Row],[_Row]])="",TRUE()),"",INDEX(tsk_WBS,GanttView[[#This Row],[_Row]]))</f>
        <v/>
      </c>
      <c r="C115" s="65" t="str">
        <f aca="false">IF(IFERROR(INDEX(tsk_Name,GanttView[[#This Row],[_Row]])="",TRUE()),"",REPT("    ",INDEX(tsk_Level,GanttView[[#This Row],[_Row]])-1)&amp;INDEX(tsk_Name,GanttView[[#This Row],[_Row]]))</f>
        <v/>
      </c>
      <c r="D11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6" t="str">
        <f aca="false">IF(IFERROR(INDEX(tsk_Name,GanttView[[#This Row],[_Row]])="",TRUE()),"",INDEX(tsk_PlanStart,GanttView[[#This Row],[_Row]]))</f>
        <v/>
      </c>
      <c r="F115" s="66" t="str">
        <f aca="false">IF(IFERROR(INDEX(tsk_Name,GanttView[[#This Row],[_Row]])="",TRUE()),"",INDEX(tsk_PlanFinish,GanttView[[#This Row],[_Row]]))</f>
        <v/>
      </c>
      <c r="G115" s="66" t="str">
        <f aca="false">IF(IFERROR(INDEX(tsk_Name,GanttView[[#This Row],[_Row]])="",TRUE()),"",INDEX(tsk_FcStart,GanttView[[#This Row],[_Row]]))</f>
        <v/>
      </c>
      <c r="H115" s="66" t="str">
        <f aca="false">IF(IFERROR(INDEX(tsk_Name,GanttView[[#This Row],[_Row]])="",TRUE()),"",INDEX(tsk_FcFinish,GanttView[[#This Row],[_Row]]))</f>
        <v/>
      </c>
      <c r="I115" s="67" t="str">
        <f aca="false">IF(IFERROR(INDEX(tsk_Name,GanttView[[#This Row],[_Row]])="",TRUE()),"",INDEX(tsk_Progress,GanttView[[#This Row],[_Row]]))</f>
        <v/>
      </c>
      <c r="J115" s="65" t="str">
        <f aca="false">IF(IFERROR(INDEX(tsk_Name,GanttView[[#This Row],[_Row]])="",TRUE()),"",INDEX(tsk_Resource,GanttView[[#This Row],[_Row]])&amp;"")</f>
        <v/>
      </c>
      <c r="K115" s="64" t="str">
        <f aca="false">IF(IFERROR(INDEX(tsk_Name,GanttView[[#This Row],[_Row]])="",TRUE()),"",INDEX(tsk_Status,GanttView[[#This Row],[_Row]]))</f>
        <v/>
      </c>
      <c r="L115" s="68" t="n">
        <f aca="false">ROW()-ROW(GanttView[[#Headers],[ID]])</f>
        <v>110</v>
      </c>
      <c r="M115" s="69" t="b">
        <f aca="false">IF(IFERROR(INDEX(tsk_Name,GanttView[[#This Row],[_Row]])="",TRUE()),FALSE(),INDEX(tsk_IsSummary,GanttView[[#This Row],[_Row]]))</f>
        <v>0</v>
      </c>
      <c r="N115" s="69" t="b">
        <f aca="false">IF(IFERROR(INDEX(tsk_Name,GanttView[[#This Row],[_Row]])="",TRUE()),FALSE(),AND(INDEX(tsk_IsLeaf,GanttView[[#This Row],[_Row]])=1,N(INDEX(tsk_Duration,GanttView[[#This Row],[_Row]]))=0))</f>
        <v>0</v>
      </c>
      <c r="O11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70" t="n">
        <f aca="false">IF(GanttView[[#This Row],[_RemFrom]]=0,0,GanttView[[#This Row],[Forecast Finish]])</f>
        <v>0</v>
      </c>
      <c r="S115" s="69" t="b">
        <f aca="false">IF(IFERROR(INDEX(tsk_Name,GanttView[[#This Row],[_Row]])="",TRUE()),FALSE(),N(INDEX(tsk_Variance,GanttView[[#This Row],[_Row]]))&gt;0)</f>
        <v>0</v>
      </c>
      <c r="T115" s="70" t="n">
        <f aca="false">IF(IFERROR(INDEX(tsk_Name,GanttView[[#This Row],[_Row]])="",TRUE()),0,N(INDEX(tsk_Deadline,GanttView[[#This Row],[_Row]])))</f>
        <v>0</v>
      </c>
      <c r="U115" s="69" t="b">
        <f aca="false">IF(IFERROR(INDEX(tsk_Name,GanttView[[#This Row],[_Row]])="",TRUE()),FALSE(),INDEX(tsk_Critical,GanttView[[#This Row],[_Row]])="Yes")</f>
        <v>0</v>
      </c>
    </row>
    <row r="116" customFormat="false" ht="15" hidden="false" customHeight="false" outlineLevel="0" collapsed="false">
      <c r="A116" s="64" t="str">
        <f aca="false">IF(IFERROR(INDEX(tsk_Name,GanttView[[#This Row],[_Row]])="",TRUE()),"",INDEX(tsk_ID,GanttView[[#This Row],[_Row]]))</f>
        <v/>
      </c>
      <c r="B116" s="64" t="str">
        <f aca="false">IF(IFERROR(INDEX(tsk_Name,GanttView[[#This Row],[_Row]])="",TRUE()),"",INDEX(tsk_WBS,GanttView[[#This Row],[_Row]]))</f>
        <v/>
      </c>
      <c r="C116" s="65" t="str">
        <f aca="false">IF(IFERROR(INDEX(tsk_Name,GanttView[[#This Row],[_Row]])="",TRUE()),"",REPT("    ",INDEX(tsk_Level,GanttView[[#This Row],[_Row]])-1)&amp;INDEX(tsk_Name,GanttView[[#This Row],[_Row]]))</f>
        <v/>
      </c>
      <c r="D11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6" t="str">
        <f aca="false">IF(IFERROR(INDEX(tsk_Name,GanttView[[#This Row],[_Row]])="",TRUE()),"",INDEX(tsk_PlanStart,GanttView[[#This Row],[_Row]]))</f>
        <v/>
      </c>
      <c r="F116" s="66" t="str">
        <f aca="false">IF(IFERROR(INDEX(tsk_Name,GanttView[[#This Row],[_Row]])="",TRUE()),"",INDEX(tsk_PlanFinish,GanttView[[#This Row],[_Row]]))</f>
        <v/>
      </c>
      <c r="G116" s="66" t="str">
        <f aca="false">IF(IFERROR(INDEX(tsk_Name,GanttView[[#This Row],[_Row]])="",TRUE()),"",INDEX(tsk_FcStart,GanttView[[#This Row],[_Row]]))</f>
        <v/>
      </c>
      <c r="H116" s="66" t="str">
        <f aca="false">IF(IFERROR(INDEX(tsk_Name,GanttView[[#This Row],[_Row]])="",TRUE()),"",INDEX(tsk_FcFinish,GanttView[[#This Row],[_Row]]))</f>
        <v/>
      </c>
      <c r="I116" s="67" t="str">
        <f aca="false">IF(IFERROR(INDEX(tsk_Name,GanttView[[#This Row],[_Row]])="",TRUE()),"",INDEX(tsk_Progress,GanttView[[#This Row],[_Row]]))</f>
        <v/>
      </c>
      <c r="J116" s="65" t="str">
        <f aca="false">IF(IFERROR(INDEX(tsk_Name,GanttView[[#This Row],[_Row]])="",TRUE()),"",INDEX(tsk_Resource,GanttView[[#This Row],[_Row]])&amp;"")</f>
        <v/>
      </c>
      <c r="K116" s="64" t="str">
        <f aca="false">IF(IFERROR(INDEX(tsk_Name,GanttView[[#This Row],[_Row]])="",TRUE()),"",INDEX(tsk_Status,GanttView[[#This Row],[_Row]]))</f>
        <v/>
      </c>
      <c r="L116" s="68" t="n">
        <f aca="false">ROW()-ROW(GanttView[[#Headers],[ID]])</f>
        <v>111</v>
      </c>
      <c r="M116" s="69" t="b">
        <f aca="false">IF(IFERROR(INDEX(tsk_Name,GanttView[[#This Row],[_Row]])="",TRUE()),FALSE(),INDEX(tsk_IsSummary,GanttView[[#This Row],[_Row]]))</f>
        <v>0</v>
      </c>
      <c r="N116" s="69" t="b">
        <f aca="false">IF(IFERROR(INDEX(tsk_Name,GanttView[[#This Row],[_Row]])="",TRUE()),FALSE(),AND(INDEX(tsk_IsLeaf,GanttView[[#This Row],[_Row]])=1,N(INDEX(tsk_Duration,GanttView[[#This Row],[_Row]]))=0))</f>
        <v>0</v>
      </c>
      <c r="O11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70" t="n">
        <f aca="false">IF(GanttView[[#This Row],[_RemFrom]]=0,0,GanttView[[#This Row],[Forecast Finish]])</f>
        <v>0</v>
      </c>
      <c r="S116" s="69" t="b">
        <f aca="false">IF(IFERROR(INDEX(tsk_Name,GanttView[[#This Row],[_Row]])="",TRUE()),FALSE(),N(INDEX(tsk_Variance,GanttView[[#This Row],[_Row]]))&gt;0)</f>
        <v>0</v>
      </c>
      <c r="T116" s="70" t="n">
        <f aca="false">IF(IFERROR(INDEX(tsk_Name,GanttView[[#This Row],[_Row]])="",TRUE()),0,N(INDEX(tsk_Deadline,GanttView[[#This Row],[_Row]])))</f>
        <v>0</v>
      </c>
      <c r="U116" s="69" t="b">
        <f aca="false">IF(IFERROR(INDEX(tsk_Name,GanttView[[#This Row],[_Row]])="",TRUE()),FALSE(),INDEX(tsk_Critical,GanttView[[#This Row],[_Row]])="Yes")</f>
        <v>0</v>
      </c>
    </row>
    <row r="117" customFormat="false" ht="15" hidden="false" customHeight="false" outlineLevel="0" collapsed="false">
      <c r="A117" s="64" t="str">
        <f aca="false">IF(IFERROR(INDEX(tsk_Name,GanttView[[#This Row],[_Row]])="",TRUE()),"",INDEX(tsk_ID,GanttView[[#This Row],[_Row]]))</f>
        <v/>
      </c>
      <c r="B117" s="64" t="str">
        <f aca="false">IF(IFERROR(INDEX(tsk_Name,GanttView[[#This Row],[_Row]])="",TRUE()),"",INDEX(tsk_WBS,GanttView[[#This Row],[_Row]]))</f>
        <v/>
      </c>
      <c r="C117" s="65" t="str">
        <f aca="false">IF(IFERROR(INDEX(tsk_Name,GanttView[[#This Row],[_Row]])="",TRUE()),"",REPT("    ",INDEX(tsk_Level,GanttView[[#This Row],[_Row]])-1)&amp;INDEX(tsk_Name,GanttView[[#This Row],[_Row]]))</f>
        <v/>
      </c>
      <c r="D11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6" t="str">
        <f aca="false">IF(IFERROR(INDEX(tsk_Name,GanttView[[#This Row],[_Row]])="",TRUE()),"",INDEX(tsk_PlanStart,GanttView[[#This Row],[_Row]]))</f>
        <v/>
      </c>
      <c r="F117" s="66" t="str">
        <f aca="false">IF(IFERROR(INDEX(tsk_Name,GanttView[[#This Row],[_Row]])="",TRUE()),"",INDEX(tsk_PlanFinish,GanttView[[#This Row],[_Row]]))</f>
        <v/>
      </c>
      <c r="G117" s="66" t="str">
        <f aca="false">IF(IFERROR(INDEX(tsk_Name,GanttView[[#This Row],[_Row]])="",TRUE()),"",INDEX(tsk_FcStart,GanttView[[#This Row],[_Row]]))</f>
        <v/>
      </c>
      <c r="H117" s="66" t="str">
        <f aca="false">IF(IFERROR(INDEX(tsk_Name,GanttView[[#This Row],[_Row]])="",TRUE()),"",INDEX(tsk_FcFinish,GanttView[[#This Row],[_Row]]))</f>
        <v/>
      </c>
      <c r="I117" s="67" t="str">
        <f aca="false">IF(IFERROR(INDEX(tsk_Name,GanttView[[#This Row],[_Row]])="",TRUE()),"",INDEX(tsk_Progress,GanttView[[#This Row],[_Row]]))</f>
        <v/>
      </c>
      <c r="J117" s="65" t="str">
        <f aca="false">IF(IFERROR(INDEX(tsk_Name,GanttView[[#This Row],[_Row]])="",TRUE()),"",INDEX(tsk_Resource,GanttView[[#This Row],[_Row]])&amp;"")</f>
        <v/>
      </c>
      <c r="K117" s="64" t="str">
        <f aca="false">IF(IFERROR(INDEX(tsk_Name,GanttView[[#This Row],[_Row]])="",TRUE()),"",INDEX(tsk_Status,GanttView[[#This Row],[_Row]]))</f>
        <v/>
      </c>
      <c r="L117" s="68" t="n">
        <f aca="false">ROW()-ROW(GanttView[[#Headers],[ID]])</f>
        <v>112</v>
      </c>
      <c r="M117" s="69" t="b">
        <f aca="false">IF(IFERROR(INDEX(tsk_Name,GanttView[[#This Row],[_Row]])="",TRUE()),FALSE(),INDEX(tsk_IsSummary,GanttView[[#This Row],[_Row]]))</f>
        <v>0</v>
      </c>
      <c r="N117" s="69" t="b">
        <f aca="false">IF(IFERROR(INDEX(tsk_Name,GanttView[[#This Row],[_Row]])="",TRUE()),FALSE(),AND(INDEX(tsk_IsLeaf,GanttView[[#This Row],[_Row]])=1,N(INDEX(tsk_Duration,GanttView[[#This Row],[_Row]]))=0))</f>
        <v>0</v>
      </c>
      <c r="O11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70" t="n">
        <f aca="false">IF(GanttView[[#This Row],[_RemFrom]]=0,0,GanttView[[#This Row],[Forecast Finish]])</f>
        <v>0</v>
      </c>
      <c r="S117" s="69" t="b">
        <f aca="false">IF(IFERROR(INDEX(tsk_Name,GanttView[[#This Row],[_Row]])="",TRUE()),FALSE(),N(INDEX(tsk_Variance,GanttView[[#This Row],[_Row]]))&gt;0)</f>
        <v>0</v>
      </c>
      <c r="T117" s="70" t="n">
        <f aca="false">IF(IFERROR(INDEX(tsk_Name,GanttView[[#This Row],[_Row]])="",TRUE()),0,N(INDEX(tsk_Deadline,GanttView[[#This Row],[_Row]])))</f>
        <v>0</v>
      </c>
      <c r="U117" s="69" t="b">
        <f aca="false">IF(IFERROR(INDEX(tsk_Name,GanttView[[#This Row],[_Row]])="",TRUE()),FALSE(),INDEX(tsk_Critical,GanttView[[#This Row],[_Row]])="Yes")</f>
        <v>0</v>
      </c>
    </row>
    <row r="118" customFormat="false" ht="15" hidden="false" customHeight="false" outlineLevel="0" collapsed="false">
      <c r="A118" s="64" t="str">
        <f aca="false">IF(IFERROR(INDEX(tsk_Name,GanttView[[#This Row],[_Row]])="",TRUE()),"",INDEX(tsk_ID,GanttView[[#This Row],[_Row]]))</f>
        <v/>
      </c>
      <c r="B118" s="64" t="str">
        <f aca="false">IF(IFERROR(INDEX(tsk_Name,GanttView[[#This Row],[_Row]])="",TRUE()),"",INDEX(tsk_WBS,GanttView[[#This Row],[_Row]]))</f>
        <v/>
      </c>
      <c r="C118" s="65" t="str">
        <f aca="false">IF(IFERROR(INDEX(tsk_Name,GanttView[[#This Row],[_Row]])="",TRUE()),"",REPT("    ",INDEX(tsk_Level,GanttView[[#This Row],[_Row]])-1)&amp;INDEX(tsk_Name,GanttView[[#This Row],[_Row]]))</f>
        <v/>
      </c>
      <c r="D11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6" t="str">
        <f aca="false">IF(IFERROR(INDEX(tsk_Name,GanttView[[#This Row],[_Row]])="",TRUE()),"",INDEX(tsk_PlanStart,GanttView[[#This Row],[_Row]]))</f>
        <v/>
      </c>
      <c r="F118" s="66" t="str">
        <f aca="false">IF(IFERROR(INDEX(tsk_Name,GanttView[[#This Row],[_Row]])="",TRUE()),"",INDEX(tsk_PlanFinish,GanttView[[#This Row],[_Row]]))</f>
        <v/>
      </c>
      <c r="G118" s="66" t="str">
        <f aca="false">IF(IFERROR(INDEX(tsk_Name,GanttView[[#This Row],[_Row]])="",TRUE()),"",INDEX(tsk_FcStart,GanttView[[#This Row],[_Row]]))</f>
        <v/>
      </c>
      <c r="H118" s="66" t="str">
        <f aca="false">IF(IFERROR(INDEX(tsk_Name,GanttView[[#This Row],[_Row]])="",TRUE()),"",INDEX(tsk_FcFinish,GanttView[[#This Row],[_Row]]))</f>
        <v/>
      </c>
      <c r="I118" s="67" t="str">
        <f aca="false">IF(IFERROR(INDEX(tsk_Name,GanttView[[#This Row],[_Row]])="",TRUE()),"",INDEX(tsk_Progress,GanttView[[#This Row],[_Row]]))</f>
        <v/>
      </c>
      <c r="J118" s="65" t="str">
        <f aca="false">IF(IFERROR(INDEX(tsk_Name,GanttView[[#This Row],[_Row]])="",TRUE()),"",INDEX(tsk_Resource,GanttView[[#This Row],[_Row]])&amp;"")</f>
        <v/>
      </c>
      <c r="K118" s="64" t="str">
        <f aca="false">IF(IFERROR(INDEX(tsk_Name,GanttView[[#This Row],[_Row]])="",TRUE()),"",INDEX(tsk_Status,GanttView[[#This Row],[_Row]]))</f>
        <v/>
      </c>
      <c r="L118" s="68" t="n">
        <f aca="false">ROW()-ROW(GanttView[[#Headers],[ID]])</f>
        <v>113</v>
      </c>
      <c r="M118" s="69" t="b">
        <f aca="false">IF(IFERROR(INDEX(tsk_Name,GanttView[[#This Row],[_Row]])="",TRUE()),FALSE(),INDEX(tsk_IsSummary,GanttView[[#This Row],[_Row]]))</f>
        <v>0</v>
      </c>
      <c r="N118" s="69" t="b">
        <f aca="false">IF(IFERROR(INDEX(tsk_Name,GanttView[[#This Row],[_Row]])="",TRUE()),FALSE(),AND(INDEX(tsk_IsLeaf,GanttView[[#This Row],[_Row]])=1,N(INDEX(tsk_Duration,GanttView[[#This Row],[_Row]]))=0))</f>
        <v>0</v>
      </c>
      <c r="O11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70" t="n">
        <f aca="false">IF(GanttView[[#This Row],[_RemFrom]]=0,0,GanttView[[#This Row],[Forecast Finish]])</f>
        <v>0</v>
      </c>
      <c r="S118" s="69" t="b">
        <f aca="false">IF(IFERROR(INDEX(tsk_Name,GanttView[[#This Row],[_Row]])="",TRUE()),FALSE(),N(INDEX(tsk_Variance,GanttView[[#This Row],[_Row]]))&gt;0)</f>
        <v>0</v>
      </c>
      <c r="T118" s="70" t="n">
        <f aca="false">IF(IFERROR(INDEX(tsk_Name,GanttView[[#This Row],[_Row]])="",TRUE()),0,N(INDEX(tsk_Deadline,GanttView[[#This Row],[_Row]])))</f>
        <v>0</v>
      </c>
      <c r="U118" s="69" t="b">
        <f aca="false">IF(IFERROR(INDEX(tsk_Name,GanttView[[#This Row],[_Row]])="",TRUE()),FALSE(),INDEX(tsk_Critical,GanttView[[#This Row],[_Row]])="Yes")</f>
        <v>0</v>
      </c>
    </row>
    <row r="119" customFormat="false" ht="15" hidden="false" customHeight="false" outlineLevel="0" collapsed="false">
      <c r="A119" s="64" t="str">
        <f aca="false">IF(IFERROR(INDEX(tsk_Name,GanttView[[#This Row],[_Row]])="",TRUE()),"",INDEX(tsk_ID,GanttView[[#This Row],[_Row]]))</f>
        <v/>
      </c>
      <c r="B119" s="64" t="str">
        <f aca="false">IF(IFERROR(INDEX(tsk_Name,GanttView[[#This Row],[_Row]])="",TRUE()),"",INDEX(tsk_WBS,GanttView[[#This Row],[_Row]]))</f>
        <v/>
      </c>
      <c r="C119" s="65" t="str">
        <f aca="false">IF(IFERROR(INDEX(tsk_Name,GanttView[[#This Row],[_Row]])="",TRUE()),"",REPT("    ",INDEX(tsk_Level,GanttView[[#This Row],[_Row]])-1)&amp;INDEX(tsk_Name,GanttView[[#This Row],[_Row]]))</f>
        <v/>
      </c>
      <c r="D11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6" t="str">
        <f aca="false">IF(IFERROR(INDEX(tsk_Name,GanttView[[#This Row],[_Row]])="",TRUE()),"",INDEX(tsk_PlanStart,GanttView[[#This Row],[_Row]]))</f>
        <v/>
      </c>
      <c r="F119" s="66" t="str">
        <f aca="false">IF(IFERROR(INDEX(tsk_Name,GanttView[[#This Row],[_Row]])="",TRUE()),"",INDEX(tsk_PlanFinish,GanttView[[#This Row],[_Row]]))</f>
        <v/>
      </c>
      <c r="G119" s="66" t="str">
        <f aca="false">IF(IFERROR(INDEX(tsk_Name,GanttView[[#This Row],[_Row]])="",TRUE()),"",INDEX(tsk_FcStart,GanttView[[#This Row],[_Row]]))</f>
        <v/>
      </c>
      <c r="H119" s="66" t="str">
        <f aca="false">IF(IFERROR(INDEX(tsk_Name,GanttView[[#This Row],[_Row]])="",TRUE()),"",INDEX(tsk_FcFinish,GanttView[[#This Row],[_Row]]))</f>
        <v/>
      </c>
      <c r="I119" s="67" t="str">
        <f aca="false">IF(IFERROR(INDEX(tsk_Name,GanttView[[#This Row],[_Row]])="",TRUE()),"",INDEX(tsk_Progress,GanttView[[#This Row],[_Row]]))</f>
        <v/>
      </c>
      <c r="J119" s="65" t="str">
        <f aca="false">IF(IFERROR(INDEX(tsk_Name,GanttView[[#This Row],[_Row]])="",TRUE()),"",INDEX(tsk_Resource,GanttView[[#This Row],[_Row]])&amp;"")</f>
        <v/>
      </c>
      <c r="K119" s="64" t="str">
        <f aca="false">IF(IFERROR(INDEX(tsk_Name,GanttView[[#This Row],[_Row]])="",TRUE()),"",INDEX(tsk_Status,GanttView[[#This Row],[_Row]]))</f>
        <v/>
      </c>
      <c r="L119" s="68" t="n">
        <f aca="false">ROW()-ROW(GanttView[[#Headers],[ID]])</f>
        <v>114</v>
      </c>
      <c r="M119" s="69" t="b">
        <f aca="false">IF(IFERROR(INDEX(tsk_Name,GanttView[[#This Row],[_Row]])="",TRUE()),FALSE(),INDEX(tsk_IsSummary,GanttView[[#This Row],[_Row]]))</f>
        <v>0</v>
      </c>
      <c r="N119" s="69" t="b">
        <f aca="false">IF(IFERROR(INDEX(tsk_Name,GanttView[[#This Row],[_Row]])="",TRUE()),FALSE(),AND(INDEX(tsk_IsLeaf,GanttView[[#This Row],[_Row]])=1,N(INDEX(tsk_Duration,GanttView[[#This Row],[_Row]]))=0))</f>
        <v>0</v>
      </c>
      <c r="O11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70" t="n">
        <f aca="false">IF(GanttView[[#This Row],[_RemFrom]]=0,0,GanttView[[#This Row],[Forecast Finish]])</f>
        <v>0</v>
      </c>
      <c r="S119" s="69" t="b">
        <f aca="false">IF(IFERROR(INDEX(tsk_Name,GanttView[[#This Row],[_Row]])="",TRUE()),FALSE(),N(INDEX(tsk_Variance,GanttView[[#This Row],[_Row]]))&gt;0)</f>
        <v>0</v>
      </c>
      <c r="T119" s="70" t="n">
        <f aca="false">IF(IFERROR(INDEX(tsk_Name,GanttView[[#This Row],[_Row]])="",TRUE()),0,N(INDEX(tsk_Deadline,GanttView[[#This Row],[_Row]])))</f>
        <v>0</v>
      </c>
      <c r="U119" s="69" t="b">
        <f aca="false">IF(IFERROR(INDEX(tsk_Name,GanttView[[#This Row],[_Row]])="",TRUE()),FALSE(),INDEX(tsk_Critical,GanttView[[#This Row],[_Row]])="Yes")</f>
        <v>0</v>
      </c>
    </row>
    <row r="120" customFormat="false" ht="15" hidden="false" customHeight="false" outlineLevel="0" collapsed="false">
      <c r="A120" s="64" t="str">
        <f aca="false">IF(IFERROR(INDEX(tsk_Name,GanttView[[#This Row],[_Row]])="",TRUE()),"",INDEX(tsk_ID,GanttView[[#This Row],[_Row]]))</f>
        <v/>
      </c>
      <c r="B120" s="64" t="str">
        <f aca="false">IF(IFERROR(INDEX(tsk_Name,GanttView[[#This Row],[_Row]])="",TRUE()),"",INDEX(tsk_WBS,GanttView[[#This Row],[_Row]]))</f>
        <v/>
      </c>
      <c r="C120" s="65" t="str">
        <f aca="false">IF(IFERROR(INDEX(tsk_Name,GanttView[[#This Row],[_Row]])="",TRUE()),"",REPT("    ",INDEX(tsk_Level,GanttView[[#This Row],[_Row]])-1)&amp;INDEX(tsk_Name,GanttView[[#This Row],[_Row]]))</f>
        <v/>
      </c>
      <c r="D12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6" t="str">
        <f aca="false">IF(IFERROR(INDEX(tsk_Name,GanttView[[#This Row],[_Row]])="",TRUE()),"",INDEX(tsk_PlanStart,GanttView[[#This Row],[_Row]]))</f>
        <v/>
      </c>
      <c r="F120" s="66" t="str">
        <f aca="false">IF(IFERROR(INDEX(tsk_Name,GanttView[[#This Row],[_Row]])="",TRUE()),"",INDEX(tsk_PlanFinish,GanttView[[#This Row],[_Row]]))</f>
        <v/>
      </c>
      <c r="G120" s="66" t="str">
        <f aca="false">IF(IFERROR(INDEX(tsk_Name,GanttView[[#This Row],[_Row]])="",TRUE()),"",INDEX(tsk_FcStart,GanttView[[#This Row],[_Row]]))</f>
        <v/>
      </c>
      <c r="H120" s="66" t="str">
        <f aca="false">IF(IFERROR(INDEX(tsk_Name,GanttView[[#This Row],[_Row]])="",TRUE()),"",INDEX(tsk_FcFinish,GanttView[[#This Row],[_Row]]))</f>
        <v/>
      </c>
      <c r="I120" s="67" t="str">
        <f aca="false">IF(IFERROR(INDEX(tsk_Name,GanttView[[#This Row],[_Row]])="",TRUE()),"",INDEX(tsk_Progress,GanttView[[#This Row],[_Row]]))</f>
        <v/>
      </c>
      <c r="J120" s="65" t="str">
        <f aca="false">IF(IFERROR(INDEX(tsk_Name,GanttView[[#This Row],[_Row]])="",TRUE()),"",INDEX(tsk_Resource,GanttView[[#This Row],[_Row]])&amp;"")</f>
        <v/>
      </c>
      <c r="K120" s="64" t="str">
        <f aca="false">IF(IFERROR(INDEX(tsk_Name,GanttView[[#This Row],[_Row]])="",TRUE()),"",INDEX(tsk_Status,GanttView[[#This Row],[_Row]]))</f>
        <v/>
      </c>
      <c r="L120" s="68" t="n">
        <f aca="false">ROW()-ROW(GanttView[[#Headers],[ID]])</f>
        <v>115</v>
      </c>
      <c r="M120" s="69" t="b">
        <f aca="false">IF(IFERROR(INDEX(tsk_Name,GanttView[[#This Row],[_Row]])="",TRUE()),FALSE(),INDEX(tsk_IsSummary,GanttView[[#This Row],[_Row]]))</f>
        <v>0</v>
      </c>
      <c r="N120" s="69" t="b">
        <f aca="false">IF(IFERROR(INDEX(tsk_Name,GanttView[[#This Row],[_Row]])="",TRUE()),FALSE(),AND(INDEX(tsk_IsLeaf,GanttView[[#This Row],[_Row]])=1,N(INDEX(tsk_Duration,GanttView[[#This Row],[_Row]]))=0))</f>
        <v>0</v>
      </c>
      <c r="O12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70" t="n">
        <f aca="false">IF(GanttView[[#This Row],[_RemFrom]]=0,0,GanttView[[#This Row],[Forecast Finish]])</f>
        <v>0</v>
      </c>
      <c r="S120" s="69" t="b">
        <f aca="false">IF(IFERROR(INDEX(tsk_Name,GanttView[[#This Row],[_Row]])="",TRUE()),FALSE(),N(INDEX(tsk_Variance,GanttView[[#This Row],[_Row]]))&gt;0)</f>
        <v>0</v>
      </c>
      <c r="T120" s="70" t="n">
        <f aca="false">IF(IFERROR(INDEX(tsk_Name,GanttView[[#This Row],[_Row]])="",TRUE()),0,N(INDEX(tsk_Deadline,GanttView[[#This Row],[_Row]])))</f>
        <v>0</v>
      </c>
      <c r="U120" s="69" t="b">
        <f aca="false">IF(IFERROR(INDEX(tsk_Name,GanttView[[#This Row],[_Row]])="",TRUE()),FALSE(),INDEX(tsk_Critical,GanttView[[#This Row],[_Row]])="Yes")</f>
        <v>0</v>
      </c>
    </row>
    <row r="121" customFormat="false" ht="15" hidden="false" customHeight="false" outlineLevel="0" collapsed="false">
      <c r="A121" s="64" t="str">
        <f aca="false">IF(IFERROR(INDEX(tsk_Name,GanttView[[#This Row],[_Row]])="",TRUE()),"",INDEX(tsk_ID,GanttView[[#This Row],[_Row]]))</f>
        <v/>
      </c>
      <c r="B121" s="64" t="str">
        <f aca="false">IF(IFERROR(INDEX(tsk_Name,GanttView[[#This Row],[_Row]])="",TRUE()),"",INDEX(tsk_WBS,GanttView[[#This Row],[_Row]]))</f>
        <v/>
      </c>
      <c r="C121" s="65" t="str">
        <f aca="false">IF(IFERROR(INDEX(tsk_Name,GanttView[[#This Row],[_Row]])="",TRUE()),"",REPT("    ",INDEX(tsk_Level,GanttView[[#This Row],[_Row]])-1)&amp;INDEX(tsk_Name,GanttView[[#This Row],[_Row]]))</f>
        <v/>
      </c>
      <c r="D12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6" t="str">
        <f aca="false">IF(IFERROR(INDEX(tsk_Name,GanttView[[#This Row],[_Row]])="",TRUE()),"",INDEX(tsk_PlanStart,GanttView[[#This Row],[_Row]]))</f>
        <v/>
      </c>
      <c r="F121" s="66" t="str">
        <f aca="false">IF(IFERROR(INDEX(tsk_Name,GanttView[[#This Row],[_Row]])="",TRUE()),"",INDEX(tsk_PlanFinish,GanttView[[#This Row],[_Row]]))</f>
        <v/>
      </c>
      <c r="G121" s="66" t="str">
        <f aca="false">IF(IFERROR(INDEX(tsk_Name,GanttView[[#This Row],[_Row]])="",TRUE()),"",INDEX(tsk_FcStart,GanttView[[#This Row],[_Row]]))</f>
        <v/>
      </c>
      <c r="H121" s="66" t="str">
        <f aca="false">IF(IFERROR(INDEX(tsk_Name,GanttView[[#This Row],[_Row]])="",TRUE()),"",INDEX(tsk_FcFinish,GanttView[[#This Row],[_Row]]))</f>
        <v/>
      </c>
      <c r="I121" s="67" t="str">
        <f aca="false">IF(IFERROR(INDEX(tsk_Name,GanttView[[#This Row],[_Row]])="",TRUE()),"",INDEX(tsk_Progress,GanttView[[#This Row],[_Row]]))</f>
        <v/>
      </c>
      <c r="J121" s="65" t="str">
        <f aca="false">IF(IFERROR(INDEX(tsk_Name,GanttView[[#This Row],[_Row]])="",TRUE()),"",INDEX(tsk_Resource,GanttView[[#This Row],[_Row]])&amp;"")</f>
        <v/>
      </c>
      <c r="K121" s="64" t="str">
        <f aca="false">IF(IFERROR(INDEX(tsk_Name,GanttView[[#This Row],[_Row]])="",TRUE()),"",INDEX(tsk_Status,GanttView[[#This Row],[_Row]]))</f>
        <v/>
      </c>
      <c r="L121" s="68" t="n">
        <f aca="false">ROW()-ROW(GanttView[[#Headers],[ID]])</f>
        <v>116</v>
      </c>
      <c r="M121" s="69" t="b">
        <f aca="false">IF(IFERROR(INDEX(tsk_Name,GanttView[[#This Row],[_Row]])="",TRUE()),FALSE(),INDEX(tsk_IsSummary,GanttView[[#This Row],[_Row]]))</f>
        <v>0</v>
      </c>
      <c r="N121" s="69" t="b">
        <f aca="false">IF(IFERROR(INDEX(tsk_Name,GanttView[[#This Row],[_Row]])="",TRUE()),FALSE(),AND(INDEX(tsk_IsLeaf,GanttView[[#This Row],[_Row]])=1,N(INDEX(tsk_Duration,GanttView[[#This Row],[_Row]]))=0))</f>
        <v>0</v>
      </c>
      <c r="O12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70" t="n">
        <f aca="false">IF(GanttView[[#This Row],[_RemFrom]]=0,0,GanttView[[#This Row],[Forecast Finish]])</f>
        <v>0</v>
      </c>
      <c r="S121" s="69" t="b">
        <f aca="false">IF(IFERROR(INDEX(tsk_Name,GanttView[[#This Row],[_Row]])="",TRUE()),FALSE(),N(INDEX(tsk_Variance,GanttView[[#This Row],[_Row]]))&gt;0)</f>
        <v>0</v>
      </c>
      <c r="T121" s="70" t="n">
        <f aca="false">IF(IFERROR(INDEX(tsk_Name,GanttView[[#This Row],[_Row]])="",TRUE()),0,N(INDEX(tsk_Deadline,GanttView[[#This Row],[_Row]])))</f>
        <v>0</v>
      </c>
      <c r="U121" s="69" t="b">
        <f aca="false">IF(IFERROR(INDEX(tsk_Name,GanttView[[#This Row],[_Row]])="",TRUE()),FALSE(),INDEX(tsk_Critical,GanttView[[#This Row],[_Row]])="Yes")</f>
        <v>0</v>
      </c>
    </row>
    <row r="122" customFormat="false" ht="15" hidden="false" customHeight="false" outlineLevel="0" collapsed="false">
      <c r="A122" s="64" t="str">
        <f aca="false">IF(IFERROR(INDEX(tsk_Name,GanttView[[#This Row],[_Row]])="",TRUE()),"",INDEX(tsk_ID,GanttView[[#This Row],[_Row]]))</f>
        <v/>
      </c>
      <c r="B122" s="64" t="str">
        <f aca="false">IF(IFERROR(INDEX(tsk_Name,GanttView[[#This Row],[_Row]])="",TRUE()),"",INDEX(tsk_WBS,GanttView[[#This Row],[_Row]]))</f>
        <v/>
      </c>
      <c r="C122" s="65" t="str">
        <f aca="false">IF(IFERROR(INDEX(tsk_Name,GanttView[[#This Row],[_Row]])="",TRUE()),"",REPT("    ",INDEX(tsk_Level,GanttView[[#This Row],[_Row]])-1)&amp;INDEX(tsk_Name,GanttView[[#This Row],[_Row]]))</f>
        <v/>
      </c>
      <c r="D12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6" t="str">
        <f aca="false">IF(IFERROR(INDEX(tsk_Name,GanttView[[#This Row],[_Row]])="",TRUE()),"",INDEX(tsk_PlanStart,GanttView[[#This Row],[_Row]]))</f>
        <v/>
      </c>
      <c r="F122" s="66" t="str">
        <f aca="false">IF(IFERROR(INDEX(tsk_Name,GanttView[[#This Row],[_Row]])="",TRUE()),"",INDEX(tsk_PlanFinish,GanttView[[#This Row],[_Row]]))</f>
        <v/>
      </c>
      <c r="G122" s="66" t="str">
        <f aca="false">IF(IFERROR(INDEX(tsk_Name,GanttView[[#This Row],[_Row]])="",TRUE()),"",INDEX(tsk_FcStart,GanttView[[#This Row],[_Row]]))</f>
        <v/>
      </c>
      <c r="H122" s="66" t="str">
        <f aca="false">IF(IFERROR(INDEX(tsk_Name,GanttView[[#This Row],[_Row]])="",TRUE()),"",INDEX(tsk_FcFinish,GanttView[[#This Row],[_Row]]))</f>
        <v/>
      </c>
      <c r="I122" s="67" t="str">
        <f aca="false">IF(IFERROR(INDEX(tsk_Name,GanttView[[#This Row],[_Row]])="",TRUE()),"",INDEX(tsk_Progress,GanttView[[#This Row],[_Row]]))</f>
        <v/>
      </c>
      <c r="J122" s="65" t="str">
        <f aca="false">IF(IFERROR(INDEX(tsk_Name,GanttView[[#This Row],[_Row]])="",TRUE()),"",INDEX(tsk_Resource,GanttView[[#This Row],[_Row]])&amp;"")</f>
        <v/>
      </c>
      <c r="K122" s="64" t="str">
        <f aca="false">IF(IFERROR(INDEX(tsk_Name,GanttView[[#This Row],[_Row]])="",TRUE()),"",INDEX(tsk_Status,GanttView[[#This Row],[_Row]]))</f>
        <v/>
      </c>
      <c r="L122" s="68" t="n">
        <f aca="false">ROW()-ROW(GanttView[[#Headers],[ID]])</f>
        <v>117</v>
      </c>
      <c r="M122" s="69" t="b">
        <f aca="false">IF(IFERROR(INDEX(tsk_Name,GanttView[[#This Row],[_Row]])="",TRUE()),FALSE(),INDEX(tsk_IsSummary,GanttView[[#This Row],[_Row]]))</f>
        <v>0</v>
      </c>
      <c r="N122" s="69" t="b">
        <f aca="false">IF(IFERROR(INDEX(tsk_Name,GanttView[[#This Row],[_Row]])="",TRUE()),FALSE(),AND(INDEX(tsk_IsLeaf,GanttView[[#This Row],[_Row]])=1,N(INDEX(tsk_Duration,GanttView[[#This Row],[_Row]]))=0))</f>
        <v>0</v>
      </c>
      <c r="O12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70" t="n">
        <f aca="false">IF(GanttView[[#This Row],[_RemFrom]]=0,0,GanttView[[#This Row],[Forecast Finish]])</f>
        <v>0</v>
      </c>
      <c r="S122" s="69" t="b">
        <f aca="false">IF(IFERROR(INDEX(tsk_Name,GanttView[[#This Row],[_Row]])="",TRUE()),FALSE(),N(INDEX(tsk_Variance,GanttView[[#This Row],[_Row]]))&gt;0)</f>
        <v>0</v>
      </c>
      <c r="T122" s="70" t="n">
        <f aca="false">IF(IFERROR(INDEX(tsk_Name,GanttView[[#This Row],[_Row]])="",TRUE()),0,N(INDEX(tsk_Deadline,GanttView[[#This Row],[_Row]])))</f>
        <v>0</v>
      </c>
      <c r="U122" s="69" t="b">
        <f aca="false">IF(IFERROR(INDEX(tsk_Name,GanttView[[#This Row],[_Row]])="",TRUE()),FALSE(),INDEX(tsk_Critical,GanttView[[#This Row],[_Row]])="Yes")</f>
        <v>0</v>
      </c>
    </row>
    <row r="123" customFormat="false" ht="15" hidden="false" customHeight="false" outlineLevel="0" collapsed="false">
      <c r="A123" s="64" t="str">
        <f aca="false">IF(IFERROR(INDEX(tsk_Name,GanttView[[#This Row],[_Row]])="",TRUE()),"",INDEX(tsk_ID,GanttView[[#This Row],[_Row]]))</f>
        <v/>
      </c>
      <c r="B123" s="64" t="str">
        <f aca="false">IF(IFERROR(INDEX(tsk_Name,GanttView[[#This Row],[_Row]])="",TRUE()),"",INDEX(tsk_WBS,GanttView[[#This Row],[_Row]]))</f>
        <v/>
      </c>
      <c r="C123" s="65" t="str">
        <f aca="false">IF(IFERROR(INDEX(tsk_Name,GanttView[[#This Row],[_Row]])="",TRUE()),"",REPT("    ",INDEX(tsk_Level,GanttView[[#This Row],[_Row]])-1)&amp;INDEX(tsk_Name,GanttView[[#This Row],[_Row]]))</f>
        <v/>
      </c>
      <c r="D12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6" t="str">
        <f aca="false">IF(IFERROR(INDEX(tsk_Name,GanttView[[#This Row],[_Row]])="",TRUE()),"",INDEX(tsk_PlanStart,GanttView[[#This Row],[_Row]]))</f>
        <v/>
      </c>
      <c r="F123" s="66" t="str">
        <f aca="false">IF(IFERROR(INDEX(tsk_Name,GanttView[[#This Row],[_Row]])="",TRUE()),"",INDEX(tsk_PlanFinish,GanttView[[#This Row],[_Row]]))</f>
        <v/>
      </c>
      <c r="G123" s="66" t="str">
        <f aca="false">IF(IFERROR(INDEX(tsk_Name,GanttView[[#This Row],[_Row]])="",TRUE()),"",INDEX(tsk_FcStart,GanttView[[#This Row],[_Row]]))</f>
        <v/>
      </c>
      <c r="H123" s="66" t="str">
        <f aca="false">IF(IFERROR(INDEX(tsk_Name,GanttView[[#This Row],[_Row]])="",TRUE()),"",INDEX(tsk_FcFinish,GanttView[[#This Row],[_Row]]))</f>
        <v/>
      </c>
      <c r="I123" s="67" t="str">
        <f aca="false">IF(IFERROR(INDEX(tsk_Name,GanttView[[#This Row],[_Row]])="",TRUE()),"",INDEX(tsk_Progress,GanttView[[#This Row],[_Row]]))</f>
        <v/>
      </c>
      <c r="J123" s="65" t="str">
        <f aca="false">IF(IFERROR(INDEX(tsk_Name,GanttView[[#This Row],[_Row]])="",TRUE()),"",INDEX(tsk_Resource,GanttView[[#This Row],[_Row]])&amp;"")</f>
        <v/>
      </c>
      <c r="K123" s="64" t="str">
        <f aca="false">IF(IFERROR(INDEX(tsk_Name,GanttView[[#This Row],[_Row]])="",TRUE()),"",INDEX(tsk_Status,GanttView[[#This Row],[_Row]]))</f>
        <v/>
      </c>
      <c r="L123" s="68" t="n">
        <f aca="false">ROW()-ROW(GanttView[[#Headers],[ID]])</f>
        <v>118</v>
      </c>
      <c r="M123" s="69" t="b">
        <f aca="false">IF(IFERROR(INDEX(tsk_Name,GanttView[[#This Row],[_Row]])="",TRUE()),FALSE(),INDEX(tsk_IsSummary,GanttView[[#This Row],[_Row]]))</f>
        <v>0</v>
      </c>
      <c r="N123" s="69" t="b">
        <f aca="false">IF(IFERROR(INDEX(tsk_Name,GanttView[[#This Row],[_Row]])="",TRUE()),FALSE(),AND(INDEX(tsk_IsLeaf,GanttView[[#This Row],[_Row]])=1,N(INDEX(tsk_Duration,GanttView[[#This Row],[_Row]]))=0))</f>
        <v>0</v>
      </c>
      <c r="O12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70" t="n">
        <f aca="false">IF(GanttView[[#This Row],[_RemFrom]]=0,0,GanttView[[#This Row],[Forecast Finish]])</f>
        <v>0</v>
      </c>
      <c r="S123" s="69" t="b">
        <f aca="false">IF(IFERROR(INDEX(tsk_Name,GanttView[[#This Row],[_Row]])="",TRUE()),FALSE(),N(INDEX(tsk_Variance,GanttView[[#This Row],[_Row]]))&gt;0)</f>
        <v>0</v>
      </c>
      <c r="T123" s="70" t="n">
        <f aca="false">IF(IFERROR(INDEX(tsk_Name,GanttView[[#This Row],[_Row]])="",TRUE()),0,N(INDEX(tsk_Deadline,GanttView[[#This Row],[_Row]])))</f>
        <v>0</v>
      </c>
      <c r="U123" s="69" t="b">
        <f aca="false">IF(IFERROR(INDEX(tsk_Name,GanttView[[#This Row],[_Row]])="",TRUE()),FALSE(),INDEX(tsk_Critical,GanttView[[#This Row],[_Row]])="Yes")</f>
        <v>0</v>
      </c>
    </row>
    <row r="124" customFormat="false" ht="15" hidden="false" customHeight="false" outlineLevel="0" collapsed="false">
      <c r="A124" s="64" t="str">
        <f aca="false">IF(IFERROR(INDEX(tsk_Name,GanttView[[#This Row],[_Row]])="",TRUE()),"",INDEX(tsk_ID,GanttView[[#This Row],[_Row]]))</f>
        <v/>
      </c>
      <c r="B124" s="64" t="str">
        <f aca="false">IF(IFERROR(INDEX(tsk_Name,GanttView[[#This Row],[_Row]])="",TRUE()),"",INDEX(tsk_WBS,GanttView[[#This Row],[_Row]]))</f>
        <v/>
      </c>
      <c r="C124" s="65" t="str">
        <f aca="false">IF(IFERROR(INDEX(tsk_Name,GanttView[[#This Row],[_Row]])="",TRUE()),"",REPT("    ",INDEX(tsk_Level,GanttView[[#This Row],[_Row]])-1)&amp;INDEX(tsk_Name,GanttView[[#This Row],[_Row]]))</f>
        <v/>
      </c>
      <c r="D12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6" t="str">
        <f aca="false">IF(IFERROR(INDEX(tsk_Name,GanttView[[#This Row],[_Row]])="",TRUE()),"",INDEX(tsk_PlanStart,GanttView[[#This Row],[_Row]]))</f>
        <v/>
      </c>
      <c r="F124" s="66" t="str">
        <f aca="false">IF(IFERROR(INDEX(tsk_Name,GanttView[[#This Row],[_Row]])="",TRUE()),"",INDEX(tsk_PlanFinish,GanttView[[#This Row],[_Row]]))</f>
        <v/>
      </c>
      <c r="G124" s="66" t="str">
        <f aca="false">IF(IFERROR(INDEX(tsk_Name,GanttView[[#This Row],[_Row]])="",TRUE()),"",INDEX(tsk_FcStart,GanttView[[#This Row],[_Row]]))</f>
        <v/>
      </c>
      <c r="H124" s="66" t="str">
        <f aca="false">IF(IFERROR(INDEX(tsk_Name,GanttView[[#This Row],[_Row]])="",TRUE()),"",INDEX(tsk_FcFinish,GanttView[[#This Row],[_Row]]))</f>
        <v/>
      </c>
      <c r="I124" s="67" t="str">
        <f aca="false">IF(IFERROR(INDEX(tsk_Name,GanttView[[#This Row],[_Row]])="",TRUE()),"",INDEX(tsk_Progress,GanttView[[#This Row],[_Row]]))</f>
        <v/>
      </c>
      <c r="J124" s="65" t="str">
        <f aca="false">IF(IFERROR(INDEX(tsk_Name,GanttView[[#This Row],[_Row]])="",TRUE()),"",INDEX(tsk_Resource,GanttView[[#This Row],[_Row]])&amp;"")</f>
        <v/>
      </c>
      <c r="K124" s="64" t="str">
        <f aca="false">IF(IFERROR(INDEX(tsk_Name,GanttView[[#This Row],[_Row]])="",TRUE()),"",INDEX(tsk_Status,GanttView[[#This Row],[_Row]]))</f>
        <v/>
      </c>
      <c r="L124" s="68" t="n">
        <f aca="false">ROW()-ROW(GanttView[[#Headers],[ID]])</f>
        <v>119</v>
      </c>
      <c r="M124" s="69" t="b">
        <f aca="false">IF(IFERROR(INDEX(tsk_Name,GanttView[[#This Row],[_Row]])="",TRUE()),FALSE(),INDEX(tsk_IsSummary,GanttView[[#This Row],[_Row]]))</f>
        <v>0</v>
      </c>
      <c r="N124" s="69" t="b">
        <f aca="false">IF(IFERROR(INDEX(tsk_Name,GanttView[[#This Row],[_Row]])="",TRUE()),FALSE(),AND(INDEX(tsk_IsLeaf,GanttView[[#This Row],[_Row]])=1,N(INDEX(tsk_Duration,GanttView[[#This Row],[_Row]]))=0))</f>
        <v>0</v>
      </c>
      <c r="O12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70" t="n">
        <f aca="false">IF(GanttView[[#This Row],[_RemFrom]]=0,0,GanttView[[#This Row],[Forecast Finish]])</f>
        <v>0</v>
      </c>
      <c r="S124" s="69" t="b">
        <f aca="false">IF(IFERROR(INDEX(tsk_Name,GanttView[[#This Row],[_Row]])="",TRUE()),FALSE(),N(INDEX(tsk_Variance,GanttView[[#This Row],[_Row]]))&gt;0)</f>
        <v>0</v>
      </c>
      <c r="T124" s="70" t="n">
        <f aca="false">IF(IFERROR(INDEX(tsk_Name,GanttView[[#This Row],[_Row]])="",TRUE()),0,N(INDEX(tsk_Deadline,GanttView[[#This Row],[_Row]])))</f>
        <v>0</v>
      </c>
      <c r="U124" s="69" t="b">
        <f aca="false">IF(IFERROR(INDEX(tsk_Name,GanttView[[#This Row],[_Row]])="",TRUE()),FALSE(),INDEX(tsk_Critical,GanttView[[#This Row],[_Row]])="Yes")</f>
        <v>0</v>
      </c>
    </row>
    <row r="125" customFormat="false" ht="15" hidden="false" customHeight="false" outlineLevel="0" collapsed="false">
      <c r="A125" s="64" t="str">
        <f aca="false">IF(IFERROR(INDEX(tsk_Name,GanttView[[#This Row],[_Row]])="",TRUE()),"",INDEX(tsk_ID,GanttView[[#This Row],[_Row]]))</f>
        <v/>
      </c>
      <c r="B125" s="64" t="str">
        <f aca="false">IF(IFERROR(INDEX(tsk_Name,GanttView[[#This Row],[_Row]])="",TRUE()),"",INDEX(tsk_WBS,GanttView[[#This Row],[_Row]]))</f>
        <v/>
      </c>
      <c r="C125" s="65" t="str">
        <f aca="false">IF(IFERROR(INDEX(tsk_Name,GanttView[[#This Row],[_Row]])="",TRUE()),"",REPT("    ",INDEX(tsk_Level,GanttView[[#This Row],[_Row]])-1)&amp;INDEX(tsk_Name,GanttView[[#This Row],[_Row]]))</f>
        <v/>
      </c>
      <c r="D12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6" t="str">
        <f aca="false">IF(IFERROR(INDEX(tsk_Name,GanttView[[#This Row],[_Row]])="",TRUE()),"",INDEX(tsk_PlanStart,GanttView[[#This Row],[_Row]]))</f>
        <v/>
      </c>
      <c r="F125" s="66" t="str">
        <f aca="false">IF(IFERROR(INDEX(tsk_Name,GanttView[[#This Row],[_Row]])="",TRUE()),"",INDEX(tsk_PlanFinish,GanttView[[#This Row],[_Row]]))</f>
        <v/>
      </c>
      <c r="G125" s="66" t="str">
        <f aca="false">IF(IFERROR(INDEX(tsk_Name,GanttView[[#This Row],[_Row]])="",TRUE()),"",INDEX(tsk_FcStart,GanttView[[#This Row],[_Row]]))</f>
        <v/>
      </c>
      <c r="H125" s="66" t="str">
        <f aca="false">IF(IFERROR(INDEX(tsk_Name,GanttView[[#This Row],[_Row]])="",TRUE()),"",INDEX(tsk_FcFinish,GanttView[[#This Row],[_Row]]))</f>
        <v/>
      </c>
      <c r="I125" s="67" t="str">
        <f aca="false">IF(IFERROR(INDEX(tsk_Name,GanttView[[#This Row],[_Row]])="",TRUE()),"",INDEX(tsk_Progress,GanttView[[#This Row],[_Row]]))</f>
        <v/>
      </c>
      <c r="J125" s="65" t="str">
        <f aca="false">IF(IFERROR(INDEX(tsk_Name,GanttView[[#This Row],[_Row]])="",TRUE()),"",INDEX(tsk_Resource,GanttView[[#This Row],[_Row]])&amp;"")</f>
        <v/>
      </c>
      <c r="K125" s="64" t="str">
        <f aca="false">IF(IFERROR(INDEX(tsk_Name,GanttView[[#This Row],[_Row]])="",TRUE()),"",INDEX(tsk_Status,GanttView[[#This Row],[_Row]]))</f>
        <v/>
      </c>
      <c r="L125" s="68" t="n">
        <f aca="false">ROW()-ROW(GanttView[[#Headers],[ID]])</f>
        <v>120</v>
      </c>
      <c r="M125" s="69" t="b">
        <f aca="false">IF(IFERROR(INDEX(tsk_Name,GanttView[[#This Row],[_Row]])="",TRUE()),FALSE(),INDEX(tsk_IsSummary,GanttView[[#This Row],[_Row]]))</f>
        <v>0</v>
      </c>
      <c r="N125" s="69" t="b">
        <f aca="false">IF(IFERROR(INDEX(tsk_Name,GanttView[[#This Row],[_Row]])="",TRUE()),FALSE(),AND(INDEX(tsk_IsLeaf,GanttView[[#This Row],[_Row]])=1,N(INDEX(tsk_Duration,GanttView[[#This Row],[_Row]]))=0))</f>
        <v>0</v>
      </c>
      <c r="O12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70" t="n">
        <f aca="false">IF(GanttView[[#This Row],[_RemFrom]]=0,0,GanttView[[#This Row],[Forecast Finish]])</f>
        <v>0</v>
      </c>
      <c r="S125" s="69" t="b">
        <f aca="false">IF(IFERROR(INDEX(tsk_Name,GanttView[[#This Row],[_Row]])="",TRUE()),FALSE(),N(INDEX(tsk_Variance,GanttView[[#This Row],[_Row]]))&gt;0)</f>
        <v>0</v>
      </c>
      <c r="T125" s="70" t="n">
        <f aca="false">IF(IFERROR(INDEX(tsk_Name,GanttView[[#This Row],[_Row]])="",TRUE()),0,N(INDEX(tsk_Deadline,GanttView[[#This Row],[_Row]])))</f>
        <v>0</v>
      </c>
      <c r="U125" s="69" t="b">
        <f aca="false">IF(IFERROR(INDEX(tsk_Name,GanttView[[#This Row],[_Row]])="",TRUE()),FALSE(),INDEX(tsk_Critical,GanttView[[#This Row],[_Row]])="Yes")</f>
        <v>0</v>
      </c>
    </row>
    <row r="126" customFormat="false" ht="15" hidden="false" customHeight="false" outlineLevel="0" collapsed="false">
      <c r="A126" s="64" t="str">
        <f aca="false">IF(IFERROR(INDEX(tsk_Name,GanttView[[#This Row],[_Row]])="",TRUE()),"",INDEX(tsk_ID,GanttView[[#This Row],[_Row]]))</f>
        <v/>
      </c>
      <c r="B126" s="64" t="str">
        <f aca="false">IF(IFERROR(INDEX(tsk_Name,GanttView[[#This Row],[_Row]])="",TRUE()),"",INDEX(tsk_WBS,GanttView[[#This Row],[_Row]]))</f>
        <v/>
      </c>
      <c r="C126" s="65" t="str">
        <f aca="false">IF(IFERROR(INDEX(tsk_Name,GanttView[[#This Row],[_Row]])="",TRUE()),"",REPT("    ",INDEX(tsk_Level,GanttView[[#This Row],[_Row]])-1)&amp;INDEX(tsk_Name,GanttView[[#This Row],[_Row]]))</f>
        <v/>
      </c>
      <c r="D12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6" t="str">
        <f aca="false">IF(IFERROR(INDEX(tsk_Name,GanttView[[#This Row],[_Row]])="",TRUE()),"",INDEX(tsk_PlanStart,GanttView[[#This Row],[_Row]]))</f>
        <v/>
      </c>
      <c r="F126" s="66" t="str">
        <f aca="false">IF(IFERROR(INDEX(tsk_Name,GanttView[[#This Row],[_Row]])="",TRUE()),"",INDEX(tsk_PlanFinish,GanttView[[#This Row],[_Row]]))</f>
        <v/>
      </c>
      <c r="G126" s="66" t="str">
        <f aca="false">IF(IFERROR(INDEX(tsk_Name,GanttView[[#This Row],[_Row]])="",TRUE()),"",INDEX(tsk_FcStart,GanttView[[#This Row],[_Row]]))</f>
        <v/>
      </c>
      <c r="H126" s="66" t="str">
        <f aca="false">IF(IFERROR(INDEX(tsk_Name,GanttView[[#This Row],[_Row]])="",TRUE()),"",INDEX(tsk_FcFinish,GanttView[[#This Row],[_Row]]))</f>
        <v/>
      </c>
      <c r="I126" s="67" t="str">
        <f aca="false">IF(IFERROR(INDEX(tsk_Name,GanttView[[#This Row],[_Row]])="",TRUE()),"",INDEX(tsk_Progress,GanttView[[#This Row],[_Row]]))</f>
        <v/>
      </c>
      <c r="J126" s="65" t="str">
        <f aca="false">IF(IFERROR(INDEX(tsk_Name,GanttView[[#This Row],[_Row]])="",TRUE()),"",INDEX(tsk_Resource,GanttView[[#This Row],[_Row]])&amp;"")</f>
        <v/>
      </c>
      <c r="K126" s="64" t="str">
        <f aca="false">IF(IFERROR(INDEX(tsk_Name,GanttView[[#This Row],[_Row]])="",TRUE()),"",INDEX(tsk_Status,GanttView[[#This Row],[_Row]]))</f>
        <v/>
      </c>
      <c r="L126" s="68" t="n">
        <f aca="false">ROW()-ROW(GanttView[[#Headers],[ID]])</f>
        <v>121</v>
      </c>
      <c r="M126" s="69" t="b">
        <f aca="false">IF(IFERROR(INDEX(tsk_Name,GanttView[[#This Row],[_Row]])="",TRUE()),FALSE(),INDEX(tsk_IsSummary,GanttView[[#This Row],[_Row]]))</f>
        <v>0</v>
      </c>
      <c r="N126" s="69" t="b">
        <f aca="false">IF(IFERROR(INDEX(tsk_Name,GanttView[[#This Row],[_Row]])="",TRUE()),FALSE(),AND(INDEX(tsk_IsLeaf,GanttView[[#This Row],[_Row]])=1,N(INDEX(tsk_Duration,GanttView[[#This Row],[_Row]]))=0))</f>
        <v>0</v>
      </c>
      <c r="O12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70" t="n">
        <f aca="false">IF(GanttView[[#This Row],[_RemFrom]]=0,0,GanttView[[#This Row],[Forecast Finish]])</f>
        <v>0</v>
      </c>
      <c r="S126" s="69" t="b">
        <f aca="false">IF(IFERROR(INDEX(tsk_Name,GanttView[[#This Row],[_Row]])="",TRUE()),FALSE(),N(INDEX(tsk_Variance,GanttView[[#This Row],[_Row]]))&gt;0)</f>
        <v>0</v>
      </c>
      <c r="T126" s="70" t="n">
        <f aca="false">IF(IFERROR(INDEX(tsk_Name,GanttView[[#This Row],[_Row]])="",TRUE()),0,N(INDEX(tsk_Deadline,GanttView[[#This Row],[_Row]])))</f>
        <v>0</v>
      </c>
      <c r="U126" s="69" t="b">
        <f aca="false">IF(IFERROR(INDEX(tsk_Name,GanttView[[#This Row],[_Row]])="",TRUE()),FALSE(),INDEX(tsk_Critical,GanttView[[#This Row],[_Row]])="Yes")</f>
        <v>0</v>
      </c>
    </row>
    <row r="127" customFormat="false" ht="15" hidden="false" customHeight="false" outlineLevel="0" collapsed="false">
      <c r="A127" s="64" t="str">
        <f aca="false">IF(IFERROR(INDEX(tsk_Name,GanttView[[#This Row],[_Row]])="",TRUE()),"",INDEX(tsk_ID,GanttView[[#This Row],[_Row]]))</f>
        <v/>
      </c>
      <c r="B127" s="64" t="str">
        <f aca="false">IF(IFERROR(INDEX(tsk_Name,GanttView[[#This Row],[_Row]])="",TRUE()),"",INDEX(tsk_WBS,GanttView[[#This Row],[_Row]]))</f>
        <v/>
      </c>
      <c r="C127" s="65" t="str">
        <f aca="false">IF(IFERROR(INDEX(tsk_Name,GanttView[[#This Row],[_Row]])="",TRUE()),"",REPT("    ",INDEX(tsk_Level,GanttView[[#This Row],[_Row]])-1)&amp;INDEX(tsk_Name,GanttView[[#This Row],[_Row]]))</f>
        <v/>
      </c>
      <c r="D12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6" t="str">
        <f aca="false">IF(IFERROR(INDEX(tsk_Name,GanttView[[#This Row],[_Row]])="",TRUE()),"",INDEX(tsk_PlanStart,GanttView[[#This Row],[_Row]]))</f>
        <v/>
      </c>
      <c r="F127" s="66" t="str">
        <f aca="false">IF(IFERROR(INDEX(tsk_Name,GanttView[[#This Row],[_Row]])="",TRUE()),"",INDEX(tsk_PlanFinish,GanttView[[#This Row],[_Row]]))</f>
        <v/>
      </c>
      <c r="G127" s="66" t="str">
        <f aca="false">IF(IFERROR(INDEX(tsk_Name,GanttView[[#This Row],[_Row]])="",TRUE()),"",INDEX(tsk_FcStart,GanttView[[#This Row],[_Row]]))</f>
        <v/>
      </c>
      <c r="H127" s="66" t="str">
        <f aca="false">IF(IFERROR(INDEX(tsk_Name,GanttView[[#This Row],[_Row]])="",TRUE()),"",INDEX(tsk_FcFinish,GanttView[[#This Row],[_Row]]))</f>
        <v/>
      </c>
      <c r="I127" s="67" t="str">
        <f aca="false">IF(IFERROR(INDEX(tsk_Name,GanttView[[#This Row],[_Row]])="",TRUE()),"",INDEX(tsk_Progress,GanttView[[#This Row],[_Row]]))</f>
        <v/>
      </c>
      <c r="J127" s="65" t="str">
        <f aca="false">IF(IFERROR(INDEX(tsk_Name,GanttView[[#This Row],[_Row]])="",TRUE()),"",INDEX(tsk_Resource,GanttView[[#This Row],[_Row]])&amp;"")</f>
        <v/>
      </c>
      <c r="K127" s="64" t="str">
        <f aca="false">IF(IFERROR(INDEX(tsk_Name,GanttView[[#This Row],[_Row]])="",TRUE()),"",INDEX(tsk_Status,GanttView[[#This Row],[_Row]]))</f>
        <v/>
      </c>
      <c r="L127" s="68" t="n">
        <f aca="false">ROW()-ROW(GanttView[[#Headers],[ID]])</f>
        <v>122</v>
      </c>
      <c r="M127" s="69" t="b">
        <f aca="false">IF(IFERROR(INDEX(tsk_Name,GanttView[[#This Row],[_Row]])="",TRUE()),FALSE(),INDEX(tsk_IsSummary,GanttView[[#This Row],[_Row]]))</f>
        <v>0</v>
      </c>
      <c r="N127" s="69" t="b">
        <f aca="false">IF(IFERROR(INDEX(tsk_Name,GanttView[[#This Row],[_Row]])="",TRUE()),FALSE(),AND(INDEX(tsk_IsLeaf,GanttView[[#This Row],[_Row]])=1,N(INDEX(tsk_Duration,GanttView[[#This Row],[_Row]]))=0))</f>
        <v>0</v>
      </c>
      <c r="O12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70" t="n">
        <f aca="false">IF(GanttView[[#This Row],[_RemFrom]]=0,0,GanttView[[#This Row],[Forecast Finish]])</f>
        <v>0</v>
      </c>
      <c r="S127" s="69" t="b">
        <f aca="false">IF(IFERROR(INDEX(tsk_Name,GanttView[[#This Row],[_Row]])="",TRUE()),FALSE(),N(INDEX(tsk_Variance,GanttView[[#This Row],[_Row]]))&gt;0)</f>
        <v>0</v>
      </c>
      <c r="T127" s="70" t="n">
        <f aca="false">IF(IFERROR(INDEX(tsk_Name,GanttView[[#This Row],[_Row]])="",TRUE()),0,N(INDEX(tsk_Deadline,GanttView[[#This Row],[_Row]])))</f>
        <v>0</v>
      </c>
      <c r="U127" s="69" t="b">
        <f aca="false">IF(IFERROR(INDEX(tsk_Name,GanttView[[#This Row],[_Row]])="",TRUE()),FALSE(),INDEX(tsk_Critical,GanttView[[#This Row],[_Row]])="Yes")</f>
        <v>0</v>
      </c>
    </row>
    <row r="128" customFormat="false" ht="15" hidden="false" customHeight="false" outlineLevel="0" collapsed="false">
      <c r="A128" s="64" t="str">
        <f aca="false">IF(IFERROR(INDEX(tsk_Name,GanttView[[#This Row],[_Row]])="",TRUE()),"",INDEX(tsk_ID,GanttView[[#This Row],[_Row]]))</f>
        <v/>
      </c>
      <c r="B128" s="64" t="str">
        <f aca="false">IF(IFERROR(INDEX(tsk_Name,GanttView[[#This Row],[_Row]])="",TRUE()),"",INDEX(tsk_WBS,GanttView[[#This Row],[_Row]]))</f>
        <v/>
      </c>
      <c r="C128" s="65" t="str">
        <f aca="false">IF(IFERROR(INDEX(tsk_Name,GanttView[[#This Row],[_Row]])="",TRUE()),"",REPT("    ",INDEX(tsk_Level,GanttView[[#This Row],[_Row]])-1)&amp;INDEX(tsk_Name,GanttView[[#This Row],[_Row]]))</f>
        <v/>
      </c>
      <c r="D12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6" t="str">
        <f aca="false">IF(IFERROR(INDEX(tsk_Name,GanttView[[#This Row],[_Row]])="",TRUE()),"",INDEX(tsk_PlanStart,GanttView[[#This Row],[_Row]]))</f>
        <v/>
      </c>
      <c r="F128" s="66" t="str">
        <f aca="false">IF(IFERROR(INDEX(tsk_Name,GanttView[[#This Row],[_Row]])="",TRUE()),"",INDEX(tsk_PlanFinish,GanttView[[#This Row],[_Row]]))</f>
        <v/>
      </c>
      <c r="G128" s="66" t="str">
        <f aca="false">IF(IFERROR(INDEX(tsk_Name,GanttView[[#This Row],[_Row]])="",TRUE()),"",INDEX(tsk_FcStart,GanttView[[#This Row],[_Row]]))</f>
        <v/>
      </c>
      <c r="H128" s="66" t="str">
        <f aca="false">IF(IFERROR(INDEX(tsk_Name,GanttView[[#This Row],[_Row]])="",TRUE()),"",INDEX(tsk_FcFinish,GanttView[[#This Row],[_Row]]))</f>
        <v/>
      </c>
      <c r="I128" s="67" t="str">
        <f aca="false">IF(IFERROR(INDEX(tsk_Name,GanttView[[#This Row],[_Row]])="",TRUE()),"",INDEX(tsk_Progress,GanttView[[#This Row],[_Row]]))</f>
        <v/>
      </c>
      <c r="J128" s="65" t="str">
        <f aca="false">IF(IFERROR(INDEX(tsk_Name,GanttView[[#This Row],[_Row]])="",TRUE()),"",INDEX(tsk_Resource,GanttView[[#This Row],[_Row]])&amp;"")</f>
        <v/>
      </c>
      <c r="K128" s="64" t="str">
        <f aca="false">IF(IFERROR(INDEX(tsk_Name,GanttView[[#This Row],[_Row]])="",TRUE()),"",INDEX(tsk_Status,GanttView[[#This Row],[_Row]]))</f>
        <v/>
      </c>
      <c r="L128" s="68" t="n">
        <f aca="false">ROW()-ROW(GanttView[[#Headers],[ID]])</f>
        <v>123</v>
      </c>
      <c r="M128" s="69" t="b">
        <f aca="false">IF(IFERROR(INDEX(tsk_Name,GanttView[[#This Row],[_Row]])="",TRUE()),FALSE(),INDEX(tsk_IsSummary,GanttView[[#This Row],[_Row]]))</f>
        <v>0</v>
      </c>
      <c r="N128" s="69" t="b">
        <f aca="false">IF(IFERROR(INDEX(tsk_Name,GanttView[[#This Row],[_Row]])="",TRUE()),FALSE(),AND(INDEX(tsk_IsLeaf,GanttView[[#This Row],[_Row]])=1,N(INDEX(tsk_Duration,GanttView[[#This Row],[_Row]]))=0))</f>
        <v>0</v>
      </c>
      <c r="O12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70" t="n">
        <f aca="false">IF(GanttView[[#This Row],[_RemFrom]]=0,0,GanttView[[#This Row],[Forecast Finish]])</f>
        <v>0</v>
      </c>
      <c r="S128" s="69" t="b">
        <f aca="false">IF(IFERROR(INDEX(tsk_Name,GanttView[[#This Row],[_Row]])="",TRUE()),FALSE(),N(INDEX(tsk_Variance,GanttView[[#This Row],[_Row]]))&gt;0)</f>
        <v>0</v>
      </c>
      <c r="T128" s="70" t="n">
        <f aca="false">IF(IFERROR(INDEX(tsk_Name,GanttView[[#This Row],[_Row]])="",TRUE()),0,N(INDEX(tsk_Deadline,GanttView[[#This Row],[_Row]])))</f>
        <v>0</v>
      </c>
      <c r="U128" s="69" t="b">
        <f aca="false">IF(IFERROR(INDEX(tsk_Name,GanttView[[#This Row],[_Row]])="",TRUE()),FALSE(),INDEX(tsk_Critical,GanttView[[#This Row],[_Row]])="Yes")</f>
        <v>0</v>
      </c>
    </row>
    <row r="129" customFormat="false" ht="15" hidden="false" customHeight="false" outlineLevel="0" collapsed="false">
      <c r="A129" s="64" t="str">
        <f aca="false">IF(IFERROR(INDEX(tsk_Name,GanttView[[#This Row],[_Row]])="",TRUE()),"",INDEX(tsk_ID,GanttView[[#This Row],[_Row]]))</f>
        <v/>
      </c>
      <c r="B129" s="64" t="str">
        <f aca="false">IF(IFERROR(INDEX(tsk_Name,GanttView[[#This Row],[_Row]])="",TRUE()),"",INDEX(tsk_WBS,GanttView[[#This Row],[_Row]]))</f>
        <v/>
      </c>
      <c r="C129" s="65" t="str">
        <f aca="false">IF(IFERROR(INDEX(tsk_Name,GanttView[[#This Row],[_Row]])="",TRUE()),"",REPT("    ",INDEX(tsk_Level,GanttView[[#This Row],[_Row]])-1)&amp;INDEX(tsk_Name,GanttView[[#This Row],[_Row]]))</f>
        <v/>
      </c>
      <c r="D12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6" t="str">
        <f aca="false">IF(IFERROR(INDEX(tsk_Name,GanttView[[#This Row],[_Row]])="",TRUE()),"",INDEX(tsk_PlanStart,GanttView[[#This Row],[_Row]]))</f>
        <v/>
      </c>
      <c r="F129" s="66" t="str">
        <f aca="false">IF(IFERROR(INDEX(tsk_Name,GanttView[[#This Row],[_Row]])="",TRUE()),"",INDEX(tsk_PlanFinish,GanttView[[#This Row],[_Row]]))</f>
        <v/>
      </c>
      <c r="G129" s="66" t="str">
        <f aca="false">IF(IFERROR(INDEX(tsk_Name,GanttView[[#This Row],[_Row]])="",TRUE()),"",INDEX(tsk_FcStart,GanttView[[#This Row],[_Row]]))</f>
        <v/>
      </c>
      <c r="H129" s="66" t="str">
        <f aca="false">IF(IFERROR(INDEX(tsk_Name,GanttView[[#This Row],[_Row]])="",TRUE()),"",INDEX(tsk_FcFinish,GanttView[[#This Row],[_Row]]))</f>
        <v/>
      </c>
      <c r="I129" s="67" t="str">
        <f aca="false">IF(IFERROR(INDEX(tsk_Name,GanttView[[#This Row],[_Row]])="",TRUE()),"",INDEX(tsk_Progress,GanttView[[#This Row],[_Row]]))</f>
        <v/>
      </c>
      <c r="J129" s="65" t="str">
        <f aca="false">IF(IFERROR(INDEX(tsk_Name,GanttView[[#This Row],[_Row]])="",TRUE()),"",INDEX(tsk_Resource,GanttView[[#This Row],[_Row]])&amp;"")</f>
        <v/>
      </c>
      <c r="K129" s="64" t="str">
        <f aca="false">IF(IFERROR(INDEX(tsk_Name,GanttView[[#This Row],[_Row]])="",TRUE()),"",INDEX(tsk_Status,GanttView[[#This Row],[_Row]]))</f>
        <v/>
      </c>
      <c r="L129" s="68" t="n">
        <f aca="false">ROW()-ROW(GanttView[[#Headers],[ID]])</f>
        <v>124</v>
      </c>
      <c r="M129" s="69" t="b">
        <f aca="false">IF(IFERROR(INDEX(tsk_Name,GanttView[[#This Row],[_Row]])="",TRUE()),FALSE(),INDEX(tsk_IsSummary,GanttView[[#This Row],[_Row]]))</f>
        <v>0</v>
      </c>
      <c r="N129" s="69" t="b">
        <f aca="false">IF(IFERROR(INDEX(tsk_Name,GanttView[[#This Row],[_Row]])="",TRUE()),FALSE(),AND(INDEX(tsk_IsLeaf,GanttView[[#This Row],[_Row]])=1,N(INDEX(tsk_Duration,GanttView[[#This Row],[_Row]]))=0))</f>
        <v>0</v>
      </c>
      <c r="O12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70" t="n">
        <f aca="false">IF(GanttView[[#This Row],[_RemFrom]]=0,0,GanttView[[#This Row],[Forecast Finish]])</f>
        <v>0</v>
      </c>
      <c r="S129" s="69" t="b">
        <f aca="false">IF(IFERROR(INDEX(tsk_Name,GanttView[[#This Row],[_Row]])="",TRUE()),FALSE(),N(INDEX(tsk_Variance,GanttView[[#This Row],[_Row]]))&gt;0)</f>
        <v>0</v>
      </c>
      <c r="T129" s="70" t="n">
        <f aca="false">IF(IFERROR(INDEX(tsk_Name,GanttView[[#This Row],[_Row]])="",TRUE()),0,N(INDEX(tsk_Deadline,GanttView[[#This Row],[_Row]])))</f>
        <v>0</v>
      </c>
      <c r="U129" s="69" t="b">
        <f aca="false">IF(IFERROR(INDEX(tsk_Name,GanttView[[#This Row],[_Row]])="",TRUE()),FALSE(),INDEX(tsk_Critical,GanttView[[#This Row],[_Row]])="Yes")</f>
        <v>0</v>
      </c>
    </row>
    <row r="130" customFormat="false" ht="15" hidden="false" customHeight="false" outlineLevel="0" collapsed="false">
      <c r="A130" s="64" t="str">
        <f aca="false">IF(IFERROR(INDEX(tsk_Name,GanttView[[#This Row],[_Row]])="",TRUE()),"",INDEX(tsk_ID,GanttView[[#This Row],[_Row]]))</f>
        <v/>
      </c>
      <c r="B130" s="64" t="str">
        <f aca="false">IF(IFERROR(INDEX(tsk_Name,GanttView[[#This Row],[_Row]])="",TRUE()),"",INDEX(tsk_WBS,GanttView[[#This Row],[_Row]]))</f>
        <v/>
      </c>
      <c r="C130" s="65" t="str">
        <f aca="false">IF(IFERROR(INDEX(tsk_Name,GanttView[[#This Row],[_Row]])="",TRUE()),"",REPT("    ",INDEX(tsk_Level,GanttView[[#This Row],[_Row]])-1)&amp;INDEX(tsk_Name,GanttView[[#This Row],[_Row]]))</f>
        <v/>
      </c>
      <c r="D13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6" t="str">
        <f aca="false">IF(IFERROR(INDEX(tsk_Name,GanttView[[#This Row],[_Row]])="",TRUE()),"",INDEX(tsk_PlanStart,GanttView[[#This Row],[_Row]]))</f>
        <v/>
      </c>
      <c r="F130" s="66" t="str">
        <f aca="false">IF(IFERROR(INDEX(tsk_Name,GanttView[[#This Row],[_Row]])="",TRUE()),"",INDEX(tsk_PlanFinish,GanttView[[#This Row],[_Row]]))</f>
        <v/>
      </c>
      <c r="G130" s="66" t="str">
        <f aca="false">IF(IFERROR(INDEX(tsk_Name,GanttView[[#This Row],[_Row]])="",TRUE()),"",INDEX(tsk_FcStart,GanttView[[#This Row],[_Row]]))</f>
        <v/>
      </c>
      <c r="H130" s="66" t="str">
        <f aca="false">IF(IFERROR(INDEX(tsk_Name,GanttView[[#This Row],[_Row]])="",TRUE()),"",INDEX(tsk_FcFinish,GanttView[[#This Row],[_Row]]))</f>
        <v/>
      </c>
      <c r="I130" s="67" t="str">
        <f aca="false">IF(IFERROR(INDEX(tsk_Name,GanttView[[#This Row],[_Row]])="",TRUE()),"",INDEX(tsk_Progress,GanttView[[#This Row],[_Row]]))</f>
        <v/>
      </c>
      <c r="J130" s="65" t="str">
        <f aca="false">IF(IFERROR(INDEX(tsk_Name,GanttView[[#This Row],[_Row]])="",TRUE()),"",INDEX(tsk_Resource,GanttView[[#This Row],[_Row]])&amp;"")</f>
        <v/>
      </c>
      <c r="K130" s="64" t="str">
        <f aca="false">IF(IFERROR(INDEX(tsk_Name,GanttView[[#This Row],[_Row]])="",TRUE()),"",INDEX(tsk_Status,GanttView[[#This Row],[_Row]]))</f>
        <v/>
      </c>
      <c r="L130" s="68" t="n">
        <f aca="false">ROW()-ROW(GanttView[[#Headers],[ID]])</f>
        <v>125</v>
      </c>
      <c r="M130" s="69" t="b">
        <f aca="false">IF(IFERROR(INDEX(tsk_Name,GanttView[[#This Row],[_Row]])="",TRUE()),FALSE(),INDEX(tsk_IsSummary,GanttView[[#This Row],[_Row]]))</f>
        <v>0</v>
      </c>
      <c r="N130" s="69" t="b">
        <f aca="false">IF(IFERROR(INDEX(tsk_Name,GanttView[[#This Row],[_Row]])="",TRUE()),FALSE(),AND(INDEX(tsk_IsLeaf,GanttView[[#This Row],[_Row]])=1,N(INDEX(tsk_Duration,GanttView[[#This Row],[_Row]]))=0))</f>
        <v>0</v>
      </c>
      <c r="O13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70" t="n">
        <f aca="false">IF(GanttView[[#This Row],[_RemFrom]]=0,0,GanttView[[#This Row],[Forecast Finish]])</f>
        <v>0</v>
      </c>
      <c r="S130" s="69" t="b">
        <f aca="false">IF(IFERROR(INDEX(tsk_Name,GanttView[[#This Row],[_Row]])="",TRUE()),FALSE(),N(INDEX(tsk_Variance,GanttView[[#This Row],[_Row]]))&gt;0)</f>
        <v>0</v>
      </c>
      <c r="T130" s="70" t="n">
        <f aca="false">IF(IFERROR(INDEX(tsk_Name,GanttView[[#This Row],[_Row]])="",TRUE()),0,N(INDEX(tsk_Deadline,GanttView[[#This Row],[_Row]])))</f>
        <v>0</v>
      </c>
      <c r="U130" s="69" t="b">
        <f aca="false">IF(IFERROR(INDEX(tsk_Name,GanttView[[#This Row],[_Row]])="",TRUE()),FALSE(),INDEX(tsk_Critical,GanttView[[#This Row],[_Row]])="Yes")</f>
        <v>0</v>
      </c>
    </row>
    <row r="131" customFormat="false" ht="15" hidden="false" customHeight="false" outlineLevel="0" collapsed="false">
      <c r="A131" s="64" t="str">
        <f aca="false">IF(IFERROR(INDEX(tsk_Name,GanttView[[#This Row],[_Row]])="",TRUE()),"",INDEX(tsk_ID,GanttView[[#This Row],[_Row]]))</f>
        <v/>
      </c>
      <c r="B131" s="64" t="str">
        <f aca="false">IF(IFERROR(INDEX(tsk_Name,GanttView[[#This Row],[_Row]])="",TRUE()),"",INDEX(tsk_WBS,GanttView[[#This Row],[_Row]]))</f>
        <v/>
      </c>
      <c r="C131" s="65" t="str">
        <f aca="false">IF(IFERROR(INDEX(tsk_Name,GanttView[[#This Row],[_Row]])="",TRUE()),"",REPT("    ",INDEX(tsk_Level,GanttView[[#This Row],[_Row]])-1)&amp;INDEX(tsk_Name,GanttView[[#This Row],[_Row]]))</f>
        <v/>
      </c>
      <c r="D13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6" t="str">
        <f aca="false">IF(IFERROR(INDEX(tsk_Name,GanttView[[#This Row],[_Row]])="",TRUE()),"",INDEX(tsk_PlanStart,GanttView[[#This Row],[_Row]]))</f>
        <v/>
      </c>
      <c r="F131" s="66" t="str">
        <f aca="false">IF(IFERROR(INDEX(tsk_Name,GanttView[[#This Row],[_Row]])="",TRUE()),"",INDEX(tsk_PlanFinish,GanttView[[#This Row],[_Row]]))</f>
        <v/>
      </c>
      <c r="G131" s="66" t="str">
        <f aca="false">IF(IFERROR(INDEX(tsk_Name,GanttView[[#This Row],[_Row]])="",TRUE()),"",INDEX(tsk_FcStart,GanttView[[#This Row],[_Row]]))</f>
        <v/>
      </c>
      <c r="H131" s="66" t="str">
        <f aca="false">IF(IFERROR(INDEX(tsk_Name,GanttView[[#This Row],[_Row]])="",TRUE()),"",INDEX(tsk_FcFinish,GanttView[[#This Row],[_Row]]))</f>
        <v/>
      </c>
      <c r="I131" s="67" t="str">
        <f aca="false">IF(IFERROR(INDEX(tsk_Name,GanttView[[#This Row],[_Row]])="",TRUE()),"",INDEX(tsk_Progress,GanttView[[#This Row],[_Row]]))</f>
        <v/>
      </c>
      <c r="J131" s="65" t="str">
        <f aca="false">IF(IFERROR(INDEX(tsk_Name,GanttView[[#This Row],[_Row]])="",TRUE()),"",INDEX(tsk_Resource,GanttView[[#This Row],[_Row]])&amp;"")</f>
        <v/>
      </c>
      <c r="K131" s="64" t="str">
        <f aca="false">IF(IFERROR(INDEX(tsk_Name,GanttView[[#This Row],[_Row]])="",TRUE()),"",INDEX(tsk_Status,GanttView[[#This Row],[_Row]]))</f>
        <v/>
      </c>
      <c r="L131" s="68" t="n">
        <f aca="false">ROW()-ROW(GanttView[[#Headers],[ID]])</f>
        <v>126</v>
      </c>
      <c r="M131" s="69" t="b">
        <f aca="false">IF(IFERROR(INDEX(tsk_Name,GanttView[[#This Row],[_Row]])="",TRUE()),FALSE(),INDEX(tsk_IsSummary,GanttView[[#This Row],[_Row]]))</f>
        <v>0</v>
      </c>
      <c r="N131" s="69" t="b">
        <f aca="false">IF(IFERROR(INDEX(tsk_Name,GanttView[[#This Row],[_Row]])="",TRUE()),FALSE(),AND(INDEX(tsk_IsLeaf,GanttView[[#This Row],[_Row]])=1,N(INDEX(tsk_Duration,GanttView[[#This Row],[_Row]]))=0))</f>
        <v>0</v>
      </c>
      <c r="O13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70" t="n">
        <f aca="false">IF(GanttView[[#This Row],[_RemFrom]]=0,0,GanttView[[#This Row],[Forecast Finish]])</f>
        <v>0</v>
      </c>
      <c r="S131" s="69" t="b">
        <f aca="false">IF(IFERROR(INDEX(tsk_Name,GanttView[[#This Row],[_Row]])="",TRUE()),FALSE(),N(INDEX(tsk_Variance,GanttView[[#This Row],[_Row]]))&gt;0)</f>
        <v>0</v>
      </c>
      <c r="T131" s="70" t="n">
        <f aca="false">IF(IFERROR(INDEX(tsk_Name,GanttView[[#This Row],[_Row]])="",TRUE()),0,N(INDEX(tsk_Deadline,GanttView[[#This Row],[_Row]])))</f>
        <v>0</v>
      </c>
      <c r="U131" s="69" t="b">
        <f aca="false">IF(IFERROR(INDEX(tsk_Name,GanttView[[#This Row],[_Row]])="",TRUE()),FALSE(),INDEX(tsk_Critical,GanttView[[#This Row],[_Row]])="Yes")</f>
        <v>0</v>
      </c>
    </row>
    <row r="132" customFormat="false" ht="15" hidden="false" customHeight="false" outlineLevel="0" collapsed="false">
      <c r="A132" s="64" t="str">
        <f aca="false">IF(IFERROR(INDEX(tsk_Name,GanttView[[#This Row],[_Row]])="",TRUE()),"",INDEX(tsk_ID,GanttView[[#This Row],[_Row]]))</f>
        <v/>
      </c>
      <c r="B132" s="64" t="str">
        <f aca="false">IF(IFERROR(INDEX(tsk_Name,GanttView[[#This Row],[_Row]])="",TRUE()),"",INDEX(tsk_WBS,GanttView[[#This Row],[_Row]]))</f>
        <v/>
      </c>
      <c r="C132" s="65" t="str">
        <f aca="false">IF(IFERROR(INDEX(tsk_Name,GanttView[[#This Row],[_Row]])="",TRUE()),"",REPT("    ",INDEX(tsk_Level,GanttView[[#This Row],[_Row]])-1)&amp;INDEX(tsk_Name,GanttView[[#This Row],[_Row]]))</f>
        <v/>
      </c>
      <c r="D13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6" t="str">
        <f aca="false">IF(IFERROR(INDEX(tsk_Name,GanttView[[#This Row],[_Row]])="",TRUE()),"",INDEX(tsk_PlanStart,GanttView[[#This Row],[_Row]]))</f>
        <v/>
      </c>
      <c r="F132" s="66" t="str">
        <f aca="false">IF(IFERROR(INDEX(tsk_Name,GanttView[[#This Row],[_Row]])="",TRUE()),"",INDEX(tsk_PlanFinish,GanttView[[#This Row],[_Row]]))</f>
        <v/>
      </c>
      <c r="G132" s="66" t="str">
        <f aca="false">IF(IFERROR(INDEX(tsk_Name,GanttView[[#This Row],[_Row]])="",TRUE()),"",INDEX(tsk_FcStart,GanttView[[#This Row],[_Row]]))</f>
        <v/>
      </c>
      <c r="H132" s="66" t="str">
        <f aca="false">IF(IFERROR(INDEX(tsk_Name,GanttView[[#This Row],[_Row]])="",TRUE()),"",INDEX(tsk_FcFinish,GanttView[[#This Row],[_Row]]))</f>
        <v/>
      </c>
      <c r="I132" s="67" t="str">
        <f aca="false">IF(IFERROR(INDEX(tsk_Name,GanttView[[#This Row],[_Row]])="",TRUE()),"",INDEX(tsk_Progress,GanttView[[#This Row],[_Row]]))</f>
        <v/>
      </c>
      <c r="J132" s="65" t="str">
        <f aca="false">IF(IFERROR(INDEX(tsk_Name,GanttView[[#This Row],[_Row]])="",TRUE()),"",INDEX(tsk_Resource,GanttView[[#This Row],[_Row]])&amp;"")</f>
        <v/>
      </c>
      <c r="K132" s="64" t="str">
        <f aca="false">IF(IFERROR(INDEX(tsk_Name,GanttView[[#This Row],[_Row]])="",TRUE()),"",INDEX(tsk_Status,GanttView[[#This Row],[_Row]]))</f>
        <v/>
      </c>
      <c r="L132" s="68" t="n">
        <f aca="false">ROW()-ROW(GanttView[[#Headers],[ID]])</f>
        <v>127</v>
      </c>
      <c r="M132" s="69" t="b">
        <f aca="false">IF(IFERROR(INDEX(tsk_Name,GanttView[[#This Row],[_Row]])="",TRUE()),FALSE(),INDEX(tsk_IsSummary,GanttView[[#This Row],[_Row]]))</f>
        <v>0</v>
      </c>
      <c r="N132" s="69" t="b">
        <f aca="false">IF(IFERROR(INDEX(tsk_Name,GanttView[[#This Row],[_Row]])="",TRUE()),FALSE(),AND(INDEX(tsk_IsLeaf,GanttView[[#This Row],[_Row]])=1,N(INDEX(tsk_Duration,GanttView[[#This Row],[_Row]]))=0))</f>
        <v>0</v>
      </c>
      <c r="O13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70" t="n">
        <f aca="false">IF(GanttView[[#This Row],[_RemFrom]]=0,0,GanttView[[#This Row],[Forecast Finish]])</f>
        <v>0</v>
      </c>
      <c r="S132" s="69" t="b">
        <f aca="false">IF(IFERROR(INDEX(tsk_Name,GanttView[[#This Row],[_Row]])="",TRUE()),FALSE(),N(INDEX(tsk_Variance,GanttView[[#This Row],[_Row]]))&gt;0)</f>
        <v>0</v>
      </c>
      <c r="T132" s="70" t="n">
        <f aca="false">IF(IFERROR(INDEX(tsk_Name,GanttView[[#This Row],[_Row]])="",TRUE()),0,N(INDEX(tsk_Deadline,GanttView[[#This Row],[_Row]])))</f>
        <v>0</v>
      </c>
      <c r="U132" s="69" t="b">
        <f aca="false">IF(IFERROR(INDEX(tsk_Name,GanttView[[#This Row],[_Row]])="",TRUE()),FALSE(),INDEX(tsk_Critical,GanttView[[#This Row],[_Row]])="Yes")</f>
        <v>0</v>
      </c>
    </row>
    <row r="133" customFormat="false" ht="15" hidden="false" customHeight="false" outlineLevel="0" collapsed="false">
      <c r="A133" s="64" t="str">
        <f aca="false">IF(IFERROR(INDEX(tsk_Name,GanttView[[#This Row],[_Row]])="",TRUE()),"",INDEX(tsk_ID,GanttView[[#This Row],[_Row]]))</f>
        <v/>
      </c>
      <c r="B133" s="64" t="str">
        <f aca="false">IF(IFERROR(INDEX(tsk_Name,GanttView[[#This Row],[_Row]])="",TRUE()),"",INDEX(tsk_WBS,GanttView[[#This Row],[_Row]]))</f>
        <v/>
      </c>
      <c r="C133" s="65" t="str">
        <f aca="false">IF(IFERROR(INDEX(tsk_Name,GanttView[[#This Row],[_Row]])="",TRUE()),"",REPT("    ",INDEX(tsk_Level,GanttView[[#This Row],[_Row]])-1)&amp;INDEX(tsk_Name,GanttView[[#This Row],[_Row]]))</f>
        <v/>
      </c>
      <c r="D13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6" t="str">
        <f aca="false">IF(IFERROR(INDEX(tsk_Name,GanttView[[#This Row],[_Row]])="",TRUE()),"",INDEX(tsk_PlanStart,GanttView[[#This Row],[_Row]]))</f>
        <v/>
      </c>
      <c r="F133" s="66" t="str">
        <f aca="false">IF(IFERROR(INDEX(tsk_Name,GanttView[[#This Row],[_Row]])="",TRUE()),"",INDEX(tsk_PlanFinish,GanttView[[#This Row],[_Row]]))</f>
        <v/>
      </c>
      <c r="G133" s="66" t="str">
        <f aca="false">IF(IFERROR(INDEX(tsk_Name,GanttView[[#This Row],[_Row]])="",TRUE()),"",INDEX(tsk_FcStart,GanttView[[#This Row],[_Row]]))</f>
        <v/>
      </c>
      <c r="H133" s="66" t="str">
        <f aca="false">IF(IFERROR(INDEX(tsk_Name,GanttView[[#This Row],[_Row]])="",TRUE()),"",INDEX(tsk_FcFinish,GanttView[[#This Row],[_Row]]))</f>
        <v/>
      </c>
      <c r="I133" s="67" t="str">
        <f aca="false">IF(IFERROR(INDEX(tsk_Name,GanttView[[#This Row],[_Row]])="",TRUE()),"",INDEX(tsk_Progress,GanttView[[#This Row],[_Row]]))</f>
        <v/>
      </c>
      <c r="J133" s="65" t="str">
        <f aca="false">IF(IFERROR(INDEX(tsk_Name,GanttView[[#This Row],[_Row]])="",TRUE()),"",INDEX(tsk_Resource,GanttView[[#This Row],[_Row]])&amp;"")</f>
        <v/>
      </c>
      <c r="K133" s="64" t="str">
        <f aca="false">IF(IFERROR(INDEX(tsk_Name,GanttView[[#This Row],[_Row]])="",TRUE()),"",INDEX(tsk_Status,GanttView[[#This Row],[_Row]]))</f>
        <v/>
      </c>
      <c r="L133" s="68" t="n">
        <f aca="false">ROW()-ROW(GanttView[[#Headers],[ID]])</f>
        <v>128</v>
      </c>
      <c r="M133" s="69" t="b">
        <f aca="false">IF(IFERROR(INDEX(tsk_Name,GanttView[[#This Row],[_Row]])="",TRUE()),FALSE(),INDEX(tsk_IsSummary,GanttView[[#This Row],[_Row]]))</f>
        <v>0</v>
      </c>
      <c r="N133" s="69" t="b">
        <f aca="false">IF(IFERROR(INDEX(tsk_Name,GanttView[[#This Row],[_Row]])="",TRUE()),FALSE(),AND(INDEX(tsk_IsLeaf,GanttView[[#This Row],[_Row]])=1,N(INDEX(tsk_Duration,GanttView[[#This Row],[_Row]]))=0))</f>
        <v>0</v>
      </c>
      <c r="O13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70" t="n">
        <f aca="false">IF(GanttView[[#This Row],[_RemFrom]]=0,0,GanttView[[#This Row],[Forecast Finish]])</f>
        <v>0</v>
      </c>
      <c r="S133" s="69" t="b">
        <f aca="false">IF(IFERROR(INDEX(tsk_Name,GanttView[[#This Row],[_Row]])="",TRUE()),FALSE(),N(INDEX(tsk_Variance,GanttView[[#This Row],[_Row]]))&gt;0)</f>
        <v>0</v>
      </c>
      <c r="T133" s="70" t="n">
        <f aca="false">IF(IFERROR(INDEX(tsk_Name,GanttView[[#This Row],[_Row]])="",TRUE()),0,N(INDEX(tsk_Deadline,GanttView[[#This Row],[_Row]])))</f>
        <v>0</v>
      </c>
      <c r="U133" s="69" t="b">
        <f aca="false">IF(IFERROR(INDEX(tsk_Name,GanttView[[#This Row],[_Row]])="",TRUE()),FALSE(),INDEX(tsk_Critical,GanttView[[#This Row],[_Row]])="Yes")</f>
        <v>0</v>
      </c>
    </row>
    <row r="134" customFormat="false" ht="15" hidden="false" customHeight="false" outlineLevel="0" collapsed="false">
      <c r="A134" s="64" t="str">
        <f aca="false">IF(IFERROR(INDEX(tsk_Name,GanttView[[#This Row],[_Row]])="",TRUE()),"",INDEX(tsk_ID,GanttView[[#This Row],[_Row]]))</f>
        <v/>
      </c>
      <c r="B134" s="64" t="str">
        <f aca="false">IF(IFERROR(INDEX(tsk_Name,GanttView[[#This Row],[_Row]])="",TRUE()),"",INDEX(tsk_WBS,GanttView[[#This Row],[_Row]]))</f>
        <v/>
      </c>
      <c r="C134" s="65" t="str">
        <f aca="false">IF(IFERROR(INDEX(tsk_Name,GanttView[[#This Row],[_Row]])="",TRUE()),"",REPT("    ",INDEX(tsk_Level,GanttView[[#This Row],[_Row]])-1)&amp;INDEX(tsk_Name,GanttView[[#This Row],[_Row]]))</f>
        <v/>
      </c>
      <c r="D13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6" t="str">
        <f aca="false">IF(IFERROR(INDEX(tsk_Name,GanttView[[#This Row],[_Row]])="",TRUE()),"",INDEX(tsk_PlanStart,GanttView[[#This Row],[_Row]]))</f>
        <v/>
      </c>
      <c r="F134" s="66" t="str">
        <f aca="false">IF(IFERROR(INDEX(tsk_Name,GanttView[[#This Row],[_Row]])="",TRUE()),"",INDEX(tsk_PlanFinish,GanttView[[#This Row],[_Row]]))</f>
        <v/>
      </c>
      <c r="G134" s="66" t="str">
        <f aca="false">IF(IFERROR(INDEX(tsk_Name,GanttView[[#This Row],[_Row]])="",TRUE()),"",INDEX(tsk_FcStart,GanttView[[#This Row],[_Row]]))</f>
        <v/>
      </c>
      <c r="H134" s="66" t="str">
        <f aca="false">IF(IFERROR(INDEX(tsk_Name,GanttView[[#This Row],[_Row]])="",TRUE()),"",INDEX(tsk_FcFinish,GanttView[[#This Row],[_Row]]))</f>
        <v/>
      </c>
      <c r="I134" s="67" t="str">
        <f aca="false">IF(IFERROR(INDEX(tsk_Name,GanttView[[#This Row],[_Row]])="",TRUE()),"",INDEX(tsk_Progress,GanttView[[#This Row],[_Row]]))</f>
        <v/>
      </c>
      <c r="J134" s="65" t="str">
        <f aca="false">IF(IFERROR(INDEX(tsk_Name,GanttView[[#This Row],[_Row]])="",TRUE()),"",INDEX(tsk_Resource,GanttView[[#This Row],[_Row]])&amp;"")</f>
        <v/>
      </c>
      <c r="K134" s="64" t="str">
        <f aca="false">IF(IFERROR(INDEX(tsk_Name,GanttView[[#This Row],[_Row]])="",TRUE()),"",INDEX(tsk_Status,GanttView[[#This Row],[_Row]]))</f>
        <v/>
      </c>
      <c r="L134" s="68" t="n">
        <f aca="false">ROW()-ROW(GanttView[[#Headers],[ID]])</f>
        <v>129</v>
      </c>
      <c r="M134" s="69" t="b">
        <f aca="false">IF(IFERROR(INDEX(tsk_Name,GanttView[[#This Row],[_Row]])="",TRUE()),FALSE(),INDEX(tsk_IsSummary,GanttView[[#This Row],[_Row]]))</f>
        <v>0</v>
      </c>
      <c r="N134" s="69" t="b">
        <f aca="false">IF(IFERROR(INDEX(tsk_Name,GanttView[[#This Row],[_Row]])="",TRUE()),FALSE(),AND(INDEX(tsk_IsLeaf,GanttView[[#This Row],[_Row]])=1,N(INDEX(tsk_Duration,GanttView[[#This Row],[_Row]]))=0))</f>
        <v>0</v>
      </c>
      <c r="O13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70" t="n">
        <f aca="false">IF(GanttView[[#This Row],[_RemFrom]]=0,0,GanttView[[#This Row],[Forecast Finish]])</f>
        <v>0</v>
      </c>
      <c r="S134" s="69" t="b">
        <f aca="false">IF(IFERROR(INDEX(tsk_Name,GanttView[[#This Row],[_Row]])="",TRUE()),FALSE(),N(INDEX(tsk_Variance,GanttView[[#This Row],[_Row]]))&gt;0)</f>
        <v>0</v>
      </c>
      <c r="T134" s="70" t="n">
        <f aca="false">IF(IFERROR(INDEX(tsk_Name,GanttView[[#This Row],[_Row]])="",TRUE()),0,N(INDEX(tsk_Deadline,GanttView[[#This Row],[_Row]])))</f>
        <v>0</v>
      </c>
      <c r="U134" s="69" t="b">
        <f aca="false">IF(IFERROR(INDEX(tsk_Name,GanttView[[#This Row],[_Row]])="",TRUE()),FALSE(),INDEX(tsk_Critical,GanttView[[#This Row],[_Row]])="Yes")</f>
        <v>0</v>
      </c>
    </row>
    <row r="135" customFormat="false" ht="15" hidden="false" customHeight="false" outlineLevel="0" collapsed="false">
      <c r="A135" s="64" t="str">
        <f aca="false">IF(IFERROR(INDEX(tsk_Name,GanttView[[#This Row],[_Row]])="",TRUE()),"",INDEX(tsk_ID,GanttView[[#This Row],[_Row]]))</f>
        <v/>
      </c>
      <c r="B135" s="64" t="str">
        <f aca="false">IF(IFERROR(INDEX(tsk_Name,GanttView[[#This Row],[_Row]])="",TRUE()),"",INDEX(tsk_WBS,GanttView[[#This Row],[_Row]]))</f>
        <v/>
      </c>
      <c r="C135" s="65" t="str">
        <f aca="false">IF(IFERROR(INDEX(tsk_Name,GanttView[[#This Row],[_Row]])="",TRUE()),"",REPT("    ",INDEX(tsk_Level,GanttView[[#This Row],[_Row]])-1)&amp;INDEX(tsk_Name,GanttView[[#This Row],[_Row]]))</f>
        <v/>
      </c>
      <c r="D13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6" t="str">
        <f aca="false">IF(IFERROR(INDEX(tsk_Name,GanttView[[#This Row],[_Row]])="",TRUE()),"",INDEX(tsk_PlanStart,GanttView[[#This Row],[_Row]]))</f>
        <v/>
      </c>
      <c r="F135" s="66" t="str">
        <f aca="false">IF(IFERROR(INDEX(tsk_Name,GanttView[[#This Row],[_Row]])="",TRUE()),"",INDEX(tsk_PlanFinish,GanttView[[#This Row],[_Row]]))</f>
        <v/>
      </c>
      <c r="G135" s="66" t="str">
        <f aca="false">IF(IFERROR(INDEX(tsk_Name,GanttView[[#This Row],[_Row]])="",TRUE()),"",INDEX(tsk_FcStart,GanttView[[#This Row],[_Row]]))</f>
        <v/>
      </c>
      <c r="H135" s="66" t="str">
        <f aca="false">IF(IFERROR(INDEX(tsk_Name,GanttView[[#This Row],[_Row]])="",TRUE()),"",INDEX(tsk_FcFinish,GanttView[[#This Row],[_Row]]))</f>
        <v/>
      </c>
      <c r="I135" s="67" t="str">
        <f aca="false">IF(IFERROR(INDEX(tsk_Name,GanttView[[#This Row],[_Row]])="",TRUE()),"",INDEX(tsk_Progress,GanttView[[#This Row],[_Row]]))</f>
        <v/>
      </c>
      <c r="J135" s="65" t="str">
        <f aca="false">IF(IFERROR(INDEX(tsk_Name,GanttView[[#This Row],[_Row]])="",TRUE()),"",INDEX(tsk_Resource,GanttView[[#This Row],[_Row]])&amp;"")</f>
        <v/>
      </c>
      <c r="K135" s="64" t="str">
        <f aca="false">IF(IFERROR(INDEX(tsk_Name,GanttView[[#This Row],[_Row]])="",TRUE()),"",INDEX(tsk_Status,GanttView[[#This Row],[_Row]]))</f>
        <v/>
      </c>
      <c r="L135" s="68" t="n">
        <f aca="false">ROW()-ROW(GanttView[[#Headers],[ID]])</f>
        <v>130</v>
      </c>
      <c r="M135" s="69" t="b">
        <f aca="false">IF(IFERROR(INDEX(tsk_Name,GanttView[[#This Row],[_Row]])="",TRUE()),FALSE(),INDEX(tsk_IsSummary,GanttView[[#This Row],[_Row]]))</f>
        <v>0</v>
      </c>
      <c r="N135" s="69" t="b">
        <f aca="false">IF(IFERROR(INDEX(tsk_Name,GanttView[[#This Row],[_Row]])="",TRUE()),FALSE(),AND(INDEX(tsk_IsLeaf,GanttView[[#This Row],[_Row]])=1,N(INDEX(tsk_Duration,GanttView[[#This Row],[_Row]]))=0))</f>
        <v>0</v>
      </c>
      <c r="O13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70" t="n">
        <f aca="false">IF(GanttView[[#This Row],[_RemFrom]]=0,0,GanttView[[#This Row],[Forecast Finish]])</f>
        <v>0</v>
      </c>
      <c r="S135" s="69" t="b">
        <f aca="false">IF(IFERROR(INDEX(tsk_Name,GanttView[[#This Row],[_Row]])="",TRUE()),FALSE(),N(INDEX(tsk_Variance,GanttView[[#This Row],[_Row]]))&gt;0)</f>
        <v>0</v>
      </c>
      <c r="T135" s="70" t="n">
        <f aca="false">IF(IFERROR(INDEX(tsk_Name,GanttView[[#This Row],[_Row]])="",TRUE()),0,N(INDEX(tsk_Deadline,GanttView[[#This Row],[_Row]])))</f>
        <v>0</v>
      </c>
      <c r="U135" s="69" t="b">
        <f aca="false">IF(IFERROR(INDEX(tsk_Name,GanttView[[#This Row],[_Row]])="",TRUE()),FALSE(),INDEX(tsk_Critical,GanttView[[#This Row],[_Row]])="Yes")</f>
        <v>0</v>
      </c>
    </row>
    <row r="136" customFormat="false" ht="15" hidden="false" customHeight="false" outlineLevel="0" collapsed="false">
      <c r="A136" s="64" t="str">
        <f aca="false">IF(IFERROR(INDEX(tsk_Name,GanttView[[#This Row],[_Row]])="",TRUE()),"",INDEX(tsk_ID,GanttView[[#This Row],[_Row]]))</f>
        <v/>
      </c>
      <c r="B136" s="64" t="str">
        <f aca="false">IF(IFERROR(INDEX(tsk_Name,GanttView[[#This Row],[_Row]])="",TRUE()),"",INDEX(tsk_WBS,GanttView[[#This Row],[_Row]]))</f>
        <v/>
      </c>
      <c r="C136" s="65" t="str">
        <f aca="false">IF(IFERROR(INDEX(tsk_Name,GanttView[[#This Row],[_Row]])="",TRUE()),"",REPT("    ",INDEX(tsk_Level,GanttView[[#This Row],[_Row]])-1)&amp;INDEX(tsk_Name,GanttView[[#This Row],[_Row]]))</f>
        <v/>
      </c>
      <c r="D13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6" t="str">
        <f aca="false">IF(IFERROR(INDEX(tsk_Name,GanttView[[#This Row],[_Row]])="",TRUE()),"",INDEX(tsk_PlanStart,GanttView[[#This Row],[_Row]]))</f>
        <v/>
      </c>
      <c r="F136" s="66" t="str">
        <f aca="false">IF(IFERROR(INDEX(tsk_Name,GanttView[[#This Row],[_Row]])="",TRUE()),"",INDEX(tsk_PlanFinish,GanttView[[#This Row],[_Row]]))</f>
        <v/>
      </c>
      <c r="G136" s="66" t="str">
        <f aca="false">IF(IFERROR(INDEX(tsk_Name,GanttView[[#This Row],[_Row]])="",TRUE()),"",INDEX(tsk_FcStart,GanttView[[#This Row],[_Row]]))</f>
        <v/>
      </c>
      <c r="H136" s="66" t="str">
        <f aca="false">IF(IFERROR(INDEX(tsk_Name,GanttView[[#This Row],[_Row]])="",TRUE()),"",INDEX(tsk_FcFinish,GanttView[[#This Row],[_Row]]))</f>
        <v/>
      </c>
      <c r="I136" s="67" t="str">
        <f aca="false">IF(IFERROR(INDEX(tsk_Name,GanttView[[#This Row],[_Row]])="",TRUE()),"",INDEX(tsk_Progress,GanttView[[#This Row],[_Row]]))</f>
        <v/>
      </c>
      <c r="J136" s="65" t="str">
        <f aca="false">IF(IFERROR(INDEX(tsk_Name,GanttView[[#This Row],[_Row]])="",TRUE()),"",INDEX(tsk_Resource,GanttView[[#This Row],[_Row]])&amp;"")</f>
        <v/>
      </c>
      <c r="K136" s="64" t="str">
        <f aca="false">IF(IFERROR(INDEX(tsk_Name,GanttView[[#This Row],[_Row]])="",TRUE()),"",INDEX(tsk_Status,GanttView[[#This Row],[_Row]]))</f>
        <v/>
      </c>
      <c r="L136" s="68" t="n">
        <f aca="false">ROW()-ROW(GanttView[[#Headers],[ID]])</f>
        <v>131</v>
      </c>
      <c r="M136" s="69" t="b">
        <f aca="false">IF(IFERROR(INDEX(tsk_Name,GanttView[[#This Row],[_Row]])="",TRUE()),FALSE(),INDEX(tsk_IsSummary,GanttView[[#This Row],[_Row]]))</f>
        <v>0</v>
      </c>
      <c r="N136" s="69" t="b">
        <f aca="false">IF(IFERROR(INDEX(tsk_Name,GanttView[[#This Row],[_Row]])="",TRUE()),FALSE(),AND(INDEX(tsk_IsLeaf,GanttView[[#This Row],[_Row]])=1,N(INDEX(tsk_Duration,GanttView[[#This Row],[_Row]]))=0))</f>
        <v>0</v>
      </c>
      <c r="O13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70" t="n">
        <f aca="false">IF(GanttView[[#This Row],[_RemFrom]]=0,0,GanttView[[#This Row],[Forecast Finish]])</f>
        <v>0</v>
      </c>
      <c r="S136" s="69" t="b">
        <f aca="false">IF(IFERROR(INDEX(tsk_Name,GanttView[[#This Row],[_Row]])="",TRUE()),FALSE(),N(INDEX(tsk_Variance,GanttView[[#This Row],[_Row]]))&gt;0)</f>
        <v>0</v>
      </c>
      <c r="T136" s="70" t="n">
        <f aca="false">IF(IFERROR(INDEX(tsk_Name,GanttView[[#This Row],[_Row]])="",TRUE()),0,N(INDEX(tsk_Deadline,GanttView[[#This Row],[_Row]])))</f>
        <v>0</v>
      </c>
      <c r="U136" s="69" t="b">
        <f aca="false">IF(IFERROR(INDEX(tsk_Name,GanttView[[#This Row],[_Row]])="",TRUE()),FALSE(),INDEX(tsk_Critical,GanttView[[#This Row],[_Row]])="Yes")</f>
        <v>0</v>
      </c>
    </row>
    <row r="137" customFormat="false" ht="15" hidden="false" customHeight="false" outlineLevel="0" collapsed="false">
      <c r="A137" s="64" t="str">
        <f aca="false">IF(IFERROR(INDEX(tsk_Name,GanttView[[#This Row],[_Row]])="",TRUE()),"",INDEX(tsk_ID,GanttView[[#This Row],[_Row]]))</f>
        <v/>
      </c>
      <c r="B137" s="64" t="str">
        <f aca="false">IF(IFERROR(INDEX(tsk_Name,GanttView[[#This Row],[_Row]])="",TRUE()),"",INDEX(tsk_WBS,GanttView[[#This Row],[_Row]]))</f>
        <v/>
      </c>
      <c r="C137" s="65" t="str">
        <f aca="false">IF(IFERROR(INDEX(tsk_Name,GanttView[[#This Row],[_Row]])="",TRUE()),"",REPT("    ",INDEX(tsk_Level,GanttView[[#This Row],[_Row]])-1)&amp;INDEX(tsk_Name,GanttView[[#This Row],[_Row]]))</f>
        <v/>
      </c>
      <c r="D13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6" t="str">
        <f aca="false">IF(IFERROR(INDEX(tsk_Name,GanttView[[#This Row],[_Row]])="",TRUE()),"",INDEX(tsk_PlanStart,GanttView[[#This Row],[_Row]]))</f>
        <v/>
      </c>
      <c r="F137" s="66" t="str">
        <f aca="false">IF(IFERROR(INDEX(tsk_Name,GanttView[[#This Row],[_Row]])="",TRUE()),"",INDEX(tsk_PlanFinish,GanttView[[#This Row],[_Row]]))</f>
        <v/>
      </c>
      <c r="G137" s="66" t="str">
        <f aca="false">IF(IFERROR(INDEX(tsk_Name,GanttView[[#This Row],[_Row]])="",TRUE()),"",INDEX(tsk_FcStart,GanttView[[#This Row],[_Row]]))</f>
        <v/>
      </c>
      <c r="H137" s="66" t="str">
        <f aca="false">IF(IFERROR(INDEX(tsk_Name,GanttView[[#This Row],[_Row]])="",TRUE()),"",INDEX(tsk_FcFinish,GanttView[[#This Row],[_Row]]))</f>
        <v/>
      </c>
      <c r="I137" s="67" t="str">
        <f aca="false">IF(IFERROR(INDEX(tsk_Name,GanttView[[#This Row],[_Row]])="",TRUE()),"",INDEX(tsk_Progress,GanttView[[#This Row],[_Row]]))</f>
        <v/>
      </c>
      <c r="J137" s="65" t="str">
        <f aca="false">IF(IFERROR(INDEX(tsk_Name,GanttView[[#This Row],[_Row]])="",TRUE()),"",INDEX(tsk_Resource,GanttView[[#This Row],[_Row]])&amp;"")</f>
        <v/>
      </c>
      <c r="K137" s="64" t="str">
        <f aca="false">IF(IFERROR(INDEX(tsk_Name,GanttView[[#This Row],[_Row]])="",TRUE()),"",INDEX(tsk_Status,GanttView[[#This Row],[_Row]]))</f>
        <v/>
      </c>
      <c r="L137" s="68" t="n">
        <f aca="false">ROW()-ROW(GanttView[[#Headers],[ID]])</f>
        <v>132</v>
      </c>
      <c r="M137" s="69" t="b">
        <f aca="false">IF(IFERROR(INDEX(tsk_Name,GanttView[[#This Row],[_Row]])="",TRUE()),FALSE(),INDEX(tsk_IsSummary,GanttView[[#This Row],[_Row]]))</f>
        <v>0</v>
      </c>
      <c r="N137" s="69" t="b">
        <f aca="false">IF(IFERROR(INDEX(tsk_Name,GanttView[[#This Row],[_Row]])="",TRUE()),FALSE(),AND(INDEX(tsk_IsLeaf,GanttView[[#This Row],[_Row]])=1,N(INDEX(tsk_Duration,GanttView[[#This Row],[_Row]]))=0))</f>
        <v>0</v>
      </c>
      <c r="O13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70" t="n">
        <f aca="false">IF(GanttView[[#This Row],[_RemFrom]]=0,0,GanttView[[#This Row],[Forecast Finish]])</f>
        <v>0</v>
      </c>
      <c r="S137" s="69" t="b">
        <f aca="false">IF(IFERROR(INDEX(tsk_Name,GanttView[[#This Row],[_Row]])="",TRUE()),FALSE(),N(INDEX(tsk_Variance,GanttView[[#This Row],[_Row]]))&gt;0)</f>
        <v>0</v>
      </c>
      <c r="T137" s="70" t="n">
        <f aca="false">IF(IFERROR(INDEX(tsk_Name,GanttView[[#This Row],[_Row]])="",TRUE()),0,N(INDEX(tsk_Deadline,GanttView[[#This Row],[_Row]])))</f>
        <v>0</v>
      </c>
      <c r="U137" s="69" t="b">
        <f aca="false">IF(IFERROR(INDEX(tsk_Name,GanttView[[#This Row],[_Row]])="",TRUE()),FALSE(),INDEX(tsk_Critical,GanttView[[#This Row],[_Row]])="Yes")</f>
        <v>0</v>
      </c>
    </row>
    <row r="138" customFormat="false" ht="15" hidden="false" customHeight="false" outlineLevel="0" collapsed="false">
      <c r="A138" s="64" t="str">
        <f aca="false">IF(IFERROR(INDEX(tsk_Name,GanttView[[#This Row],[_Row]])="",TRUE()),"",INDEX(tsk_ID,GanttView[[#This Row],[_Row]]))</f>
        <v/>
      </c>
      <c r="B138" s="64" t="str">
        <f aca="false">IF(IFERROR(INDEX(tsk_Name,GanttView[[#This Row],[_Row]])="",TRUE()),"",INDEX(tsk_WBS,GanttView[[#This Row],[_Row]]))</f>
        <v/>
      </c>
      <c r="C138" s="65" t="str">
        <f aca="false">IF(IFERROR(INDEX(tsk_Name,GanttView[[#This Row],[_Row]])="",TRUE()),"",REPT("    ",INDEX(tsk_Level,GanttView[[#This Row],[_Row]])-1)&amp;INDEX(tsk_Name,GanttView[[#This Row],[_Row]]))</f>
        <v/>
      </c>
      <c r="D13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6" t="str">
        <f aca="false">IF(IFERROR(INDEX(tsk_Name,GanttView[[#This Row],[_Row]])="",TRUE()),"",INDEX(tsk_PlanStart,GanttView[[#This Row],[_Row]]))</f>
        <v/>
      </c>
      <c r="F138" s="66" t="str">
        <f aca="false">IF(IFERROR(INDEX(tsk_Name,GanttView[[#This Row],[_Row]])="",TRUE()),"",INDEX(tsk_PlanFinish,GanttView[[#This Row],[_Row]]))</f>
        <v/>
      </c>
      <c r="G138" s="66" t="str">
        <f aca="false">IF(IFERROR(INDEX(tsk_Name,GanttView[[#This Row],[_Row]])="",TRUE()),"",INDEX(tsk_FcStart,GanttView[[#This Row],[_Row]]))</f>
        <v/>
      </c>
      <c r="H138" s="66" t="str">
        <f aca="false">IF(IFERROR(INDEX(tsk_Name,GanttView[[#This Row],[_Row]])="",TRUE()),"",INDEX(tsk_FcFinish,GanttView[[#This Row],[_Row]]))</f>
        <v/>
      </c>
      <c r="I138" s="67" t="str">
        <f aca="false">IF(IFERROR(INDEX(tsk_Name,GanttView[[#This Row],[_Row]])="",TRUE()),"",INDEX(tsk_Progress,GanttView[[#This Row],[_Row]]))</f>
        <v/>
      </c>
      <c r="J138" s="65" t="str">
        <f aca="false">IF(IFERROR(INDEX(tsk_Name,GanttView[[#This Row],[_Row]])="",TRUE()),"",INDEX(tsk_Resource,GanttView[[#This Row],[_Row]])&amp;"")</f>
        <v/>
      </c>
      <c r="K138" s="64" t="str">
        <f aca="false">IF(IFERROR(INDEX(tsk_Name,GanttView[[#This Row],[_Row]])="",TRUE()),"",INDEX(tsk_Status,GanttView[[#This Row],[_Row]]))</f>
        <v/>
      </c>
      <c r="L138" s="68" t="n">
        <f aca="false">ROW()-ROW(GanttView[[#Headers],[ID]])</f>
        <v>133</v>
      </c>
      <c r="M138" s="69" t="b">
        <f aca="false">IF(IFERROR(INDEX(tsk_Name,GanttView[[#This Row],[_Row]])="",TRUE()),FALSE(),INDEX(tsk_IsSummary,GanttView[[#This Row],[_Row]]))</f>
        <v>0</v>
      </c>
      <c r="N138" s="69" t="b">
        <f aca="false">IF(IFERROR(INDEX(tsk_Name,GanttView[[#This Row],[_Row]])="",TRUE()),FALSE(),AND(INDEX(tsk_IsLeaf,GanttView[[#This Row],[_Row]])=1,N(INDEX(tsk_Duration,GanttView[[#This Row],[_Row]]))=0))</f>
        <v>0</v>
      </c>
      <c r="O13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70" t="n">
        <f aca="false">IF(GanttView[[#This Row],[_RemFrom]]=0,0,GanttView[[#This Row],[Forecast Finish]])</f>
        <v>0</v>
      </c>
      <c r="S138" s="69" t="b">
        <f aca="false">IF(IFERROR(INDEX(tsk_Name,GanttView[[#This Row],[_Row]])="",TRUE()),FALSE(),N(INDEX(tsk_Variance,GanttView[[#This Row],[_Row]]))&gt;0)</f>
        <v>0</v>
      </c>
      <c r="T138" s="70" t="n">
        <f aca="false">IF(IFERROR(INDEX(tsk_Name,GanttView[[#This Row],[_Row]])="",TRUE()),0,N(INDEX(tsk_Deadline,GanttView[[#This Row],[_Row]])))</f>
        <v>0</v>
      </c>
      <c r="U138" s="69" t="b">
        <f aca="false">IF(IFERROR(INDEX(tsk_Name,GanttView[[#This Row],[_Row]])="",TRUE()),FALSE(),INDEX(tsk_Critical,GanttView[[#This Row],[_Row]])="Yes")</f>
        <v>0</v>
      </c>
    </row>
    <row r="139" customFormat="false" ht="15" hidden="false" customHeight="false" outlineLevel="0" collapsed="false">
      <c r="A139" s="64" t="str">
        <f aca="false">IF(IFERROR(INDEX(tsk_Name,GanttView[[#This Row],[_Row]])="",TRUE()),"",INDEX(tsk_ID,GanttView[[#This Row],[_Row]]))</f>
        <v/>
      </c>
      <c r="B139" s="64" t="str">
        <f aca="false">IF(IFERROR(INDEX(tsk_Name,GanttView[[#This Row],[_Row]])="",TRUE()),"",INDEX(tsk_WBS,GanttView[[#This Row],[_Row]]))</f>
        <v/>
      </c>
      <c r="C139" s="65" t="str">
        <f aca="false">IF(IFERROR(INDEX(tsk_Name,GanttView[[#This Row],[_Row]])="",TRUE()),"",REPT("    ",INDEX(tsk_Level,GanttView[[#This Row],[_Row]])-1)&amp;INDEX(tsk_Name,GanttView[[#This Row],[_Row]]))</f>
        <v/>
      </c>
      <c r="D13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6" t="str">
        <f aca="false">IF(IFERROR(INDEX(tsk_Name,GanttView[[#This Row],[_Row]])="",TRUE()),"",INDEX(tsk_PlanStart,GanttView[[#This Row],[_Row]]))</f>
        <v/>
      </c>
      <c r="F139" s="66" t="str">
        <f aca="false">IF(IFERROR(INDEX(tsk_Name,GanttView[[#This Row],[_Row]])="",TRUE()),"",INDEX(tsk_PlanFinish,GanttView[[#This Row],[_Row]]))</f>
        <v/>
      </c>
      <c r="G139" s="66" t="str">
        <f aca="false">IF(IFERROR(INDEX(tsk_Name,GanttView[[#This Row],[_Row]])="",TRUE()),"",INDEX(tsk_FcStart,GanttView[[#This Row],[_Row]]))</f>
        <v/>
      </c>
      <c r="H139" s="66" t="str">
        <f aca="false">IF(IFERROR(INDEX(tsk_Name,GanttView[[#This Row],[_Row]])="",TRUE()),"",INDEX(tsk_FcFinish,GanttView[[#This Row],[_Row]]))</f>
        <v/>
      </c>
      <c r="I139" s="67" t="str">
        <f aca="false">IF(IFERROR(INDEX(tsk_Name,GanttView[[#This Row],[_Row]])="",TRUE()),"",INDEX(tsk_Progress,GanttView[[#This Row],[_Row]]))</f>
        <v/>
      </c>
      <c r="J139" s="65" t="str">
        <f aca="false">IF(IFERROR(INDEX(tsk_Name,GanttView[[#This Row],[_Row]])="",TRUE()),"",INDEX(tsk_Resource,GanttView[[#This Row],[_Row]])&amp;"")</f>
        <v/>
      </c>
      <c r="K139" s="64" t="str">
        <f aca="false">IF(IFERROR(INDEX(tsk_Name,GanttView[[#This Row],[_Row]])="",TRUE()),"",INDEX(tsk_Status,GanttView[[#This Row],[_Row]]))</f>
        <v/>
      </c>
      <c r="L139" s="68" t="n">
        <f aca="false">ROW()-ROW(GanttView[[#Headers],[ID]])</f>
        <v>134</v>
      </c>
      <c r="M139" s="69" t="b">
        <f aca="false">IF(IFERROR(INDEX(tsk_Name,GanttView[[#This Row],[_Row]])="",TRUE()),FALSE(),INDEX(tsk_IsSummary,GanttView[[#This Row],[_Row]]))</f>
        <v>0</v>
      </c>
      <c r="N139" s="69" t="b">
        <f aca="false">IF(IFERROR(INDEX(tsk_Name,GanttView[[#This Row],[_Row]])="",TRUE()),FALSE(),AND(INDEX(tsk_IsLeaf,GanttView[[#This Row],[_Row]])=1,N(INDEX(tsk_Duration,GanttView[[#This Row],[_Row]]))=0))</f>
        <v>0</v>
      </c>
      <c r="O13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70" t="n">
        <f aca="false">IF(GanttView[[#This Row],[_RemFrom]]=0,0,GanttView[[#This Row],[Forecast Finish]])</f>
        <v>0</v>
      </c>
      <c r="S139" s="69" t="b">
        <f aca="false">IF(IFERROR(INDEX(tsk_Name,GanttView[[#This Row],[_Row]])="",TRUE()),FALSE(),N(INDEX(tsk_Variance,GanttView[[#This Row],[_Row]]))&gt;0)</f>
        <v>0</v>
      </c>
      <c r="T139" s="70" t="n">
        <f aca="false">IF(IFERROR(INDEX(tsk_Name,GanttView[[#This Row],[_Row]])="",TRUE()),0,N(INDEX(tsk_Deadline,GanttView[[#This Row],[_Row]])))</f>
        <v>0</v>
      </c>
      <c r="U139" s="69" t="b">
        <f aca="false">IF(IFERROR(INDEX(tsk_Name,GanttView[[#This Row],[_Row]])="",TRUE()),FALSE(),INDEX(tsk_Critical,GanttView[[#This Row],[_Row]])="Yes")</f>
        <v>0</v>
      </c>
    </row>
    <row r="140" customFormat="false" ht="15" hidden="false" customHeight="false" outlineLevel="0" collapsed="false">
      <c r="A140" s="64" t="str">
        <f aca="false">IF(IFERROR(INDEX(tsk_Name,GanttView[[#This Row],[_Row]])="",TRUE()),"",INDEX(tsk_ID,GanttView[[#This Row],[_Row]]))</f>
        <v/>
      </c>
      <c r="B140" s="64" t="str">
        <f aca="false">IF(IFERROR(INDEX(tsk_Name,GanttView[[#This Row],[_Row]])="",TRUE()),"",INDEX(tsk_WBS,GanttView[[#This Row],[_Row]]))</f>
        <v/>
      </c>
      <c r="C140" s="65" t="str">
        <f aca="false">IF(IFERROR(INDEX(tsk_Name,GanttView[[#This Row],[_Row]])="",TRUE()),"",REPT("    ",INDEX(tsk_Level,GanttView[[#This Row],[_Row]])-1)&amp;INDEX(tsk_Name,GanttView[[#This Row],[_Row]]))</f>
        <v/>
      </c>
      <c r="D14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6" t="str">
        <f aca="false">IF(IFERROR(INDEX(tsk_Name,GanttView[[#This Row],[_Row]])="",TRUE()),"",INDEX(tsk_PlanStart,GanttView[[#This Row],[_Row]]))</f>
        <v/>
      </c>
      <c r="F140" s="66" t="str">
        <f aca="false">IF(IFERROR(INDEX(tsk_Name,GanttView[[#This Row],[_Row]])="",TRUE()),"",INDEX(tsk_PlanFinish,GanttView[[#This Row],[_Row]]))</f>
        <v/>
      </c>
      <c r="G140" s="66" t="str">
        <f aca="false">IF(IFERROR(INDEX(tsk_Name,GanttView[[#This Row],[_Row]])="",TRUE()),"",INDEX(tsk_FcStart,GanttView[[#This Row],[_Row]]))</f>
        <v/>
      </c>
      <c r="H140" s="66" t="str">
        <f aca="false">IF(IFERROR(INDEX(tsk_Name,GanttView[[#This Row],[_Row]])="",TRUE()),"",INDEX(tsk_FcFinish,GanttView[[#This Row],[_Row]]))</f>
        <v/>
      </c>
      <c r="I140" s="67" t="str">
        <f aca="false">IF(IFERROR(INDEX(tsk_Name,GanttView[[#This Row],[_Row]])="",TRUE()),"",INDEX(tsk_Progress,GanttView[[#This Row],[_Row]]))</f>
        <v/>
      </c>
      <c r="J140" s="65" t="str">
        <f aca="false">IF(IFERROR(INDEX(tsk_Name,GanttView[[#This Row],[_Row]])="",TRUE()),"",INDEX(tsk_Resource,GanttView[[#This Row],[_Row]])&amp;"")</f>
        <v/>
      </c>
      <c r="K140" s="64" t="str">
        <f aca="false">IF(IFERROR(INDEX(tsk_Name,GanttView[[#This Row],[_Row]])="",TRUE()),"",INDEX(tsk_Status,GanttView[[#This Row],[_Row]]))</f>
        <v/>
      </c>
      <c r="L140" s="68" t="n">
        <f aca="false">ROW()-ROW(GanttView[[#Headers],[ID]])</f>
        <v>135</v>
      </c>
      <c r="M140" s="69" t="b">
        <f aca="false">IF(IFERROR(INDEX(tsk_Name,GanttView[[#This Row],[_Row]])="",TRUE()),FALSE(),INDEX(tsk_IsSummary,GanttView[[#This Row],[_Row]]))</f>
        <v>0</v>
      </c>
      <c r="N140" s="69" t="b">
        <f aca="false">IF(IFERROR(INDEX(tsk_Name,GanttView[[#This Row],[_Row]])="",TRUE()),FALSE(),AND(INDEX(tsk_IsLeaf,GanttView[[#This Row],[_Row]])=1,N(INDEX(tsk_Duration,GanttView[[#This Row],[_Row]]))=0))</f>
        <v>0</v>
      </c>
      <c r="O14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70" t="n">
        <f aca="false">IF(GanttView[[#This Row],[_RemFrom]]=0,0,GanttView[[#This Row],[Forecast Finish]])</f>
        <v>0</v>
      </c>
      <c r="S140" s="69" t="b">
        <f aca="false">IF(IFERROR(INDEX(tsk_Name,GanttView[[#This Row],[_Row]])="",TRUE()),FALSE(),N(INDEX(tsk_Variance,GanttView[[#This Row],[_Row]]))&gt;0)</f>
        <v>0</v>
      </c>
      <c r="T140" s="70" t="n">
        <f aca="false">IF(IFERROR(INDEX(tsk_Name,GanttView[[#This Row],[_Row]])="",TRUE()),0,N(INDEX(tsk_Deadline,GanttView[[#This Row],[_Row]])))</f>
        <v>0</v>
      </c>
      <c r="U140" s="69" t="b">
        <f aca="false">IF(IFERROR(INDEX(tsk_Name,GanttView[[#This Row],[_Row]])="",TRUE()),FALSE(),INDEX(tsk_Critical,GanttView[[#This Row],[_Row]])="Yes")</f>
        <v>0</v>
      </c>
    </row>
    <row r="141" customFormat="false" ht="15" hidden="false" customHeight="false" outlineLevel="0" collapsed="false">
      <c r="A141" s="64" t="str">
        <f aca="false">IF(IFERROR(INDEX(tsk_Name,GanttView[[#This Row],[_Row]])="",TRUE()),"",INDEX(tsk_ID,GanttView[[#This Row],[_Row]]))</f>
        <v/>
      </c>
      <c r="B141" s="64" t="str">
        <f aca="false">IF(IFERROR(INDEX(tsk_Name,GanttView[[#This Row],[_Row]])="",TRUE()),"",INDEX(tsk_WBS,GanttView[[#This Row],[_Row]]))</f>
        <v/>
      </c>
      <c r="C141" s="65" t="str">
        <f aca="false">IF(IFERROR(INDEX(tsk_Name,GanttView[[#This Row],[_Row]])="",TRUE()),"",REPT("    ",INDEX(tsk_Level,GanttView[[#This Row],[_Row]])-1)&amp;INDEX(tsk_Name,GanttView[[#This Row],[_Row]]))</f>
        <v/>
      </c>
      <c r="D14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6" t="str">
        <f aca="false">IF(IFERROR(INDEX(tsk_Name,GanttView[[#This Row],[_Row]])="",TRUE()),"",INDEX(tsk_PlanStart,GanttView[[#This Row],[_Row]]))</f>
        <v/>
      </c>
      <c r="F141" s="66" t="str">
        <f aca="false">IF(IFERROR(INDEX(tsk_Name,GanttView[[#This Row],[_Row]])="",TRUE()),"",INDEX(tsk_PlanFinish,GanttView[[#This Row],[_Row]]))</f>
        <v/>
      </c>
      <c r="G141" s="66" t="str">
        <f aca="false">IF(IFERROR(INDEX(tsk_Name,GanttView[[#This Row],[_Row]])="",TRUE()),"",INDEX(tsk_FcStart,GanttView[[#This Row],[_Row]]))</f>
        <v/>
      </c>
      <c r="H141" s="66" t="str">
        <f aca="false">IF(IFERROR(INDEX(tsk_Name,GanttView[[#This Row],[_Row]])="",TRUE()),"",INDEX(tsk_FcFinish,GanttView[[#This Row],[_Row]]))</f>
        <v/>
      </c>
      <c r="I141" s="67" t="str">
        <f aca="false">IF(IFERROR(INDEX(tsk_Name,GanttView[[#This Row],[_Row]])="",TRUE()),"",INDEX(tsk_Progress,GanttView[[#This Row],[_Row]]))</f>
        <v/>
      </c>
      <c r="J141" s="65" t="str">
        <f aca="false">IF(IFERROR(INDEX(tsk_Name,GanttView[[#This Row],[_Row]])="",TRUE()),"",INDEX(tsk_Resource,GanttView[[#This Row],[_Row]])&amp;"")</f>
        <v/>
      </c>
      <c r="K141" s="64" t="str">
        <f aca="false">IF(IFERROR(INDEX(tsk_Name,GanttView[[#This Row],[_Row]])="",TRUE()),"",INDEX(tsk_Status,GanttView[[#This Row],[_Row]]))</f>
        <v/>
      </c>
      <c r="L141" s="68" t="n">
        <f aca="false">ROW()-ROW(GanttView[[#Headers],[ID]])</f>
        <v>136</v>
      </c>
      <c r="M141" s="69" t="b">
        <f aca="false">IF(IFERROR(INDEX(tsk_Name,GanttView[[#This Row],[_Row]])="",TRUE()),FALSE(),INDEX(tsk_IsSummary,GanttView[[#This Row],[_Row]]))</f>
        <v>0</v>
      </c>
      <c r="N141" s="69" t="b">
        <f aca="false">IF(IFERROR(INDEX(tsk_Name,GanttView[[#This Row],[_Row]])="",TRUE()),FALSE(),AND(INDEX(tsk_IsLeaf,GanttView[[#This Row],[_Row]])=1,N(INDEX(tsk_Duration,GanttView[[#This Row],[_Row]]))=0))</f>
        <v>0</v>
      </c>
      <c r="O14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70" t="n">
        <f aca="false">IF(GanttView[[#This Row],[_RemFrom]]=0,0,GanttView[[#This Row],[Forecast Finish]])</f>
        <v>0</v>
      </c>
      <c r="S141" s="69" t="b">
        <f aca="false">IF(IFERROR(INDEX(tsk_Name,GanttView[[#This Row],[_Row]])="",TRUE()),FALSE(),N(INDEX(tsk_Variance,GanttView[[#This Row],[_Row]]))&gt;0)</f>
        <v>0</v>
      </c>
      <c r="T141" s="70" t="n">
        <f aca="false">IF(IFERROR(INDEX(tsk_Name,GanttView[[#This Row],[_Row]])="",TRUE()),0,N(INDEX(tsk_Deadline,GanttView[[#This Row],[_Row]])))</f>
        <v>0</v>
      </c>
      <c r="U141" s="69" t="b">
        <f aca="false">IF(IFERROR(INDEX(tsk_Name,GanttView[[#This Row],[_Row]])="",TRUE()),FALSE(),INDEX(tsk_Critical,GanttView[[#This Row],[_Row]])="Yes")</f>
        <v>0</v>
      </c>
    </row>
    <row r="142" customFormat="false" ht="15" hidden="false" customHeight="false" outlineLevel="0" collapsed="false">
      <c r="A142" s="64" t="str">
        <f aca="false">IF(IFERROR(INDEX(tsk_Name,GanttView[[#This Row],[_Row]])="",TRUE()),"",INDEX(tsk_ID,GanttView[[#This Row],[_Row]]))</f>
        <v/>
      </c>
      <c r="B142" s="64" t="str">
        <f aca="false">IF(IFERROR(INDEX(tsk_Name,GanttView[[#This Row],[_Row]])="",TRUE()),"",INDEX(tsk_WBS,GanttView[[#This Row],[_Row]]))</f>
        <v/>
      </c>
      <c r="C142" s="65" t="str">
        <f aca="false">IF(IFERROR(INDEX(tsk_Name,GanttView[[#This Row],[_Row]])="",TRUE()),"",REPT("    ",INDEX(tsk_Level,GanttView[[#This Row],[_Row]])-1)&amp;INDEX(tsk_Name,GanttView[[#This Row],[_Row]]))</f>
        <v/>
      </c>
      <c r="D14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6" t="str">
        <f aca="false">IF(IFERROR(INDEX(tsk_Name,GanttView[[#This Row],[_Row]])="",TRUE()),"",INDEX(tsk_PlanStart,GanttView[[#This Row],[_Row]]))</f>
        <v/>
      </c>
      <c r="F142" s="66" t="str">
        <f aca="false">IF(IFERROR(INDEX(tsk_Name,GanttView[[#This Row],[_Row]])="",TRUE()),"",INDEX(tsk_PlanFinish,GanttView[[#This Row],[_Row]]))</f>
        <v/>
      </c>
      <c r="G142" s="66" t="str">
        <f aca="false">IF(IFERROR(INDEX(tsk_Name,GanttView[[#This Row],[_Row]])="",TRUE()),"",INDEX(tsk_FcStart,GanttView[[#This Row],[_Row]]))</f>
        <v/>
      </c>
      <c r="H142" s="66" t="str">
        <f aca="false">IF(IFERROR(INDEX(tsk_Name,GanttView[[#This Row],[_Row]])="",TRUE()),"",INDEX(tsk_FcFinish,GanttView[[#This Row],[_Row]]))</f>
        <v/>
      </c>
      <c r="I142" s="67" t="str">
        <f aca="false">IF(IFERROR(INDEX(tsk_Name,GanttView[[#This Row],[_Row]])="",TRUE()),"",INDEX(tsk_Progress,GanttView[[#This Row],[_Row]]))</f>
        <v/>
      </c>
      <c r="J142" s="65" t="str">
        <f aca="false">IF(IFERROR(INDEX(tsk_Name,GanttView[[#This Row],[_Row]])="",TRUE()),"",INDEX(tsk_Resource,GanttView[[#This Row],[_Row]])&amp;"")</f>
        <v/>
      </c>
      <c r="K142" s="64" t="str">
        <f aca="false">IF(IFERROR(INDEX(tsk_Name,GanttView[[#This Row],[_Row]])="",TRUE()),"",INDEX(tsk_Status,GanttView[[#This Row],[_Row]]))</f>
        <v/>
      </c>
      <c r="L142" s="68" t="n">
        <f aca="false">ROW()-ROW(GanttView[[#Headers],[ID]])</f>
        <v>137</v>
      </c>
      <c r="M142" s="69" t="b">
        <f aca="false">IF(IFERROR(INDEX(tsk_Name,GanttView[[#This Row],[_Row]])="",TRUE()),FALSE(),INDEX(tsk_IsSummary,GanttView[[#This Row],[_Row]]))</f>
        <v>0</v>
      </c>
      <c r="N142" s="69" t="b">
        <f aca="false">IF(IFERROR(INDEX(tsk_Name,GanttView[[#This Row],[_Row]])="",TRUE()),FALSE(),AND(INDEX(tsk_IsLeaf,GanttView[[#This Row],[_Row]])=1,N(INDEX(tsk_Duration,GanttView[[#This Row],[_Row]]))=0))</f>
        <v>0</v>
      </c>
      <c r="O14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70" t="n">
        <f aca="false">IF(GanttView[[#This Row],[_RemFrom]]=0,0,GanttView[[#This Row],[Forecast Finish]])</f>
        <v>0</v>
      </c>
      <c r="S142" s="69" t="b">
        <f aca="false">IF(IFERROR(INDEX(tsk_Name,GanttView[[#This Row],[_Row]])="",TRUE()),FALSE(),N(INDEX(tsk_Variance,GanttView[[#This Row],[_Row]]))&gt;0)</f>
        <v>0</v>
      </c>
      <c r="T142" s="70" t="n">
        <f aca="false">IF(IFERROR(INDEX(tsk_Name,GanttView[[#This Row],[_Row]])="",TRUE()),0,N(INDEX(tsk_Deadline,GanttView[[#This Row],[_Row]])))</f>
        <v>0</v>
      </c>
      <c r="U142" s="69" t="b">
        <f aca="false">IF(IFERROR(INDEX(tsk_Name,GanttView[[#This Row],[_Row]])="",TRUE()),FALSE(),INDEX(tsk_Critical,GanttView[[#This Row],[_Row]])="Yes")</f>
        <v>0</v>
      </c>
    </row>
    <row r="143" customFormat="false" ht="15" hidden="false" customHeight="false" outlineLevel="0" collapsed="false">
      <c r="A143" s="64" t="str">
        <f aca="false">IF(IFERROR(INDEX(tsk_Name,GanttView[[#This Row],[_Row]])="",TRUE()),"",INDEX(tsk_ID,GanttView[[#This Row],[_Row]]))</f>
        <v/>
      </c>
      <c r="B143" s="64" t="str">
        <f aca="false">IF(IFERROR(INDEX(tsk_Name,GanttView[[#This Row],[_Row]])="",TRUE()),"",INDEX(tsk_WBS,GanttView[[#This Row],[_Row]]))</f>
        <v/>
      </c>
      <c r="C143" s="65" t="str">
        <f aca="false">IF(IFERROR(INDEX(tsk_Name,GanttView[[#This Row],[_Row]])="",TRUE()),"",REPT("    ",INDEX(tsk_Level,GanttView[[#This Row],[_Row]])-1)&amp;INDEX(tsk_Name,GanttView[[#This Row],[_Row]]))</f>
        <v/>
      </c>
      <c r="D14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6" t="str">
        <f aca="false">IF(IFERROR(INDEX(tsk_Name,GanttView[[#This Row],[_Row]])="",TRUE()),"",INDEX(tsk_PlanStart,GanttView[[#This Row],[_Row]]))</f>
        <v/>
      </c>
      <c r="F143" s="66" t="str">
        <f aca="false">IF(IFERROR(INDEX(tsk_Name,GanttView[[#This Row],[_Row]])="",TRUE()),"",INDEX(tsk_PlanFinish,GanttView[[#This Row],[_Row]]))</f>
        <v/>
      </c>
      <c r="G143" s="66" t="str">
        <f aca="false">IF(IFERROR(INDEX(tsk_Name,GanttView[[#This Row],[_Row]])="",TRUE()),"",INDEX(tsk_FcStart,GanttView[[#This Row],[_Row]]))</f>
        <v/>
      </c>
      <c r="H143" s="66" t="str">
        <f aca="false">IF(IFERROR(INDEX(tsk_Name,GanttView[[#This Row],[_Row]])="",TRUE()),"",INDEX(tsk_FcFinish,GanttView[[#This Row],[_Row]]))</f>
        <v/>
      </c>
      <c r="I143" s="67" t="str">
        <f aca="false">IF(IFERROR(INDEX(tsk_Name,GanttView[[#This Row],[_Row]])="",TRUE()),"",INDEX(tsk_Progress,GanttView[[#This Row],[_Row]]))</f>
        <v/>
      </c>
      <c r="J143" s="65" t="str">
        <f aca="false">IF(IFERROR(INDEX(tsk_Name,GanttView[[#This Row],[_Row]])="",TRUE()),"",INDEX(tsk_Resource,GanttView[[#This Row],[_Row]])&amp;"")</f>
        <v/>
      </c>
      <c r="K143" s="64" t="str">
        <f aca="false">IF(IFERROR(INDEX(tsk_Name,GanttView[[#This Row],[_Row]])="",TRUE()),"",INDEX(tsk_Status,GanttView[[#This Row],[_Row]]))</f>
        <v/>
      </c>
      <c r="L143" s="68" t="n">
        <f aca="false">ROW()-ROW(GanttView[[#Headers],[ID]])</f>
        <v>138</v>
      </c>
      <c r="M143" s="69" t="b">
        <f aca="false">IF(IFERROR(INDEX(tsk_Name,GanttView[[#This Row],[_Row]])="",TRUE()),FALSE(),INDEX(tsk_IsSummary,GanttView[[#This Row],[_Row]]))</f>
        <v>0</v>
      </c>
      <c r="N143" s="69" t="b">
        <f aca="false">IF(IFERROR(INDEX(tsk_Name,GanttView[[#This Row],[_Row]])="",TRUE()),FALSE(),AND(INDEX(tsk_IsLeaf,GanttView[[#This Row],[_Row]])=1,N(INDEX(tsk_Duration,GanttView[[#This Row],[_Row]]))=0))</f>
        <v>0</v>
      </c>
      <c r="O14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70" t="n">
        <f aca="false">IF(GanttView[[#This Row],[_RemFrom]]=0,0,GanttView[[#This Row],[Forecast Finish]])</f>
        <v>0</v>
      </c>
      <c r="S143" s="69" t="b">
        <f aca="false">IF(IFERROR(INDEX(tsk_Name,GanttView[[#This Row],[_Row]])="",TRUE()),FALSE(),N(INDEX(tsk_Variance,GanttView[[#This Row],[_Row]]))&gt;0)</f>
        <v>0</v>
      </c>
      <c r="T143" s="70" t="n">
        <f aca="false">IF(IFERROR(INDEX(tsk_Name,GanttView[[#This Row],[_Row]])="",TRUE()),0,N(INDEX(tsk_Deadline,GanttView[[#This Row],[_Row]])))</f>
        <v>0</v>
      </c>
      <c r="U143" s="69" t="b">
        <f aca="false">IF(IFERROR(INDEX(tsk_Name,GanttView[[#This Row],[_Row]])="",TRUE()),FALSE(),INDEX(tsk_Critical,GanttView[[#This Row],[_Row]])="Yes")</f>
        <v>0</v>
      </c>
    </row>
    <row r="144" customFormat="false" ht="15" hidden="false" customHeight="false" outlineLevel="0" collapsed="false">
      <c r="A144" s="64" t="str">
        <f aca="false">IF(IFERROR(INDEX(tsk_Name,GanttView[[#This Row],[_Row]])="",TRUE()),"",INDEX(tsk_ID,GanttView[[#This Row],[_Row]]))</f>
        <v/>
      </c>
      <c r="B144" s="64" t="str">
        <f aca="false">IF(IFERROR(INDEX(tsk_Name,GanttView[[#This Row],[_Row]])="",TRUE()),"",INDEX(tsk_WBS,GanttView[[#This Row],[_Row]]))</f>
        <v/>
      </c>
      <c r="C144" s="65" t="str">
        <f aca="false">IF(IFERROR(INDEX(tsk_Name,GanttView[[#This Row],[_Row]])="",TRUE()),"",REPT("    ",INDEX(tsk_Level,GanttView[[#This Row],[_Row]])-1)&amp;INDEX(tsk_Name,GanttView[[#This Row],[_Row]]))</f>
        <v/>
      </c>
      <c r="D14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6" t="str">
        <f aca="false">IF(IFERROR(INDEX(tsk_Name,GanttView[[#This Row],[_Row]])="",TRUE()),"",INDEX(tsk_PlanStart,GanttView[[#This Row],[_Row]]))</f>
        <v/>
      </c>
      <c r="F144" s="66" t="str">
        <f aca="false">IF(IFERROR(INDEX(tsk_Name,GanttView[[#This Row],[_Row]])="",TRUE()),"",INDEX(tsk_PlanFinish,GanttView[[#This Row],[_Row]]))</f>
        <v/>
      </c>
      <c r="G144" s="66" t="str">
        <f aca="false">IF(IFERROR(INDEX(tsk_Name,GanttView[[#This Row],[_Row]])="",TRUE()),"",INDEX(tsk_FcStart,GanttView[[#This Row],[_Row]]))</f>
        <v/>
      </c>
      <c r="H144" s="66" t="str">
        <f aca="false">IF(IFERROR(INDEX(tsk_Name,GanttView[[#This Row],[_Row]])="",TRUE()),"",INDEX(tsk_FcFinish,GanttView[[#This Row],[_Row]]))</f>
        <v/>
      </c>
      <c r="I144" s="67" t="str">
        <f aca="false">IF(IFERROR(INDEX(tsk_Name,GanttView[[#This Row],[_Row]])="",TRUE()),"",INDEX(tsk_Progress,GanttView[[#This Row],[_Row]]))</f>
        <v/>
      </c>
      <c r="J144" s="65" t="str">
        <f aca="false">IF(IFERROR(INDEX(tsk_Name,GanttView[[#This Row],[_Row]])="",TRUE()),"",INDEX(tsk_Resource,GanttView[[#This Row],[_Row]])&amp;"")</f>
        <v/>
      </c>
      <c r="K144" s="64" t="str">
        <f aca="false">IF(IFERROR(INDEX(tsk_Name,GanttView[[#This Row],[_Row]])="",TRUE()),"",INDEX(tsk_Status,GanttView[[#This Row],[_Row]]))</f>
        <v/>
      </c>
      <c r="L144" s="68" t="n">
        <f aca="false">ROW()-ROW(GanttView[[#Headers],[ID]])</f>
        <v>139</v>
      </c>
      <c r="M144" s="69" t="b">
        <f aca="false">IF(IFERROR(INDEX(tsk_Name,GanttView[[#This Row],[_Row]])="",TRUE()),FALSE(),INDEX(tsk_IsSummary,GanttView[[#This Row],[_Row]]))</f>
        <v>0</v>
      </c>
      <c r="N144" s="69" t="b">
        <f aca="false">IF(IFERROR(INDEX(tsk_Name,GanttView[[#This Row],[_Row]])="",TRUE()),FALSE(),AND(INDEX(tsk_IsLeaf,GanttView[[#This Row],[_Row]])=1,N(INDEX(tsk_Duration,GanttView[[#This Row],[_Row]]))=0))</f>
        <v>0</v>
      </c>
      <c r="O14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70" t="n">
        <f aca="false">IF(GanttView[[#This Row],[_RemFrom]]=0,0,GanttView[[#This Row],[Forecast Finish]])</f>
        <v>0</v>
      </c>
      <c r="S144" s="69" t="b">
        <f aca="false">IF(IFERROR(INDEX(tsk_Name,GanttView[[#This Row],[_Row]])="",TRUE()),FALSE(),N(INDEX(tsk_Variance,GanttView[[#This Row],[_Row]]))&gt;0)</f>
        <v>0</v>
      </c>
      <c r="T144" s="70" t="n">
        <f aca="false">IF(IFERROR(INDEX(tsk_Name,GanttView[[#This Row],[_Row]])="",TRUE()),0,N(INDEX(tsk_Deadline,GanttView[[#This Row],[_Row]])))</f>
        <v>0</v>
      </c>
      <c r="U144" s="69" t="b">
        <f aca="false">IF(IFERROR(INDEX(tsk_Name,GanttView[[#This Row],[_Row]])="",TRUE()),FALSE(),INDEX(tsk_Critical,GanttView[[#This Row],[_Row]])="Yes")</f>
        <v>0</v>
      </c>
    </row>
    <row r="145" customFormat="false" ht="15" hidden="false" customHeight="false" outlineLevel="0" collapsed="false">
      <c r="A145" s="64" t="str">
        <f aca="false">IF(IFERROR(INDEX(tsk_Name,GanttView[[#This Row],[_Row]])="",TRUE()),"",INDEX(tsk_ID,GanttView[[#This Row],[_Row]]))</f>
        <v/>
      </c>
      <c r="B145" s="64" t="str">
        <f aca="false">IF(IFERROR(INDEX(tsk_Name,GanttView[[#This Row],[_Row]])="",TRUE()),"",INDEX(tsk_WBS,GanttView[[#This Row],[_Row]]))</f>
        <v/>
      </c>
      <c r="C145" s="65" t="str">
        <f aca="false">IF(IFERROR(INDEX(tsk_Name,GanttView[[#This Row],[_Row]])="",TRUE()),"",REPT("    ",INDEX(tsk_Level,GanttView[[#This Row],[_Row]])-1)&amp;INDEX(tsk_Name,GanttView[[#This Row],[_Row]]))</f>
        <v/>
      </c>
      <c r="D14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6" t="str">
        <f aca="false">IF(IFERROR(INDEX(tsk_Name,GanttView[[#This Row],[_Row]])="",TRUE()),"",INDEX(tsk_PlanStart,GanttView[[#This Row],[_Row]]))</f>
        <v/>
      </c>
      <c r="F145" s="66" t="str">
        <f aca="false">IF(IFERROR(INDEX(tsk_Name,GanttView[[#This Row],[_Row]])="",TRUE()),"",INDEX(tsk_PlanFinish,GanttView[[#This Row],[_Row]]))</f>
        <v/>
      </c>
      <c r="G145" s="66" t="str">
        <f aca="false">IF(IFERROR(INDEX(tsk_Name,GanttView[[#This Row],[_Row]])="",TRUE()),"",INDEX(tsk_FcStart,GanttView[[#This Row],[_Row]]))</f>
        <v/>
      </c>
      <c r="H145" s="66" t="str">
        <f aca="false">IF(IFERROR(INDEX(tsk_Name,GanttView[[#This Row],[_Row]])="",TRUE()),"",INDEX(tsk_FcFinish,GanttView[[#This Row],[_Row]]))</f>
        <v/>
      </c>
      <c r="I145" s="67" t="str">
        <f aca="false">IF(IFERROR(INDEX(tsk_Name,GanttView[[#This Row],[_Row]])="",TRUE()),"",INDEX(tsk_Progress,GanttView[[#This Row],[_Row]]))</f>
        <v/>
      </c>
      <c r="J145" s="65" t="str">
        <f aca="false">IF(IFERROR(INDEX(tsk_Name,GanttView[[#This Row],[_Row]])="",TRUE()),"",INDEX(tsk_Resource,GanttView[[#This Row],[_Row]])&amp;"")</f>
        <v/>
      </c>
      <c r="K145" s="64" t="str">
        <f aca="false">IF(IFERROR(INDEX(tsk_Name,GanttView[[#This Row],[_Row]])="",TRUE()),"",INDEX(tsk_Status,GanttView[[#This Row],[_Row]]))</f>
        <v/>
      </c>
      <c r="L145" s="68" t="n">
        <f aca="false">ROW()-ROW(GanttView[[#Headers],[ID]])</f>
        <v>140</v>
      </c>
      <c r="M145" s="69" t="b">
        <f aca="false">IF(IFERROR(INDEX(tsk_Name,GanttView[[#This Row],[_Row]])="",TRUE()),FALSE(),INDEX(tsk_IsSummary,GanttView[[#This Row],[_Row]]))</f>
        <v>0</v>
      </c>
      <c r="N145" s="69" t="b">
        <f aca="false">IF(IFERROR(INDEX(tsk_Name,GanttView[[#This Row],[_Row]])="",TRUE()),FALSE(),AND(INDEX(tsk_IsLeaf,GanttView[[#This Row],[_Row]])=1,N(INDEX(tsk_Duration,GanttView[[#This Row],[_Row]]))=0))</f>
        <v>0</v>
      </c>
      <c r="O14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70" t="n">
        <f aca="false">IF(GanttView[[#This Row],[_RemFrom]]=0,0,GanttView[[#This Row],[Forecast Finish]])</f>
        <v>0</v>
      </c>
      <c r="S145" s="69" t="b">
        <f aca="false">IF(IFERROR(INDEX(tsk_Name,GanttView[[#This Row],[_Row]])="",TRUE()),FALSE(),N(INDEX(tsk_Variance,GanttView[[#This Row],[_Row]]))&gt;0)</f>
        <v>0</v>
      </c>
      <c r="T145" s="70" t="n">
        <f aca="false">IF(IFERROR(INDEX(tsk_Name,GanttView[[#This Row],[_Row]])="",TRUE()),0,N(INDEX(tsk_Deadline,GanttView[[#This Row],[_Row]])))</f>
        <v>0</v>
      </c>
      <c r="U145" s="69" t="b">
        <f aca="false">IF(IFERROR(INDEX(tsk_Name,GanttView[[#This Row],[_Row]])="",TRUE()),FALSE(),INDEX(tsk_Critical,GanttView[[#This Row],[_Row]])="Yes")</f>
        <v>0</v>
      </c>
    </row>
    <row r="146" customFormat="false" ht="15" hidden="false" customHeight="false" outlineLevel="0" collapsed="false">
      <c r="A146" s="64" t="str">
        <f aca="false">IF(IFERROR(INDEX(tsk_Name,GanttView[[#This Row],[_Row]])="",TRUE()),"",INDEX(tsk_ID,GanttView[[#This Row],[_Row]]))</f>
        <v/>
      </c>
      <c r="B146" s="64" t="str">
        <f aca="false">IF(IFERROR(INDEX(tsk_Name,GanttView[[#This Row],[_Row]])="",TRUE()),"",INDEX(tsk_WBS,GanttView[[#This Row],[_Row]]))</f>
        <v/>
      </c>
      <c r="C146" s="65" t="str">
        <f aca="false">IF(IFERROR(INDEX(tsk_Name,GanttView[[#This Row],[_Row]])="",TRUE()),"",REPT("    ",INDEX(tsk_Level,GanttView[[#This Row],[_Row]])-1)&amp;INDEX(tsk_Name,GanttView[[#This Row],[_Row]]))</f>
        <v/>
      </c>
      <c r="D14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6" t="str">
        <f aca="false">IF(IFERROR(INDEX(tsk_Name,GanttView[[#This Row],[_Row]])="",TRUE()),"",INDEX(tsk_PlanStart,GanttView[[#This Row],[_Row]]))</f>
        <v/>
      </c>
      <c r="F146" s="66" t="str">
        <f aca="false">IF(IFERROR(INDEX(tsk_Name,GanttView[[#This Row],[_Row]])="",TRUE()),"",INDEX(tsk_PlanFinish,GanttView[[#This Row],[_Row]]))</f>
        <v/>
      </c>
      <c r="G146" s="66" t="str">
        <f aca="false">IF(IFERROR(INDEX(tsk_Name,GanttView[[#This Row],[_Row]])="",TRUE()),"",INDEX(tsk_FcStart,GanttView[[#This Row],[_Row]]))</f>
        <v/>
      </c>
      <c r="H146" s="66" t="str">
        <f aca="false">IF(IFERROR(INDEX(tsk_Name,GanttView[[#This Row],[_Row]])="",TRUE()),"",INDEX(tsk_FcFinish,GanttView[[#This Row],[_Row]]))</f>
        <v/>
      </c>
      <c r="I146" s="67" t="str">
        <f aca="false">IF(IFERROR(INDEX(tsk_Name,GanttView[[#This Row],[_Row]])="",TRUE()),"",INDEX(tsk_Progress,GanttView[[#This Row],[_Row]]))</f>
        <v/>
      </c>
      <c r="J146" s="65" t="str">
        <f aca="false">IF(IFERROR(INDEX(tsk_Name,GanttView[[#This Row],[_Row]])="",TRUE()),"",INDEX(tsk_Resource,GanttView[[#This Row],[_Row]])&amp;"")</f>
        <v/>
      </c>
      <c r="K146" s="64" t="str">
        <f aca="false">IF(IFERROR(INDEX(tsk_Name,GanttView[[#This Row],[_Row]])="",TRUE()),"",INDEX(tsk_Status,GanttView[[#This Row],[_Row]]))</f>
        <v/>
      </c>
      <c r="L146" s="68" t="n">
        <f aca="false">ROW()-ROW(GanttView[[#Headers],[ID]])</f>
        <v>141</v>
      </c>
      <c r="M146" s="69" t="b">
        <f aca="false">IF(IFERROR(INDEX(tsk_Name,GanttView[[#This Row],[_Row]])="",TRUE()),FALSE(),INDEX(tsk_IsSummary,GanttView[[#This Row],[_Row]]))</f>
        <v>0</v>
      </c>
      <c r="N146" s="69" t="b">
        <f aca="false">IF(IFERROR(INDEX(tsk_Name,GanttView[[#This Row],[_Row]])="",TRUE()),FALSE(),AND(INDEX(tsk_IsLeaf,GanttView[[#This Row],[_Row]])=1,N(INDEX(tsk_Duration,GanttView[[#This Row],[_Row]]))=0))</f>
        <v>0</v>
      </c>
      <c r="O14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70" t="n">
        <f aca="false">IF(GanttView[[#This Row],[_RemFrom]]=0,0,GanttView[[#This Row],[Forecast Finish]])</f>
        <v>0</v>
      </c>
      <c r="S146" s="69" t="b">
        <f aca="false">IF(IFERROR(INDEX(tsk_Name,GanttView[[#This Row],[_Row]])="",TRUE()),FALSE(),N(INDEX(tsk_Variance,GanttView[[#This Row],[_Row]]))&gt;0)</f>
        <v>0</v>
      </c>
      <c r="T146" s="70" t="n">
        <f aca="false">IF(IFERROR(INDEX(tsk_Name,GanttView[[#This Row],[_Row]])="",TRUE()),0,N(INDEX(tsk_Deadline,GanttView[[#This Row],[_Row]])))</f>
        <v>0</v>
      </c>
      <c r="U146" s="69" t="b">
        <f aca="false">IF(IFERROR(INDEX(tsk_Name,GanttView[[#This Row],[_Row]])="",TRUE()),FALSE(),INDEX(tsk_Critical,GanttView[[#This Row],[_Row]])="Yes")</f>
        <v>0</v>
      </c>
    </row>
    <row r="147" customFormat="false" ht="15" hidden="false" customHeight="false" outlineLevel="0" collapsed="false">
      <c r="A147" s="64" t="str">
        <f aca="false">IF(IFERROR(INDEX(tsk_Name,GanttView[[#This Row],[_Row]])="",TRUE()),"",INDEX(tsk_ID,GanttView[[#This Row],[_Row]]))</f>
        <v/>
      </c>
      <c r="B147" s="64" t="str">
        <f aca="false">IF(IFERROR(INDEX(tsk_Name,GanttView[[#This Row],[_Row]])="",TRUE()),"",INDEX(tsk_WBS,GanttView[[#This Row],[_Row]]))</f>
        <v/>
      </c>
      <c r="C147" s="65" t="str">
        <f aca="false">IF(IFERROR(INDEX(tsk_Name,GanttView[[#This Row],[_Row]])="",TRUE()),"",REPT("    ",INDEX(tsk_Level,GanttView[[#This Row],[_Row]])-1)&amp;INDEX(tsk_Name,GanttView[[#This Row],[_Row]]))</f>
        <v/>
      </c>
      <c r="D14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6" t="str">
        <f aca="false">IF(IFERROR(INDEX(tsk_Name,GanttView[[#This Row],[_Row]])="",TRUE()),"",INDEX(tsk_PlanStart,GanttView[[#This Row],[_Row]]))</f>
        <v/>
      </c>
      <c r="F147" s="66" t="str">
        <f aca="false">IF(IFERROR(INDEX(tsk_Name,GanttView[[#This Row],[_Row]])="",TRUE()),"",INDEX(tsk_PlanFinish,GanttView[[#This Row],[_Row]]))</f>
        <v/>
      </c>
      <c r="G147" s="66" t="str">
        <f aca="false">IF(IFERROR(INDEX(tsk_Name,GanttView[[#This Row],[_Row]])="",TRUE()),"",INDEX(tsk_FcStart,GanttView[[#This Row],[_Row]]))</f>
        <v/>
      </c>
      <c r="H147" s="66" t="str">
        <f aca="false">IF(IFERROR(INDEX(tsk_Name,GanttView[[#This Row],[_Row]])="",TRUE()),"",INDEX(tsk_FcFinish,GanttView[[#This Row],[_Row]]))</f>
        <v/>
      </c>
      <c r="I147" s="67" t="str">
        <f aca="false">IF(IFERROR(INDEX(tsk_Name,GanttView[[#This Row],[_Row]])="",TRUE()),"",INDEX(tsk_Progress,GanttView[[#This Row],[_Row]]))</f>
        <v/>
      </c>
      <c r="J147" s="65" t="str">
        <f aca="false">IF(IFERROR(INDEX(tsk_Name,GanttView[[#This Row],[_Row]])="",TRUE()),"",INDEX(tsk_Resource,GanttView[[#This Row],[_Row]])&amp;"")</f>
        <v/>
      </c>
      <c r="K147" s="64" t="str">
        <f aca="false">IF(IFERROR(INDEX(tsk_Name,GanttView[[#This Row],[_Row]])="",TRUE()),"",INDEX(tsk_Status,GanttView[[#This Row],[_Row]]))</f>
        <v/>
      </c>
      <c r="L147" s="68" t="n">
        <f aca="false">ROW()-ROW(GanttView[[#Headers],[ID]])</f>
        <v>142</v>
      </c>
      <c r="M147" s="69" t="b">
        <f aca="false">IF(IFERROR(INDEX(tsk_Name,GanttView[[#This Row],[_Row]])="",TRUE()),FALSE(),INDEX(tsk_IsSummary,GanttView[[#This Row],[_Row]]))</f>
        <v>0</v>
      </c>
      <c r="N147" s="69" t="b">
        <f aca="false">IF(IFERROR(INDEX(tsk_Name,GanttView[[#This Row],[_Row]])="",TRUE()),FALSE(),AND(INDEX(tsk_IsLeaf,GanttView[[#This Row],[_Row]])=1,N(INDEX(tsk_Duration,GanttView[[#This Row],[_Row]]))=0))</f>
        <v>0</v>
      </c>
      <c r="O14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70" t="n">
        <f aca="false">IF(GanttView[[#This Row],[_RemFrom]]=0,0,GanttView[[#This Row],[Forecast Finish]])</f>
        <v>0</v>
      </c>
      <c r="S147" s="69" t="b">
        <f aca="false">IF(IFERROR(INDEX(tsk_Name,GanttView[[#This Row],[_Row]])="",TRUE()),FALSE(),N(INDEX(tsk_Variance,GanttView[[#This Row],[_Row]]))&gt;0)</f>
        <v>0</v>
      </c>
      <c r="T147" s="70" t="n">
        <f aca="false">IF(IFERROR(INDEX(tsk_Name,GanttView[[#This Row],[_Row]])="",TRUE()),0,N(INDEX(tsk_Deadline,GanttView[[#This Row],[_Row]])))</f>
        <v>0</v>
      </c>
      <c r="U147" s="69" t="b">
        <f aca="false">IF(IFERROR(INDEX(tsk_Name,GanttView[[#This Row],[_Row]])="",TRUE()),FALSE(),INDEX(tsk_Critical,GanttView[[#This Row],[_Row]])="Yes")</f>
        <v>0</v>
      </c>
    </row>
    <row r="148" customFormat="false" ht="15" hidden="false" customHeight="false" outlineLevel="0" collapsed="false">
      <c r="A148" s="64" t="str">
        <f aca="false">IF(IFERROR(INDEX(tsk_Name,GanttView[[#This Row],[_Row]])="",TRUE()),"",INDEX(tsk_ID,GanttView[[#This Row],[_Row]]))</f>
        <v/>
      </c>
      <c r="B148" s="64" t="str">
        <f aca="false">IF(IFERROR(INDEX(tsk_Name,GanttView[[#This Row],[_Row]])="",TRUE()),"",INDEX(tsk_WBS,GanttView[[#This Row],[_Row]]))</f>
        <v/>
      </c>
      <c r="C148" s="65" t="str">
        <f aca="false">IF(IFERROR(INDEX(tsk_Name,GanttView[[#This Row],[_Row]])="",TRUE()),"",REPT("    ",INDEX(tsk_Level,GanttView[[#This Row],[_Row]])-1)&amp;INDEX(tsk_Name,GanttView[[#This Row],[_Row]]))</f>
        <v/>
      </c>
      <c r="D14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6" t="str">
        <f aca="false">IF(IFERROR(INDEX(tsk_Name,GanttView[[#This Row],[_Row]])="",TRUE()),"",INDEX(tsk_PlanStart,GanttView[[#This Row],[_Row]]))</f>
        <v/>
      </c>
      <c r="F148" s="66" t="str">
        <f aca="false">IF(IFERROR(INDEX(tsk_Name,GanttView[[#This Row],[_Row]])="",TRUE()),"",INDEX(tsk_PlanFinish,GanttView[[#This Row],[_Row]]))</f>
        <v/>
      </c>
      <c r="G148" s="66" t="str">
        <f aca="false">IF(IFERROR(INDEX(tsk_Name,GanttView[[#This Row],[_Row]])="",TRUE()),"",INDEX(tsk_FcStart,GanttView[[#This Row],[_Row]]))</f>
        <v/>
      </c>
      <c r="H148" s="66" t="str">
        <f aca="false">IF(IFERROR(INDEX(tsk_Name,GanttView[[#This Row],[_Row]])="",TRUE()),"",INDEX(tsk_FcFinish,GanttView[[#This Row],[_Row]]))</f>
        <v/>
      </c>
      <c r="I148" s="67" t="str">
        <f aca="false">IF(IFERROR(INDEX(tsk_Name,GanttView[[#This Row],[_Row]])="",TRUE()),"",INDEX(tsk_Progress,GanttView[[#This Row],[_Row]]))</f>
        <v/>
      </c>
      <c r="J148" s="65" t="str">
        <f aca="false">IF(IFERROR(INDEX(tsk_Name,GanttView[[#This Row],[_Row]])="",TRUE()),"",INDEX(tsk_Resource,GanttView[[#This Row],[_Row]])&amp;"")</f>
        <v/>
      </c>
      <c r="K148" s="64" t="str">
        <f aca="false">IF(IFERROR(INDEX(tsk_Name,GanttView[[#This Row],[_Row]])="",TRUE()),"",INDEX(tsk_Status,GanttView[[#This Row],[_Row]]))</f>
        <v/>
      </c>
      <c r="L148" s="68" t="n">
        <f aca="false">ROW()-ROW(GanttView[[#Headers],[ID]])</f>
        <v>143</v>
      </c>
      <c r="M148" s="69" t="b">
        <f aca="false">IF(IFERROR(INDEX(tsk_Name,GanttView[[#This Row],[_Row]])="",TRUE()),FALSE(),INDEX(tsk_IsSummary,GanttView[[#This Row],[_Row]]))</f>
        <v>0</v>
      </c>
      <c r="N148" s="69" t="b">
        <f aca="false">IF(IFERROR(INDEX(tsk_Name,GanttView[[#This Row],[_Row]])="",TRUE()),FALSE(),AND(INDEX(tsk_IsLeaf,GanttView[[#This Row],[_Row]])=1,N(INDEX(tsk_Duration,GanttView[[#This Row],[_Row]]))=0))</f>
        <v>0</v>
      </c>
      <c r="O14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70" t="n">
        <f aca="false">IF(GanttView[[#This Row],[_RemFrom]]=0,0,GanttView[[#This Row],[Forecast Finish]])</f>
        <v>0</v>
      </c>
      <c r="S148" s="69" t="b">
        <f aca="false">IF(IFERROR(INDEX(tsk_Name,GanttView[[#This Row],[_Row]])="",TRUE()),FALSE(),N(INDEX(tsk_Variance,GanttView[[#This Row],[_Row]]))&gt;0)</f>
        <v>0</v>
      </c>
      <c r="T148" s="70" t="n">
        <f aca="false">IF(IFERROR(INDEX(tsk_Name,GanttView[[#This Row],[_Row]])="",TRUE()),0,N(INDEX(tsk_Deadline,GanttView[[#This Row],[_Row]])))</f>
        <v>0</v>
      </c>
      <c r="U148" s="69" t="b">
        <f aca="false">IF(IFERROR(INDEX(tsk_Name,GanttView[[#This Row],[_Row]])="",TRUE()),FALSE(),INDEX(tsk_Critical,GanttView[[#This Row],[_Row]])="Yes")</f>
        <v>0</v>
      </c>
    </row>
    <row r="149" customFormat="false" ht="15" hidden="false" customHeight="false" outlineLevel="0" collapsed="false">
      <c r="A149" s="64" t="str">
        <f aca="false">IF(IFERROR(INDEX(tsk_Name,GanttView[[#This Row],[_Row]])="",TRUE()),"",INDEX(tsk_ID,GanttView[[#This Row],[_Row]]))</f>
        <v/>
      </c>
      <c r="B149" s="64" t="str">
        <f aca="false">IF(IFERROR(INDEX(tsk_Name,GanttView[[#This Row],[_Row]])="",TRUE()),"",INDEX(tsk_WBS,GanttView[[#This Row],[_Row]]))</f>
        <v/>
      </c>
      <c r="C149" s="65" t="str">
        <f aca="false">IF(IFERROR(INDEX(tsk_Name,GanttView[[#This Row],[_Row]])="",TRUE()),"",REPT("    ",INDEX(tsk_Level,GanttView[[#This Row],[_Row]])-1)&amp;INDEX(tsk_Name,GanttView[[#This Row],[_Row]]))</f>
        <v/>
      </c>
      <c r="D14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6" t="str">
        <f aca="false">IF(IFERROR(INDEX(tsk_Name,GanttView[[#This Row],[_Row]])="",TRUE()),"",INDEX(tsk_PlanStart,GanttView[[#This Row],[_Row]]))</f>
        <v/>
      </c>
      <c r="F149" s="66" t="str">
        <f aca="false">IF(IFERROR(INDEX(tsk_Name,GanttView[[#This Row],[_Row]])="",TRUE()),"",INDEX(tsk_PlanFinish,GanttView[[#This Row],[_Row]]))</f>
        <v/>
      </c>
      <c r="G149" s="66" t="str">
        <f aca="false">IF(IFERROR(INDEX(tsk_Name,GanttView[[#This Row],[_Row]])="",TRUE()),"",INDEX(tsk_FcStart,GanttView[[#This Row],[_Row]]))</f>
        <v/>
      </c>
      <c r="H149" s="66" t="str">
        <f aca="false">IF(IFERROR(INDEX(tsk_Name,GanttView[[#This Row],[_Row]])="",TRUE()),"",INDEX(tsk_FcFinish,GanttView[[#This Row],[_Row]]))</f>
        <v/>
      </c>
      <c r="I149" s="67" t="str">
        <f aca="false">IF(IFERROR(INDEX(tsk_Name,GanttView[[#This Row],[_Row]])="",TRUE()),"",INDEX(tsk_Progress,GanttView[[#This Row],[_Row]]))</f>
        <v/>
      </c>
      <c r="J149" s="65" t="str">
        <f aca="false">IF(IFERROR(INDEX(tsk_Name,GanttView[[#This Row],[_Row]])="",TRUE()),"",INDEX(tsk_Resource,GanttView[[#This Row],[_Row]])&amp;"")</f>
        <v/>
      </c>
      <c r="K149" s="64" t="str">
        <f aca="false">IF(IFERROR(INDEX(tsk_Name,GanttView[[#This Row],[_Row]])="",TRUE()),"",INDEX(tsk_Status,GanttView[[#This Row],[_Row]]))</f>
        <v/>
      </c>
      <c r="L149" s="68" t="n">
        <f aca="false">ROW()-ROW(GanttView[[#Headers],[ID]])</f>
        <v>144</v>
      </c>
      <c r="M149" s="69" t="b">
        <f aca="false">IF(IFERROR(INDEX(tsk_Name,GanttView[[#This Row],[_Row]])="",TRUE()),FALSE(),INDEX(tsk_IsSummary,GanttView[[#This Row],[_Row]]))</f>
        <v>0</v>
      </c>
      <c r="N149" s="69" t="b">
        <f aca="false">IF(IFERROR(INDEX(tsk_Name,GanttView[[#This Row],[_Row]])="",TRUE()),FALSE(),AND(INDEX(tsk_IsLeaf,GanttView[[#This Row],[_Row]])=1,N(INDEX(tsk_Duration,GanttView[[#This Row],[_Row]]))=0))</f>
        <v>0</v>
      </c>
      <c r="O14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70" t="n">
        <f aca="false">IF(GanttView[[#This Row],[_RemFrom]]=0,0,GanttView[[#This Row],[Forecast Finish]])</f>
        <v>0</v>
      </c>
      <c r="S149" s="69" t="b">
        <f aca="false">IF(IFERROR(INDEX(tsk_Name,GanttView[[#This Row],[_Row]])="",TRUE()),FALSE(),N(INDEX(tsk_Variance,GanttView[[#This Row],[_Row]]))&gt;0)</f>
        <v>0</v>
      </c>
      <c r="T149" s="70" t="n">
        <f aca="false">IF(IFERROR(INDEX(tsk_Name,GanttView[[#This Row],[_Row]])="",TRUE()),0,N(INDEX(tsk_Deadline,GanttView[[#This Row],[_Row]])))</f>
        <v>0</v>
      </c>
      <c r="U149" s="69" t="b">
        <f aca="false">IF(IFERROR(INDEX(tsk_Name,GanttView[[#This Row],[_Row]])="",TRUE()),FALSE(),INDEX(tsk_Critical,GanttView[[#This Row],[_Row]])="Yes")</f>
        <v>0</v>
      </c>
    </row>
    <row r="150" customFormat="false" ht="15" hidden="false" customHeight="false" outlineLevel="0" collapsed="false">
      <c r="A150" s="64" t="str">
        <f aca="false">IF(IFERROR(INDEX(tsk_Name,GanttView[[#This Row],[_Row]])="",TRUE()),"",INDEX(tsk_ID,GanttView[[#This Row],[_Row]]))</f>
        <v/>
      </c>
      <c r="B150" s="64" t="str">
        <f aca="false">IF(IFERROR(INDEX(tsk_Name,GanttView[[#This Row],[_Row]])="",TRUE()),"",INDEX(tsk_WBS,GanttView[[#This Row],[_Row]]))</f>
        <v/>
      </c>
      <c r="C150" s="65" t="str">
        <f aca="false">IF(IFERROR(INDEX(tsk_Name,GanttView[[#This Row],[_Row]])="",TRUE()),"",REPT("    ",INDEX(tsk_Level,GanttView[[#This Row],[_Row]])-1)&amp;INDEX(tsk_Name,GanttView[[#This Row],[_Row]]))</f>
        <v/>
      </c>
      <c r="D15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6" t="str">
        <f aca="false">IF(IFERROR(INDEX(tsk_Name,GanttView[[#This Row],[_Row]])="",TRUE()),"",INDEX(tsk_PlanStart,GanttView[[#This Row],[_Row]]))</f>
        <v/>
      </c>
      <c r="F150" s="66" t="str">
        <f aca="false">IF(IFERROR(INDEX(tsk_Name,GanttView[[#This Row],[_Row]])="",TRUE()),"",INDEX(tsk_PlanFinish,GanttView[[#This Row],[_Row]]))</f>
        <v/>
      </c>
      <c r="G150" s="66" t="str">
        <f aca="false">IF(IFERROR(INDEX(tsk_Name,GanttView[[#This Row],[_Row]])="",TRUE()),"",INDEX(tsk_FcStart,GanttView[[#This Row],[_Row]]))</f>
        <v/>
      </c>
      <c r="H150" s="66" t="str">
        <f aca="false">IF(IFERROR(INDEX(tsk_Name,GanttView[[#This Row],[_Row]])="",TRUE()),"",INDEX(tsk_FcFinish,GanttView[[#This Row],[_Row]]))</f>
        <v/>
      </c>
      <c r="I150" s="67" t="str">
        <f aca="false">IF(IFERROR(INDEX(tsk_Name,GanttView[[#This Row],[_Row]])="",TRUE()),"",INDEX(tsk_Progress,GanttView[[#This Row],[_Row]]))</f>
        <v/>
      </c>
      <c r="J150" s="65" t="str">
        <f aca="false">IF(IFERROR(INDEX(tsk_Name,GanttView[[#This Row],[_Row]])="",TRUE()),"",INDEX(tsk_Resource,GanttView[[#This Row],[_Row]])&amp;"")</f>
        <v/>
      </c>
      <c r="K150" s="64" t="str">
        <f aca="false">IF(IFERROR(INDEX(tsk_Name,GanttView[[#This Row],[_Row]])="",TRUE()),"",INDEX(tsk_Status,GanttView[[#This Row],[_Row]]))</f>
        <v/>
      </c>
      <c r="L150" s="68" t="n">
        <f aca="false">ROW()-ROW(GanttView[[#Headers],[ID]])</f>
        <v>145</v>
      </c>
      <c r="M150" s="69" t="b">
        <f aca="false">IF(IFERROR(INDEX(tsk_Name,GanttView[[#This Row],[_Row]])="",TRUE()),FALSE(),INDEX(tsk_IsSummary,GanttView[[#This Row],[_Row]]))</f>
        <v>0</v>
      </c>
      <c r="N150" s="69" t="b">
        <f aca="false">IF(IFERROR(INDEX(tsk_Name,GanttView[[#This Row],[_Row]])="",TRUE()),FALSE(),AND(INDEX(tsk_IsLeaf,GanttView[[#This Row],[_Row]])=1,N(INDEX(tsk_Duration,GanttView[[#This Row],[_Row]]))=0))</f>
        <v>0</v>
      </c>
      <c r="O15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70" t="n">
        <f aca="false">IF(GanttView[[#This Row],[_RemFrom]]=0,0,GanttView[[#This Row],[Forecast Finish]])</f>
        <v>0</v>
      </c>
      <c r="S150" s="69" t="b">
        <f aca="false">IF(IFERROR(INDEX(tsk_Name,GanttView[[#This Row],[_Row]])="",TRUE()),FALSE(),N(INDEX(tsk_Variance,GanttView[[#This Row],[_Row]]))&gt;0)</f>
        <v>0</v>
      </c>
      <c r="T150" s="70" t="n">
        <f aca="false">IF(IFERROR(INDEX(tsk_Name,GanttView[[#This Row],[_Row]])="",TRUE()),0,N(INDEX(tsk_Deadline,GanttView[[#This Row],[_Row]])))</f>
        <v>0</v>
      </c>
      <c r="U150" s="69" t="b">
        <f aca="false">IF(IFERROR(INDEX(tsk_Name,GanttView[[#This Row],[_Row]])="",TRUE()),FALSE(),INDEX(tsk_Critical,GanttView[[#This Row],[_Row]])="Yes")</f>
        <v>0</v>
      </c>
    </row>
    <row r="151" customFormat="false" ht="15" hidden="false" customHeight="false" outlineLevel="0" collapsed="false">
      <c r="A151" s="64" t="str">
        <f aca="false">IF(IFERROR(INDEX(tsk_Name,GanttView[[#This Row],[_Row]])="",TRUE()),"",INDEX(tsk_ID,GanttView[[#This Row],[_Row]]))</f>
        <v/>
      </c>
      <c r="B151" s="64" t="str">
        <f aca="false">IF(IFERROR(INDEX(tsk_Name,GanttView[[#This Row],[_Row]])="",TRUE()),"",INDEX(tsk_WBS,GanttView[[#This Row],[_Row]]))</f>
        <v/>
      </c>
      <c r="C151" s="65" t="str">
        <f aca="false">IF(IFERROR(INDEX(tsk_Name,GanttView[[#This Row],[_Row]])="",TRUE()),"",REPT("    ",INDEX(tsk_Level,GanttView[[#This Row],[_Row]])-1)&amp;INDEX(tsk_Name,GanttView[[#This Row],[_Row]]))</f>
        <v/>
      </c>
      <c r="D15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6" t="str">
        <f aca="false">IF(IFERROR(INDEX(tsk_Name,GanttView[[#This Row],[_Row]])="",TRUE()),"",INDEX(tsk_PlanStart,GanttView[[#This Row],[_Row]]))</f>
        <v/>
      </c>
      <c r="F151" s="66" t="str">
        <f aca="false">IF(IFERROR(INDEX(tsk_Name,GanttView[[#This Row],[_Row]])="",TRUE()),"",INDEX(tsk_PlanFinish,GanttView[[#This Row],[_Row]]))</f>
        <v/>
      </c>
      <c r="G151" s="66" t="str">
        <f aca="false">IF(IFERROR(INDEX(tsk_Name,GanttView[[#This Row],[_Row]])="",TRUE()),"",INDEX(tsk_FcStart,GanttView[[#This Row],[_Row]]))</f>
        <v/>
      </c>
      <c r="H151" s="66" t="str">
        <f aca="false">IF(IFERROR(INDEX(tsk_Name,GanttView[[#This Row],[_Row]])="",TRUE()),"",INDEX(tsk_FcFinish,GanttView[[#This Row],[_Row]]))</f>
        <v/>
      </c>
      <c r="I151" s="67" t="str">
        <f aca="false">IF(IFERROR(INDEX(tsk_Name,GanttView[[#This Row],[_Row]])="",TRUE()),"",INDEX(tsk_Progress,GanttView[[#This Row],[_Row]]))</f>
        <v/>
      </c>
      <c r="J151" s="65" t="str">
        <f aca="false">IF(IFERROR(INDEX(tsk_Name,GanttView[[#This Row],[_Row]])="",TRUE()),"",INDEX(tsk_Resource,GanttView[[#This Row],[_Row]])&amp;"")</f>
        <v/>
      </c>
      <c r="K151" s="64" t="str">
        <f aca="false">IF(IFERROR(INDEX(tsk_Name,GanttView[[#This Row],[_Row]])="",TRUE()),"",INDEX(tsk_Status,GanttView[[#This Row],[_Row]]))</f>
        <v/>
      </c>
      <c r="L151" s="68" t="n">
        <f aca="false">ROW()-ROW(GanttView[[#Headers],[ID]])</f>
        <v>146</v>
      </c>
      <c r="M151" s="69" t="b">
        <f aca="false">IF(IFERROR(INDEX(tsk_Name,GanttView[[#This Row],[_Row]])="",TRUE()),FALSE(),INDEX(tsk_IsSummary,GanttView[[#This Row],[_Row]]))</f>
        <v>0</v>
      </c>
      <c r="N151" s="69" t="b">
        <f aca="false">IF(IFERROR(INDEX(tsk_Name,GanttView[[#This Row],[_Row]])="",TRUE()),FALSE(),AND(INDEX(tsk_IsLeaf,GanttView[[#This Row],[_Row]])=1,N(INDEX(tsk_Duration,GanttView[[#This Row],[_Row]]))=0))</f>
        <v>0</v>
      </c>
      <c r="O15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70" t="n">
        <f aca="false">IF(GanttView[[#This Row],[_RemFrom]]=0,0,GanttView[[#This Row],[Forecast Finish]])</f>
        <v>0</v>
      </c>
      <c r="S151" s="69" t="b">
        <f aca="false">IF(IFERROR(INDEX(tsk_Name,GanttView[[#This Row],[_Row]])="",TRUE()),FALSE(),N(INDEX(tsk_Variance,GanttView[[#This Row],[_Row]]))&gt;0)</f>
        <v>0</v>
      </c>
      <c r="T151" s="70" t="n">
        <f aca="false">IF(IFERROR(INDEX(tsk_Name,GanttView[[#This Row],[_Row]])="",TRUE()),0,N(INDEX(tsk_Deadline,GanttView[[#This Row],[_Row]])))</f>
        <v>0</v>
      </c>
      <c r="U151" s="69" t="b">
        <f aca="false">IF(IFERROR(INDEX(tsk_Name,GanttView[[#This Row],[_Row]])="",TRUE()),FALSE(),INDEX(tsk_Critical,GanttView[[#This Row],[_Row]])="Yes")</f>
        <v>0</v>
      </c>
    </row>
    <row r="152" customFormat="false" ht="15" hidden="false" customHeight="false" outlineLevel="0" collapsed="false">
      <c r="A152" s="64" t="str">
        <f aca="false">IF(IFERROR(INDEX(tsk_Name,GanttView[[#This Row],[_Row]])="",TRUE()),"",INDEX(tsk_ID,GanttView[[#This Row],[_Row]]))</f>
        <v/>
      </c>
      <c r="B152" s="64" t="str">
        <f aca="false">IF(IFERROR(INDEX(tsk_Name,GanttView[[#This Row],[_Row]])="",TRUE()),"",INDEX(tsk_WBS,GanttView[[#This Row],[_Row]]))</f>
        <v/>
      </c>
      <c r="C152" s="65" t="str">
        <f aca="false">IF(IFERROR(INDEX(tsk_Name,GanttView[[#This Row],[_Row]])="",TRUE()),"",REPT("    ",INDEX(tsk_Level,GanttView[[#This Row],[_Row]])-1)&amp;INDEX(tsk_Name,GanttView[[#This Row],[_Row]]))</f>
        <v/>
      </c>
      <c r="D15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6" t="str">
        <f aca="false">IF(IFERROR(INDEX(tsk_Name,GanttView[[#This Row],[_Row]])="",TRUE()),"",INDEX(tsk_PlanStart,GanttView[[#This Row],[_Row]]))</f>
        <v/>
      </c>
      <c r="F152" s="66" t="str">
        <f aca="false">IF(IFERROR(INDEX(tsk_Name,GanttView[[#This Row],[_Row]])="",TRUE()),"",INDEX(tsk_PlanFinish,GanttView[[#This Row],[_Row]]))</f>
        <v/>
      </c>
      <c r="G152" s="66" t="str">
        <f aca="false">IF(IFERROR(INDEX(tsk_Name,GanttView[[#This Row],[_Row]])="",TRUE()),"",INDEX(tsk_FcStart,GanttView[[#This Row],[_Row]]))</f>
        <v/>
      </c>
      <c r="H152" s="66" t="str">
        <f aca="false">IF(IFERROR(INDEX(tsk_Name,GanttView[[#This Row],[_Row]])="",TRUE()),"",INDEX(tsk_FcFinish,GanttView[[#This Row],[_Row]]))</f>
        <v/>
      </c>
      <c r="I152" s="67" t="str">
        <f aca="false">IF(IFERROR(INDEX(tsk_Name,GanttView[[#This Row],[_Row]])="",TRUE()),"",INDEX(tsk_Progress,GanttView[[#This Row],[_Row]]))</f>
        <v/>
      </c>
      <c r="J152" s="65" t="str">
        <f aca="false">IF(IFERROR(INDEX(tsk_Name,GanttView[[#This Row],[_Row]])="",TRUE()),"",INDEX(tsk_Resource,GanttView[[#This Row],[_Row]])&amp;"")</f>
        <v/>
      </c>
      <c r="K152" s="64" t="str">
        <f aca="false">IF(IFERROR(INDEX(tsk_Name,GanttView[[#This Row],[_Row]])="",TRUE()),"",INDEX(tsk_Status,GanttView[[#This Row],[_Row]]))</f>
        <v/>
      </c>
      <c r="L152" s="68" t="n">
        <f aca="false">ROW()-ROW(GanttView[[#Headers],[ID]])</f>
        <v>147</v>
      </c>
      <c r="M152" s="69" t="b">
        <f aca="false">IF(IFERROR(INDEX(tsk_Name,GanttView[[#This Row],[_Row]])="",TRUE()),FALSE(),INDEX(tsk_IsSummary,GanttView[[#This Row],[_Row]]))</f>
        <v>0</v>
      </c>
      <c r="N152" s="69" t="b">
        <f aca="false">IF(IFERROR(INDEX(tsk_Name,GanttView[[#This Row],[_Row]])="",TRUE()),FALSE(),AND(INDEX(tsk_IsLeaf,GanttView[[#This Row],[_Row]])=1,N(INDEX(tsk_Duration,GanttView[[#This Row],[_Row]]))=0))</f>
        <v>0</v>
      </c>
      <c r="O15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70" t="n">
        <f aca="false">IF(GanttView[[#This Row],[_RemFrom]]=0,0,GanttView[[#This Row],[Forecast Finish]])</f>
        <v>0</v>
      </c>
      <c r="S152" s="69" t="b">
        <f aca="false">IF(IFERROR(INDEX(tsk_Name,GanttView[[#This Row],[_Row]])="",TRUE()),FALSE(),N(INDEX(tsk_Variance,GanttView[[#This Row],[_Row]]))&gt;0)</f>
        <v>0</v>
      </c>
      <c r="T152" s="70" t="n">
        <f aca="false">IF(IFERROR(INDEX(tsk_Name,GanttView[[#This Row],[_Row]])="",TRUE()),0,N(INDEX(tsk_Deadline,GanttView[[#This Row],[_Row]])))</f>
        <v>0</v>
      </c>
      <c r="U152" s="69" t="b">
        <f aca="false">IF(IFERROR(INDEX(tsk_Name,GanttView[[#This Row],[_Row]])="",TRUE()),FALSE(),INDEX(tsk_Critical,GanttView[[#This Row],[_Row]])="Yes")</f>
        <v>0</v>
      </c>
    </row>
    <row r="153" customFormat="false" ht="15" hidden="false" customHeight="false" outlineLevel="0" collapsed="false">
      <c r="A153" s="64" t="str">
        <f aca="false">IF(IFERROR(INDEX(tsk_Name,GanttView[[#This Row],[_Row]])="",TRUE()),"",INDEX(tsk_ID,GanttView[[#This Row],[_Row]]))</f>
        <v/>
      </c>
      <c r="B153" s="64" t="str">
        <f aca="false">IF(IFERROR(INDEX(tsk_Name,GanttView[[#This Row],[_Row]])="",TRUE()),"",INDEX(tsk_WBS,GanttView[[#This Row],[_Row]]))</f>
        <v/>
      </c>
      <c r="C153" s="65" t="str">
        <f aca="false">IF(IFERROR(INDEX(tsk_Name,GanttView[[#This Row],[_Row]])="",TRUE()),"",REPT("    ",INDEX(tsk_Level,GanttView[[#This Row],[_Row]])-1)&amp;INDEX(tsk_Name,GanttView[[#This Row],[_Row]]))</f>
        <v/>
      </c>
      <c r="D15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6" t="str">
        <f aca="false">IF(IFERROR(INDEX(tsk_Name,GanttView[[#This Row],[_Row]])="",TRUE()),"",INDEX(tsk_PlanStart,GanttView[[#This Row],[_Row]]))</f>
        <v/>
      </c>
      <c r="F153" s="66" t="str">
        <f aca="false">IF(IFERROR(INDEX(tsk_Name,GanttView[[#This Row],[_Row]])="",TRUE()),"",INDEX(tsk_PlanFinish,GanttView[[#This Row],[_Row]]))</f>
        <v/>
      </c>
      <c r="G153" s="66" t="str">
        <f aca="false">IF(IFERROR(INDEX(tsk_Name,GanttView[[#This Row],[_Row]])="",TRUE()),"",INDEX(tsk_FcStart,GanttView[[#This Row],[_Row]]))</f>
        <v/>
      </c>
      <c r="H153" s="66" t="str">
        <f aca="false">IF(IFERROR(INDEX(tsk_Name,GanttView[[#This Row],[_Row]])="",TRUE()),"",INDEX(tsk_FcFinish,GanttView[[#This Row],[_Row]]))</f>
        <v/>
      </c>
      <c r="I153" s="67" t="str">
        <f aca="false">IF(IFERROR(INDEX(tsk_Name,GanttView[[#This Row],[_Row]])="",TRUE()),"",INDEX(tsk_Progress,GanttView[[#This Row],[_Row]]))</f>
        <v/>
      </c>
      <c r="J153" s="65" t="str">
        <f aca="false">IF(IFERROR(INDEX(tsk_Name,GanttView[[#This Row],[_Row]])="",TRUE()),"",INDEX(tsk_Resource,GanttView[[#This Row],[_Row]])&amp;"")</f>
        <v/>
      </c>
      <c r="K153" s="64" t="str">
        <f aca="false">IF(IFERROR(INDEX(tsk_Name,GanttView[[#This Row],[_Row]])="",TRUE()),"",INDEX(tsk_Status,GanttView[[#This Row],[_Row]]))</f>
        <v/>
      </c>
      <c r="L153" s="68" t="n">
        <f aca="false">ROW()-ROW(GanttView[[#Headers],[ID]])</f>
        <v>148</v>
      </c>
      <c r="M153" s="69" t="b">
        <f aca="false">IF(IFERROR(INDEX(tsk_Name,GanttView[[#This Row],[_Row]])="",TRUE()),FALSE(),INDEX(tsk_IsSummary,GanttView[[#This Row],[_Row]]))</f>
        <v>0</v>
      </c>
      <c r="N153" s="69" t="b">
        <f aca="false">IF(IFERROR(INDEX(tsk_Name,GanttView[[#This Row],[_Row]])="",TRUE()),FALSE(),AND(INDEX(tsk_IsLeaf,GanttView[[#This Row],[_Row]])=1,N(INDEX(tsk_Duration,GanttView[[#This Row],[_Row]]))=0))</f>
        <v>0</v>
      </c>
      <c r="O15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70" t="n">
        <f aca="false">IF(GanttView[[#This Row],[_RemFrom]]=0,0,GanttView[[#This Row],[Forecast Finish]])</f>
        <v>0</v>
      </c>
      <c r="S153" s="69" t="b">
        <f aca="false">IF(IFERROR(INDEX(tsk_Name,GanttView[[#This Row],[_Row]])="",TRUE()),FALSE(),N(INDEX(tsk_Variance,GanttView[[#This Row],[_Row]]))&gt;0)</f>
        <v>0</v>
      </c>
      <c r="T153" s="70" t="n">
        <f aca="false">IF(IFERROR(INDEX(tsk_Name,GanttView[[#This Row],[_Row]])="",TRUE()),0,N(INDEX(tsk_Deadline,GanttView[[#This Row],[_Row]])))</f>
        <v>0</v>
      </c>
      <c r="U153" s="69" t="b">
        <f aca="false">IF(IFERROR(INDEX(tsk_Name,GanttView[[#This Row],[_Row]])="",TRUE()),FALSE(),INDEX(tsk_Critical,GanttView[[#This Row],[_Row]])="Yes")</f>
        <v>0</v>
      </c>
    </row>
    <row r="154" customFormat="false" ht="15" hidden="false" customHeight="false" outlineLevel="0" collapsed="false">
      <c r="A154" s="64" t="str">
        <f aca="false">IF(IFERROR(INDEX(tsk_Name,GanttView[[#This Row],[_Row]])="",TRUE()),"",INDEX(tsk_ID,GanttView[[#This Row],[_Row]]))</f>
        <v/>
      </c>
      <c r="B154" s="64" t="str">
        <f aca="false">IF(IFERROR(INDEX(tsk_Name,GanttView[[#This Row],[_Row]])="",TRUE()),"",INDEX(tsk_WBS,GanttView[[#This Row],[_Row]]))</f>
        <v/>
      </c>
      <c r="C154" s="65" t="str">
        <f aca="false">IF(IFERROR(INDEX(tsk_Name,GanttView[[#This Row],[_Row]])="",TRUE()),"",REPT("    ",INDEX(tsk_Level,GanttView[[#This Row],[_Row]])-1)&amp;INDEX(tsk_Name,GanttView[[#This Row],[_Row]]))</f>
        <v/>
      </c>
      <c r="D15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6" t="str">
        <f aca="false">IF(IFERROR(INDEX(tsk_Name,GanttView[[#This Row],[_Row]])="",TRUE()),"",INDEX(tsk_PlanStart,GanttView[[#This Row],[_Row]]))</f>
        <v/>
      </c>
      <c r="F154" s="66" t="str">
        <f aca="false">IF(IFERROR(INDEX(tsk_Name,GanttView[[#This Row],[_Row]])="",TRUE()),"",INDEX(tsk_PlanFinish,GanttView[[#This Row],[_Row]]))</f>
        <v/>
      </c>
      <c r="G154" s="66" t="str">
        <f aca="false">IF(IFERROR(INDEX(tsk_Name,GanttView[[#This Row],[_Row]])="",TRUE()),"",INDEX(tsk_FcStart,GanttView[[#This Row],[_Row]]))</f>
        <v/>
      </c>
      <c r="H154" s="66" t="str">
        <f aca="false">IF(IFERROR(INDEX(tsk_Name,GanttView[[#This Row],[_Row]])="",TRUE()),"",INDEX(tsk_FcFinish,GanttView[[#This Row],[_Row]]))</f>
        <v/>
      </c>
      <c r="I154" s="67" t="str">
        <f aca="false">IF(IFERROR(INDEX(tsk_Name,GanttView[[#This Row],[_Row]])="",TRUE()),"",INDEX(tsk_Progress,GanttView[[#This Row],[_Row]]))</f>
        <v/>
      </c>
      <c r="J154" s="65" t="str">
        <f aca="false">IF(IFERROR(INDEX(tsk_Name,GanttView[[#This Row],[_Row]])="",TRUE()),"",INDEX(tsk_Resource,GanttView[[#This Row],[_Row]])&amp;"")</f>
        <v/>
      </c>
      <c r="K154" s="64" t="str">
        <f aca="false">IF(IFERROR(INDEX(tsk_Name,GanttView[[#This Row],[_Row]])="",TRUE()),"",INDEX(tsk_Status,GanttView[[#This Row],[_Row]]))</f>
        <v/>
      </c>
      <c r="L154" s="68" t="n">
        <f aca="false">ROW()-ROW(GanttView[[#Headers],[ID]])</f>
        <v>149</v>
      </c>
      <c r="M154" s="69" t="b">
        <f aca="false">IF(IFERROR(INDEX(tsk_Name,GanttView[[#This Row],[_Row]])="",TRUE()),FALSE(),INDEX(tsk_IsSummary,GanttView[[#This Row],[_Row]]))</f>
        <v>0</v>
      </c>
      <c r="N154" s="69" t="b">
        <f aca="false">IF(IFERROR(INDEX(tsk_Name,GanttView[[#This Row],[_Row]])="",TRUE()),FALSE(),AND(INDEX(tsk_IsLeaf,GanttView[[#This Row],[_Row]])=1,N(INDEX(tsk_Duration,GanttView[[#This Row],[_Row]]))=0))</f>
        <v>0</v>
      </c>
      <c r="O15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70" t="n">
        <f aca="false">IF(GanttView[[#This Row],[_RemFrom]]=0,0,GanttView[[#This Row],[Forecast Finish]])</f>
        <v>0</v>
      </c>
      <c r="S154" s="69" t="b">
        <f aca="false">IF(IFERROR(INDEX(tsk_Name,GanttView[[#This Row],[_Row]])="",TRUE()),FALSE(),N(INDEX(tsk_Variance,GanttView[[#This Row],[_Row]]))&gt;0)</f>
        <v>0</v>
      </c>
      <c r="T154" s="70" t="n">
        <f aca="false">IF(IFERROR(INDEX(tsk_Name,GanttView[[#This Row],[_Row]])="",TRUE()),0,N(INDEX(tsk_Deadline,GanttView[[#This Row],[_Row]])))</f>
        <v>0</v>
      </c>
      <c r="U154" s="69" t="b">
        <f aca="false">IF(IFERROR(INDEX(tsk_Name,GanttView[[#This Row],[_Row]])="",TRUE()),FALSE(),INDEX(tsk_Critical,GanttView[[#This Row],[_Row]])="Yes")</f>
        <v>0</v>
      </c>
    </row>
    <row r="155" customFormat="false" ht="15" hidden="false" customHeight="false" outlineLevel="0" collapsed="false">
      <c r="A155" s="64" t="str">
        <f aca="false">IF(IFERROR(INDEX(tsk_Name,GanttView[[#This Row],[_Row]])="",TRUE()),"",INDEX(tsk_ID,GanttView[[#This Row],[_Row]]))</f>
        <v/>
      </c>
      <c r="B155" s="64" t="str">
        <f aca="false">IF(IFERROR(INDEX(tsk_Name,GanttView[[#This Row],[_Row]])="",TRUE()),"",INDEX(tsk_WBS,GanttView[[#This Row],[_Row]]))</f>
        <v/>
      </c>
      <c r="C155" s="65" t="str">
        <f aca="false">IF(IFERROR(INDEX(tsk_Name,GanttView[[#This Row],[_Row]])="",TRUE()),"",REPT("    ",INDEX(tsk_Level,GanttView[[#This Row],[_Row]])-1)&amp;INDEX(tsk_Name,GanttView[[#This Row],[_Row]]))</f>
        <v/>
      </c>
      <c r="D15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6" t="str">
        <f aca="false">IF(IFERROR(INDEX(tsk_Name,GanttView[[#This Row],[_Row]])="",TRUE()),"",INDEX(tsk_PlanStart,GanttView[[#This Row],[_Row]]))</f>
        <v/>
      </c>
      <c r="F155" s="66" t="str">
        <f aca="false">IF(IFERROR(INDEX(tsk_Name,GanttView[[#This Row],[_Row]])="",TRUE()),"",INDEX(tsk_PlanFinish,GanttView[[#This Row],[_Row]]))</f>
        <v/>
      </c>
      <c r="G155" s="66" t="str">
        <f aca="false">IF(IFERROR(INDEX(tsk_Name,GanttView[[#This Row],[_Row]])="",TRUE()),"",INDEX(tsk_FcStart,GanttView[[#This Row],[_Row]]))</f>
        <v/>
      </c>
      <c r="H155" s="66" t="str">
        <f aca="false">IF(IFERROR(INDEX(tsk_Name,GanttView[[#This Row],[_Row]])="",TRUE()),"",INDEX(tsk_FcFinish,GanttView[[#This Row],[_Row]]))</f>
        <v/>
      </c>
      <c r="I155" s="67" t="str">
        <f aca="false">IF(IFERROR(INDEX(tsk_Name,GanttView[[#This Row],[_Row]])="",TRUE()),"",INDEX(tsk_Progress,GanttView[[#This Row],[_Row]]))</f>
        <v/>
      </c>
      <c r="J155" s="65" t="str">
        <f aca="false">IF(IFERROR(INDEX(tsk_Name,GanttView[[#This Row],[_Row]])="",TRUE()),"",INDEX(tsk_Resource,GanttView[[#This Row],[_Row]])&amp;"")</f>
        <v/>
      </c>
      <c r="K155" s="64" t="str">
        <f aca="false">IF(IFERROR(INDEX(tsk_Name,GanttView[[#This Row],[_Row]])="",TRUE()),"",INDEX(tsk_Status,GanttView[[#This Row],[_Row]]))</f>
        <v/>
      </c>
      <c r="L155" s="68" t="n">
        <f aca="false">ROW()-ROW(GanttView[[#Headers],[ID]])</f>
        <v>150</v>
      </c>
      <c r="M155" s="69" t="b">
        <f aca="false">IF(IFERROR(INDEX(tsk_Name,GanttView[[#This Row],[_Row]])="",TRUE()),FALSE(),INDEX(tsk_IsSummary,GanttView[[#This Row],[_Row]]))</f>
        <v>0</v>
      </c>
      <c r="N155" s="69" t="b">
        <f aca="false">IF(IFERROR(INDEX(tsk_Name,GanttView[[#This Row],[_Row]])="",TRUE()),FALSE(),AND(INDEX(tsk_IsLeaf,GanttView[[#This Row],[_Row]])=1,N(INDEX(tsk_Duration,GanttView[[#This Row],[_Row]]))=0))</f>
        <v>0</v>
      </c>
      <c r="O15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70" t="n">
        <f aca="false">IF(GanttView[[#This Row],[_RemFrom]]=0,0,GanttView[[#This Row],[Forecast Finish]])</f>
        <v>0</v>
      </c>
      <c r="S155" s="69" t="b">
        <f aca="false">IF(IFERROR(INDEX(tsk_Name,GanttView[[#This Row],[_Row]])="",TRUE()),FALSE(),N(INDEX(tsk_Variance,GanttView[[#This Row],[_Row]]))&gt;0)</f>
        <v>0</v>
      </c>
      <c r="T155" s="70" t="n">
        <f aca="false">IF(IFERROR(INDEX(tsk_Name,GanttView[[#This Row],[_Row]])="",TRUE()),0,N(INDEX(tsk_Deadline,GanttView[[#This Row],[_Row]])))</f>
        <v>0</v>
      </c>
      <c r="U155" s="69" t="b">
        <f aca="false">IF(IFERROR(INDEX(tsk_Name,GanttView[[#This Row],[_Row]])="",TRUE()),FALSE(),INDEX(tsk_Critical,GanttView[[#This Row],[_Row]])="Yes")</f>
        <v>0</v>
      </c>
    </row>
    <row r="156" customFormat="false" ht="15" hidden="false" customHeight="false" outlineLevel="0" collapsed="false">
      <c r="A156" s="64" t="str">
        <f aca="false">IF(IFERROR(INDEX(tsk_Name,GanttView[[#This Row],[_Row]])="",TRUE()),"",INDEX(tsk_ID,GanttView[[#This Row],[_Row]]))</f>
        <v/>
      </c>
      <c r="B156" s="64" t="str">
        <f aca="false">IF(IFERROR(INDEX(tsk_Name,GanttView[[#This Row],[_Row]])="",TRUE()),"",INDEX(tsk_WBS,GanttView[[#This Row],[_Row]]))</f>
        <v/>
      </c>
      <c r="C156" s="65" t="str">
        <f aca="false">IF(IFERROR(INDEX(tsk_Name,GanttView[[#This Row],[_Row]])="",TRUE()),"",REPT("    ",INDEX(tsk_Level,GanttView[[#This Row],[_Row]])-1)&amp;INDEX(tsk_Name,GanttView[[#This Row],[_Row]]))</f>
        <v/>
      </c>
      <c r="D15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6" t="str">
        <f aca="false">IF(IFERROR(INDEX(tsk_Name,GanttView[[#This Row],[_Row]])="",TRUE()),"",INDEX(tsk_PlanStart,GanttView[[#This Row],[_Row]]))</f>
        <v/>
      </c>
      <c r="F156" s="66" t="str">
        <f aca="false">IF(IFERROR(INDEX(tsk_Name,GanttView[[#This Row],[_Row]])="",TRUE()),"",INDEX(tsk_PlanFinish,GanttView[[#This Row],[_Row]]))</f>
        <v/>
      </c>
      <c r="G156" s="66" t="str">
        <f aca="false">IF(IFERROR(INDEX(tsk_Name,GanttView[[#This Row],[_Row]])="",TRUE()),"",INDEX(tsk_FcStart,GanttView[[#This Row],[_Row]]))</f>
        <v/>
      </c>
      <c r="H156" s="66" t="str">
        <f aca="false">IF(IFERROR(INDEX(tsk_Name,GanttView[[#This Row],[_Row]])="",TRUE()),"",INDEX(tsk_FcFinish,GanttView[[#This Row],[_Row]]))</f>
        <v/>
      </c>
      <c r="I156" s="67" t="str">
        <f aca="false">IF(IFERROR(INDEX(tsk_Name,GanttView[[#This Row],[_Row]])="",TRUE()),"",INDEX(tsk_Progress,GanttView[[#This Row],[_Row]]))</f>
        <v/>
      </c>
      <c r="J156" s="65" t="str">
        <f aca="false">IF(IFERROR(INDEX(tsk_Name,GanttView[[#This Row],[_Row]])="",TRUE()),"",INDEX(tsk_Resource,GanttView[[#This Row],[_Row]])&amp;"")</f>
        <v/>
      </c>
      <c r="K156" s="64" t="str">
        <f aca="false">IF(IFERROR(INDEX(tsk_Name,GanttView[[#This Row],[_Row]])="",TRUE()),"",INDEX(tsk_Status,GanttView[[#This Row],[_Row]]))</f>
        <v/>
      </c>
      <c r="L156" s="68" t="n">
        <f aca="false">ROW()-ROW(GanttView[[#Headers],[ID]])</f>
        <v>151</v>
      </c>
      <c r="M156" s="69" t="b">
        <f aca="false">IF(IFERROR(INDEX(tsk_Name,GanttView[[#This Row],[_Row]])="",TRUE()),FALSE(),INDEX(tsk_IsSummary,GanttView[[#This Row],[_Row]]))</f>
        <v>0</v>
      </c>
      <c r="N156" s="69" t="b">
        <f aca="false">IF(IFERROR(INDEX(tsk_Name,GanttView[[#This Row],[_Row]])="",TRUE()),FALSE(),AND(INDEX(tsk_IsLeaf,GanttView[[#This Row],[_Row]])=1,N(INDEX(tsk_Duration,GanttView[[#This Row],[_Row]]))=0))</f>
        <v>0</v>
      </c>
      <c r="O15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70" t="n">
        <f aca="false">IF(GanttView[[#This Row],[_RemFrom]]=0,0,GanttView[[#This Row],[Forecast Finish]])</f>
        <v>0</v>
      </c>
      <c r="S156" s="69" t="b">
        <f aca="false">IF(IFERROR(INDEX(tsk_Name,GanttView[[#This Row],[_Row]])="",TRUE()),FALSE(),N(INDEX(tsk_Variance,GanttView[[#This Row],[_Row]]))&gt;0)</f>
        <v>0</v>
      </c>
      <c r="T156" s="70" t="n">
        <f aca="false">IF(IFERROR(INDEX(tsk_Name,GanttView[[#This Row],[_Row]])="",TRUE()),0,N(INDEX(tsk_Deadline,GanttView[[#This Row],[_Row]])))</f>
        <v>0</v>
      </c>
      <c r="U156" s="69" t="b">
        <f aca="false">IF(IFERROR(INDEX(tsk_Name,GanttView[[#This Row],[_Row]])="",TRUE()),FALSE(),INDEX(tsk_Critical,GanttView[[#This Row],[_Row]])="Yes")</f>
        <v>0</v>
      </c>
    </row>
    <row r="157" customFormat="false" ht="15" hidden="false" customHeight="false" outlineLevel="0" collapsed="false">
      <c r="A157" s="64" t="str">
        <f aca="false">IF(IFERROR(INDEX(tsk_Name,GanttView[[#This Row],[_Row]])="",TRUE()),"",INDEX(tsk_ID,GanttView[[#This Row],[_Row]]))</f>
        <v/>
      </c>
      <c r="B157" s="64" t="str">
        <f aca="false">IF(IFERROR(INDEX(tsk_Name,GanttView[[#This Row],[_Row]])="",TRUE()),"",INDEX(tsk_WBS,GanttView[[#This Row],[_Row]]))</f>
        <v/>
      </c>
      <c r="C157" s="65" t="str">
        <f aca="false">IF(IFERROR(INDEX(tsk_Name,GanttView[[#This Row],[_Row]])="",TRUE()),"",REPT("    ",INDEX(tsk_Level,GanttView[[#This Row],[_Row]])-1)&amp;INDEX(tsk_Name,GanttView[[#This Row],[_Row]]))</f>
        <v/>
      </c>
      <c r="D15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6" t="str">
        <f aca="false">IF(IFERROR(INDEX(tsk_Name,GanttView[[#This Row],[_Row]])="",TRUE()),"",INDEX(tsk_PlanStart,GanttView[[#This Row],[_Row]]))</f>
        <v/>
      </c>
      <c r="F157" s="66" t="str">
        <f aca="false">IF(IFERROR(INDEX(tsk_Name,GanttView[[#This Row],[_Row]])="",TRUE()),"",INDEX(tsk_PlanFinish,GanttView[[#This Row],[_Row]]))</f>
        <v/>
      </c>
      <c r="G157" s="66" t="str">
        <f aca="false">IF(IFERROR(INDEX(tsk_Name,GanttView[[#This Row],[_Row]])="",TRUE()),"",INDEX(tsk_FcStart,GanttView[[#This Row],[_Row]]))</f>
        <v/>
      </c>
      <c r="H157" s="66" t="str">
        <f aca="false">IF(IFERROR(INDEX(tsk_Name,GanttView[[#This Row],[_Row]])="",TRUE()),"",INDEX(tsk_FcFinish,GanttView[[#This Row],[_Row]]))</f>
        <v/>
      </c>
      <c r="I157" s="67" t="str">
        <f aca="false">IF(IFERROR(INDEX(tsk_Name,GanttView[[#This Row],[_Row]])="",TRUE()),"",INDEX(tsk_Progress,GanttView[[#This Row],[_Row]]))</f>
        <v/>
      </c>
      <c r="J157" s="65" t="str">
        <f aca="false">IF(IFERROR(INDEX(tsk_Name,GanttView[[#This Row],[_Row]])="",TRUE()),"",INDEX(tsk_Resource,GanttView[[#This Row],[_Row]])&amp;"")</f>
        <v/>
      </c>
      <c r="K157" s="64" t="str">
        <f aca="false">IF(IFERROR(INDEX(tsk_Name,GanttView[[#This Row],[_Row]])="",TRUE()),"",INDEX(tsk_Status,GanttView[[#This Row],[_Row]]))</f>
        <v/>
      </c>
      <c r="L157" s="68" t="n">
        <f aca="false">ROW()-ROW(GanttView[[#Headers],[ID]])</f>
        <v>152</v>
      </c>
      <c r="M157" s="69" t="b">
        <f aca="false">IF(IFERROR(INDEX(tsk_Name,GanttView[[#This Row],[_Row]])="",TRUE()),FALSE(),INDEX(tsk_IsSummary,GanttView[[#This Row],[_Row]]))</f>
        <v>0</v>
      </c>
      <c r="N157" s="69" t="b">
        <f aca="false">IF(IFERROR(INDEX(tsk_Name,GanttView[[#This Row],[_Row]])="",TRUE()),FALSE(),AND(INDEX(tsk_IsLeaf,GanttView[[#This Row],[_Row]])=1,N(INDEX(tsk_Duration,GanttView[[#This Row],[_Row]]))=0))</f>
        <v>0</v>
      </c>
      <c r="O15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70" t="n">
        <f aca="false">IF(GanttView[[#This Row],[_RemFrom]]=0,0,GanttView[[#This Row],[Forecast Finish]])</f>
        <v>0</v>
      </c>
      <c r="S157" s="69" t="b">
        <f aca="false">IF(IFERROR(INDEX(tsk_Name,GanttView[[#This Row],[_Row]])="",TRUE()),FALSE(),N(INDEX(tsk_Variance,GanttView[[#This Row],[_Row]]))&gt;0)</f>
        <v>0</v>
      </c>
      <c r="T157" s="70" t="n">
        <f aca="false">IF(IFERROR(INDEX(tsk_Name,GanttView[[#This Row],[_Row]])="",TRUE()),0,N(INDEX(tsk_Deadline,GanttView[[#This Row],[_Row]])))</f>
        <v>0</v>
      </c>
      <c r="U157" s="69" t="b">
        <f aca="false">IF(IFERROR(INDEX(tsk_Name,GanttView[[#This Row],[_Row]])="",TRUE()),FALSE(),INDEX(tsk_Critical,GanttView[[#This Row],[_Row]])="Yes")</f>
        <v>0</v>
      </c>
    </row>
    <row r="158" customFormat="false" ht="15" hidden="false" customHeight="false" outlineLevel="0" collapsed="false">
      <c r="A158" s="64" t="str">
        <f aca="false">IF(IFERROR(INDEX(tsk_Name,GanttView[[#This Row],[_Row]])="",TRUE()),"",INDEX(tsk_ID,GanttView[[#This Row],[_Row]]))</f>
        <v/>
      </c>
      <c r="B158" s="64" t="str">
        <f aca="false">IF(IFERROR(INDEX(tsk_Name,GanttView[[#This Row],[_Row]])="",TRUE()),"",INDEX(tsk_WBS,GanttView[[#This Row],[_Row]]))</f>
        <v/>
      </c>
      <c r="C158" s="65" t="str">
        <f aca="false">IF(IFERROR(INDEX(tsk_Name,GanttView[[#This Row],[_Row]])="",TRUE()),"",REPT("    ",INDEX(tsk_Level,GanttView[[#This Row],[_Row]])-1)&amp;INDEX(tsk_Name,GanttView[[#This Row],[_Row]]))</f>
        <v/>
      </c>
      <c r="D15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6" t="str">
        <f aca="false">IF(IFERROR(INDEX(tsk_Name,GanttView[[#This Row],[_Row]])="",TRUE()),"",INDEX(tsk_PlanStart,GanttView[[#This Row],[_Row]]))</f>
        <v/>
      </c>
      <c r="F158" s="66" t="str">
        <f aca="false">IF(IFERROR(INDEX(tsk_Name,GanttView[[#This Row],[_Row]])="",TRUE()),"",INDEX(tsk_PlanFinish,GanttView[[#This Row],[_Row]]))</f>
        <v/>
      </c>
      <c r="G158" s="66" t="str">
        <f aca="false">IF(IFERROR(INDEX(tsk_Name,GanttView[[#This Row],[_Row]])="",TRUE()),"",INDEX(tsk_FcStart,GanttView[[#This Row],[_Row]]))</f>
        <v/>
      </c>
      <c r="H158" s="66" t="str">
        <f aca="false">IF(IFERROR(INDEX(tsk_Name,GanttView[[#This Row],[_Row]])="",TRUE()),"",INDEX(tsk_FcFinish,GanttView[[#This Row],[_Row]]))</f>
        <v/>
      </c>
      <c r="I158" s="67" t="str">
        <f aca="false">IF(IFERROR(INDEX(tsk_Name,GanttView[[#This Row],[_Row]])="",TRUE()),"",INDEX(tsk_Progress,GanttView[[#This Row],[_Row]]))</f>
        <v/>
      </c>
      <c r="J158" s="65" t="str">
        <f aca="false">IF(IFERROR(INDEX(tsk_Name,GanttView[[#This Row],[_Row]])="",TRUE()),"",INDEX(tsk_Resource,GanttView[[#This Row],[_Row]])&amp;"")</f>
        <v/>
      </c>
      <c r="K158" s="64" t="str">
        <f aca="false">IF(IFERROR(INDEX(tsk_Name,GanttView[[#This Row],[_Row]])="",TRUE()),"",INDEX(tsk_Status,GanttView[[#This Row],[_Row]]))</f>
        <v/>
      </c>
      <c r="L158" s="68" t="n">
        <f aca="false">ROW()-ROW(GanttView[[#Headers],[ID]])</f>
        <v>153</v>
      </c>
      <c r="M158" s="69" t="b">
        <f aca="false">IF(IFERROR(INDEX(tsk_Name,GanttView[[#This Row],[_Row]])="",TRUE()),FALSE(),INDEX(tsk_IsSummary,GanttView[[#This Row],[_Row]]))</f>
        <v>0</v>
      </c>
      <c r="N158" s="69" t="b">
        <f aca="false">IF(IFERROR(INDEX(tsk_Name,GanttView[[#This Row],[_Row]])="",TRUE()),FALSE(),AND(INDEX(tsk_IsLeaf,GanttView[[#This Row],[_Row]])=1,N(INDEX(tsk_Duration,GanttView[[#This Row],[_Row]]))=0))</f>
        <v>0</v>
      </c>
      <c r="O15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70" t="n">
        <f aca="false">IF(GanttView[[#This Row],[_RemFrom]]=0,0,GanttView[[#This Row],[Forecast Finish]])</f>
        <v>0</v>
      </c>
      <c r="S158" s="69" t="b">
        <f aca="false">IF(IFERROR(INDEX(tsk_Name,GanttView[[#This Row],[_Row]])="",TRUE()),FALSE(),N(INDEX(tsk_Variance,GanttView[[#This Row],[_Row]]))&gt;0)</f>
        <v>0</v>
      </c>
      <c r="T158" s="70" t="n">
        <f aca="false">IF(IFERROR(INDEX(tsk_Name,GanttView[[#This Row],[_Row]])="",TRUE()),0,N(INDEX(tsk_Deadline,GanttView[[#This Row],[_Row]])))</f>
        <v>0</v>
      </c>
      <c r="U158" s="69" t="b">
        <f aca="false">IF(IFERROR(INDEX(tsk_Name,GanttView[[#This Row],[_Row]])="",TRUE()),FALSE(),INDEX(tsk_Critical,GanttView[[#This Row],[_Row]])="Yes")</f>
        <v>0</v>
      </c>
    </row>
    <row r="159" customFormat="false" ht="15" hidden="false" customHeight="false" outlineLevel="0" collapsed="false">
      <c r="A159" s="64" t="str">
        <f aca="false">IF(IFERROR(INDEX(tsk_Name,GanttView[[#This Row],[_Row]])="",TRUE()),"",INDEX(tsk_ID,GanttView[[#This Row],[_Row]]))</f>
        <v/>
      </c>
      <c r="B159" s="64" t="str">
        <f aca="false">IF(IFERROR(INDEX(tsk_Name,GanttView[[#This Row],[_Row]])="",TRUE()),"",INDEX(tsk_WBS,GanttView[[#This Row],[_Row]]))</f>
        <v/>
      </c>
      <c r="C159" s="65" t="str">
        <f aca="false">IF(IFERROR(INDEX(tsk_Name,GanttView[[#This Row],[_Row]])="",TRUE()),"",REPT("    ",INDEX(tsk_Level,GanttView[[#This Row],[_Row]])-1)&amp;INDEX(tsk_Name,GanttView[[#This Row],[_Row]]))</f>
        <v/>
      </c>
      <c r="D15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6" t="str">
        <f aca="false">IF(IFERROR(INDEX(tsk_Name,GanttView[[#This Row],[_Row]])="",TRUE()),"",INDEX(tsk_PlanStart,GanttView[[#This Row],[_Row]]))</f>
        <v/>
      </c>
      <c r="F159" s="66" t="str">
        <f aca="false">IF(IFERROR(INDEX(tsk_Name,GanttView[[#This Row],[_Row]])="",TRUE()),"",INDEX(tsk_PlanFinish,GanttView[[#This Row],[_Row]]))</f>
        <v/>
      </c>
      <c r="G159" s="66" t="str">
        <f aca="false">IF(IFERROR(INDEX(tsk_Name,GanttView[[#This Row],[_Row]])="",TRUE()),"",INDEX(tsk_FcStart,GanttView[[#This Row],[_Row]]))</f>
        <v/>
      </c>
      <c r="H159" s="66" t="str">
        <f aca="false">IF(IFERROR(INDEX(tsk_Name,GanttView[[#This Row],[_Row]])="",TRUE()),"",INDEX(tsk_FcFinish,GanttView[[#This Row],[_Row]]))</f>
        <v/>
      </c>
      <c r="I159" s="67" t="str">
        <f aca="false">IF(IFERROR(INDEX(tsk_Name,GanttView[[#This Row],[_Row]])="",TRUE()),"",INDEX(tsk_Progress,GanttView[[#This Row],[_Row]]))</f>
        <v/>
      </c>
      <c r="J159" s="65" t="str">
        <f aca="false">IF(IFERROR(INDEX(tsk_Name,GanttView[[#This Row],[_Row]])="",TRUE()),"",INDEX(tsk_Resource,GanttView[[#This Row],[_Row]])&amp;"")</f>
        <v/>
      </c>
      <c r="K159" s="64" t="str">
        <f aca="false">IF(IFERROR(INDEX(tsk_Name,GanttView[[#This Row],[_Row]])="",TRUE()),"",INDEX(tsk_Status,GanttView[[#This Row],[_Row]]))</f>
        <v/>
      </c>
      <c r="L159" s="68" t="n">
        <f aca="false">ROW()-ROW(GanttView[[#Headers],[ID]])</f>
        <v>154</v>
      </c>
      <c r="M159" s="69" t="b">
        <f aca="false">IF(IFERROR(INDEX(tsk_Name,GanttView[[#This Row],[_Row]])="",TRUE()),FALSE(),INDEX(tsk_IsSummary,GanttView[[#This Row],[_Row]]))</f>
        <v>0</v>
      </c>
      <c r="N159" s="69" t="b">
        <f aca="false">IF(IFERROR(INDEX(tsk_Name,GanttView[[#This Row],[_Row]])="",TRUE()),FALSE(),AND(INDEX(tsk_IsLeaf,GanttView[[#This Row],[_Row]])=1,N(INDEX(tsk_Duration,GanttView[[#This Row],[_Row]]))=0))</f>
        <v>0</v>
      </c>
      <c r="O15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70" t="n">
        <f aca="false">IF(GanttView[[#This Row],[_RemFrom]]=0,0,GanttView[[#This Row],[Forecast Finish]])</f>
        <v>0</v>
      </c>
      <c r="S159" s="69" t="b">
        <f aca="false">IF(IFERROR(INDEX(tsk_Name,GanttView[[#This Row],[_Row]])="",TRUE()),FALSE(),N(INDEX(tsk_Variance,GanttView[[#This Row],[_Row]]))&gt;0)</f>
        <v>0</v>
      </c>
      <c r="T159" s="70" t="n">
        <f aca="false">IF(IFERROR(INDEX(tsk_Name,GanttView[[#This Row],[_Row]])="",TRUE()),0,N(INDEX(tsk_Deadline,GanttView[[#This Row],[_Row]])))</f>
        <v>0</v>
      </c>
      <c r="U159" s="69" t="b">
        <f aca="false">IF(IFERROR(INDEX(tsk_Name,GanttView[[#This Row],[_Row]])="",TRUE()),FALSE(),INDEX(tsk_Critical,GanttView[[#This Row],[_Row]])="Yes")</f>
        <v>0</v>
      </c>
    </row>
    <row r="160" customFormat="false" ht="15" hidden="false" customHeight="false" outlineLevel="0" collapsed="false">
      <c r="A160" s="64" t="str">
        <f aca="false">IF(IFERROR(INDEX(tsk_Name,GanttView[[#This Row],[_Row]])="",TRUE()),"",INDEX(tsk_ID,GanttView[[#This Row],[_Row]]))</f>
        <v/>
      </c>
      <c r="B160" s="64" t="str">
        <f aca="false">IF(IFERROR(INDEX(tsk_Name,GanttView[[#This Row],[_Row]])="",TRUE()),"",INDEX(tsk_WBS,GanttView[[#This Row],[_Row]]))</f>
        <v/>
      </c>
      <c r="C160" s="65" t="str">
        <f aca="false">IF(IFERROR(INDEX(tsk_Name,GanttView[[#This Row],[_Row]])="",TRUE()),"",REPT("    ",INDEX(tsk_Level,GanttView[[#This Row],[_Row]])-1)&amp;INDEX(tsk_Name,GanttView[[#This Row],[_Row]]))</f>
        <v/>
      </c>
      <c r="D16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6" t="str">
        <f aca="false">IF(IFERROR(INDEX(tsk_Name,GanttView[[#This Row],[_Row]])="",TRUE()),"",INDEX(tsk_PlanStart,GanttView[[#This Row],[_Row]]))</f>
        <v/>
      </c>
      <c r="F160" s="66" t="str">
        <f aca="false">IF(IFERROR(INDEX(tsk_Name,GanttView[[#This Row],[_Row]])="",TRUE()),"",INDEX(tsk_PlanFinish,GanttView[[#This Row],[_Row]]))</f>
        <v/>
      </c>
      <c r="G160" s="66" t="str">
        <f aca="false">IF(IFERROR(INDEX(tsk_Name,GanttView[[#This Row],[_Row]])="",TRUE()),"",INDEX(tsk_FcStart,GanttView[[#This Row],[_Row]]))</f>
        <v/>
      </c>
      <c r="H160" s="66" t="str">
        <f aca="false">IF(IFERROR(INDEX(tsk_Name,GanttView[[#This Row],[_Row]])="",TRUE()),"",INDEX(tsk_FcFinish,GanttView[[#This Row],[_Row]]))</f>
        <v/>
      </c>
      <c r="I160" s="67" t="str">
        <f aca="false">IF(IFERROR(INDEX(tsk_Name,GanttView[[#This Row],[_Row]])="",TRUE()),"",INDEX(tsk_Progress,GanttView[[#This Row],[_Row]]))</f>
        <v/>
      </c>
      <c r="J160" s="65" t="str">
        <f aca="false">IF(IFERROR(INDEX(tsk_Name,GanttView[[#This Row],[_Row]])="",TRUE()),"",INDEX(tsk_Resource,GanttView[[#This Row],[_Row]])&amp;"")</f>
        <v/>
      </c>
      <c r="K160" s="64" t="str">
        <f aca="false">IF(IFERROR(INDEX(tsk_Name,GanttView[[#This Row],[_Row]])="",TRUE()),"",INDEX(tsk_Status,GanttView[[#This Row],[_Row]]))</f>
        <v/>
      </c>
      <c r="L160" s="68" t="n">
        <f aca="false">ROW()-ROW(GanttView[[#Headers],[ID]])</f>
        <v>155</v>
      </c>
      <c r="M160" s="69" t="b">
        <f aca="false">IF(IFERROR(INDEX(tsk_Name,GanttView[[#This Row],[_Row]])="",TRUE()),FALSE(),INDEX(tsk_IsSummary,GanttView[[#This Row],[_Row]]))</f>
        <v>0</v>
      </c>
      <c r="N160" s="69" t="b">
        <f aca="false">IF(IFERROR(INDEX(tsk_Name,GanttView[[#This Row],[_Row]])="",TRUE()),FALSE(),AND(INDEX(tsk_IsLeaf,GanttView[[#This Row],[_Row]])=1,N(INDEX(tsk_Duration,GanttView[[#This Row],[_Row]]))=0))</f>
        <v>0</v>
      </c>
      <c r="O16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70" t="n">
        <f aca="false">IF(GanttView[[#This Row],[_RemFrom]]=0,0,GanttView[[#This Row],[Forecast Finish]])</f>
        <v>0</v>
      </c>
      <c r="S160" s="69" t="b">
        <f aca="false">IF(IFERROR(INDEX(tsk_Name,GanttView[[#This Row],[_Row]])="",TRUE()),FALSE(),N(INDEX(tsk_Variance,GanttView[[#This Row],[_Row]]))&gt;0)</f>
        <v>0</v>
      </c>
      <c r="T160" s="70" t="n">
        <f aca="false">IF(IFERROR(INDEX(tsk_Name,GanttView[[#This Row],[_Row]])="",TRUE()),0,N(INDEX(tsk_Deadline,GanttView[[#This Row],[_Row]])))</f>
        <v>0</v>
      </c>
      <c r="U160" s="69" t="b">
        <f aca="false">IF(IFERROR(INDEX(tsk_Name,GanttView[[#This Row],[_Row]])="",TRUE()),FALSE(),INDEX(tsk_Critical,GanttView[[#This Row],[_Row]])="Yes")</f>
        <v>0</v>
      </c>
    </row>
    <row r="161" customFormat="false" ht="15" hidden="false" customHeight="false" outlineLevel="0" collapsed="false">
      <c r="A161" s="64" t="str">
        <f aca="false">IF(IFERROR(INDEX(tsk_Name,GanttView[[#This Row],[_Row]])="",TRUE()),"",INDEX(tsk_ID,GanttView[[#This Row],[_Row]]))</f>
        <v/>
      </c>
      <c r="B161" s="64" t="str">
        <f aca="false">IF(IFERROR(INDEX(tsk_Name,GanttView[[#This Row],[_Row]])="",TRUE()),"",INDEX(tsk_WBS,GanttView[[#This Row],[_Row]]))</f>
        <v/>
      </c>
      <c r="C161" s="65" t="str">
        <f aca="false">IF(IFERROR(INDEX(tsk_Name,GanttView[[#This Row],[_Row]])="",TRUE()),"",REPT("    ",INDEX(tsk_Level,GanttView[[#This Row],[_Row]])-1)&amp;INDEX(tsk_Name,GanttView[[#This Row],[_Row]]))</f>
        <v/>
      </c>
      <c r="D16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6" t="str">
        <f aca="false">IF(IFERROR(INDEX(tsk_Name,GanttView[[#This Row],[_Row]])="",TRUE()),"",INDEX(tsk_PlanStart,GanttView[[#This Row],[_Row]]))</f>
        <v/>
      </c>
      <c r="F161" s="66" t="str">
        <f aca="false">IF(IFERROR(INDEX(tsk_Name,GanttView[[#This Row],[_Row]])="",TRUE()),"",INDEX(tsk_PlanFinish,GanttView[[#This Row],[_Row]]))</f>
        <v/>
      </c>
      <c r="G161" s="66" t="str">
        <f aca="false">IF(IFERROR(INDEX(tsk_Name,GanttView[[#This Row],[_Row]])="",TRUE()),"",INDEX(tsk_FcStart,GanttView[[#This Row],[_Row]]))</f>
        <v/>
      </c>
      <c r="H161" s="66" t="str">
        <f aca="false">IF(IFERROR(INDEX(tsk_Name,GanttView[[#This Row],[_Row]])="",TRUE()),"",INDEX(tsk_FcFinish,GanttView[[#This Row],[_Row]]))</f>
        <v/>
      </c>
      <c r="I161" s="67" t="str">
        <f aca="false">IF(IFERROR(INDEX(tsk_Name,GanttView[[#This Row],[_Row]])="",TRUE()),"",INDEX(tsk_Progress,GanttView[[#This Row],[_Row]]))</f>
        <v/>
      </c>
      <c r="J161" s="65" t="str">
        <f aca="false">IF(IFERROR(INDEX(tsk_Name,GanttView[[#This Row],[_Row]])="",TRUE()),"",INDEX(tsk_Resource,GanttView[[#This Row],[_Row]])&amp;"")</f>
        <v/>
      </c>
      <c r="K161" s="64" t="str">
        <f aca="false">IF(IFERROR(INDEX(tsk_Name,GanttView[[#This Row],[_Row]])="",TRUE()),"",INDEX(tsk_Status,GanttView[[#This Row],[_Row]]))</f>
        <v/>
      </c>
      <c r="L161" s="68" t="n">
        <f aca="false">ROW()-ROW(GanttView[[#Headers],[ID]])</f>
        <v>156</v>
      </c>
      <c r="M161" s="69" t="b">
        <f aca="false">IF(IFERROR(INDEX(tsk_Name,GanttView[[#This Row],[_Row]])="",TRUE()),FALSE(),INDEX(tsk_IsSummary,GanttView[[#This Row],[_Row]]))</f>
        <v>0</v>
      </c>
      <c r="N161" s="69" t="b">
        <f aca="false">IF(IFERROR(INDEX(tsk_Name,GanttView[[#This Row],[_Row]])="",TRUE()),FALSE(),AND(INDEX(tsk_IsLeaf,GanttView[[#This Row],[_Row]])=1,N(INDEX(tsk_Duration,GanttView[[#This Row],[_Row]]))=0))</f>
        <v>0</v>
      </c>
      <c r="O16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70" t="n">
        <f aca="false">IF(GanttView[[#This Row],[_RemFrom]]=0,0,GanttView[[#This Row],[Forecast Finish]])</f>
        <v>0</v>
      </c>
      <c r="S161" s="69" t="b">
        <f aca="false">IF(IFERROR(INDEX(tsk_Name,GanttView[[#This Row],[_Row]])="",TRUE()),FALSE(),N(INDEX(tsk_Variance,GanttView[[#This Row],[_Row]]))&gt;0)</f>
        <v>0</v>
      </c>
      <c r="T161" s="70" t="n">
        <f aca="false">IF(IFERROR(INDEX(tsk_Name,GanttView[[#This Row],[_Row]])="",TRUE()),0,N(INDEX(tsk_Deadline,GanttView[[#This Row],[_Row]])))</f>
        <v>0</v>
      </c>
      <c r="U161" s="69" t="b">
        <f aca="false">IF(IFERROR(INDEX(tsk_Name,GanttView[[#This Row],[_Row]])="",TRUE()),FALSE(),INDEX(tsk_Critical,GanttView[[#This Row],[_Row]])="Yes")</f>
        <v>0</v>
      </c>
    </row>
    <row r="162" customFormat="false" ht="15" hidden="false" customHeight="false" outlineLevel="0" collapsed="false">
      <c r="A162" s="64" t="str">
        <f aca="false">IF(IFERROR(INDEX(tsk_Name,GanttView[[#This Row],[_Row]])="",TRUE()),"",INDEX(tsk_ID,GanttView[[#This Row],[_Row]]))</f>
        <v/>
      </c>
      <c r="B162" s="64" t="str">
        <f aca="false">IF(IFERROR(INDEX(tsk_Name,GanttView[[#This Row],[_Row]])="",TRUE()),"",INDEX(tsk_WBS,GanttView[[#This Row],[_Row]]))</f>
        <v/>
      </c>
      <c r="C162" s="65" t="str">
        <f aca="false">IF(IFERROR(INDEX(tsk_Name,GanttView[[#This Row],[_Row]])="",TRUE()),"",REPT("    ",INDEX(tsk_Level,GanttView[[#This Row],[_Row]])-1)&amp;INDEX(tsk_Name,GanttView[[#This Row],[_Row]]))</f>
        <v/>
      </c>
      <c r="D16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6" t="str">
        <f aca="false">IF(IFERROR(INDEX(tsk_Name,GanttView[[#This Row],[_Row]])="",TRUE()),"",INDEX(tsk_PlanStart,GanttView[[#This Row],[_Row]]))</f>
        <v/>
      </c>
      <c r="F162" s="66" t="str">
        <f aca="false">IF(IFERROR(INDEX(tsk_Name,GanttView[[#This Row],[_Row]])="",TRUE()),"",INDEX(tsk_PlanFinish,GanttView[[#This Row],[_Row]]))</f>
        <v/>
      </c>
      <c r="G162" s="66" t="str">
        <f aca="false">IF(IFERROR(INDEX(tsk_Name,GanttView[[#This Row],[_Row]])="",TRUE()),"",INDEX(tsk_FcStart,GanttView[[#This Row],[_Row]]))</f>
        <v/>
      </c>
      <c r="H162" s="66" t="str">
        <f aca="false">IF(IFERROR(INDEX(tsk_Name,GanttView[[#This Row],[_Row]])="",TRUE()),"",INDEX(tsk_FcFinish,GanttView[[#This Row],[_Row]]))</f>
        <v/>
      </c>
      <c r="I162" s="67" t="str">
        <f aca="false">IF(IFERROR(INDEX(tsk_Name,GanttView[[#This Row],[_Row]])="",TRUE()),"",INDEX(tsk_Progress,GanttView[[#This Row],[_Row]]))</f>
        <v/>
      </c>
      <c r="J162" s="65" t="str">
        <f aca="false">IF(IFERROR(INDEX(tsk_Name,GanttView[[#This Row],[_Row]])="",TRUE()),"",INDEX(tsk_Resource,GanttView[[#This Row],[_Row]])&amp;"")</f>
        <v/>
      </c>
      <c r="K162" s="64" t="str">
        <f aca="false">IF(IFERROR(INDEX(tsk_Name,GanttView[[#This Row],[_Row]])="",TRUE()),"",INDEX(tsk_Status,GanttView[[#This Row],[_Row]]))</f>
        <v/>
      </c>
      <c r="L162" s="68" t="n">
        <f aca="false">ROW()-ROW(GanttView[[#Headers],[ID]])</f>
        <v>157</v>
      </c>
      <c r="M162" s="69" t="b">
        <f aca="false">IF(IFERROR(INDEX(tsk_Name,GanttView[[#This Row],[_Row]])="",TRUE()),FALSE(),INDEX(tsk_IsSummary,GanttView[[#This Row],[_Row]]))</f>
        <v>0</v>
      </c>
      <c r="N162" s="69" t="b">
        <f aca="false">IF(IFERROR(INDEX(tsk_Name,GanttView[[#This Row],[_Row]])="",TRUE()),FALSE(),AND(INDEX(tsk_IsLeaf,GanttView[[#This Row],[_Row]])=1,N(INDEX(tsk_Duration,GanttView[[#This Row],[_Row]]))=0))</f>
        <v>0</v>
      </c>
      <c r="O16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70" t="n">
        <f aca="false">IF(GanttView[[#This Row],[_RemFrom]]=0,0,GanttView[[#This Row],[Forecast Finish]])</f>
        <v>0</v>
      </c>
      <c r="S162" s="69" t="b">
        <f aca="false">IF(IFERROR(INDEX(tsk_Name,GanttView[[#This Row],[_Row]])="",TRUE()),FALSE(),N(INDEX(tsk_Variance,GanttView[[#This Row],[_Row]]))&gt;0)</f>
        <v>0</v>
      </c>
      <c r="T162" s="70" t="n">
        <f aca="false">IF(IFERROR(INDEX(tsk_Name,GanttView[[#This Row],[_Row]])="",TRUE()),0,N(INDEX(tsk_Deadline,GanttView[[#This Row],[_Row]])))</f>
        <v>0</v>
      </c>
      <c r="U162" s="69" t="b">
        <f aca="false">IF(IFERROR(INDEX(tsk_Name,GanttView[[#This Row],[_Row]])="",TRUE()),FALSE(),INDEX(tsk_Critical,GanttView[[#This Row],[_Row]])="Yes")</f>
        <v>0</v>
      </c>
    </row>
    <row r="163" customFormat="false" ht="15" hidden="false" customHeight="false" outlineLevel="0" collapsed="false">
      <c r="A163" s="64" t="str">
        <f aca="false">IF(IFERROR(INDEX(tsk_Name,GanttView[[#This Row],[_Row]])="",TRUE()),"",INDEX(tsk_ID,GanttView[[#This Row],[_Row]]))</f>
        <v/>
      </c>
      <c r="B163" s="64" t="str">
        <f aca="false">IF(IFERROR(INDEX(tsk_Name,GanttView[[#This Row],[_Row]])="",TRUE()),"",INDEX(tsk_WBS,GanttView[[#This Row],[_Row]]))</f>
        <v/>
      </c>
      <c r="C163" s="65" t="str">
        <f aca="false">IF(IFERROR(INDEX(tsk_Name,GanttView[[#This Row],[_Row]])="",TRUE()),"",REPT("    ",INDEX(tsk_Level,GanttView[[#This Row],[_Row]])-1)&amp;INDEX(tsk_Name,GanttView[[#This Row],[_Row]]))</f>
        <v/>
      </c>
      <c r="D16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6" t="str">
        <f aca="false">IF(IFERROR(INDEX(tsk_Name,GanttView[[#This Row],[_Row]])="",TRUE()),"",INDEX(tsk_PlanStart,GanttView[[#This Row],[_Row]]))</f>
        <v/>
      </c>
      <c r="F163" s="66" t="str">
        <f aca="false">IF(IFERROR(INDEX(tsk_Name,GanttView[[#This Row],[_Row]])="",TRUE()),"",INDEX(tsk_PlanFinish,GanttView[[#This Row],[_Row]]))</f>
        <v/>
      </c>
      <c r="G163" s="66" t="str">
        <f aca="false">IF(IFERROR(INDEX(tsk_Name,GanttView[[#This Row],[_Row]])="",TRUE()),"",INDEX(tsk_FcStart,GanttView[[#This Row],[_Row]]))</f>
        <v/>
      </c>
      <c r="H163" s="66" t="str">
        <f aca="false">IF(IFERROR(INDEX(tsk_Name,GanttView[[#This Row],[_Row]])="",TRUE()),"",INDEX(tsk_FcFinish,GanttView[[#This Row],[_Row]]))</f>
        <v/>
      </c>
      <c r="I163" s="67" t="str">
        <f aca="false">IF(IFERROR(INDEX(tsk_Name,GanttView[[#This Row],[_Row]])="",TRUE()),"",INDEX(tsk_Progress,GanttView[[#This Row],[_Row]]))</f>
        <v/>
      </c>
      <c r="J163" s="65" t="str">
        <f aca="false">IF(IFERROR(INDEX(tsk_Name,GanttView[[#This Row],[_Row]])="",TRUE()),"",INDEX(tsk_Resource,GanttView[[#This Row],[_Row]])&amp;"")</f>
        <v/>
      </c>
      <c r="K163" s="64" t="str">
        <f aca="false">IF(IFERROR(INDEX(tsk_Name,GanttView[[#This Row],[_Row]])="",TRUE()),"",INDEX(tsk_Status,GanttView[[#This Row],[_Row]]))</f>
        <v/>
      </c>
      <c r="L163" s="68" t="n">
        <f aca="false">ROW()-ROW(GanttView[[#Headers],[ID]])</f>
        <v>158</v>
      </c>
      <c r="M163" s="69" t="b">
        <f aca="false">IF(IFERROR(INDEX(tsk_Name,GanttView[[#This Row],[_Row]])="",TRUE()),FALSE(),INDEX(tsk_IsSummary,GanttView[[#This Row],[_Row]]))</f>
        <v>0</v>
      </c>
      <c r="N163" s="69" t="b">
        <f aca="false">IF(IFERROR(INDEX(tsk_Name,GanttView[[#This Row],[_Row]])="",TRUE()),FALSE(),AND(INDEX(tsk_IsLeaf,GanttView[[#This Row],[_Row]])=1,N(INDEX(tsk_Duration,GanttView[[#This Row],[_Row]]))=0))</f>
        <v>0</v>
      </c>
      <c r="O16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70" t="n">
        <f aca="false">IF(GanttView[[#This Row],[_RemFrom]]=0,0,GanttView[[#This Row],[Forecast Finish]])</f>
        <v>0</v>
      </c>
      <c r="S163" s="69" t="b">
        <f aca="false">IF(IFERROR(INDEX(tsk_Name,GanttView[[#This Row],[_Row]])="",TRUE()),FALSE(),N(INDEX(tsk_Variance,GanttView[[#This Row],[_Row]]))&gt;0)</f>
        <v>0</v>
      </c>
      <c r="T163" s="70" t="n">
        <f aca="false">IF(IFERROR(INDEX(tsk_Name,GanttView[[#This Row],[_Row]])="",TRUE()),0,N(INDEX(tsk_Deadline,GanttView[[#This Row],[_Row]])))</f>
        <v>0</v>
      </c>
      <c r="U163" s="69" t="b">
        <f aca="false">IF(IFERROR(INDEX(tsk_Name,GanttView[[#This Row],[_Row]])="",TRUE()),FALSE(),INDEX(tsk_Critical,GanttView[[#This Row],[_Row]])="Yes")</f>
        <v>0</v>
      </c>
    </row>
    <row r="164" customFormat="false" ht="15" hidden="false" customHeight="false" outlineLevel="0" collapsed="false">
      <c r="A164" s="64" t="str">
        <f aca="false">IF(IFERROR(INDEX(tsk_Name,GanttView[[#This Row],[_Row]])="",TRUE()),"",INDEX(tsk_ID,GanttView[[#This Row],[_Row]]))</f>
        <v/>
      </c>
      <c r="B164" s="64" t="str">
        <f aca="false">IF(IFERROR(INDEX(tsk_Name,GanttView[[#This Row],[_Row]])="",TRUE()),"",INDEX(tsk_WBS,GanttView[[#This Row],[_Row]]))</f>
        <v/>
      </c>
      <c r="C164" s="65" t="str">
        <f aca="false">IF(IFERROR(INDEX(tsk_Name,GanttView[[#This Row],[_Row]])="",TRUE()),"",REPT("    ",INDEX(tsk_Level,GanttView[[#This Row],[_Row]])-1)&amp;INDEX(tsk_Name,GanttView[[#This Row],[_Row]]))</f>
        <v/>
      </c>
      <c r="D16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6" t="str">
        <f aca="false">IF(IFERROR(INDEX(tsk_Name,GanttView[[#This Row],[_Row]])="",TRUE()),"",INDEX(tsk_PlanStart,GanttView[[#This Row],[_Row]]))</f>
        <v/>
      </c>
      <c r="F164" s="66" t="str">
        <f aca="false">IF(IFERROR(INDEX(tsk_Name,GanttView[[#This Row],[_Row]])="",TRUE()),"",INDEX(tsk_PlanFinish,GanttView[[#This Row],[_Row]]))</f>
        <v/>
      </c>
      <c r="G164" s="66" t="str">
        <f aca="false">IF(IFERROR(INDEX(tsk_Name,GanttView[[#This Row],[_Row]])="",TRUE()),"",INDEX(tsk_FcStart,GanttView[[#This Row],[_Row]]))</f>
        <v/>
      </c>
      <c r="H164" s="66" t="str">
        <f aca="false">IF(IFERROR(INDEX(tsk_Name,GanttView[[#This Row],[_Row]])="",TRUE()),"",INDEX(tsk_FcFinish,GanttView[[#This Row],[_Row]]))</f>
        <v/>
      </c>
      <c r="I164" s="67" t="str">
        <f aca="false">IF(IFERROR(INDEX(tsk_Name,GanttView[[#This Row],[_Row]])="",TRUE()),"",INDEX(tsk_Progress,GanttView[[#This Row],[_Row]]))</f>
        <v/>
      </c>
      <c r="J164" s="65" t="str">
        <f aca="false">IF(IFERROR(INDEX(tsk_Name,GanttView[[#This Row],[_Row]])="",TRUE()),"",INDEX(tsk_Resource,GanttView[[#This Row],[_Row]])&amp;"")</f>
        <v/>
      </c>
      <c r="K164" s="64" t="str">
        <f aca="false">IF(IFERROR(INDEX(tsk_Name,GanttView[[#This Row],[_Row]])="",TRUE()),"",INDEX(tsk_Status,GanttView[[#This Row],[_Row]]))</f>
        <v/>
      </c>
      <c r="L164" s="68" t="n">
        <f aca="false">ROW()-ROW(GanttView[[#Headers],[ID]])</f>
        <v>159</v>
      </c>
      <c r="M164" s="69" t="b">
        <f aca="false">IF(IFERROR(INDEX(tsk_Name,GanttView[[#This Row],[_Row]])="",TRUE()),FALSE(),INDEX(tsk_IsSummary,GanttView[[#This Row],[_Row]]))</f>
        <v>0</v>
      </c>
      <c r="N164" s="69" t="b">
        <f aca="false">IF(IFERROR(INDEX(tsk_Name,GanttView[[#This Row],[_Row]])="",TRUE()),FALSE(),AND(INDEX(tsk_IsLeaf,GanttView[[#This Row],[_Row]])=1,N(INDEX(tsk_Duration,GanttView[[#This Row],[_Row]]))=0))</f>
        <v>0</v>
      </c>
      <c r="O16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70" t="n">
        <f aca="false">IF(GanttView[[#This Row],[_RemFrom]]=0,0,GanttView[[#This Row],[Forecast Finish]])</f>
        <v>0</v>
      </c>
      <c r="S164" s="69" t="b">
        <f aca="false">IF(IFERROR(INDEX(tsk_Name,GanttView[[#This Row],[_Row]])="",TRUE()),FALSE(),N(INDEX(tsk_Variance,GanttView[[#This Row],[_Row]]))&gt;0)</f>
        <v>0</v>
      </c>
      <c r="T164" s="70" t="n">
        <f aca="false">IF(IFERROR(INDEX(tsk_Name,GanttView[[#This Row],[_Row]])="",TRUE()),0,N(INDEX(tsk_Deadline,GanttView[[#This Row],[_Row]])))</f>
        <v>0</v>
      </c>
      <c r="U164" s="69" t="b">
        <f aca="false">IF(IFERROR(INDEX(tsk_Name,GanttView[[#This Row],[_Row]])="",TRUE()),FALSE(),INDEX(tsk_Critical,GanttView[[#This Row],[_Row]])="Yes")</f>
        <v>0</v>
      </c>
    </row>
    <row r="165" customFormat="false" ht="15" hidden="false" customHeight="false" outlineLevel="0" collapsed="false">
      <c r="A165" s="64" t="str">
        <f aca="false">IF(IFERROR(INDEX(tsk_Name,GanttView[[#This Row],[_Row]])="",TRUE()),"",INDEX(tsk_ID,GanttView[[#This Row],[_Row]]))</f>
        <v/>
      </c>
      <c r="B165" s="64" t="str">
        <f aca="false">IF(IFERROR(INDEX(tsk_Name,GanttView[[#This Row],[_Row]])="",TRUE()),"",INDEX(tsk_WBS,GanttView[[#This Row],[_Row]]))</f>
        <v/>
      </c>
      <c r="C165" s="65" t="str">
        <f aca="false">IF(IFERROR(INDEX(tsk_Name,GanttView[[#This Row],[_Row]])="",TRUE()),"",REPT("    ",INDEX(tsk_Level,GanttView[[#This Row],[_Row]])-1)&amp;INDEX(tsk_Name,GanttView[[#This Row],[_Row]]))</f>
        <v/>
      </c>
      <c r="D16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6" t="str">
        <f aca="false">IF(IFERROR(INDEX(tsk_Name,GanttView[[#This Row],[_Row]])="",TRUE()),"",INDEX(tsk_PlanStart,GanttView[[#This Row],[_Row]]))</f>
        <v/>
      </c>
      <c r="F165" s="66" t="str">
        <f aca="false">IF(IFERROR(INDEX(tsk_Name,GanttView[[#This Row],[_Row]])="",TRUE()),"",INDEX(tsk_PlanFinish,GanttView[[#This Row],[_Row]]))</f>
        <v/>
      </c>
      <c r="G165" s="66" t="str">
        <f aca="false">IF(IFERROR(INDEX(tsk_Name,GanttView[[#This Row],[_Row]])="",TRUE()),"",INDEX(tsk_FcStart,GanttView[[#This Row],[_Row]]))</f>
        <v/>
      </c>
      <c r="H165" s="66" t="str">
        <f aca="false">IF(IFERROR(INDEX(tsk_Name,GanttView[[#This Row],[_Row]])="",TRUE()),"",INDEX(tsk_FcFinish,GanttView[[#This Row],[_Row]]))</f>
        <v/>
      </c>
      <c r="I165" s="67" t="str">
        <f aca="false">IF(IFERROR(INDEX(tsk_Name,GanttView[[#This Row],[_Row]])="",TRUE()),"",INDEX(tsk_Progress,GanttView[[#This Row],[_Row]]))</f>
        <v/>
      </c>
      <c r="J165" s="65" t="str">
        <f aca="false">IF(IFERROR(INDEX(tsk_Name,GanttView[[#This Row],[_Row]])="",TRUE()),"",INDEX(tsk_Resource,GanttView[[#This Row],[_Row]])&amp;"")</f>
        <v/>
      </c>
      <c r="K165" s="64" t="str">
        <f aca="false">IF(IFERROR(INDEX(tsk_Name,GanttView[[#This Row],[_Row]])="",TRUE()),"",INDEX(tsk_Status,GanttView[[#This Row],[_Row]]))</f>
        <v/>
      </c>
      <c r="L165" s="68" t="n">
        <f aca="false">ROW()-ROW(GanttView[[#Headers],[ID]])</f>
        <v>160</v>
      </c>
      <c r="M165" s="69" t="b">
        <f aca="false">IF(IFERROR(INDEX(tsk_Name,GanttView[[#This Row],[_Row]])="",TRUE()),FALSE(),INDEX(tsk_IsSummary,GanttView[[#This Row],[_Row]]))</f>
        <v>0</v>
      </c>
      <c r="N165" s="69" t="b">
        <f aca="false">IF(IFERROR(INDEX(tsk_Name,GanttView[[#This Row],[_Row]])="",TRUE()),FALSE(),AND(INDEX(tsk_IsLeaf,GanttView[[#This Row],[_Row]])=1,N(INDEX(tsk_Duration,GanttView[[#This Row],[_Row]]))=0))</f>
        <v>0</v>
      </c>
      <c r="O16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70" t="n">
        <f aca="false">IF(GanttView[[#This Row],[_RemFrom]]=0,0,GanttView[[#This Row],[Forecast Finish]])</f>
        <v>0</v>
      </c>
      <c r="S165" s="69" t="b">
        <f aca="false">IF(IFERROR(INDEX(tsk_Name,GanttView[[#This Row],[_Row]])="",TRUE()),FALSE(),N(INDEX(tsk_Variance,GanttView[[#This Row],[_Row]]))&gt;0)</f>
        <v>0</v>
      </c>
      <c r="T165" s="70" t="n">
        <f aca="false">IF(IFERROR(INDEX(tsk_Name,GanttView[[#This Row],[_Row]])="",TRUE()),0,N(INDEX(tsk_Deadline,GanttView[[#This Row],[_Row]])))</f>
        <v>0</v>
      </c>
      <c r="U165" s="69" t="b">
        <f aca="false">IF(IFERROR(INDEX(tsk_Name,GanttView[[#This Row],[_Row]])="",TRUE()),FALSE(),INDEX(tsk_Critical,GanttView[[#This Row],[_Row]])="Yes")</f>
        <v>0</v>
      </c>
    </row>
    <row r="166" customFormat="false" ht="15" hidden="false" customHeight="false" outlineLevel="0" collapsed="false">
      <c r="A166" s="64" t="str">
        <f aca="false">IF(IFERROR(INDEX(tsk_Name,GanttView[[#This Row],[_Row]])="",TRUE()),"",INDEX(tsk_ID,GanttView[[#This Row],[_Row]]))</f>
        <v/>
      </c>
      <c r="B166" s="64" t="str">
        <f aca="false">IF(IFERROR(INDEX(tsk_Name,GanttView[[#This Row],[_Row]])="",TRUE()),"",INDEX(tsk_WBS,GanttView[[#This Row],[_Row]]))</f>
        <v/>
      </c>
      <c r="C166" s="65" t="str">
        <f aca="false">IF(IFERROR(INDEX(tsk_Name,GanttView[[#This Row],[_Row]])="",TRUE()),"",REPT("    ",INDEX(tsk_Level,GanttView[[#This Row],[_Row]])-1)&amp;INDEX(tsk_Name,GanttView[[#This Row],[_Row]]))</f>
        <v/>
      </c>
      <c r="D16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6" t="str">
        <f aca="false">IF(IFERROR(INDEX(tsk_Name,GanttView[[#This Row],[_Row]])="",TRUE()),"",INDEX(tsk_PlanStart,GanttView[[#This Row],[_Row]]))</f>
        <v/>
      </c>
      <c r="F166" s="66" t="str">
        <f aca="false">IF(IFERROR(INDEX(tsk_Name,GanttView[[#This Row],[_Row]])="",TRUE()),"",INDEX(tsk_PlanFinish,GanttView[[#This Row],[_Row]]))</f>
        <v/>
      </c>
      <c r="G166" s="66" t="str">
        <f aca="false">IF(IFERROR(INDEX(tsk_Name,GanttView[[#This Row],[_Row]])="",TRUE()),"",INDEX(tsk_FcStart,GanttView[[#This Row],[_Row]]))</f>
        <v/>
      </c>
      <c r="H166" s="66" t="str">
        <f aca="false">IF(IFERROR(INDEX(tsk_Name,GanttView[[#This Row],[_Row]])="",TRUE()),"",INDEX(tsk_FcFinish,GanttView[[#This Row],[_Row]]))</f>
        <v/>
      </c>
      <c r="I166" s="67" t="str">
        <f aca="false">IF(IFERROR(INDEX(tsk_Name,GanttView[[#This Row],[_Row]])="",TRUE()),"",INDEX(tsk_Progress,GanttView[[#This Row],[_Row]]))</f>
        <v/>
      </c>
      <c r="J166" s="65" t="str">
        <f aca="false">IF(IFERROR(INDEX(tsk_Name,GanttView[[#This Row],[_Row]])="",TRUE()),"",INDEX(tsk_Resource,GanttView[[#This Row],[_Row]])&amp;"")</f>
        <v/>
      </c>
      <c r="K166" s="64" t="str">
        <f aca="false">IF(IFERROR(INDEX(tsk_Name,GanttView[[#This Row],[_Row]])="",TRUE()),"",INDEX(tsk_Status,GanttView[[#This Row],[_Row]]))</f>
        <v/>
      </c>
      <c r="L166" s="68" t="n">
        <f aca="false">ROW()-ROW(GanttView[[#Headers],[ID]])</f>
        <v>161</v>
      </c>
      <c r="M166" s="69" t="b">
        <f aca="false">IF(IFERROR(INDEX(tsk_Name,GanttView[[#This Row],[_Row]])="",TRUE()),FALSE(),INDEX(tsk_IsSummary,GanttView[[#This Row],[_Row]]))</f>
        <v>0</v>
      </c>
      <c r="N166" s="69" t="b">
        <f aca="false">IF(IFERROR(INDEX(tsk_Name,GanttView[[#This Row],[_Row]])="",TRUE()),FALSE(),AND(INDEX(tsk_IsLeaf,GanttView[[#This Row],[_Row]])=1,N(INDEX(tsk_Duration,GanttView[[#This Row],[_Row]]))=0))</f>
        <v>0</v>
      </c>
      <c r="O16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70" t="n">
        <f aca="false">IF(GanttView[[#This Row],[_RemFrom]]=0,0,GanttView[[#This Row],[Forecast Finish]])</f>
        <v>0</v>
      </c>
      <c r="S166" s="69" t="b">
        <f aca="false">IF(IFERROR(INDEX(tsk_Name,GanttView[[#This Row],[_Row]])="",TRUE()),FALSE(),N(INDEX(tsk_Variance,GanttView[[#This Row],[_Row]]))&gt;0)</f>
        <v>0</v>
      </c>
      <c r="T166" s="70" t="n">
        <f aca="false">IF(IFERROR(INDEX(tsk_Name,GanttView[[#This Row],[_Row]])="",TRUE()),0,N(INDEX(tsk_Deadline,GanttView[[#This Row],[_Row]])))</f>
        <v>0</v>
      </c>
      <c r="U166" s="69" t="b">
        <f aca="false">IF(IFERROR(INDEX(tsk_Name,GanttView[[#This Row],[_Row]])="",TRUE()),FALSE(),INDEX(tsk_Critical,GanttView[[#This Row],[_Row]])="Yes")</f>
        <v>0</v>
      </c>
    </row>
    <row r="167" customFormat="false" ht="15" hidden="false" customHeight="false" outlineLevel="0" collapsed="false">
      <c r="A167" s="64" t="str">
        <f aca="false">IF(IFERROR(INDEX(tsk_Name,GanttView[[#This Row],[_Row]])="",TRUE()),"",INDEX(tsk_ID,GanttView[[#This Row],[_Row]]))</f>
        <v/>
      </c>
      <c r="B167" s="64" t="str">
        <f aca="false">IF(IFERROR(INDEX(tsk_Name,GanttView[[#This Row],[_Row]])="",TRUE()),"",INDEX(tsk_WBS,GanttView[[#This Row],[_Row]]))</f>
        <v/>
      </c>
      <c r="C167" s="65" t="str">
        <f aca="false">IF(IFERROR(INDEX(tsk_Name,GanttView[[#This Row],[_Row]])="",TRUE()),"",REPT("    ",INDEX(tsk_Level,GanttView[[#This Row],[_Row]])-1)&amp;INDEX(tsk_Name,GanttView[[#This Row],[_Row]]))</f>
        <v/>
      </c>
      <c r="D16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6" t="str">
        <f aca="false">IF(IFERROR(INDEX(tsk_Name,GanttView[[#This Row],[_Row]])="",TRUE()),"",INDEX(tsk_PlanStart,GanttView[[#This Row],[_Row]]))</f>
        <v/>
      </c>
      <c r="F167" s="66" t="str">
        <f aca="false">IF(IFERROR(INDEX(tsk_Name,GanttView[[#This Row],[_Row]])="",TRUE()),"",INDEX(tsk_PlanFinish,GanttView[[#This Row],[_Row]]))</f>
        <v/>
      </c>
      <c r="G167" s="66" t="str">
        <f aca="false">IF(IFERROR(INDEX(tsk_Name,GanttView[[#This Row],[_Row]])="",TRUE()),"",INDEX(tsk_FcStart,GanttView[[#This Row],[_Row]]))</f>
        <v/>
      </c>
      <c r="H167" s="66" t="str">
        <f aca="false">IF(IFERROR(INDEX(tsk_Name,GanttView[[#This Row],[_Row]])="",TRUE()),"",INDEX(tsk_FcFinish,GanttView[[#This Row],[_Row]]))</f>
        <v/>
      </c>
      <c r="I167" s="67" t="str">
        <f aca="false">IF(IFERROR(INDEX(tsk_Name,GanttView[[#This Row],[_Row]])="",TRUE()),"",INDEX(tsk_Progress,GanttView[[#This Row],[_Row]]))</f>
        <v/>
      </c>
      <c r="J167" s="65" t="str">
        <f aca="false">IF(IFERROR(INDEX(tsk_Name,GanttView[[#This Row],[_Row]])="",TRUE()),"",INDEX(tsk_Resource,GanttView[[#This Row],[_Row]])&amp;"")</f>
        <v/>
      </c>
      <c r="K167" s="64" t="str">
        <f aca="false">IF(IFERROR(INDEX(tsk_Name,GanttView[[#This Row],[_Row]])="",TRUE()),"",INDEX(tsk_Status,GanttView[[#This Row],[_Row]]))</f>
        <v/>
      </c>
      <c r="L167" s="68" t="n">
        <f aca="false">ROW()-ROW(GanttView[[#Headers],[ID]])</f>
        <v>162</v>
      </c>
      <c r="M167" s="69" t="b">
        <f aca="false">IF(IFERROR(INDEX(tsk_Name,GanttView[[#This Row],[_Row]])="",TRUE()),FALSE(),INDEX(tsk_IsSummary,GanttView[[#This Row],[_Row]]))</f>
        <v>0</v>
      </c>
      <c r="N167" s="69" t="b">
        <f aca="false">IF(IFERROR(INDEX(tsk_Name,GanttView[[#This Row],[_Row]])="",TRUE()),FALSE(),AND(INDEX(tsk_IsLeaf,GanttView[[#This Row],[_Row]])=1,N(INDEX(tsk_Duration,GanttView[[#This Row],[_Row]]))=0))</f>
        <v>0</v>
      </c>
      <c r="O16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70" t="n">
        <f aca="false">IF(GanttView[[#This Row],[_RemFrom]]=0,0,GanttView[[#This Row],[Forecast Finish]])</f>
        <v>0</v>
      </c>
      <c r="S167" s="69" t="b">
        <f aca="false">IF(IFERROR(INDEX(tsk_Name,GanttView[[#This Row],[_Row]])="",TRUE()),FALSE(),N(INDEX(tsk_Variance,GanttView[[#This Row],[_Row]]))&gt;0)</f>
        <v>0</v>
      </c>
      <c r="T167" s="70" t="n">
        <f aca="false">IF(IFERROR(INDEX(tsk_Name,GanttView[[#This Row],[_Row]])="",TRUE()),0,N(INDEX(tsk_Deadline,GanttView[[#This Row],[_Row]])))</f>
        <v>0</v>
      </c>
      <c r="U167" s="69" t="b">
        <f aca="false">IF(IFERROR(INDEX(tsk_Name,GanttView[[#This Row],[_Row]])="",TRUE()),FALSE(),INDEX(tsk_Critical,GanttView[[#This Row],[_Row]])="Yes")</f>
        <v>0</v>
      </c>
    </row>
    <row r="168" customFormat="false" ht="15" hidden="false" customHeight="false" outlineLevel="0" collapsed="false">
      <c r="A168" s="64" t="str">
        <f aca="false">IF(IFERROR(INDEX(tsk_Name,GanttView[[#This Row],[_Row]])="",TRUE()),"",INDEX(tsk_ID,GanttView[[#This Row],[_Row]]))</f>
        <v/>
      </c>
      <c r="B168" s="64" t="str">
        <f aca="false">IF(IFERROR(INDEX(tsk_Name,GanttView[[#This Row],[_Row]])="",TRUE()),"",INDEX(tsk_WBS,GanttView[[#This Row],[_Row]]))</f>
        <v/>
      </c>
      <c r="C168" s="65" t="str">
        <f aca="false">IF(IFERROR(INDEX(tsk_Name,GanttView[[#This Row],[_Row]])="",TRUE()),"",REPT("    ",INDEX(tsk_Level,GanttView[[#This Row],[_Row]])-1)&amp;INDEX(tsk_Name,GanttView[[#This Row],[_Row]]))</f>
        <v/>
      </c>
      <c r="D16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6" t="str">
        <f aca="false">IF(IFERROR(INDEX(tsk_Name,GanttView[[#This Row],[_Row]])="",TRUE()),"",INDEX(tsk_PlanStart,GanttView[[#This Row],[_Row]]))</f>
        <v/>
      </c>
      <c r="F168" s="66" t="str">
        <f aca="false">IF(IFERROR(INDEX(tsk_Name,GanttView[[#This Row],[_Row]])="",TRUE()),"",INDEX(tsk_PlanFinish,GanttView[[#This Row],[_Row]]))</f>
        <v/>
      </c>
      <c r="G168" s="66" t="str">
        <f aca="false">IF(IFERROR(INDEX(tsk_Name,GanttView[[#This Row],[_Row]])="",TRUE()),"",INDEX(tsk_FcStart,GanttView[[#This Row],[_Row]]))</f>
        <v/>
      </c>
      <c r="H168" s="66" t="str">
        <f aca="false">IF(IFERROR(INDEX(tsk_Name,GanttView[[#This Row],[_Row]])="",TRUE()),"",INDEX(tsk_FcFinish,GanttView[[#This Row],[_Row]]))</f>
        <v/>
      </c>
      <c r="I168" s="67" t="str">
        <f aca="false">IF(IFERROR(INDEX(tsk_Name,GanttView[[#This Row],[_Row]])="",TRUE()),"",INDEX(tsk_Progress,GanttView[[#This Row],[_Row]]))</f>
        <v/>
      </c>
      <c r="J168" s="65" t="str">
        <f aca="false">IF(IFERROR(INDEX(tsk_Name,GanttView[[#This Row],[_Row]])="",TRUE()),"",INDEX(tsk_Resource,GanttView[[#This Row],[_Row]])&amp;"")</f>
        <v/>
      </c>
      <c r="K168" s="64" t="str">
        <f aca="false">IF(IFERROR(INDEX(tsk_Name,GanttView[[#This Row],[_Row]])="",TRUE()),"",INDEX(tsk_Status,GanttView[[#This Row],[_Row]]))</f>
        <v/>
      </c>
      <c r="L168" s="68" t="n">
        <f aca="false">ROW()-ROW(GanttView[[#Headers],[ID]])</f>
        <v>163</v>
      </c>
      <c r="M168" s="69" t="b">
        <f aca="false">IF(IFERROR(INDEX(tsk_Name,GanttView[[#This Row],[_Row]])="",TRUE()),FALSE(),INDEX(tsk_IsSummary,GanttView[[#This Row],[_Row]]))</f>
        <v>0</v>
      </c>
      <c r="N168" s="69" t="b">
        <f aca="false">IF(IFERROR(INDEX(tsk_Name,GanttView[[#This Row],[_Row]])="",TRUE()),FALSE(),AND(INDEX(tsk_IsLeaf,GanttView[[#This Row],[_Row]])=1,N(INDEX(tsk_Duration,GanttView[[#This Row],[_Row]]))=0))</f>
        <v>0</v>
      </c>
      <c r="O16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70" t="n">
        <f aca="false">IF(GanttView[[#This Row],[_RemFrom]]=0,0,GanttView[[#This Row],[Forecast Finish]])</f>
        <v>0</v>
      </c>
      <c r="S168" s="69" t="b">
        <f aca="false">IF(IFERROR(INDEX(tsk_Name,GanttView[[#This Row],[_Row]])="",TRUE()),FALSE(),N(INDEX(tsk_Variance,GanttView[[#This Row],[_Row]]))&gt;0)</f>
        <v>0</v>
      </c>
      <c r="T168" s="70" t="n">
        <f aca="false">IF(IFERROR(INDEX(tsk_Name,GanttView[[#This Row],[_Row]])="",TRUE()),0,N(INDEX(tsk_Deadline,GanttView[[#This Row],[_Row]])))</f>
        <v>0</v>
      </c>
      <c r="U168" s="69" t="b">
        <f aca="false">IF(IFERROR(INDEX(tsk_Name,GanttView[[#This Row],[_Row]])="",TRUE()),FALSE(),INDEX(tsk_Critical,GanttView[[#This Row],[_Row]])="Yes")</f>
        <v>0</v>
      </c>
    </row>
    <row r="169" customFormat="false" ht="15" hidden="false" customHeight="false" outlineLevel="0" collapsed="false">
      <c r="A169" s="64" t="str">
        <f aca="false">IF(IFERROR(INDEX(tsk_Name,GanttView[[#This Row],[_Row]])="",TRUE()),"",INDEX(tsk_ID,GanttView[[#This Row],[_Row]]))</f>
        <v/>
      </c>
      <c r="B169" s="64" t="str">
        <f aca="false">IF(IFERROR(INDEX(tsk_Name,GanttView[[#This Row],[_Row]])="",TRUE()),"",INDEX(tsk_WBS,GanttView[[#This Row],[_Row]]))</f>
        <v/>
      </c>
      <c r="C169" s="65" t="str">
        <f aca="false">IF(IFERROR(INDEX(tsk_Name,GanttView[[#This Row],[_Row]])="",TRUE()),"",REPT("    ",INDEX(tsk_Level,GanttView[[#This Row],[_Row]])-1)&amp;INDEX(tsk_Name,GanttView[[#This Row],[_Row]]))</f>
        <v/>
      </c>
      <c r="D16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6" t="str">
        <f aca="false">IF(IFERROR(INDEX(tsk_Name,GanttView[[#This Row],[_Row]])="",TRUE()),"",INDEX(tsk_PlanStart,GanttView[[#This Row],[_Row]]))</f>
        <v/>
      </c>
      <c r="F169" s="66" t="str">
        <f aca="false">IF(IFERROR(INDEX(tsk_Name,GanttView[[#This Row],[_Row]])="",TRUE()),"",INDEX(tsk_PlanFinish,GanttView[[#This Row],[_Row]]))</f>
        <v/>
      </c>
      <c r="G169" s="66" t="str">
        <f aca="false">IF(IFERROR(INDEX(tsk_Name,GanttView[[#This Row],[_Row]])="",TRUE()),"",INDEX(tsk_FcStart,GanttView[[#This Row],[_Row]]))</f>
        <v/>
      </c>
      <c r="H169" s="66" t="str">
        <f aca="false">IF(IFERROR(INDEX(tsk_Name,GanttView[[#This Row],[_Row]])="",TRUE()),"",INDEX(tsk_FcFinish,GanttView[[#This Row],[_Row]]))</f>
        <v/>
      </c>
      <c r="I169" s="67" t="str">
        <f aca="false">IF(IFERROR(INDEX(tsk_Name,GanttView[[#This Row],[_Row]])="",TRUE()),"",INDEX(tsk_Progress,GanttView[[#This Row],[_Row]]))</f>
        <v/>
      </c>
      <c r="J169" s="65" t="str">
        <f aca="false">IF(IFERROR(INDEX(tsk_Name,GanttView[[#This Row],[_Row]])="",TRUE()),"",INDEX(tsk_Resource,GanttView[[#This Row],[_Row]])&amp;"")</f>
        <v/>
      </c>
      <c r="K169" s="64" t="str">
        <f aca="false">IF(IFERROR(INDEX(tsk_Name,GanttView[[#This Row],[_Row]])="",TRUE()),"",INDEX(tsk_Status,GanttView[[#This Row],[_Row]]))</f>
        <v/>
      </c>
      <c r="L169" s="68" t="n">
        <f aca="false">ROW()-ROW(GanttView[[#Headers],[ID]])</f>
        <v>164</v>
      </c>
      <c r="M169" s="69" t="b">
        <f aca="false">IF(IFERROR(INDEX(tsk_Name,GanttView[[#This Row],[_Row]])="",TRUE()),FALSE(),INDEX(tsk_IsSummary,GanttView[[#This Row],[_Row]]))</f>
        <v>0</v>
      </c>
      <c r="N169" s="69" t="b">
        <f aca="false">IF(IFERROR(INDEX(tsk_Name,GanttView[[#This Row],[_Row]])="",TRUE()),FALSE(),AND(INDEX(tsk_IsLeaf,GanttView[[#This Row],[_Row]])=1,N(INDEX(tsk_Duration,GanttView[[#This Row],[_Row]]))=0))</f>
        <v>0</v>
      </c>
      <c r="O16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70" t="n">
        <f aca="false">IF(GanttView[[#This Row],[_RemFrom]]=0,0,GanttView[[#This Row],[Forecast Finish]])</f>
        <v>0</v>
      </c>
      <c r="S169" s="69" t="b">
        <f aca="false">IF(IFERROR(INDEX(tsk_Name,GanttView[[#This Row],[_Row]])="",TRUE()),FALSE(),N(INDEX(tsk_Variance,GanttView[[#This Row],[_Row]]))&gt;0)</f>
        <v>0</v>
      </c>
      <c r="T169" s="70" t="n">
        <f aca="false">IF(IFERROR(INDEX(tsk_Name,GanttView[[#This Row],[_Row]])="",TRUE()),0,N(INDEX(tsk_Deadline,GanttView[[#This Row],[_Row]])))</f>
        <v>0</v>
      </c>
      <c r="U169" s="69" t="b">
        <f aca="false">IF(IFERROR(INDEX(tsk_Name,GanttView[[#This Row],[_Row]])="",TRUE()),FALSE(),INDEX(tsk_Critical,GanttView[[#This Row],[_Row]])="Yes")</f>
        <v>0</v>
      </c>
    </row>
    <row r="170" customFormat="false" ht="15" hidden="false" customHeight="false" outlineLevel="0" collapsed="false">
      <c r="A170" s="64" t="str">
        <f aca="false">IF(IFERROR(INDEX(tsk_Name,GanttView[[#This Row],[_Row]])="",TRUE()),"",INDEX(tsk_ID,GanttView[[#This Row],[_Row]]))</f>
        <v/>
      </c>
      <c r="B170" s="64" t="str">
        <f aca="false">IF(IFERROR(INDEX(tsk_Name,GanttView[[#This Row],[_Row]])="",TRUE()),"",INDEX(tsk_WBS,GanttView[[#This Row],[_Row]]))</f>
        <v/>
      </c>
      <c r="C170" s="65" t="str">
        <f aca="false">IF(IFERROR(INDEX(tsk_Name,GanttView[[#This Row],[_Row]])="",TRUE()),"",REPT("    ",INDEX(tsk_Level,GanttView[[#This Row],[_Row]])-1)&amp;INDEX(tsk_Name,GanttView[[#This Row],[_Row]]))</f>
        <v/>
      </c>
      <c r="D17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6" t="str">
        <f aca="false">IF(IFERROR(INDEX(tsk_Name,GanttView[[#This Row],[_Row]])="",TRUE()),"",INDEX(tsk_PlanStart,GanttView[[#This Row],[_Row]]))</f>
        <v/>
      </c>
      <c r="F170" s="66" t="str">
        <f aca="false">IF(IFERROR(INDEX(tsk_Name,GanttView[[#This Row],[_Row]])="",TRUE()),"",INDEX(tsk_PlanFinish,GanttView[[#This Row],[_Row]]))</f>
        <v/>
      </c>
      <c r="G170" s="66" t="str">
        <f aca="false">IF(IFERROR(INDEX(tsk_Name,GanttView[[#This Row],[_Row]])="",TRUE()),"",INDEX(tsk_FcStart,GanttView[[#This Row],[_Row]]))</f>
        <v/>
      </c>
      <c r="H170" s="66" t="str">
        <f aca="false">IF(IFERROR(INDEX(tsk_Name,GanttView[[#This Row],[_Row]])="",TRUE()),"",INDEX(tsk_FcFinish,GanttView[[#This Row],[_Row]]))</f>
        <v/>
      </c>
      <c r="I170" s="67" t="str">
        <f aca="false">IF(IFERROR(INDEX(tsk_Name,GanttView[[#This Row],[_Row]])="",TRUE()),"",INDEX(tsk_Progress,GanttView[[#This Row],[_Row]]))</f>
        <v/>
      </c>
      <c r="J170" s="65" t="str">
        <f aca="false">IF(IFERROR(INDEX(tsk_Name,GanttView[[#This Row],[_Row]])="",TRUE()),"",INDEX(tsk_Resource,GanttView[[#This Row],[_Row]])&amp;"")</f>
        <v/>
      </c>
      <c r="K170" s="64" t="str">
        <f aca="false">IF(IFERROR(INDEX(tsk_Name,GanttView[[#This Row],[_Row]])="",TRUE()),"",INDEX(tsk_Status,GanttView[[#This Row],[_Row]]))</f>
        <v/>
      </c>
      <c r="L170" s="68" t="n">
        <f aca="false">ROW()-ROW(GanttView[[#Headers],[ID]])</f>
        <v>165</v>
      </c>
      <c r="M170" s="69" t="b">
        <f aca="false">IF(IFERROR(INDEX(tsk_Name,GanttView[[#This Row],[_Row]])="",TRUE()),FALSE(),INDEX(tsk_IsSummary,GanttView[[#This Row],[_Row]]))</f>
        <v>0</v>
      </c>
      <c r="N170" s="69" t="b">
        <f aca="false">IF(IFERROR(INDEX(tsk_Name,GanttView[[#This Row],[_Row]])="",TRUE()),FALSE(),AND(INDEX(tsk_IsLeaf,GanttView[[#This Row],[_Row]])=1,N(INDEX(tsk_Duration,GanttView[[#This Row],[_Row]]))=0))</f>
        <v>0</v>
      </c>
      <c r="O17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70" t="n">
        <f aca="false">IF(GanttView[[#This Row],[_RemFrom]]=0,0,GanttView[[#This Row],[Forecast Finish]])</f>
        <v>0</v>
      </c>
      <c r="S170" s="69" t="b">
        <f aca="false">IF(IFERROR(INDEX(tsk_Name,GanttView[[#This Row],[_Row]])="",TRUE()),FALSE(),N(INDEX(tsk_Variance,GanttView[[#This Row],[_Row]]))&gt;0)</f>
        <v>0</v>
      </c>
      <c r="T170" s="70" t="n">
        <f aca="false">IF(IFERROR(INDEX(tsk_Name,GanttView[[#This Row],[_Row]])="",TRUE()),0,N(INDEX(tsk_Deadline,GanttView[[#This Row],[_Row]])))</f>
        <v>0</v>
      </c>
      <c r="U170" s="69" t="b">
        <f aca="false">IF(IFERROR(INDEX(tsk_Name,GanttView[[#This Row],[_Row]])="",TRUE()),FALSE(),INDEX(tsk_Critical,GanttView[[#This Row],[_Row]])="Yes")</f>
        <v>0</v>
      </c>
    </row>
    <row r="171" customFormat="false" ht="15" hidden="false" customHeight="false" outlineLevel="0" collapsed="false">
      <c r="A171" s="64" t="str">
        <f aca="false">IF(IFERROR(INDEX(tsk_Name,GanttView[[#This Row],[_Row]])="",TRUE()),"",INDEX(tsk_ID,GanttView[[#This Row],[_Row]]))</f>
        <v/>
      </c>
      <c r="B171" s="64" t="str">
        <f aca="false">IF(IFERROR(INDEX(tsk_Name,GanttView[[#This Row],[_Row]])="",TRUE()),"",INDEX(tsk_WBS,GanttView[[#This Row],[_Row]]))</f>
        <v/>
      </c>
      <c r="C171" s="65" t="str">
        <f aca="false">IF(IFERROR(INDEX(tsk_Name,GanttView[[#This Row],[_Row]])="",TRUE()),"",REPT("    ",INDEX(tsk_Level,GanttView[[#This Row],[_Row]])-1)&amp;INDEX(tsk_Name,GanttView[[#This Row],[_Row]]))</f>
        <v/>
      </c>
      <c r="D17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6" t="str">
        <f aca="false">IF(IFERROR(INDEX(tsk_Name,GanttView[[#This Row],[_Row]])="",TRUE()),"",INDEX(tsk_PlanStart,GanttView[[#This Row],[_Row]]))</f>
        <v/>
      </c>
      <c r="F171" s="66" t="str">
        <f aca="false">IF(IFERROR(INDEX(tsk_Name,GanttView[[#This Row],[_Row]])="",TRUE()),"",INDEX(tsk_PlanFinish,GanttView[[#This Row],[_Row]]))</f>
        <v/>
      </c>
      <c r="G171" s="66" t="str">
        <f aca="false">IF(IFERROR(INDEX(tsk_Name,GanttView[[#This Row],[_Row]])="",TRUE()),"",INDEX(tsk_FcStart,GanttView[[#This Row],[_Row]]))</f>
        <v/>
      </c>
      <c r="H171" s="66" t="str">
        <f aca="false">IF(IFERROR(INDEX(tsk_Name,GanttView[[#This Row],[_Row]])="",TRUE()),"",INDEX(tsk_FcFinish,GanttView[[#This Row],[_Row]]))</f>
        <v/>
      </c>
      <c r="I171" s="67" t="str">
        <f aca="false">IF(IFERROR(INDEX(tsk_Name,GanttView[[#This Row],[_Row]])="",TRUE()),"",INDEX(tsk_Progress,GanttView[[#This Row],[_Row]]))</f>
        <v/>
      </c>
      <c r="J171" s="65" t="str">
        <f aca="false">IF(IFERROR(INDEX(tsk_Name,GanttView[[#This Row],[_Row]])="",TRUE()),"",INDEX(tsk_Resource,GanttView[[#This Row],[_Row]])&amp;"")</f>
        <v/>
      </c>
      <c r="K171" s="64" t="str">
        <f aca="false">IF(IFERROR(INDEX(tsk_Name,GanttView[[#This Row],[_Row]])="",TRUE()),"",INDEX(tsk_Status,GanttView[[#This Row],[_Row]]))</f>
        <v/>
      </c>
      <c r="L171" s="68" t="n">
        <f aca="false">ROW()-ROW(GanttView[[#Headers],[ID]])</f>
        <v>166</v>
      </c>
      <c r="M171" s="69" t="b">
        <f aca="false">IF(IFERROR(INDEX(tsk_Name,GanttView[[#This Row],[_Row]])="",TRUE()),FALSE(),INDEX(tsk_IsSummary,GanttView[[#This Row],[_Row]]))</f>
        <v>0</v>
      </c>
      <c r="N171" s="69" t="b">
        <f aca="false">IF(IFERROR(INDEX(tsk_Name,GanttView[[#This Row],[_Row]])="",TRUE()),FALSE(),AND(INDEX(tsk_IsLeaf,GanttView[[#This Row],[_Row]])=1,N(INDEX(tsk_Duration,GanttView[[#This Row],[_Row]]))=0))</f>
        <v>0</v>
      </c>
      <c r="O17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70" t="n">
        <f aca="false">IF(GanttView[[#This Row],[_RemFrom]]=0,0,GanttView[[#This Row],[Forecast Finish]])</f>
        <v>0</v>
      </c>
      <c r="S171" s="69" t="b">
        <f aca="false">IF(IFERROR(INDEX(tsk_Name,GanttView[[#This Row],[_Row]])="",TRUE()),FALSE(),N(INDEX(tsk_Variance,GanttView[[#This Row],[_Row]]))&gt;0)</f>
        <v>0</v>
      </c>
      <c r="T171" s="70" t="n">
        <f aca="false">IF(IFERROR(INDEX(tsk_Name,GanttView[[#This Row],[_Row]])="",TRUE()),0,N(INDEX(tsk_Deadline,GanttView[[#This Row],[_Row]])))</f>
        <v>0</v>
      </c>
      <c r="U171" s="69" t="b">
        <f aca="false">IF(IFERROR(INDEX(tsk_Name,GanttView[[#This Row],[_Row]])="",TRUE()),FALSE(),INDEX(tsk_Critical,GanttView[[#This Row],[_Row]])="Yes")</f>
        <v>0</v>
      </c>
    </row>
    <row r="172" customFormat="false" ht="15" hidden="false" customHeight="false" outlineLevel="0" collapsed="false">
      <c r="A172" s="64" t="str">
        <f aca="false">IF(IFERROR(INDEX(tsk_Name,GanttView[[#This Row],[_Row]])="",TRUE()),"",INDEX(tsk_ID,GanttView[[#This Row],[_Row]]))</f>
        <v/>
      </c>
      <c r="B172" s="64" t="str">
        <f aca="false">IF(IFERROR(INDEX(tsk_Name,GanttView[[#This Row],[_Row]])="",TRUE()),"",INDEX(tsk_WBS,GanttView[[#This Row],[_Row]]))</f>
        <v/>
      </c>
      <c r="C172" s="65" t="str">
        <f aca="false">IF(IFERROR(INDEX(tsk_Name,GanttView[[#This Row],[_Row]])="",TRUE()),"",REPT("    ",INDEX(tsk_Level,GanttView[[#This Row],[_Row]])-1)&amp;INDEX(tsk_Name,GanttView[[#This Row],[_Row]]))</f>
        <v/>
      </c>
      <c r="D17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6" t="str">
        <f aca="false">IF(IFERROR(INDEX(tsk_Name,GanttView[[#This Row],[_Row]])="",TRUE()),"",INDEX(tsk_PlanStart,GanttView[[#This Row],[_Row]]))</f>
        <v/>
      </c>
      <c r="F172" s="66" t="str">
        <f aca="false">IF(IFERROR(INDEX(tsk_Name,GanttView[[#This Row],[_Row]])="",TRUE()),"",INDEX(tsk_PlanFinish,GanttView[[#This Row],[_Row]]))</f>
        <v/>
      </c>
      <c r="G172" s="66" t="str">
        <f aca="false">IF(IFERROR(INDEX(tsk_Name,GanttView[[#This Row],[_Row]])="",TRUE()),"",INDEX(tsk_FcStart,GanttView[[#This Row],[_Row]]))</f>
        <v/>
      </c>
      <c r="H172" s="66" t="str">
        <f aca="false">IF(IFERROR(INDEX(tsk_Name,GanttView[[#This Row],[_Row]])="",TRUE()),"",INDEX(tsk_FcFinish,GanttView[[#This Row],[_Row]]))</f>
        <v/>
      </c>
      <c r="I172" s="67" t="str">
        <f aca="false">IF(IFERROR(INDEX(tsk_Name,GanttView[[#This Row],[_Row]])="",TRUE()),"",INDEX(tsk_Progress,GanttView[[#This Row],[_Row]]))</f>
        <v/>
      </c>
      <c r="J172" s="65" t="str">
        <f aca="false">IF(IFERROR(INDEX(tsk_Name,GanttView[[#This Row],[_Row]])="",TRUE()),"",INDEX(tsk_Resource,GanttView[[#This Row],[_Row]])&amp;"")</f>
        <v/>
      </c>
      <c r="K172" s="64" t="str">
        <f aca="false">IF(IFERROR(INDEX(tsk_Name,GanttView[[#This Row],[_Row]])="",TRUE()),"",INDEX(tsk_Status,GanttView[[#This Row],[_Row]]))</f>
        <v/>
      </c>
      <c r="L172" s="68" t="n">
        <f aca="false">ROW()-ROW(GanttView[[#Headers],[ID]])</f>
        <v>167</v>
      </c>
      <c r="M172" s="69" t="b">
        <f aca="false">IF(IFERROR(INDEX(tsk_Name,GanttView[[#This Row],[_Row]])="",TRUE()),FALSE(),INDEX(tsk_IsSummary,GanttView[[#This Row],[_Row]]))</f>
        <v>0</v>
      </c>
      <c r="N172" s="69" t="b">
        <f aca="false">IF(IFERROR(INDEX(tsk_Name,GanttView[[#This Row],[_Row]])="",TRUE()),FALSE(),AND(INDEX(tsk_IsLeaf,GanttView[[#This Row],[_Row]])=1,N(INDEX(tsk_Duration,GanttView[[#This Row],[_Row]]))=0))</f>
        <v>0</v>
      </c>
      <c r="O17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70" t="n">
        <f aca="false">IF(GanttView[[#This Row],[_RemFrom]]=0,0,GanttView[[#This Row],[Forecast Finish]])</f>
        <v>0</v>
      </c>
      <c r="S172" s="69" t="b">
        <f aca="false">IF(IFERROR(INDEX(tsk_Name,GanttView[[#This Row],[_Row]])="",TRUE()),FALSE(),N(INDEX(tsk_Variance,GanttView[[#This Row],[_Row]]))&gt;0)</f>
        <v>0</v>
      </c>
      <c r="T172" s="70" t="n">
        <f aca="false">IF(IFERROR(INDEX(tsk_Name,GanttView[[#This Row],[_Row]])="",TRUE()),0,N(INDEX(tsk_Deadline,GanttView[[#This Row],[_Row]])))</f>
        <v>0</v>
      </c>
      <c r="U172" s="69" t="b">
        <f aca="false">IF(IFERROR(INDEX(tsk_Name,GanttView[[#This Row],[_Row]])="",TRUE()),FALSE(),INDEX(tsk_Critical,GanttView[[#This Row],[_Row]])="Yes")</f>
        <v>0</v>
      </c>
    </row>
    <row r="173" customFormat="false" ht="15" hidden="false" customHeight="false" outlineLevel="0" collapsed="false">
      <c r="A173" s="64" t="str">
        <f aca="false">IF(IFERROR(INDEX(tsk_Name,GanttView[[#This Row],[_Row]])="",TRUE()),"",INDEX(tsk_ID,GanttView[[#This Row],[_Row]]))</f>
        <v/>
      </c>
      <c r="B173" s="64" t="str">
        <f aca="false">IF(IFERROR(INDEX(tsk_Name,GanttView[[#This Row],[_Row]])="",TRUE()),"",INDEX(tsk_WBS,GanttView[[#This Row],[_Row]]))</f>
        <v/>
      </c>
      <c r="C173" s="65" t="str">
        <f aca="false">IF(IFERROR(INDEX(tsk_Name,GanttView[[#This Row],[_Row]])="",TRUE()),"",REPT("    ",INDEX(tsk_Level,GanttView[[#This Row],[_Row]])-1)&amp;INDEX(tsk_Name,GanttView[[#This Row],[_Row]]))</f>
        <v/>
      </c>
      <c r="D17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6" t="str">
        <f aca="false">IF(IFERROR(INDEX(tsk_Name,GanttView[[#This Row],[_Row]])="",TRUE()),"",INDEX(tsk_PlanStart,GanttView[[#This Row],[_Row]]))</f>
        <v/>
      </c>
      <c r="F173" s="66" t="str">
        <f aca="false">IF(IFERROR(INDEX(tsk_Name,GanttView[[#This Row],[_Row]])="",TRUE()),"",INDEX(tsk_PlanFinish,GanttView[[#This Row],[_Row]]))</f>
        <v/>
      </c>
      <c r="G173" s="66" t="str">
        <f aca="false">IF(IFERROR(INDEX(tsk_Name,GanttView[[#This Row],[_Row]])="",TRUE()),"",INDEX(tsk_FcStart,GanttView[[#This Row],[_Row]]))</f>
        <v/>
      </c>
      <c r="H173" s="66" t="str">
        <f aca="false">IF(IFERROR(INDEX(tsk_Name,GanttView[[#This Row],[_Row]])="",TRUE()),"",INDEX(tsk_FcFinish,GanttView[[#This Row],[_Row]]))</f>
        <v/>
      </c>
      <c r="I173" s="67" t="str">
        <f aca="false">IF(IFERROR(INDEX(tsk_Name,GanttView[[#This Row],[_Row]])="",TRUE()),"",INDEX(tsk_Progress,GanttView[[#This Row],[_Row]]))</f>
        <v/>
      </c>
      <c r="J173" s="65" t="str">
        <f aca="false">IF(IFERROR(INDEX(tsk_Name,GanttView[[#This Row],[_Row]])="",TRUE()),"",INDEX(tsk_Resource,GanttView[[#This Row],[_Row]])&amp;"")</f>
        <v/>
      </c>
      <c r="K173" s="64" t="str">
        <f aca="false">IF(IFERROR(INDEX(tsk_Name,GanttView[[#This Row],[_Row]])="",TRUE()),"",INDEX(tsk_Status,GanttView[[#This Row],[_Row]]))</f>
        <v/>
      </c>
      <c r="L173" s="68" t="n">
        <f aca="false">ROW()-ROW(GanttView[[#Headers],[ID]])</f>
        <v>168</v>
      </c>
      <c r="M173" s="69" t="b">
        <f aca="false">IF(IFERROR(INDEX(tsk_Name,GanttView[[#This Row],[_Row]])="",TRUE()),FALSE(),INDEX(tsk_IsSummary,GanttView[[#This Row],[_Row]]))</f>
        <v>0</v>
      </c>
      <c r="N173" s="69" t="b">
        <f aca="false">IF(IFERROR(INDEX(tsk_Name,GanttView[[#This Row],[_Row]])="",TRUE()),FALSE(),AND(INDEX(tsk_IsLeaf,GanttView[[#This Row],[_Row]])=1,N(INDEX(tsk_Duration,GanttView[[#This Row],[_Row]]))=0))</f>
        <v>0</v>
      </c>
      <c r="O17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70" t="n">
        <f aca="false">IF(GanttView[[#This Row],[_RemFrom]]=0,0,GanttView[[#This Row],[Forecast Finish]])</f>
        <v>0</v>
      </c>
      <c r="S173" s="69" t="b">
        <f aca="false">IF(IFERROR(INDEX(tsk_Name,GanttView[[#This Row],[_Row]])="",TRUE()),FALSE(),N(INDEX(tsk_Variance,GanttView[[#This Row],[_Row]]))&gt;0)</f>
        <v>0</v>
      </c>
      <c r="T173" s="70" t="n">
        <f aca="false">IF(IFERROR(INDEX(tsk_Name,GanttView[[#This Row],[_Row]])="",TRUE()),0,N(INDEX(tsk_Deadline,GanttView[[#This Row],[_Row]])))</f>
        <v>0</v>
      </c>
      <c r="U173" s="69" t="b">
        <f aca="false">IF(IFERROR(INDEX(tsk_Name,GanttView[[#This Row],[_Row]])="",TRUE()),FALSE(),INDEX(tsk_Critical,GanttView[[#This Row],[_Row]])="Yes")</f>
        <v>0</v>
      </c>
    </row>
    <row r="174" customFormat="false" ht="15" hidden="false" customHeight="false" outlineLevel="0" collapsed="false">
      <c r="A174" s="64" t="str">
        <f aca="false">IF(IFERROR(INDEX(tsk_Name,GanttView[[#This Row],[_Row]])="",TRUE()),"",INDEX(tsk_ID,GanttView[[#This Row],[_Row]]))</f>
        <v/>
      </c>
      <c r="B174" s="64" t="str">
        <f aca="false">IF(IFERROR(INDEX(tsk_Name,GanttView[[#This Row],[_Row]])="",TRUE()),"",INDEX(tsk_WBS,GanttView[[#This Row],[_Row]]))</f>
        <v/>
      </c>
      <c r="C174" s="65" t="str">
        <f aca="false">IF(IFERROR(INDEX(tsk_Name,GanttView[[#This Row],[_Row]])="",TRUE()),"",REPT("    ",INDEX(tsk_Level,GanttView[[#This Row],[_Row]])-1)&amp;INDEX(tsk_Name,GanttView[[#This Row],[_Row]]))</f>
        <v/>
      </c>
      <c r="D17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6" t="str">
        <f aca="false">IF(IFERROR(INDEX(tsk_Name,GanttView[[#This Row],[_Row]])="",TRUE()),"",INDEX(tsk_PlanStart,GanttView[[#This Row],[_Row]]))</f>
        <v/>
      </c>
      <c r="F174" s="66" t="str">
        <f aca="false">IF(IFERROR(INDEX(tsk_Name,GanttView[[#This Row],[_Row]])="",TRUE()),"",INDEX(tsk_PlanFinish,GanttView[[#This Row],[_Row]]))</f>
        <v/>
      </c>
      <c r="G174" s="66" t="str">
        <f aca="false">IF(IFERROR(INDEX(tsk_Name,GanttView[[#This Row],[_Row]])="",TRUE()),"",INDEX(tsk_FcStart,GanttView[[#This Row],[_Row]]))</f>
        <v/>
      </c>
      <c r="H174" s="66" t="str">
        <f aca="false">IF(IFERROR(INDEX(tsk_Name,GanttView[[#This Row],[_Row]])="",TRUE()),"",INDEX(tsk_FcFinish,GanttView[[#This Row],[_Row]]))</f>
        <v/>
      </c>
      <c r="I174" s="67" t="str">
        <f aca="false">IF(IFERROR(INDEX(tsk_Name,GanttView[[#This Row],[_Row]])="",TRUE()),"",INDEX(tsk_Progress,GanttView[[#This Row],[_Row]]))</f>
        <v/>
      </c>
      <c r="J174" s="65" t="str">
        <f aca="false">IF(IFERROR(INDEX(tsk_Name,GanttView[[#This Row],[_Row]])="",TRUE()),"",INDEX(tsk_Resource,GanttView[[#This Row],[_Row]])&amp;"")</f>
        <v/>
      </c>
      <c r="K174" s="64" t="str">
        <f aca="false">IF(IFERROR(INDEX(tsk_Name,GanttView[[#This Row],[_Row]])="",TRUE()),"",INDEX(tsk_Status,GanttView[[#This Row],[_Row]]))</f>
        <v/>
      </c>
      <c r="L174" s="68" t="n">
        <f aca="false">ROW()-ROW(GanttView[[#Headers],[ID]])</f>
        <v>169</v>
      </c>
      <c r="M174" s="69" t="b">
        <f aca="false">IF(IFERROR(INDEX(tsk_Name,GanttView[[#This Row],[_Row]])="",TRUE()),FALSE(),INDEX(tsk_IsSummary,GanttView[[#This Row],[_Row]]))</f>
        <v>0</v>
      </c>
      <c r="N174" s="69" t="b">
        <f aca="false">IF(IFERROR(INDEX(tsk_Name,GanttView[[#This Row],[_Row]])="",TRUE()),FALSE(),AND(INDEX(tsk_IsLeaf,GanttView[[#This Row],[_Row]])=1,N(INDEX(tsk_Duration,GanttView[[#This Row],[_Row]]))=0))</f>
        <v>0</v>
      </c>
      <c r="O17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70" t="n">
        <f aca="false">IF(GanttView[[#This Row],[_RemFrom]]=0,0,GanttView[[#This Row],[Forecast Finish]])</f>
        <v>0</v>
      </c>
      <c r="S174" s="69" t="b">
        <f aca="false">IF(IFERROR(INDEX(tsk_Name,GanttView[[#This Row],[_Row]])="",TRUE()),FALSE(),N(INDEX(tsk_Variance,GanttView[[#This Row],[_Row]]))&gt;0)</f>
        <v>0</v>
      </c>
      <c r="T174" s="70" t="n">
        <f aca="false">IF(IFERROR(INDEX(tsk_Name,GanttView[[#This Row],[_Row]])="",TRUE()),0,N(INDEX(tsk_Deadline,GanttView[[#This Row],[_Row]])))</f>
        <v>0</v>
      </c>
      <c r="U174" s="69" t="b">
        <f aca="false">IF(IFERROR(INDEX(tsk_Name,GanttView[[#This Row],[_Row]])="",TRUE()),FALSE(),INDEX(tsk_Critical,GanttView[[#This Row],[_Row]])="Yes")</f>
        <v>0</v>
      </c>
    </row>
    <row r="175" customFormat="false" ht="15" hidden="false" customHeight="false" outlineLevel="0" collapsed="false">
      <c r="A175" s="64" t="str">
        <f aca="false">IF(IFERROR(INDEX(tsk_Name,GanttView[[#This Row],[_Row]])="",TRUE()),"",INDEX(tsk_ID,GanttView[[#This Row],[_Row]]))</f>
        <v/>
      </c>
      <c r="B175" s="64" t="str">
        <f aca="false">IF(IFERROR(INDEX(tsk_Name,GanttView[[#This Row],[_Row]])="",TRUE()),"",INDEX(tsk_WBS,GanttView[[#This Row],[_Row]]))</f>
        <v/>
      </c>
      <c r="C175" s="65" t="str">
        <f aca="false">IF(IFERROR(INDEX(tsk_Name,GanttView[[#This Row],[_Row]])="",TRUE()),"",REPT("    ",INDEX(tsk_Level,GanttView[[#This Row],[_Row]])-1)&amp;INDEX(tsk_Name,GanttView[[#This Row],[_Row]]))</f>
        <v/>
      </c>
      <c r="D17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6" t="str">
        <f aca="false">IF(IFERROR(INDEX(tsk_Name,GanttView[[#This Row],[_Row]])="",TRUE()),"",INDEX(tsk_PlanStart,GanttView[[#This Row],[_Row]]))</f>
        <v/>
      </c>
      <c r="F175" s="66" t="str">
        <f aca="false">IF(IFERROR(INDEX(tsk_Name,GanttView[[#This Row],[_Row]])="",TRUE()),"",INDEX(tsk_PlanFinish,GanttView[[#This Row],[_Row]]))</f>
        <v/>
      </c>
      <c r="G175" s="66" t="str">
        <f aca="false">IF(IFERROR(INDEX(tsk_Name,GanttView[[#This Row],[_Row]])="",TRUE()),"",INDEX(tsk_FcStart,GanttView[[#This Row],[_Row]]))</f>
        <v/>
      </c>
      <c r="H175" s="66" t="str">
        <f aca="false">IF(IFERROR(INDEX(tsk_Name,GanttView[[#This Row],[_Row]])="",TRUE()),"",INDEX(tsk_FcFinish,GanttView[[#This Row],[_Row]]))</f>
        <v/>
      </c>
      <c r="I175" s="67" t="str">
        <f aca="false">IF(IFERROR(INDEX(tsk_Name,GanttView[[#This Row],[_Row]])="",TRUE()),"",INDEX(tsk_Progress,GanttView[[#This Row],[_Row]]))</f>
        <v/>
      </c>
      <c r="J175" s="65" t="str">
        <f aca="false">IF(IFERROR(INDEX(tsk_Name,GanttView[[#This Row],[_Row]])="",TRUE()),"",INDEX(tsk_Resource,GanttView[[#This Row],[_Row]])&amp;"")</f>
        <v/>
      </c>
      <c r="K175" s="64" t="str">
        <f aca="false">IF(IFERROR(INDEX(tsk_Name,GanttView[[#This Row],[_Row]])="",TRUE()),"",INDEX(tsk_Status,GanttView[[#This Row],[_Row]]))</f>
        <v/>
      </c>
      <c r="L175" s="68" t="n">
        <f aca="false">ROW()-ROW(GanttView[[#Headers],[ID]])</f>
        <v>170</v>
      </c>
      <c r="M175" s="69" t="b">
        <f aca="false">IF(IFERROR(INDEX(tsk_Name,GanttView[[#This Row],[_Row]])="",TRUE()),FALSE(),INDEX(tsk_IsSummary,GanttView[[#This Row],[_Row]]))</f>
        <v>0</v>
      </c>
      <c r="N175" s="69" t="b">
        <f aca="false">IF(IFERROR(INDEX(tsk_Name,GanttView[[#This Row],[_Row]])="",TRUE()),FALSE(),AND(INDEX(tsk_IsLeaf,GanttView[[#This Row],[_Row]])=1,N(INDEX(tsk_Duration,GanttView[[#This Row],[_Row]]))=0))</f>
        <v>0</v>
      </c>
      <c r="O17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70" t="n">
        <f aca="false">IF(GanttView[[#This Row],[_RemFrom]]=0,0,GanttView[[#This Row],[Forecast Finish]])</f>
        <v>0</v>
      </c>
      <c r="S175" s="69" t="b">
        <f aca="false">IF(IFERROR(INDEX(tsk_Name,GanttView[[#This Row],[_Row]])="",TRUE()),FALSE(),N(INDEX(tsk_Variance,GanttView[[#This Row],[_Row]]))&gt;0)</f>
        <v>0</v>
      </c>
      <c r="T175" s="70" t="n">
        <f aca="false">IF(IFERROR(INDEX(tsk_Name,GanttView[[#This Row],[_Row]])="",TRUE()),0,N(INDEX(tsk_Deadline,GanttView[[#This Row],[_Row]])))</f>
        <v>0</v>
      </c>
      <c r="U175" s="69" t="b">
        <f aca="false">IF(IFERROR(INDEX(tsk_Name,GanttView[[#This Row],[_Row]])="",TRUE()),FALSE(),INDEX(tsk_Critical,GanttView[[#This Row],[_Row]])="Yes")</f>
        <v>0</v>
      </c>
    </row>
    <row r="176" customFormat="false" ht="15" hidden="false" customHeight="false" outlineLevel="0" collapsed="false">
      <c r="A176" s="64" t="str">
        <f aca="false">IF(IFERROR(INDEX(tsk_Name,GanttView[[#This Row],[_Row]])="",TRUE()),"",INDEX(tsk_ID,GanttView[[#This Row],[_Row]]))</f>
        <v/>
      </c>
      <c r="B176" s="64" t="str">
        <f aca="false">IF(IFERROR(INDEX(tsk_Name,GanttView[[#This Row],[_Row]])="",TRUE()),"",INDEX(tsk_WBS,GanttView[[#This Row],[_Row]]))</f>
        <v/>
      </c>
      <c r="C176" s="65" t="str">
        <f aca="false">IF(IFERROR(INDEX(tsk_Name,GanttView[[#This Row],[_Row]])="",TRUE()),"",REPT("    ",INDEX(tsk_Level,GanttView[[#This Row],[_Row]])-1)&amp;INDEX(tsk_Name,GanttView[[#This Row],[_Row]]))</f>
        <v/>
      </c>
      <c r="D17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6" t="str">
        <f aca="false">IF(IFERROR(INDEX(tsk_Name,GanttView[[#This Row],[_Row]])="",TRUE()),"",INDEX(tsk_PlanStart,GanttView[[#This Row],[_Row]]))</f>
        <v/>
      </c>
      <c r="F176" s="66" t="str">
        <f aca="false">IF(IFERROR(INDEX(tsk_Name,GanttView[[#This Row],[_Row]])="",TRUE()),"",INDEX(tsk_PlanFinish,GanttView[[#This Row],[_Row]]))</f>
        <v/>
      </c>
      <c r="G176" s="66" t="str">
        <f aca="false">IF(IFERROR(INDEX(tsk_Name,GanttView[[#This Row],[_Row]])="",TRUE()),"",INDEX(tsk_FcStart,GanttView[[#This Row],[_Row]]))</f>
        <v/>
      </c>
      <c r="H176" s="66" t="str">
        <f aca="false">IF(IFERROR(INDEX(tsk_Name,GanttView[[#This Row],[_Row]])="",TRUE()),"",INDEX(tsk_FcFinish,GanttView[[#This Row],[_Row]]))</f>
        <v/>
      </c>
      <c r="I176" s="67" t="str">
        <f aca="false">IF(IFERROR(INDEX(tsk_Name,GanttView[[#This Row],[_Row]])="",TRUE()),"",INDEX(tsk_Progress,GanttView[[#This Row],[_Row]]))</f>
        <v/>
      </c>
      <c r="J176" s="65" t="str">
        <f aca="false">IF(IFERROR(INDEX(tsk_Name,GanttView[[#This Row],[_Row]])="",TRUE()),"",INDEX(tsk_Resource,GanttView[[#This Row],[_Row]])&amp;"")</f>
        <v/>
      </c>
      <c r="K176" s="64" t="str">
        <f aca="false">IF(IFERROR(INDEX(tsk_Name,GanttView[[#This Row],[_Row]])="",TRUE()),"",INDEX(tsk_Status,GanttView[[#This Row],[_Row]]))</f>
        <v/>
      </c>
      <c r="L176" s="68" t="n">
        <f aca="false">ROW()-ROW(GanttView[[#Headers],[ID]])</f>
        <v>171</v>
      </c>
      <c r="M176" s="69" t="b">
        <f aca="false">IF(IFERROR(INDEX(tsk_Name,GanttView[[#This Row],[_Row]])="",TRUE()),FALSE(),INDEX(tsk_IsSummary,GanttView[[#This Row],[_Row]]))</f>
        <v>0</v>
      </c>
      <c r="N176" s="69" t="b">
        <f aca="false">IF(IFERROR(INDEX(tsk_Name,GanttView[[#This Row],[_Row]])="",TRUE()),FALSE(),AND(INDEX(tsk_IsLeaf,GanttView[[#This Row],[_Row]])=1,N(INDEX(tsk_Duration,GanttView[[#This Row],[_Row]]))=0))</f>
        <v>0</v>
      </c>
      <c r="O17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70" t="n">
        <f aca="false">IF(GanttView[[#This Row],[_RemFrom]]=0,0,GanttView[[#This Row],[Forecast Finish]])</f>
        <v>0</v>
      </c>
      <c r="S176" s="69" t="b">
        <f aca="false">IF(IFERROR(INDEX(tsk_Name,GanttView[[#This Row],[_Row]])="",TRUE()),FALSE(),N(INDEX(tsk_Variance,GanttView[[#This Row],[_Row]]))&gt;0)</f>
        <v>0</v>
      </c>
      <c r="T176" s="70" t="n">
        <f aca="false">IF(IFERROR(INDEX(tsk_Name,GanttView[[#This Row],[_Row]])="",TRUE()),0,N(INDEX(tsk_Deadline,GanttView[[#This Row],[_Row]])))</f>
        <v>0</v>
      </c>
      <c r="U176" s="69" t="b">
        <f aca="false">IF(IFERROR(INDEX(tsk_Name,GanttView[[#This Row],[_Row]])="",TRUE()),FALSE(),INDEX(tsk_Critical,GanttView[[#This Row],[_Row]])="Yes")</f>
        <v>0</v>
      </c>
    </row>
    <row r="177" customFormat="false" ht="15" hidden="false" customHeight="false" outlineLevel="0" collapsed="false">
      <c r="A177" s="64" t="str">
        <f aca="false">IF(IFERROR(INDEX(tsk_Name,GanttView[[#This Row],[_Row]])="",TRUE()),"",INDEX(tsk_ID,GanttView[[#This Row],[_Row]]))</f>
        <v/>
      </c>
      <c r="B177" s="64" t="str">
        <f aca="false">IF(IFERROR(INDEX(tsk_Name,GanttView[[#This Row],[_Row]])="",TRUE()),"",INDEX(tsk_WBS,GanttView[[#This Row],[_Row]]))</f>
        <v/>
      </c>
      <c r="C177" s="65" t="str">
        <f aca="false">IF(IFERROR(INDEX(tsk_Name,GanttView[[#This Row],[_Row]])="",TRUE()),"",REPT("    ",INDEX(tsk_Level,GanttView[[#This Row],[_Row]])-1)&amp;INDEX(tsk_Name,GanttView[[#This Row],[_Row]]))</f>
        <v/>
      </c>
      <c r="D17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6" t="str">
        <f aca="false">IF(IFERROR(INDEX(tsk_Name,GanttView[[#This Row],[_Row]])="",TRUE()),"",INDEX(tsk_PlanStart,GanttView[[#This Row],[_Row]]))</f>
        <v/>
      </c>
      <c r="F177" s="66" t="str">
        <f aca="false">IF(IFERROR(INDEX(tsk_Name,GanttView[[#This Row],[_Row]])="",TRUE()),"",INDEX(tsk_PlanFinish,GanttView[[#This Row],[_Row]]))</f>
        <v/>
      </c>
      <c r="G177" s="66" t="str">
        <f aca="false">IF(IFERROR(INDEX(tsk_Name,GanttView[[#This Row],[_Row]])="",TRUE()),"",INDEX(tsk_FcStart,GanttView[[#This Row],[_Row]]))</f>
        <v/>
      </c>
      <c r="H177" s="66" t="str">
        <f aca="false">IF(IFERROR(INDEX(tsk_Name,GanttView[[#This Row],[_Row]])="",TRUE()),"",INDEX(tsk_FcFinish,GanttView[[#This Row],[_Row]]))</f>
        <v/>
      </c>
      <c r="I177" s="67" t="str">
        <f aca="false">IF(IFERROR(INDEX(tsk_Name,GanttView[[#This Row],[_Row]])="",TRUE()),"",INDEX(tsk_Progress,GanttView[[#This Row],[_Row]]))</f>
        <v/>
      </c>
      <c r="J177" s="65" t="str">
        <f aca="false">IF(IFERROR(INDEX(tsk_Name,GanttView[[#This Row],[_Row]])="",TRUE()),"",INDEX(tsk_Resource,GanttView[[#This Row],[_Row]])&amp;"")</f>
        <v/>
      </c>
      <c r="K177" s="64" t="str">
        <f aca="false">IF(IFERROR(INDEX(tsk_Name,GanttView[[#This Row],[_Row]])="",TRUE()),"",INDEX(tsk_Status,GanttView[[#This Row],[_Row]]))</f>
        <v/>
      </c>
      <c r="L177" s="68" t="n">
        <f aca="false">ROW()-ROW(GanttView[[#Headers],[ID]])</f>
        <v>172</v>
      </c>
      <c r="M177" s="69" t="b">
        <f aca="false">IF(IFERROR(INDEX(tsk_Name,GanttView[[#This Row],[_Row]])="",TRUE()),FALSE(),INDEX(tsk_IsSummary,GanttView[[#This Row],[_Row]]))</f>
        <v>0</v>
      </c>
      <c r="N177" s="69" t="b">
        <f aca="false">IF(IFERROR(INDEX(tsk_Name,GanttView[[#This Row],[_Row]])="",TRUE()),FALSE(),AND(INDEX(tsk_IsLeaf,GanttView[[#This Row],[_Row]])=1,N(INDEX(tsk_Duration,GanttView[[#This Row],[_Row]]))=0))</f>
        <v>0</v>
      </c>
      <c r="O17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70" t="n">
        <f aca="false">IF(GanttView[[#This Row],[_RemFrom]]=0,0,GanttView[[#This Row],[Forecast Finish]])</f>
        <v>0</v>
      </c>
      <c r="S177" s="69" t="b">
        <f aca="false">IF(IFERROR(INDEX(tsk_Name,GanttView[[#This Row],[_Row]])="",TRUE()),FALSE(),N(INDEX(tsk_Variance,GanttView[[#This Row],[_Row]]))&gt;0)</f>
        <v>0</v>
      </c>
      <c r="T177" s="70" t="n">
        <f aca="false">IF(IFERROR(INDEX(tsk_Name,GanttView[[#This Row],[_Row]])="",TRUE()),0,N(INDEX(tsk_Deadline,GanttView[[#This Row],[_Row]])))</f>
        <v>0</v>
      </c>
      <c r="U177" s="69" t="b">
        <f aca="false">IF(IFERROR(INDEX(tsk_Name,GanttView[[#This Row],[_Row]])="",TRUE()),FALSE(),INDEX(tsk_Critical,GanttView[[#This Row],[_Row]])="Yes")</f>
        <v>0</v>
      </c>
    </row>
    <row r="178" customFormat="false" ht="15" hidden="false" customHeight="false" outlineLevel="0" collapsed="false">
      <c r="A178" s="64" t="str">
        <f aca="false">IF(IFERROR(INDEX(tsk_Name,GanttView[[#This Row],[_Row]])="",TRUE()),"",INDEX(tsk_ID,GanttView[[#This Row],[_Row]]))</f>
        <v/>
      </c>
      <c r="B178" s="64" t="str">
        <f aca="false">IF(IFERROR(INDEX(tsk_Name,GanttView[[#This Row],[_Row]])="",TRUE()),"",INDEX(tsk_WBS,GanttView[[#This Row],[_Row]]))</f>
        <v/>
      </c>
      <c r="C178" s="65" t="str">
        <f aca="false">IF(IFERROR(INDEX(tsk_Name,GanttView[[#This Row],[_Row]])="",TRUE()),"",REPT("    ",INDEX(tsk_Level,GanttView[[#This Row],[_Row]])-1)&amp;INDEX(tsk_Name,GanttView[[#This Row],[_Row]]))</f>
        <v/>
      </c>
      <c r="D17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6" t="str">
        <f aca="false">IF(IFERROR(INDEX(tsk_Name,GanttView[[#This Row],[_Row]])="",TRUE()),"",INDEX(tsk_PlanStart,GanttView[[#This Row],[_Row]]))</f>
        <v/>
      </c>
      <c r="F178" s="66" t="str">
        <f aca="false">IF(IFERROR(INDEX(tsk_Name,GanttView[[#This Row],[_Row]])="",TRUE()),"",INDEX(tsk_PlanFinish,GanttView[[#This Row],[_Row]]))</f>
        <v/>
      </c>
      <c r="G178" s="66" t="str">
        <f aca="false">IF(IFERROR(INDEX(tsk_Name,GanttView[[#This Row],[_Row]])="",TRUE()),"",INDEX(tsk_FcStart,GanttView[[#This Row],[_Row]]))</f>
        <v/>
      </c>
      <c r="H178" s="66" t="str">
        <f aca="false">IF(IFERROR(INDEX(tsk_Name,GanttView[[#This Row],[_Row]])="",TRUE()),"",INDEX(tsk_FcFinish,GanttView[[#This Row],[_Row]]))</f>
        <v/>
      </c>
      <c r="I178" s="67" t="str">
        <f aca="false">IF(IFERROR(INDEX(tsk_Name,GanttView[[#This Row],[_Row]])="",TRUE()),"",INDEX(tsk_Progress,GanttView[[#This Row],[_Row]]))</f>
        <v/>
      </c>
      <c r="J178" s="65" t="str">
        <f aca="false">IF(IFERROR(INDEX(tsk_Name,GanttView[[#This Row],[_Row]])="",TRUE()),"",INDEX(tsk_Resource,GanttView[[#This Row],[_Row]])&amp;"")</f>
        <v/>
      </c>
      <c r="K178" s="64" t="str">
        <f aca="false">IF(IFERROR(INDEX(tsk_Name,GanttView[[#This Row],[_Row]])="",TRUE()),"",INDEX(tsk_Status,GanttView[[#This Row],[_Row]]))</f>
        <v/>
      </c>
      <c r="L178" s="68" t="n">
        <f aca="false">ROW()-ROW(GanttView[[#Headers],[ID]])</f>
        <v>173</v>
      </c>
      <c r="M178" s="69" t="b">
        <f aca="false">IF(IFERROR(INDEX(tsk_Name,GanttView[[#This Row],[_Row]])="",TRUE()),FALSE(),INDEX(tsk_IsSummary,GanttView[[#This Row],[_Row]]))</f>
        <v>0</v>
      </c>
      <c r="N178" s="69" t="b">
        <f aca="false">IF(IFERROR(INDEX(tsk_Name,GanttView[[#This Row],[_Row]])="",TRUE()),FALSE(),AND(INDEX(tsk_IsLeaf,GanttView[[#This Row],[_Row]])=1,N(INDEX(tsk_Duration,GanttView[[#This Row],[_Row]]))=0))</f>
        <v>0</v>
      </c>
      <c r="O17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70" t="n">
        <f aca="false">IF(GanttView[[#This Row],[_RemFrom]]=0,0,GanttView[[#This Row],[Forecast Finish]])</f>
        <v>0</v>
      </c>
      <c r="S178" s="69" t="b">
        <f aca="false">IF(IFERROR(INDEX(tsk_Name,GanttView[[#This Row],[_Row]])="",TRUE()),FALSE(),N(INDEX(tsk_Variance,GanttView[[#This Row],[_Row]]))&gt;0)</f>
        <v>0</v>
      </c>
      <c r="T178" s="70" t="n">
        <f aca="false">IF(IFERROR(INDEX(tsk_Name,GanttView[[#This Row],[_Row]])="",TRUE()),0,N(INDEX(tsk_Deadline,GanttView[[#This Row],[_Row]])))</f>
        <v>0</v>
      </c>
      <c r="U178" s="69" t="b">
        <f aca="false">IF(IFERROR(INDEX(tsk_Name,GanttView[[#This Row],[_Row]])="",TRUE()),FALSE(),INDEX(tsk_Critical,GanttView[[#This Row],[_Row]])="Yes")</f>
        <v>0</v>
      </c>
    </row>
    <row r="179" customFormat="false" ht="15" hidden="false" customHeight="false" outlineLevel="0" collapsed="false">
      <c r="A179" s="64" t="str">
        <f aca="false">IF(IFERROR(INDEX(tsk_Name,GanttView[[#This Row],[_Row]])="",TRUE()),"",INDEX(tsk_ID,GanttView[[#This Row],[_Row]]))</f>
        <v/>
      </c>
      <c r="B179" s="64" t="str">
        <f aca="false">IF(IFERROR(INDEX(tsk_Name,GanttView[[#This Row],[_Row]])="",TRUE()),"",INDEX(tsk_WBS,GanttView[[#This Row],[_Row]]))</f>
        <v/>
      </c>
      <c r="C179" s="65" t="str">
        <f aca="false">IF(IFERROR(INDEX(tsk_Name,GanttView[[#This Row],[_Row]])="",TRUE()),"",REPT("    ",INDEX(tsk_Level,GanttView[[#This Row],[_Row]])-1)&amp;INDEX(tsk_Name,GanttView[[#This Row],[_Row]]))</f>
        <v/>
      </c>
      <c r="D17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6" t="str">
        <f aca="false">IF(IFERROR(INDEX(tsk_Name,GanttView[[#This Row],[_Row]])="",TRUE()),"",INDEX(tsk_PlanStart,GanttView[[#This Row],[_Row]]))</f>
        <v/>
      </c>
      <c r="F179" s="66" t="str">
        <f aca="false">IF(IFERROR(INDEX(tsk_Name,GanttView[[#This Row],[_Row]])="",TRUE()),"",INDEX(tsk_PlanFinish,GanttView[[#This Row],[_Row]]))</f>
        <v/>
      </c>
      <c r="G179" s="66" t="str">
        <f aca="false">IF(IFERROR(INDEX(tsk_Name,GanttView[[#This Row],[_Row]])="",TRUE()),"",INDEX(tsk_FcStart,GanttView[[#This Row],[_Row]]))</f>
        <v/>
      </c>
      <c r="H179" s="66" t="str">
        <f aca="false">IF(IFERROR(INDEX(tsk_Name,GanttView[[#This Row],[_Row]])="",TRUE()),"",INDEX(tsk_FcFinish,GanttView[[#This Row],[_Row]]))</f>
        <v/>
      </c>
      <c r="I179" s="67" t="str">
        <f aca="false">IF(IFERROR(INDEX(tsk_Name,GanttView[[#This Row],[_Row]])="",TRUE()),"",INDEX(tsk_Progress,GanttView[[#This Row],[_Row]]))</f>
        <v/>
      </c>
      <c r="J179" s="65" t="str">
        <f aca="false">IF(IFERROR(INDEX(tsk_Name,GanttView[[#This Row],[_Row]])="",TRUE()),"",INDEX(tsk_Resource,GanttView[[#This Row],[_Row]])&amp;"")</f>
        <v/>
      </c>
      <c r="K179" s="64" t="str">
        <f aca="false">IF(IFERROR(INDEX(tsk_Name,GanttView[[#This Row],[_Row]])="",TRUE()),"",INDEX(tsk_Status,GanttView[[#This Row],[_Row]]))</f>
        <v/>
      </c>
      <c r="L179" s="68" t="n">
        <f aca="false">ROW()-ROW(GanttView[[#Headers],[ID]])</f>
        <v>174</v>
      </c>
      <c r="M179" s="69" t="b">
        <f aca="false">IF(IFERROR(INDEX(tsk_Name,GanttView[[#This Row],[_Row]])="",TRUE()),FALSE(),INDEX(tsk_IsSummary,GanttView[[#This Row],[_Row]]))</f>
        <v>0</v>
      </c>
      <c r="N179" s="69" t="b">
        <f aca="false">IF(IFERROR(INDEX(tsk_Name,GanttView[[#This Row],[_Row]])="",TRUE()),FALSE(),AND(INDEX(tsk_IsLeaf,GanttView[[#This Row],[_Row]])=1,N(INDEX(tsk_Duration,GanttView[[#This Row],[_Row]]))=0))</f>
        <v>0</v>
      </c>
      <c r="O17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70" t="n">
        <f aca="false">IF(GanttView[[#This Row],[_RemFrom]]=0,0,GanttView[[#This Row],[Forecast Finish]])</f>
        <v>0</v>
      </c>
      <c r="S179" s="69" t="b">
        <f aca="false">IF(IFERROR(INDEX(tsk_Name,GanttView[[#This Row],[_Row]])="",TRUE()),FALSE(),N(INDEX(tsk_Variance,GanttView[[#This Row],[_Row]]))&gt;0)</f>
        <v>0</v>
      </c>
      <c r="T179" s="70" t="n">
        <f aca="false">IF(IFERROR(INDEX(tsk_Name,GanttView[[#This Row],[_Row]])="",TRUE()),0,N(INDEX(tsk_Deadline,GanttView[[#This Row],[_Row]])))</f>
        <v>0</v>
      </c>
      <c r="U179" s="69" t="b">
        <f aca="false">IF(IFERROR(INDEX(tsk_Name,GanttView[[#This Row],[_Row]])="",TRUE()),FALSE(),INDEX(tsk_Critical,GanttView[[#This Row],[_Row]])="Yes")</f>
        <v>0</v>
      </c>
    </row>
    <row r="180" customFormat="false" ht="15" hidden="false" customHeight="false" outlineLevel="0" collapsed="false">
      <c r="A180" s="64" t="str">
        <f aca="false">IF(IFERROR(INDEX(tsk_Name,GanttView[[#This Row],[_Row]])="",TRUE()),"",INDEX(tsk_ID,GanttView[[#This Row],[_Row]]))</f>
        <v/>
      </c>
      <c r="B180" s="64" t="str">
        <f aca="false">IF(IFERROR(INDEX(tsk_Name,GanttView[[#This Row],[_Row]])="",TRUE()),"",INDEX(tsk_WBS,GanttView[[#This Row],[_Row]]))</f>
        <v/>
      </c>
      <c r="C180" s="65" t="str">
        <f aca="false">IF(IFERROR(INDEX(tsk_Name,GanttView[[#This Row],[_Row]])="",TRUE()),"",REPT("    ",INDEX(tsk_Level,GanttView[[#This Row],[_Row]])-1)&amp;INDEX(tsk_Name,GanttView[[#This Row],[_Row]]))</f>
        <v/>
      </c>
      <c r="D18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6" t="str">
        <f aca="false">IF(IFERROR(INDEX(tsk_Name,GanttView[[#This Row],[_Row]])="",TRUE()),"",INDEX(tsk_PlanStart,GanttView[[#This Row],[_Row]]))</f>
        <v/>
      </c>
      <c r="F180" s="66" t="str">
        <f aca="false">IF(IFERROR(INDEX(tsk_Name,GanttView[[#This Row],[_Row]])="",TRUE()),"",INDEX(tsk_PlanFinish,GanttView[[#This Row],[_Row]]))</f>
        <v/>
      </c>
      <c r="G180" s="66" t="str">
        <f aca="false">IF(IFERROR(INDEX(tsk_Name,GanttView[[#This Row],[_Row]])="",TRUE()),"",INDEX(tsk_FcStart,GanttView[[#This Row],[_Row]]))</f>
        <v/>
      </c>
      <c r="H180" s="66" t="str">
        <f aca="false">IF(IFERROR(INDEX(tsk_Name,GanttView[[#This Row],[_Row]])="",TRUE()),"",INDEX(tsk_FcFinish,GanttView[[#This Row],[_Row]]))</f>
        <v/>
      </c>
      <c r="I180" s="67" t="str">
        <f aca="false">IF(IFERROR(INDEX(tsk_Name,GanttView[[#This Row],[_Row]])="",TRUE()),"",INDEX(tsk_Progress,GanttView[[#This Row],[_Row]]))</f>
        <v/>
      </c>
      <c r="J180" s="65" t="str">
        <f aca="false">IF(IFERROR(INDEX(tsk_Name,GanttView[[#This Row],[_Row]])="",TRUE()),"",INDEX(tsk_Resource,GanttView[[#This Row],[_Row]])&amp;"")</f>
        <v/>
      </c>
      <c r="K180" s="64" t="str">
        <f aca="false">IF(IFERROR(INDEX(tsk_Name,GanttView[[#This Row],[_Row]])="",TRUE()),"",INDEX(tsk_Status,GanttView[[#This Row],[_Row]]))</f>
        <v/>
      </c>
      <c r="L180" s="68" t="n">
        <f aca="false">ROW()-ROW(GanttView[[#Headers],[ID]])</f>
        <v>175</v>
      </c>
      <c r="M180" s="69" t="b">
        <f aca="false">IF(IFERROR(INDEX(tsk_Name,GanttView[[#This Row],[_Row]])="",TRUE()),FALSE(),INDEX(tsk_IsSummary,GanttView[[#This Row],[_Row]]))</f>
        <v>0</v>
      </c>
      <c r="N180" s="69" t="b">
        <f aca="false">IF(IFERROR(INDEX(tsk_Name,GanttView[[#This Row],[_Row]])="",TRUE()),FALSE(),AND(INDEX(tsk_IsLeaf,GanttView[[#This Row],[_Row]])=1,N(INDEX(tsk_Duration,GanttView[[#This Row],[_Row]]))=0))</f>
        <v>0</v>
      </c>
      <c r="O18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70" t="n">
        <f aca="false">IF(GanttView[[#This Row],[_RemFrom]]=0,0,GanttView[[#This Row],[Forecast Finish]])</f>
        <v>0</v>
      </c>
      <c r="S180" s="69" t="b">
        <f aca="false">IF(IFERROR(INDEX(tsk_Name,GanttView[[#This Row],[_Row]])="",TRUE()),FALSE(),N(INDEX(tsk_Variance,GanttView[[#This Row],[_Row]]))&gt;0)</f>
        <v>0</v>
      </c>
      <c r="T180" s="70" t="n">
        <f aca="false">IF(IFERROR(INDEX(tsk_Name,GanttView[[#This Row],[_Row]])="",TRUE()),0,N(INDEX(tsk_Deadline,GanttView[[#This Row],[_Row]])))</f>
        <v>0</v>
      </c>
      <c r="U180" s="69" t="b">
        <f aca="false">IF(IFERROR(INDEX(tsk_Name,GanttView[[#This Row],[_Row]])="",TRUE()),FALSE(),INDEX(tsk_Critical,GanttView[[#This Row],[_Row]])="Yes")</f>
        <v>0</v>
      </c>
    </row>
    <row r="181" customFormat="false" ht="15" hidden="false" customHeight="false" outlineLevel="0" collapsed="false">
      <c r="A181" s="64" t="str">
        <f aca="false">IF(IFERROR(INDEX(tsk_Name,GanttView[[#This Row],[_Row]])="",TRUE()),"",INDEX(tsk_ID,GanttView[[#This Row],[_Row]]))</f>
        <v/>
      </c>
      <c r="B181" s="64" t="str">
        <f aca="false">IF(IFERROR(INDEX(tsk_Name,GanttView[[#This Row],[_Row]])="",TRUE()),"",INDEX(tsk_WBS,GanttView[[#This Row],[_Row]]))</f>
        <v/>
      </c>
      <c r="C181" s="65" t="str">
        <f aca="false">IF(IFERROR(INDEX(tsk_Name,GanttView[[#This Row],[_Row]])="",TRUE()),"",REPT("    ",INDEX(tsk_Level,GanttView[[#This Row],[_Row]])-1)&amp;INDEX(tsk_Name,GanttView[[#This Row],[_Row]]))</f>
        <v/>
      </c>
      <c r="D18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6" t="str">
        <f aca="false">IF(IFERROR(INDEX(tsk_Name,GanttView[[#This Row],[_Row]])="",TRUE()),"",INDEX(tsk_PlanStart,GanttView[[#This Row],[_Row]]))</f>
        <v/>
      </c>
      <c r="F181" s="66" t="str">
        <f aca="false">IF(IFERROR(INDEX(tsk_Name,GanttView[[#This Row],[_Row]])="",TRUE()),"",INDEX(tsk_PlanFinish,GanttView[[#This Row],[_Row]]))</f>
        <v/>
      </c>
      <c r="G181" s="66" t="str">
        <f aca="false">IF(IFERROR(INDEX(tsk_Name,GanttView[[#This Row],[_Row]])="",TRUE()),"",INDEX(tsk_FcStart,GanttView[[#This Row],[_Row]]))</f>
        <v/>
      </c>
      <c r="H181" s="66" t="str">
        <f aca="false">IF(IFERROR(INDEX(tsk_Name,GanttView[[#This Row],[_Row]])="",TRUE()),"",INDEX(tsk_FcFinish,GanttView[[#This Row],[_Row]]))</f>
        <v/>
      </c>
      <c r="I181" s="67" t="str">
        <f aca="false">IF(IFERROR(INDEX(tsk_Name,GanttView[[#This Row],[_Row]])="",TRUE()),"",INDEX(tsk_Progress,GanttView[[#This Row],[_Row]]))</f>
        <v/>
      </c>
      <c r="J181" s="65" t="str">
        <f aca="false">IF(IFERROR(INDEX(tsk_Name,GanttView[[#This Row],[_Row]])="",TRUE()),"",INDEX(tsk_Resource,GanttView[[#This Row],[_Row]])&amp;"")</f>
        <v/>
      </c>
      <c r="K181" s="64" t="str">
        <f aca="false">IF(IFERROR(INDEX(tsk_Name,GanttView[[#This Row],[_Row]])="",TRUE()),"",INDEX(tsk_Status,GanttView[[#This Row],[_Row]]))</f>
        <v/>
      </c>
      <c r="L181" s="68" t="n">
        <f aca="false">ROW()-ROW(GanttView[[#Headers],[ID]])</f>
        <v>176</v>
      </c>
      <c r="M181" s="69" t="b">
        <f aca="false">IF(IFERROR(INDEX(tsk_Name,GanttView[[#This Row],[_Row]])="",TRUE()),FALSE(),INDEX(tsk_IsSummary,GanttView[[#This Row],[_Row]]))</f>
        <v>0</v>
      </c>
      <c r="N181" s="69" t="b">
        <f aca="false">IF(IFERROR(INDEX(tsk_Name,GanttView[[#This Row],[_Row]])="",TRUE()),FALSE(),AND(INDEX(tsk_IsLeaf,GanttView[[#This Row],[_Row]])=1,N(INDEX(tsk_Duration,GanttView[[#This Row],[_Row]]))=0))</f>
        <v>0</v>
      </c>
      <c r="O18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70" t="n">
        <f aca="false">IF(GanttView[[#This Row],[_RemFrom]]=0,0,GanttView[[#This Row],[Forecast Finish]])</f>
        <v>0</v>
      </c>
      <c r="S181" s="69" t="b">
        <f aca="false">IF(IFERROR(INDEX(tsk_Name,GanttView[[#This Row],[_Row]])="",TRUE()),FALSE(),N(INDEX(tsk_Variance,GanttView[[#This Row],[_Row]]))&gt;0)</f>
        <v>0</v>
      </c>
      <c r="T181" s="70" t="n">
        <f aca="false">IF(IFERROR(INDEX(tsk_Name,GanttView[[#This Row],[_Row]])="",TRUE()),0,N(INDEX(tsk_Deadline,GanttView[[#This Row],[_Row]])))</f>
        <v>0</v>
      </c>
      <c r="U181" s="69" t="b">
        <f aca="false">IF(IFERROR(INDEX(tsk_Name,GanttView[[#This Row],[_Row]])="",TRUE()),FALSE(),INDEX(tsk_Critical,GanttView[[#This Row],[_Row]])="Yes")</f>
        <v>0</v>
      </c>
    </row>
    <row r="182" customFormat="false" ht="15" hidden="false" customHeight="false" outlineLevel="0" collapsed="false">
      <c r="A182" s="64" t="str">
        <f aca="false">IF(IFERROR(INDEX(tsk_Name,GanttView[[#This Row],[_Row]])="",TRUE()),"",INDEX(tsk_ID,GanttView[[#This Row],[_Row]]))</f>
        <v/>
      </c>
      <c r="B182" s="64" t="str">
        <f aca="false">IF(IFERROR(INDEX(tsk_Name,GanttView[[#This Row],[_Row]])="",TRUE()),"",INDEX(tsk_WBS,GanttView[[#This Row],[_Row]]))</f>
        <v/>
      </c>
      <c r="C182" s="65" t="str">
        <f aca="false">IF(IFERROR(INDEX(tsk_Name,GanttView[[#This Row],[_Row]])="",TRUE()),"",REPT("    ",INDEX(tsk_Level,GanttView[[#This Row],[_Row]])-1)&amp;INDEX(tsk_Name,GanttView[[#This Row],[_Row]]))</f>
        <v/>
      </c>
      <c r="D18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6" t="str">
        <f aca="false">IF(IFERROR(INDEX(tsk_Name,GanttView[[#This Row],[_Row]])="",TRUE()),"",INDEX(tsk_PlanStart,GanttView[[#This Row],[_Row]]))</f>
        <v/>
      </c>
      <c r="F182" s="66" t="str">
        <f aca="false">IF(IFERROR(INDEX(tsk_Name,GanttView[[#This Row],[_Row]])="",TRUE()),"",INDEX(tsk_PlanFinish,GanttView[[#This Row],[_Row]]))</f>
        <v/>
      </c>
      <c r="G182" s="66" t="str">
        <f aca="false">IF(IFERROR(INDEX(tsk_Name,GanttView[[#This Row],[_Row]])="",TRUE()),"",INDEX(tsk_FcStart,GanttView[[#This Row],[_Row]]))</f>
        <v/>
      </c>
      <c r="H182" s="66" t="str">
        <f aca="false">IF(IFERROR(INDEX(tsk_Name,GanttView[[#This Row],[_Row]])="",TRUE()),"",INDEX(tsk_FcFinish,GanttView[[#This Row],[_Row]]))</f>
        <v/>
      </c>
      <c r="I182" s="67" t="str">
        <f aca="false">IF(IFERROR(INDEX(tsk_Name,GanttView[[#This Row],[_Row]])="",TRUE()),"",INDEX(tsk_Progress,GanttView[[#This Row],[_Row]]))</f>
        <v/>
      </c>
      <c r="J182" s="65" t="str">
        <f aca="false">IF(IFERROR(INDEX(tsk_Name,GanttView[[#This Row],[_Row]])="",TRUE()),"",INDEX(tsk_Resource,GanttView[[#This Row],[_Row]])&amp;"")</f>
        <v/>
      </c>
      <c r="K182" s="64" t="str">
        <f aca="false">IF(IFERROR(INDEX(tsk_Name,GanttView[[#This Row],[_Row]])="",TRUE()),"",INDEX(tsk_Status,GanttView[[#This Row],[_Row]]))</f>
        <v/>
      </c>
      <c r="L182" s="68" t="n">
        <f aca="false">ROW()-ROW(GanttView[[#Headers],[ID]])</f>
        <v>177</v>
      </c>
      <c r="M182" s="69" t="b">
        <f aca="false">IF(IFERROR(INDEX(tsk_Name,GanttView[[#This Row],[_Row]])="",TRUE()),FALSE(),INDEX(tsk_IsSummary,GanttView[[#This Row],[_Row]]))</f>
        <v>0</v>
      </c>
      <c r="N182" s="69" t="b">
        <f aca="false">IF(IFERROR(INDEX(tsk_Name,GanttView[[#This Row],[_Row]])="",TRUE()),FALSE(),AND(INDEX(tsk_IsLeaf,GanttView[[#This Row],[_Row]])=1,N(INDEX(tsk_Duration,GanttView[[#This Row],[_Row]]))=0))</f>
        <v>0</v>
      </c>
      <c r="O18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70" t="n">
        <f aca="false">IF(GanttView[[#This Row],[_RemFrom]]=0,0,GanttView[[#This Row],[Forecast Finish]])</f>
        <v>0</v>
      </c>
      <c r="S182" s="69" t="b">
        <f aca="false">IF(IFERROR(INDEX(tsk_Name,GanttView[[#This Row],[_Row]])="",TRUE()),FALSE(),N(INDEX(tsk_Variance,GanttView[[#This Row],[_Row]]))&gt;0)</f>
        <v>0</v>
      </c>
      <c r="T182" s="70" t="n">
        <f aca="false">IF(IFERROR(INDEX(tsk_Name,GanttView[[#This Row],[_Row]])="",TRUE()),0,N(INDEX(tsk_Deadline,GanttView[[#This Row],[_Row]])))</f>
        <v>0</v>
      </c>
      <c r="U182" s="69" t="b">
        <f aca="false">IF(IFERROR(INDEX(tsk_Name,GanttView[[#This Row],[_Row]])="",TRUE()),FALSE(),INDEX(tsk_Critical,GanttView[[#This Row],[_Row]])="Yes")</f>
        <v>0</v>
      </c>
    </row>
    <row r="183" customFormat="false" ht="15" hidden="false" customHeight="false" outlineLevel="0" collapsed="false">
      <c r="A183" s="64" t="str">
        <f aca="false">IF(IFERROR(INDEX(tsk_Name,GanttView[[#This Row],[_Row]])="",TRUE()),"",INDEX(tsk_ID,GanttView[[#This Row],[_Row]]))</f>
        <v/>
      </c>
      <c r="B183" s="64" t="str">
        <f aca="false">IF(IFERROR(INDEX(tsk_Name,GanttView[[#This Row],[_Row]])="",TRUE()),"",INDEX(tsk_WBS,GanttView[[#This Row],[_Row]]))</f>
        <v/>
      </c>
      <c r="C183" s="65" t="str">
        <f aca="false">IF(IFERROR(INDEX(tsk_Name,GanttView[[#This Row],[_Row]])="",TRUE()),"",REPT("    ",INDEX(tsk_Level,GanttView[[#This Row],[_Row]])-1)&amp;INDEX(tsk_Name,GanttView[[#This Row],[_Row]]))</f>
        <v/>
      </c>
      <c r="D18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6" t="str">
        <f aca="false">IF(IFERROR(INDEX(tsk_Name,GanttView[[#This Row],[_Row]])="",TRUE()),"",INDEX(tsk_PlanStart,GanttView[[#This Row],[_Row]]))</f>
        <v/>
      </c>
      <c r="F183" s="66" t="str">
        <f aca="false">IF(IFERROR(INDEX(tsk_Name,GanttView[[#This Row],[_Row]])="",TRUE()),"",INDEX(tsk_PlanFinish,GanttView[[#This Row],[_Row]]))</f>
        <v/>
      </c>
      <c r="G183" s="66" t="str">
        <f aca="false">IF(IFERROR(INDEX(tsk_Name,GanttView[[#This Row],[_Row]])="",TRUE()),"",INDEX(tsk_FcStart,GanttView[[#This Row],[_Row]]))</f>
        <v/>
      </c>
      <c r="H183" s="66" t="str">
        <f aca="false">IF(IFERROR(INDEX(tsk_Name,GanttView[[#This Row],[_Row]])="",TRUE()),"",INDEX(tsk_FcFinish,GanttView[[#This Row],[_Row]]))</f>
        <v/>
      </c>
      <c r="I183" s="67" t="str">
        <f aca="false">IF(IFERROR(INDEX(tsk_Name,GanttView[[#This Row],[_Row]])="",TRUE()),"",INDEX(tsk_Progress,GanttView[[#This Row],[_Row]]))</f>
        <v/>
      </c>
      <c r="J183" s="65" t="str">
        <f aca="false">IF(IFERROR(INDEX(tsk_Name,GanttView[[#This Row],[_Row]])="",TRUE()),"",INDEX(tsk_Resource,GanttView[[#This Row],[_Row]])&amp;"")</f>
        <v/>
      </c>
      <c r="K183" s="64" t="str">
        <f aca="false">IF(IFERROR(INDEX(tsk_Name,GanttView[[#This Row],[_Row]])="",TRUE()),"",INDEX(tsk_Status,GanttView[[#This Row],[_Row]]))</f>
        <v/>
      </c>
      <c r="L183" s="68" t="n">
        <f aca="false">ROW()-ROW(GanttView[[#Headers],[ID]])</f>
        <v>178</v>
      </c>
      <c r="M183" s="69" t="b">
        <f aca="false">IF(IFERROR(INDEX(tsk_Name,GanttView[[#This Row],[_Row]])="",TRUE()),FALSE(),INDEX(tsk_IsSummary,GanttView[[#This Row],[_Row]]))</f>
        <v>0</v>
      </c>
      <c r="N183" s="69" t="b">
        <f aca="false">IF(IFERROR(INDEX(tsk_Name,GanttView[[#This Row],[_Row]])="",TRUE()),FALSE(),AND(INDEX(tsk_IsLeaf,GanttView[[#This Row],[_Row]])=1,N(INDEX(tsk_Duration,GanttView[[#This Row],[_Row]]))=0))</f>
        <v>0</v>
      </c>
      <c r="O18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70" t="n">
        <f aca="false">IF(GanttView[[#This Row],[_RemFrom]]=0,0,GanttView[[#This Row],[Forecast Finish]])</f>
        <v>0</v>
      </c>
      <c r="S183" s="69" t="b">
        <f aca="false">IF(IFERROR(INDEX(tsk_Name,GanttView[[#This Row],[_Row]])="",TRUE()),FALSE(),N(INDEX(tsk_Variance,GanttView[[#This Row],[_Row]]))&gt;0)</f>
        <v>0</v>
      </c>
      <c r="T183" s="70" t="n">
        <f aca="false">IF(IFERROR(INDEX(tsk_Name,GanttView[[#This Row],[_Row]])="",TRUE()),0,N(INDEX(tsk_Deadline,GanttView[[#This Row],[_Row]])))</f>
        <v>0</v>
      </c>
      <c r="U183" s="69" t="b">
        <f aca="false">IF(IFERROR(INDEX(tsk_Name,GanttView[[#This Row],[_Row]])="",TRUE()),FALSE(),INDEX(tsk_Critical,GanttView[[#This Row],[_Row]])="Yes")</f>
        <v>0</v>
      </c>
    </row>
    <row r="184" customFormat="false" ht="15" hidden="false" customHeight="false" outlineLevel="0" collapsed="false">
      <c r="A184" s="64" t="str">
        <f aca="false">IF(IFERROR(INDEX(tsk_Name,GanttView[[#This Row],[_Row]])="",TRUE()),"",INDEX(tsk_ID,GanttView[[#This Row],[_Row]]))</f>
        <v/>
      </c>
      <c r="B184" s="64" t="str">
        <f aca="false">IF(IFERROR(INDEX(tsk_Name,GanttView[[#This Row],[_Row]])="",TRUE()),"",INDEX(tsk_WBS,GanttView[[#This Row],[_Row]]))</f>
        <v/>
      </c>
      <c r="C184" s="65" t="str">
        <f aca="false">IF(IFERROR(INDEX(tsk_Name,GanttView[[#This Row],[_Row]])="",TRUE()),"",REPT("    ",INDEX(tsk_Level,GanttView[[#This Row],[_Row]])-1)&amp;INDEX(tsk_Name,GanttView[[#This Row],[_Row]]))</f>
        <v/>
      </c>
      <c r="D18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6" t="str">
        <f aca="false">IF(IFERROR(INDEX(tsk_Name,GanttView[[#This Row],[_Row]])="",TRUE()),"",INDEX(tsk_PlanStart,GanttView[[#This Row],[_Row]]))</f>
        <v/>
      </c>
      <c r="F184" s="66" t="str">
        <f aca="false">IF(IFERROR(INDEX(tsk_Name,GanttView[[#This Row],[_Row]])="",TRUE()),"",INDEX(tsk_PlanFinish,GanttView[[#This Row],[_Row]]))</f>
        <v/>
      </c>
      <c r="G184" s="66" t="str">
        <f aca="false">IF(IFERROR(INDEX(tsk_Name,GanttView[[#This Row],[_Row]])="",TRUE()),"",INDEX(tsk_FcStart,GanttView[[#This Row],[_Row]]))</f>
        <v/>
      </c>
      <c r="H184" s="66" t="str">
        <f aca="false">IF(IFERROR(INDEX(tsk_Name,GanttView[[#This Row],[_Row]])="",TRUE()),"",INDEX(tsk_FcFinish,GanttView[[#This Row],[_Row]]))</f>
        <v/>
      </c>
      <c r="I184" s="67" t="str">
        <f aca="false">IF(IFERROR(INDEX(tsk_Name,GanttView[[#This Row],[_Row]])="",TRUE()),"",INDEX(tsk_Progress,GanttView[[#This Row],[_Row]]))</f>
        <v/>
      </c>
      <c r="J184" s="65" t="str">
        <f aca="false">IF(IFERROR(INDEX(tsk_Name,GanttView[[#This Row],[_Row]])="",TRUE()),"",INDEX(tsk_Resource,GanttView[[#This Row],[_Row]])&amp;"")</f>
        <v/>
      </c>
      <c r="K184" s="64" t="str">
        <f aca="false">IF(IFERROR(INDEX(tsk_Name,GanttView[[#This Row],[_Row]])="",TRUE()),"",INDEX(tsk_Status,GanttView[[#This Row],[_Row]]))</f>
        <v/>
      </c>
      <c r="L184" s="68" t="n">
        <f aca="false">ROW()-ROW(GanttView[[#Headers],[ID]])</f>
        <v>179</v>
      </c>
      <c r="M184" s="69" t="b">
        <f aca="false">IF(IFERROR(INDEX(tsk_Name,GanttView[[#This Row],[_Row]])="",TRUE()),FALSE(),INDEX(tsk_IsSummary,GanttView[[#This Row],[_Row]]))</f>
        <v>0</v>
      </c>
      <c r="N184" s="69" t="b">
        <f aca="false">IF(IFERROR(INDEX(tsk_Name,GanttView[[#This Row],[_Row]])="",TRUE()),FALSE(),AND(INDEX(tsk_IsLeaf,GanttView[[#This Row],[_Row]])=1,N(INDEX(tsk_Duration,GanttView[[#This Row],[_Row]]))=0))</f>
        <v>0</v>
      </c>
      <c r="O18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70" t="n">
        <f aca="false">IF(GanttView[[#This Row],[_RemFrom]]=0,0,GanttView[[#This Row],[Forecast Finish]])</f>
        <v>0</v>
      </c>
      <c r="S184" s="69" t="b">
        <f aca="false">IF(IFERROR(INDEX(tsk_Name,GanttView[[#This Row],[_Row]])="",TRUE()),FALSE(),N(INDEX(tsk_Variance,GanttView[[#This Row],[_Row]]))&gt;0)</f>
        <v>0</v>
      </c>
      <c r="T184" s="70" t="n">
        <f aca="false">IF(IFERROR(INDEX(tsk_Name,GanttView[[#This Row],[_Row]])="",TRUE()),0,N(INDEX(tsk_Deadline,GanttView[[#This Row],[_Row]])))</f>
        <v>0</v>
      </c>
      <c r="U184" s="69" t="b">
        <f aca="false">IF(IFERROR(INDEX(tsk_Name,GanttView[[#This Row],[_Row]])="",TRUE()),FALSE(),INDEX(tsk_Critical,GanttView[[#This Row],[_Row]])="Yes")</f>
        <v>0</v>
      </c>
    </row>
    <row r="185" customFormat="false" ht="15" hidden="false" customHeight="false" outlineLevel="0" collapsed="false">
      <c r="A185" s="64" t="str">
        <f aca="false">IF(IFERROR(INDEX(tsk_Name,GanttView[[#This Row],[_Row]])="",TRUE()),"",INDEX(tsk_ID,GanttView[[#This Row],[_Row]]))</f>
        <v/>
      </c>
      <c r="B185" s="64" t="str">
        <f aca="false">IF(IFERROR(INDEX(tsk_Name,GanttView[[#This Row],[_Row]])="",TRUE()),"",INDEX(tsk_WBS,GanttView[[#This Row],[_Row]]))</f>
        <v/>
      </c>
      <c r="C185" s="65" t="str">
        <f aca="false">IF(IFERROR(INDEX(tsk_Name,GanttView[[#This Row],[_Row]])="",TRUE()),"",REPT("    ",INDEX(tsk_Level,GanttView[[#This Row],[_Row]])-1)&amp;INDEX(tsk_Name,GanttView[[#This Row],[_Row]]))</f>
        <v/>
      </c>
      <c r="D18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6" t="str">
        <f aca="false">IF(IFERROR(INDEX(tsk_Name,GanttView[[#This Row],[_Row]])="",TRUE()),"",INDEX(tsk_PlanStart,GanttView[[#This Row],[_Row]]))</f>
        <v/>
      </c>
      <c r="F185" s="66" t="str">
        <f aca="false">IF(IFERROR(INDEX(tsk_Name,GanttView[[#This Row],[_Row]])="",TRUE()),"",INDEX(tsk_PlanFinish,GanttView[[#This Row],[_Row]]))</f>
        <v/>
      </c>
      <c r="G185" s="66" t="str">
        <f aca="false">IF(IFERROR(INDEX(tsk_Name,GanttView[[#This Row],[_Row]])="",TRUE()),"",INDEX(tsk_FcStart,GanttView[[#This Row],[_Row]]))</f>
        <v/>
      </c>
      <c r="H185" s="66" t="str">
        <f aca="false">IF(IFERROR(INDEX(tsk_Name,GanttView[[#This Row],[_Row]])="",TRUE()),"",INDEX(tsk_FcFinish,GanttView[[#This Row],[_Row]]))</f>
        <v/>
      </c>
      <c r="I185" s="67" t="str">
        <f aca="false">IF(IFERROR(INDEX(tsk_Name,GanttView[[#This Row],[_Row]])="",TRUE()),"",INDEX(tsk_Progress,GanttView[[#This Row],[_Row]]))</f>
        <v/>
      </c>
      <c r="J185" s="65" t="str">
        <f aca="false">IF(IFERROR(INDEX(tsk_Name,GanttView[[#This Row],[_Row]])="",TRUE()),"",INDEX(tsk_Resource,GanttView[[#This Row],[_Row]])&amp;"")</f>
        <v/>
      </c>
      <c r="K185" s="64" t="str">
        <f aca="false">IF(IFERROR(INDEX(tsk_Name,GanttView[[#This Row],[_Row]])="",TRUE()),"",INDEX(tsk_Status,GanttView[[#This Row],[_Row]]))</f>
        <v/>
      </c>
      <c r="L185" s="68" t="n">
        <f aca="false">ROW()-ROW(GanttView[[#Headers],[ID]])</f>
        <v>180</v>
      </c>
      <c r="M185" s="69" t="b">
        <f aca="false">IF(IFERROR(INDEX(tsk_Name,GanttView[[#This Row],[_Row]])="",TRUE()),FALSE(),INDEX(tsk_IsSummary,GanttView[[#This Row],[_Row]]))</f>
        <v>0</v>
      </c>
      <c r="N185" s="69" t="b">
        <f aca="false">IF(IFERROR(INDEX(tsk_Name,GanttView[[#This Row],[_Row]])="",TRUE()),FALSE(),AND(INDEX(tsk_IsLeaf,GanttView[[#This Row],[_Row]])=1,N(INDEX(tsk_Duration,GanttView[[#This Row],[_Row]]))=0))</f>
        <v>0</v>
      </c>
      <c r="O18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70" t="n">
        <f aca="false">IF(GanttView[[#This Row],[_RemFrom]]=0,0,GanttView[[#This Row],[Forecast Finish]])</f>
        <v>0</v>
      </c>
      <c r="S185" s="69" t="b">
        <f aca="false">IF(IFERROR(INDEX(tsk_Name,GanttView[[#This Row],[_Row]])="",TRUE()),FALSE(),N(INDEX(tsk_Variance,GanttView[[#This Row],[_Row]]))&gt;0)</f>
        <v>0</v>
      </c>
      <c r="T185" s="70" t="n">
        <f aca="false">IF(IFERROR(INDEX(tsk_Name,GanttView[[#This Row],[_Row]])="",TRUE()),0,N(INDEX(tsk_Deadline,GanttView[[#This Row],[_Row]])))</f>
        <v>0</v>
      </c>
      <c r="U185" s="69" t="b">
        <f aca="false">IF(IFERROR(INDEX(tsk_Name,GanttView[[#This Row],[_Row]])="",TRUE()),FALSE(),INDEX(tsk_Critical,GanttView[[#This Row],[_Row]])="Yes")</f>
        <v>0</v>
      </c>
    </row>
    <row r="186" customFormat="false" ht="15" hidden="false" customHeight="false" outlineLevel="0" collapsed="false">
      <c r="A186" s="64" t="str">
        <f aca="false">IF(IFERROR(INDEX(tsk_Name,GanttView[[#This Row],[_Row]])="",TRUE()),"",INDEX(tsk_ID,GanttView[[#This Row],[_Row]]))</f>
        <v/>
      </c>
      <c r="B186" s="64" t="str">
        <f aca="false">IF(IFERROR(INDEX(tsk_Name,GanttView[[#This Row],[_Row]])="",TRUE()),"",INDEX(tsk_WBS,GanttView[[#This Row],[_Row]]))</f>
        <v/>
      </c>
      <c r="C186" s="65" t="str">
        <f aca="false">IF(IFERROR(INDEX(tsk_Name,GanttView[[#This Row],[_Row]])="",TRUE()),"",REPT("    ",INDEX(tsk_Level,GanttView[[#This Row],[_Row]])-1)&amp;INDEX(tsk_Name,GanttView[[#This Row],[_Row]]))</f>
        <v/>
      </c>
      <c r="D18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6" t="str">
        <f aca="false">IF(IFERROR(INDEX(tsk_Name,GanttView[[#This Row],[_Row]])="",TRUE()),"",INDEX(tsk_PlanStart,GanttView[[#This Row],[_Row]]))</f>
        <v/>
      </c>
      <c r="F186" s="66" t="str">
        <f aca="false">IF(IFERROR(INDEX(tsk_Name,GanttView[[#This Row],[_Row]])="",TRUE()),"",INDEX(tsk_PlanFinish,GanttView[[#This Row],[_Row]]))</f>
        <v/>
      </c>
      <c r="G186" s="66" t="str">
        <f aca="false">IF(IFERROR(INDEX(tsk_Name,GanttView[[#This Row],[_Row]])="",TRUE()),"",INDEX(tsk_FcStart,GanttView[[#This Row],[_Row]]))</f>
        <v/>
      </c>
      <c r="H186" s="66" t="str">
        <f aca="false">IF(IFERROR(INDEX(tsk_Name,GanttView[[#This Row],[_Row]])="",TRUE()),"",INDEX(tsk_FcFinish,GanttView[[#This Row],[_Row]]))</f>
        <v/>
      </c>
      <c r="I186" s="67" t="str">
        <f aca="false">IF(IFERROR(INDEX(tsk_Name,GanttView[[#This Row],[_Row]])="",TRUE()),"",INDEX(tsk_Progress,GanttView[[#This Row],[_Row]]))</f>
        <v/>
      </c>
      <c r="J186" s="65" t="str">
        <f aca="false">IF(IFERROR(INDEX(tsk_Name,GanttView[[#This Row],[_Row]])="",TRUE()),"",INDEX(tsk_Resource,GanttView[[#This Row],[_Row]])&amp;"")</f>
        <v/>
      </c>
      <c r="K186" s="64" t="str">
        <f aca="false">IF(IFERROR(INDEX(tsk_Name,GanttView[[#This Row],[_Row]])="",TRUE()),"",INDEX(tsk_Status,GanttView[[#This Row],[_Row]]))</f>
        <v/>
      </c>
      <c r="L186" s="68" t="n">
        <f aca="false">ROW()-ROW(GanttView[[#Headers],[ID]])</f>
        <v>181</v>
      </c>
      <c r="M186" s="69" t="b">
        <f aca="false">IF(IFERROR(INDEX(tsk_Name,GanttView[[#This Row],[_Row]])="",TRUE()),FALSE(),INDEX(tsk_IsSummary,GanttView[[#This Row],[_Row]]))</f>
        <v>0</v>
      </c>
      <c r="N186" s="69" t="b">
        <f aca="false">IF(IFERROR(INDEX(tsk_Name,GanttView[[#This Row],[_Row]])="",TRUE()),FALSE(),AND(INDEX(tsk_IsLeaf,GanttView[[#This Row],[_Row]])=1,N(INDEX(tsk_Duration,GanttView[[#This Row],[_Row]]))=0))</f>
        <v>0</v>
      </c>
      <c r="O18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70" t="n">
        <f aca="false">IF(GanttView[[#This Row],[_RemFrom]]=0,0,GanttView[[#This Row],[Forecast Finish]])</f>
        <v>0</v>
      </c>
      <c r="S186" s="69" t="b">
        <f aca="false">IF(IFERROR(INDEX(tsk_Name,GanttView[[#This Row],[_Row]])="",TRUE()),FALSE(),N(INDEX(tsk_Variance,GanttView[[#This Row],[_Row]]))&gt;0)</f>
        <v>0</v>
      </c>
      <c r="T186" s="70" t="n">
        <f aca="false">IF(IFERROR(INDEX(tsk_Name,GanttView[[#This Row],[_Row]])="",TRUE()),0,N(INDEX(tsk_Deadline,GanttView[[#This Row],[_Row]])))</f>
        <v>0</v>
      </c>
      <c r="U186" s="69" t="b">
        <f aca="false">IF(IFERROR(INDEX(tsk_Name,GanttView[[#This Row],[_Row]])="",TRUE()),FALSE(),INDEX(tsk_Critical,GanttView[[#This Row],[_Row]])="Yes")</f>
        <v>0</v>
      </c>
    </row>
    <row r="187" customFormat="false" ht="15" hidden="false" customHeight="false" outlineLevel="0" collapsed="false">
      <c r="A187" s="64" t="str">
        <f aca="false">IF(IFERROR(INDEX(tsk_Name,GanttView[[#This Row],[_Row]])="",TRUE()),"",INDEX(tsk_ID,GanttView[[#This Row],[_Row]]))</f>
        <v/>
      </c>
      <c r="B187" s="64" t="str">
        <f aca="false">IF(IFERROR(INDEX(tsk_Name,GanttView[[#This Row],[_Row]])="",TRUE()),"",INDEX(tsk_WBS,GanttView[[#This Row],[_Row]]))</f>
        <v/>
      </c>
      <c r="C187" s="65" t="str">
        <f aca="false">IF(IFERROR(INDEX(tsk_Name,GanttView[[#This Row],[_Row]])="",TRUE()),"",REPT("    ",INDEX(tsk_Level,GanttView[[#This Row],[_Row]])-1)&amp;INDEX(tsk_Name,GanttView[[#This Row],[_Row]]))</f>
        <v/>
      </c>
      <c r="D18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6" t="str">
        <f aca="false">IF(IFERROR(INDEX(tsk_Name,GanttView[[#This Row],[_Row]])="",TRUE()),"",INDEX(tsk_PlanStart,GanttView[[#This Row],[_Row]]))</f>
        <v/>
      </c>
      <c r="F187" s="66" t="str">
        <f aca="false">IF(IFERROR(INDEX(tsk_Name,GanttView[[#This Row],[_Row]])="",TRUE()),"",INDEX(tsk_PlanFinish,GanttView[[#This Row],[_Row]]))</f>
        <v/>
      </c>
      <c r="G187" s="66" t="str">
        <f aca="false">IF(IFERROR(INDEX(tsk_Name,GanttView[[#This Row],[_Row]])="",TRUE()),"",INDEX(tsk_FcStart,GanttView[[#This Row],[_Row]]))</f>
        <v/>
      </c>
      <c r="H187" s="66" t="str">
        <f aca="false">IF(IFERROR(INDEX(tsk_Name,GanttView[[#This Row],[_Row]])="",TRUE()),"",INDEX(tsk_FcFinish,GanttView[[#This Row],[_Row]]))</f>
        <v/>
      </c>
      <c r="I187" s="67" t="str">
        <f aca="false">IF(IFERROR(INDEX(tsk_Name,GanttView[[#This Row],[_Row]])="",TRUE()),"",INDEX(tsk_Progress,GanttView[[#This Row],[_Row]]))</f>
        <v/>
      </c>
      <c r="J187" s="65" t="str">
        <f aca="false">IF(IFERROR(INDEX(tsk_Name,GanttView[[#This Row],[_Row]])="",TRUE()),"",INDEX(tsk_Resource,GanttView[[#This Row],[_Row]])&amp;"")</f>
        <v/>
      </c>
      <c r="K187" s="64" t="str">
        <f aca="false">IF(IFERROR(INDEX(tsk_Name,GanttView[[#This Row],[_Row]])="",TRUE()),"",INDEX(tsk_Status,GanttView[[#This Row],[_Row]]))</f>
        <v/>
      </c>
      <c r="L187" s="68" t="n">
        <f aca="false">ROW()-ROW(GanttView[[#Headers],[ID]])</f>
        <v>182</v>
      </c>
      <c r="M187" s="69" t="b">
        <f aca="false">IF(IFERROR(INDEX(tsk_Name,GanttView[[#This Row],[_Row]])="",TRUE()),FALSE(),INDEX(tsk_IsSummary,GanttView[[#This Row],[_Row]]))</f>
        <v>0</v>
      </c>
      <c r="N187" s="69" t="b">
        <f aca="false">IF(IFERROR(INDEX(tsk_Name,GanttView[[#This Row],[_Row]])="",TRUE()),FALSE(),AND(INDEX(tsk_IsLeaf,GanttView[[#This Row],[_Row]])=1,N(INDEX(tsk_Duration,GanttView[[#This Row],[_Row]]))=0))</f>
        <v>0</v>
      </c>
      <c r="O18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70" t="n">
        <f aca="false">IF(GanttView[[#This Row],[_RemFrom]]=0,0,GanttView[[#This Row],[Forecast Finish]])</f>
        <v>0</v>
      </c>
      <c r="S187" s="69" t="b">
        <f aca="false">IF(IFERROR(INDEX(tsk_Name,GanttView[[#This Row],[_Row]])="",TRUE()),FALSE(),N(INDEX(tsk_Variance,GanttView[[#This Row],[_Row]]))&gt;0)</f>
        <v>0</v>
      </c>
      <c r="T187" s="70" t="n">
        <f aca="false">IF(IFERROR(INDEX(tsk_Name,GanttView[[#This Row],[_Row]])="",TRUE()),0,N(INDEX(tsk_Deadline,GanttView[[#This Row],[_Row]])))</f>
        <v>0</v>
      </c>
      <c r="U187" s="69" t="b">
        <f aca="false">IF(IFERROR(INDEX(tsk_Name,GanttView[[#This Row],[_Row]])="",TRUE()),FALSE(),INDEX(tsk_Critical,GanttView[[#This Row],[_Row]])="Yes")</f>
        <v>0</v>
      </c>
    </row>
    <row r="188" customFormat="false" ht="15" hidden="false" customHeight="false" outlineLevel="0" collapsed="false">
      <c r="A188" s="64" t="str">
        <f aca="false">IF(IFERROR(INDEX(tsk_Name,GanttView[[#This Row],[_Row]])="",TRUE()),"",INDEX(tsk_ID,GanttView[[#This Row],[_Row]]))</f>
        <v/>
      </c>
      <c r="B188" s="64" t="str">
        <f aca="false">IF(IFERROR(INDEX(tsk_Name,GanttView[[#This Row],[_Row]])="",TRUE()),"",INDEX(tsk_WBS,GanttView[[#This Row],[_Row]]))</f>
        <v/>
      </c>
      <c r="C188" s="65" t="str">
        <f aca="false">IF(IFERROR(INDEX(tsk_Name,GanttView[[#This Row],[_Row]])="",TRUE()),"",REPT("    ",INDEX(tsk_Level,GanttView[[#This Row],[_Row]])-1)&amp;INDEX(tsk_Name,GanttView[[#This Row],[_Row]]))</f>
        <v/>
      </c>
      <c r="D18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6" t="str">
        <f aca="false">IF(IFERROR(INDEX(tsk_Name,GanttView[[#This Row],[_Row]])="",TRUE()),"",INDEX(tsk_PlanStart,GanttView[[#This Row],[_Row]]))</f>
        <v/>
      </c>
      <c r="F188" s="66" t="str">
        <f aca="false">IF(IFERROR(INDEX(tsk_Name,GanttView[[#This Row],[_Row]])="",TRUE()),"",INDEX(tsk_PlanFinish,GanttView[[#This Row],[_Row]]))</f>
        <v/>
      </c>
      <c r="G188" s="66" t="str">
        <f aca="false">IF(IFERROR(INDEX(tsk_Name,GanttView[[#This Row],[_Row]])="",TRUE()),"",INDEX(tsk_FcStart,GanttView[[#This Row],[_Row]]))</f>
        <v/>
      </c>
      <c r="H188" s="66" t="str">
        <f aca="false">IF(IFERROR(INDEX(tsk_Name,GanttView[[#This Row],[_Row]])="",TRUE()),"",INDEX(tsk_FcFinish,GanttView[[#This Row],[_Row]]))</f>
        <v/>
      </c>
      <c r="I188" s="67" t="str">
        <f aca="false">IF(IFERROR(INDEX(tsk_Name,GanttView[[#This Row],[_Row]])="",TRUE()),"",INDEX(tsk_Progress,GanttView[[#This Row],[_Row]]))</f>
        <v/>
      </c>
      <c r="J188" s="65" t="str">
        <f aca="false">IF(IFERROR(INDEX(tsk_Name,GanttView[[#This Row],[_Row]])="",TRUE()),"",INDEX(tsk_Resource,GanttView[[#This Row],[_Row]])&amp;"")</f>
        <v/>
      </c>
      <c r="K188" s="64" t="str">
        <f aca="false">IF(IFERROR(INDEX(tsk_Name,GanttView[[#This Row],[_Row]])="",TRUE()),"",INDEX(tsk_Status,GanttView[[#This Row],[_Row]]))</f>
        <v/>
      </c>
      <c r="L188" s="68" t="n">
        <f aca="false">ROW()-ROW(GanttView[[#Headers],[ID]])</f>
        <v>183</v>
      </c>
      <c r="M188" s="69" t="b">
        <f aca="false">IF(IFERROR(INDEX(tsk_Name,GanttView[[#This Row],[_Row]])="",TRUE()),FALSE(),INDEX(tsk_IsSummary,GanttView[[#This Row],[_Row]]))</f>
        <v>0</v>
      </c>
      <c r="N188" s="69" t="b">
        <f aca="false">IF(IFERROR(INDEX(tsk_Name,GanttView[[#This Row],[_Row]])="",TRUE()),FALSE(),AND(INDEX(tsk_IsLeaf,GanttView[[#This Row],[_Row]])=1,N(INDEX(tsk_Duration,GanttView[[#This Row],[_Row]]))=0))</f>
        <v>0</v>
      </c>
      <c r="O18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70" t="n">
        <f aca="false">IF(GanttView[[#This Row],[_RemFrom]]=0,0,GanttView[[#This Row],[Forecast Finish]])</f>
        <v>0</v>
      </c>
      <c r="S188" s="69" t="b">
        <f aca="false">IF(IFERROR(INDEX(tsk_Name,GanttView[[#This Row],[_Row]])="",TRUE()),FALSE(),N(INDEX(tsk_Variance,GanttView[[#This Row],[_Row]]))&gt;0)</f>
        <v>0</v>
      </c>
      <c r="T188" s="70" t="n">
        <f aca="false">IF(IFERROR(INDEX(tsk_Name,GanttView[[#This Row],[_Row]])="",TRUE()),0,N(INDEX(tsk_Deadline,GanttView[[#This Row],[_Row]])))</f>
        <v>0</v>
      </c>
      <c r="U188" s="69" t="b">
        <f aca="false">IF(IFERROR(INDEX(tsk_Name,GanttView[[#This Row],[_Row]])="",TRUE()),FALSE(),INDEX(tsk_Critical,GanttView[[#This Row],[_Row]])="Yes")</f>
        <v>0</v>
      </c>
    </row>
    <row r="189" customFormat="false" ht="15" hidden="false" customHeight="false" outlineLevel="0" collapsed="false">
      <c r="A189" s="64" t="str">
        <f aca="false">IF(IFERROR(INDEX(tsk_Name,GanttView[[#This Row],[_Row]])="",TRUE()),"",INDEX(tsk_ID,GanttView[[#This Row],[_Row]]))</f>
        <v/>
      </c>
      <c r="B189" s="64" t="str">
        <f aca="false">IF(IFERROR(INDEX(tsk_Name,GanttView[[#This Row],[_Row]])="",TRUE()),"",INDEX(tsk_WBS,GanttView[[#This Row],[_Row]]))</f>
        <v/>
      </c>
      <c r="C189" s="65" t="str">
        <f aca="false">IF(IFERROR(INDEX(tsk_Name,GanttView[[#This Row],[_Row]])="",TRUE()),"",REPT("    ",INDEX(tsk_Level,GanttView[[#This Row],[_Row]])-1)&amp;INDEX(tsk_Name,GanttView[[#This Row],[_Row]]))</f>
        <v/>
      </c>
      <c r="D18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6" t="str">
        <f aca="false">IF(IFERROR(INDEX(tsk_Name,GanttView[[#This Row],[_Row]])="",TRUE()),"",INDEX(tsk_PlanStart,GanttView[[#This Row],[_Row]]))</f>
        <v/>
      </c>
      <c r="F189" s="66" t="str">
        <f aca="false">IF(IFERROR(INDEX(tsk_Name,GanttView[[#This Row],[_Row]])="",TRUE()),"",INDEX(tsk_PlanFinish,GanttView[[#This Row],[_Row]]))</f>
        <v/>
      </c>
      <c r="G189" s="66" t="str">
        <f aca="false">IF(IFERROR(INDEX(tsk_Name,GanttView[[#This Row],[_Row]])="",TRUE()),"",INDEX(tsk_FcStart,GanttView[[#This Row],[_Row]]))</f>
        <v/>
      </c>
      <c r="H189" s="66" t="str">
        <f aca="false">IF(IFERROR(INDEX(tsk_Name,GanttView[[#This Row],[_Row]])="",TRUE()),"",INDEX(tsk_FcFinish,GanttView[[#This Row],[_Row]]))</f>
        <v/>
      </c>
      <c r="I189" s="67" t="str">
        <f aca="false">IF(IFERROR(INDEX(tsk_Name,GanttView[[#This Row],[_Row]])="",TRUE()),"",INDEX(tsk_Progress,GanttView[[#This Row],[_Row]]))</f>
        <v/>
      </c>
      <c r="J189" s="65" t="str">
        <f aca="false">IF(IFERROR(INDEX(tsk_Name,GanttView[[#This Row],[_Row]])="",TRUE()),"",INDEX(tsk_Resource,GanttView[[#This Row],[_Row]])&amp;"")</f>
        <v/>
      </c>
      <c r="K189" s="64" t="str">
        <f aca="false">IF(IFERROR(INDEX(tsk_Name,GanttView[[#This Row],[_Row]])="",TRUE()),"",INDEX(tsk_Status,GanttView[[#This Row],[_Row]]))</f>
        <v/>
      </c>
      <c r="L189" s="68" t="n">
        <f aca="false">ROW()-ROW(GanttView[[#Headers],[ID]])</f>
        <v>184</v>
      </c>
      <c r="M189" s="69" t="b">
        <f aca="false">IF(IFERROR(INDEX(tsk_Name,GanttView[[#This Row],[_Row]])="",TRUE()),FALSE(),INDEX(tsk_IsSummary,GanttView[[#This Row],[_Row]]))</f>
        <v>0</v>
      </c>
      <c r="N189" s="69" t="b">
        <f aca="false">IF(IFERROR(INDEX(tsk_Name,GanttView[[#This Row],[_Row]])="",TRUE()),FALSE(),AND(INDEX(tsk_IsLeaf,GanttView[[#This Row],[_Row]])=1,N(INDEX(tsk_Duration,GanttView[[#This Row],[_Row]]))=0))</f>
        <v>0</v>
      </c>
      <c r="O18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70" t="n">
        <f aca="false">IF(GanttView[[#This Row],[_RemFrom]]=0,0,GanttView[[#This Row],[Forecast Finish]])</f>
        <v>0</v>
      </c>
      <c r="S189" s="69" t="b">
        <f aca="false">IF(IFERROR(INDEX(tsk_Name,GanttView[[#This Row],[_Row]])="",TRUE()),FALSE(),N(INDEX(tsk_Variance,GanttView[[#This Row],[_Row]]))&gt;0)</f>
        <v>0</v>
      </c>
      <c r="T189" s="70" t="n">
        <f aca="false">IF(IFERROR(INDEX(tsk_Name,GanttView[[#This Row],[_Row]])="",TRUE()),0,N(INDEX(tsk_Deadline,GanttView[[#This Row],[_Row]])))</f>
        <v>0</v>
      </c>
      <c r="U189" s="69" t="b">
        <f aca="false">IF(IFERROR(INDEX(tsk_Name,GanttView[[#This Row],[_Row]])="",TRUE()),FALSE(),INDEX(tsk_Critical,GanttView[[#This Row],[_Row]])="Yes")</f>
        <v>0</v>
      </c>
    </row>
    <row r="190" customFormat="false" ht="15" hidden="false" customHeight="false" outlineLevel="0" collapsed="false">
      <c r="A190" s="64" t="str">
        <f aca="false">IF(IFERROR(INDEX(tsk_Name,GanttView[[#This Row],[_Row]])="",TRUE()),"",INDEX(tsk_ID,GanttView[[#This Row],[_Row]]))</f>
        <v/>
      </c>
      <c r="B190" s="64" t="str">
        <f aca="false">IF(IFERROR(INDEX(tsk_Name,GanttView[[#This Row],[_Row]])="",TRUE()),"",INDEX(tsk_WBS,GanttView[[#This Row],[_Row]]))</f>
        <v/>
      </c>
      <c r="C190" s="65" t="str">
        <f aca="false">IF(IFERROR(INDEX(tsk_Name,GanttView[[#This Row],[_Row]])="",TRUE()),"",REPT("    ",INDEX(tsk_Level,GanttView[[#This Row],[_Row]])-1)&amp;INDEX(tsk_Name,GanttView[[#This Row],[_Row]]))</f>
        <v/>
      </c>
      <c r="D19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6" t="str">
        <f aca="false">IF(IFERROR(INDEX(tsk_Name,GanttView[[#This Row],[_Row]])="",TRUE()),"",INDEX(tsk_PlanStart,GanttView[[#This Row],[_Row]]))</f>
        <v/>
      </c>
      <c r="F190" s="66" t="str">
        <f aca="false">IF(IFERROR(INDEX(tsk_Name,GanttView[[#This Row],[_Row]])="",TRUE()),"",INDEX(tsk_PlanFinish,GanttView[[#This Row],[_Row]]))</f>
        <v/>
      </c>
      <c r="G190" s="66" t="str">
        <f aca="false">IF(IFERROR(INDEX(tsk_Name,GanttView[[#This Row],[_Row]])="",TRUE()),"",INDEX(tsk_FcStart,GanttView[[#This Row],[_Row]]))</f>
        <v/>
      </c>
      <c r="H190" s="66" t="str">
        <f aca="false">IF(IFERROR(INDEX(tsk_Name,GanttView[[#This Row],[_Row]])="",TRUE()),"",INDEX(tsk_FcFinish,GanttView[[#This Row],[_Row]]))</f>
        <v/>
      </c>
      <c r="I190" s="67" t="str">
        <f aca="false">IF(IFERROR(INDEX(tsk_Name,GanttView[[#This Row],[_Row]])="",TRUE()),"",INDEX(tsk_Progress,GanttView[[#This Row],[_Row]]))</f>
        <v/>
      </c>
      <c r="J190" s="65" t="str">
        <f aca="false">IF(IFERROR(INDEX(tsk_Name,GanttView[[#This Row],[_Row]])="",TRUE()),"",INDEX(tsk_Resource,GanttView[[#This Row],[_Row]])&amp;"")</f>
        <v/>
      </c>
      <c r="K190" s="64" t="str">
        <f aca="false">IF(IFERROR(INDEX(tsk_Name,GanttView[[#This Row],[_Row]])="",TRUE()),"",INDEX(tsk_Status,GanttView[[#This Row],[_Row]]))</f>
        <v/>
      </c>
      <c r="L190" s="68" t="n">
        <f aca="false">ROW()-ROW(GanttView[[#Headers],[ID]])</f>
        <v>185</v>
      </c>
      <c r="M190" s="69" t="b">
        <f aca="false">IF(IFERROR(INDEX(tsk_Name,GanttView[[#This Row],[_Row]])="",TRUE()),FALSE(),INDEX(tsk_IsSummary,GanttView[[#This Row],[_Row]]))</f>
        <v>0</v>
      </c>
      <c r="N190" s="69" t="b">
        <f aca="false">IF(IFERROR(INDEX(tsk_Name,GanttView[[#This Row],[_Row]])="",TRUE()),FALSE(),AND(INDEX(tsk_IsLeaf,GanttView[[#This Row],[_Row]])=1,N(INDEX(tsk_Duration,GanttView[[#This Row],[_Row]]))=0))</f>
        <v>0</v>
      </c>
      <c r="O19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70" t="n">
        <f aca="false">IF(GanttView[[#This Row],[_RemFrom]]=0,0,GanttView[[#This Row],[Forecast Finish]])</f>
        <v>0</v>
      </c>
      <c r="S190" s="69" t="b">
        <f aca="false">IF(IFERROR(INDEX(tsk_Name,GanttView[[#This Row],[_Row]])="",TRUE()),FALSE(),N(INDEX(tsk_Variance,GanttView[[#This Row],[_Row]]))&gt;0)</f>
        <v>0</v>
      </c>
      <c r="T190" s="70" t="n">
        <f aca="false">IF(IFERROR(INDEX(tsk_Name,GanttView[[#This Row],[_Row]])="",TRUE()),0,N(INDEX(tsk_Deadline,GanttView[[#This Row],[_Row]])))</f>
        <v>0</v>
      </c>
      <c r="U190" s="69" t="b">
        <f aca="false">IF(IFERROR(INDEX(tsk_Name,GanttView[[#This Row],[_Row]])="",TRUE()),FALSE(),INDEX(tsk_Critical,GanttView[[#This Row],[_Row]])="Yes")</f>
        <v>0</v>
      </c>
    </row>
    <row r="191" customFormat="false" ht="15" hidden="false" customHeight="false" outlineLevel="0" collapsed="false">
      <c r="A191" s="64" t="str">
        <f aca="false">IF(IFERROR(INDEX(tsk_Name,GanttView[[#This Row],[_Row]])="",TRUE()),"",INDEX(tsk_ID,GanttView[[#This Row],[_Row]]))</f>
        <v/>
      </c>
      <c r="B191" s="64" t="str">
        <f aca="false">IF(IFERROR(INDEX(tsk_Name,GanttView[[#This Row],[_Row]])="",TRUE()),"",INDEX(tsk_WBS,GanttView[[#This Row],[_Row]]))</f>
        <v/>
      </c>
      <c r="C191" s="65" t="str">
        <f aca="false">IF(IFERROR(INDEX(tsk_Name,GanttView[[#This Row],[_Row]])="",TRUE()),"",REPT("    ",INDEX(tsk_Level,GanttView[[#This Row],[_Row]])-1)&amp;INDEX(tsk_Name,GanttView[[#This Row],[_Row]]))</f>
        <v/>
      </c>
      <c r="D19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6" t="str">
        <f aca="false">IF(IFERROR(INDEX(tsk_Name,GanttView[[#This Row],[_Row]])="",TRUE()),"",INDEX(tsk_PlanStart,GanttView[[#This Row],[_Row]]))</f>
        <v/>
      </c>
      <c r="F191" s="66" t="str">
        <f aca="false">IF(IFERROR(INDEX(tsk_Name,GanttView[[#This Row],[_Row]])="",TRUE()),"",INDEX(tsk_PlanFinish,GanttView[[#This Row],[_Row]]))</f>
        <v/>
      </c>
      <c r="G191" s="66" t="str">
        <f aca="false">IF(IFERROR(INDEX(tsk_Name,GanttView[[#This Row],[_Row]])="",TRUE()),"",INDEX(tsk_FcStart,GanttView[[#This Row],[_Row]]))</f>
        <v/>
      </c>
      <c r="H191" s="66" t="str">
        <f aca="false">IF(IFERROR(INDEX(tsk_Name,GanttView[[#This Row],[_Row]])="",TRUE()),"",INDEX(tsk_FcFinish,GanttView[[#This Row],[_Row]]))</f>
        <v/>
      </c>
      <c r="I191" s="67" t="str">
        <f aca="false">IF(IFERROR(INDEX(tsk_Name,GanttView[[#This Row],[_Row]])="",TRUE()),"",INDEX(tsk_Progress,GanttView[[#This Row],[_Row]]))</f>
        <v/>
      </c>
      <c r="J191" s="65" t="str">
        <f aca="false">IF(IFERROR(INDEX(tsk_Name,GanttView[[#This Row],[_Row]])="",TRUE()),"",INDEX(tsk_Resource,GanttView[[#This Row],[_Row]])&amp;"")</f>
        <v/>
      </c>
      <c r="K191" s="64" t="str">
        <f aca="false">IF(IFERROR(INDEX(tsk_Name,GanttView[[#This Row],[_Row]])="",TRUE()),"",INDEX(tsk_Status,GanttView[[#This Row],[_Row]]))</f>
        <v/>
      </c>
      <c r="L191" s="68" t="n">
        <f aca="false">ROW()-ROW(GanttView[[#Headers],[ID]])</f>
        <v>186</v>
      </c>
      <c r="M191" s="69" t="b">
        <f aca="false">IF(IFERROR(INDEX(tsk_Name,GanttView[[#This Row],[_Row]])="",TRUE()),FALSE(),INDEX(tsk_IsSummary,GanttView[[#This Row],[_Row]]))</f>
        <v>0</v>
      </c>
      <c r="N191" s="69" t="b">
        <f aca="false">IF(IFERROR(INDEX(tsk_Name,GanttView[[#This Row],[_Row]])="",TRUE()),FALSE(),AND(INDEX(tsk_IsLeaf,GanttView[[#This Row],[_Row]])=1,N(INDEX(tsk_Duration,GanttView[[#This Row],[_Row]]))=0))</f>
        <v>0</v>
      </c>
      <c r="O19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70" t="n">
        <f aca="false">IF(GanttView[[#This Row],[_RemFrom]]=0,0,GanttView[[#This Row],[Forecast Finish]])</f>
        <v>0</v>
      </c>
      <c r="S191" s="69" t="b">
        <f aca="false">IF(IFERROR(INDEX(tsk_Name,GanttView[[#This Row],[_Row]])="",TRUE()),FALSE(),N(INDEX(tsk_Variance,GanttView[[#This Row],[_Row]]))&gt;0)</f>
        <v>0</v>
      </c>
      <c r="T191" s="70" t="n">
        <f aca="false">IF(IFERROR(INDEX(tsk_Name,GanttView[[#This Row],[_Row]])="",TRUE()),0,N(INDEX(tsk_Deadline,GanttView[[#This Row],[_Row]])))</f>
        <v>0</v>
      </c>
      <c r="U191" s="69" t="b">
        <f aca="false">IF(IFERROR(INDEX(tsk_Name,GanttView[[#This Row],[_Row]])="",TRUE()),FALSE(),INDEX(tsk_Critical,GanttView[[#This Row],[_Row]])="Yes")</f>
        <v>0</v>
      </c>
    </row>
    <row r="192" customFormat="false" ht="15" hidden="false" customHeight="false" outlineLevel="0" collapsed="false">
      <c r="A192" s="64" t="str">
        <f aca="false">IF(IFERROR(INDEX(tsk_Name,GanttView[[#This Row],[_Row]])="",TRUE()),"",INDEX(tsk_ID,GanttView[[#This Row],[_Row]]))</f>
        <v/>
      </c>
      <c r="B192" s="64" t="str">
        <f aca="false">IF(IFERROR(INDEX(tsk_Name,GanttView[[#This Row],[_Row]])="",TRUE()),"",INDEX(tsk_WBS,GanttView[[#This Row],[_Row]]))</f>
        <v/>
      </c>
      <c r="C192" s="65" t="str">
        <f aca="false">IF(IFERROR(INDEX(tsk_Name,GanttView[[#This Row],[_Row]])="",TRUE()),"",REPT("    ",INDEX(tsk_Level,GanttView[[#This Row],[_Row]])-1)&amp;INDEX(tsk_Name,GanttView[[#This Row],[_Row]]))</f>
        <v/>
      </c>
      <c r="D19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6" t="str">
        <f aca="false">IF(IFERROR(INDEX(tsk_Name,GanttView[[#This Row],[_Row]])="",TRUE()),"",INDEX(tsk_PlanStart,GanttView[[#This Row],[_Row]]))</f>
        <v/>
      </c>
      <c r="F192" s="66" t="str">
        <f aca="false">IF(IFERROR(INDEX(tsk_Name,GanttView[[#This Row],[_Row]])="",TRUE()),"",INDEX(tsk_PlanFinish,GanttView[[#This Row],[_Row]]))</f>
        <v/>
      </c>
      <c r="G192" s="66" t="str">
        <f aca="false">IF(IFERROR(INDEX(tsk_Name,GanttView[[#This Row],[_Row]])="",TRUE()),"",INDEX(tsk_FcStart,GanttView[[#This Row],[_Row]]))</f>
        <v/>
      </c>
      <c r="H192" s="66" t="str">
        <f aca="false">IF(IFERROR(INDEX(tsk_Name,GanttView[[#This Row],[_Row]])="",TRUE()),"",INDEX(tsk_FcFinish,GanttView[[#This Row],[_Row]]))</f>
        <v/>
      </c>
      <c r="I192" s="67" t="str">
        <f aca="false">IF(IFERROR(INDEX(tsk_Name,GanttView[[#This Row],[_Row]])="",TRUE()),"",INDEX(tsk_Progress,GanttView[[#This Row],[_Row]]))</f>
        <v/>
      </c>
      <c r="J192" s="65" t="str">
        <f aca="false">IF(IFERROR(INDEX(tsk_Name,GanttView[[#This Row],[_Row]])="",TRUE()),"",INDEX(tsk_Resource,GanttView[[#This Row],[_Row]])&amp;"")</f>
        <v/>
      </c>
      <c r="K192" s="64" t="str">
        <f aca="false">IF(IFERROR(INDEX(tsk_Name,GanttView[[#This Row],[_Row]])="",TRUE()),"",INDEX(tsk_Status,GanttView[[#This Row],[_Row]]))</f>
        <v/>
      </c>
      <c r="L192" s="68" t="n">
        <f aca="false">ROW()-ROW(GanttView[[#Headers],[ID]])</f>
        <v>187</v>
      </c>
      <c r="M192" s="69" t="b">
        <f aca="false">IF(IFERROR(INDEX(tsk_Name,GanttView[[#This Row],[_Row]])="",TRUE()),FALSE(),INDEX(tsk_IsSummary,GanttView[[#This Row],[_Row]]))</f>
        <v>0</v>
      </c>
      <c r="N192" s="69" t="b">
        <f aca="false">IF(IFERROR(INDEX(tsk_Name,GanttView[[#This Row],[_Row]])="",TRUE()),FALSE(),AND(INDEX(tsk_IsLeaf,GanttView[[#This Row],[_Row]])=1,N(INDEX(tsk_Duration,GanttView[[#This Row],[_Row]]))=0))</f>
        <v>0</v>
      </c>
      <c r="O19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70" t="n">
        <f aca="false">IF(GanttView[[#This Row],[_RemFrom]]=0,0,GanttView[[#This Row],[Forecast Finish]])</f>
        <v>0</v>
      </c>
      <c r="S192" s="69" t="b">
        <f aca="false">IF(IFERROR(INDEX(tsk_Name,GanttView[[#This Row],[_Row]])="",TRUE()),FALSE(),N(INDEX(tsk_Variance,GanttView[[#This Row],[_Row]]))&gt;0)</f>
        <v>0</v>
      </c>
      <c r="T192" s="70" t="n">
        <f aca="false">IF(IFERROR(INDEX(tsk_Name,GanttView[[#This Row],[_Row]])="",TRUE()),0,N(INDEX(tsk_Deadline,GanttView[[#This Row],[_Row]])))</f>
        <v>0</v>
      </c>
      <c r="U192" s="69" t="b">
        <f aca="false">IF(IFERROR(INDEX(tsk_Name,GanttView[[#This Row],[_Row]])="",TRUE()),FALSE(),INDEX(tsk_Critical,GanttView[[#This Row],[_Row]])="Yes")</f>
        <v>0</v>
      </c>
    </row>
    <row r="193" customFormat="false" ht="15" hidden="false" customHeight="false" outlineLevel="0" collapsed="false">
      <c r="A193" s="64" t="str">
        <f aca="false">IF(IFERROR(INDEX(tsk_Name,GanttView[[#This Row],[_Row]])="",TRUE()),"",INDEX(tsk_ID,GanttView[[#This Row],[_Row]]))</f>
        <v/>
      </c>
      <c r="B193" s="64" t="str">
        <f aca="false">IF(IFERROR(INDEX(tsk_Name,GanttView[[#This Row],[_Row]])="",TRUE()),"",INDEX(tsk_WBS,GanttView[[#This Row],[_Row]]))</f>
        <v/>
      </c>
      <c r="C193" s="65" t="str">
        <f aca="false">IF(IFERROR(INDEX(tsk_Name,GanttView[[#This Row],[_Row]])="",TRUE()),"",REPT("    ",INDEX(tsk_Level,GanttView[[#This Row],[_Row]])-1)&amp;INDEX(tsk_Name,GanttView[[#This Row],[_Row]]))</f>
        <v/>
      </c>
      <c r="D19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6" t="str">
        <f aca="false">IF(IFERROR(INDEX(tsk_Name,GanttView[[#This Row],[_Row]])="",TRUE()),"",INDEX(tsk_PlanStart,GanttView[[#This Row],[_Row]]))</f>
        <v/>
      </c>
      <c r="F193" s="66" t="str">
        <f aca="false">IF(IFERROR(INDEX(tsk_Name,GanttView[[#This Row],[_Row]])="",TRUE()),"",INDEX(tsk_PlanFinish,GanttView[[#This Row],[_Row]]))</f>
        <v/>
      </c>
      <c r="G193" s="66" t="str">
        <f aca="false">IF(IFERROR(INDEX(tsk_Name,GanttView[[#This Row],[_Row]])="",TRUE()),"",INDEX(tsk_FcStart,GanttView[[#This Row],[_Row]]))</f>
        <v/>
      </c>
      <c r="H193" s="66" t="str">
        <f aca="false">IF(IFERROR(INDEX(tsk_Name,GanttView[[#This Row],[_Row]])="",TRUE()),"",INDEX(tsk_FcFinish,GanttView[[#This Row],[_Row]]))</f>
        <v/>
      </c>
      <c r="I193" s="67" t="str">
        <f aca="false">IF(IFERROR(INDEX(tsk_Name,GanttView[[#This Row],[_Row]])="",TRUE()),"",INDEX(tsk_Progress,GanttView[[#This Row],[_Row]]))</f>
        <v/>
      </c>
      <c r="J193" s="65" t="str">
        <f aca="false">IF(IFERROR(INDEX(tsk_Name,GanttView[[#This Row],[_Row]])="",TRUE()),"",INDEX(tsk_Resource,GanttView[[#This Row],[_Row]])&amp;"")</f>
        <v/>
      </c>
      <c r="K193" s="64" t="str">
        <f aca="false">IF(IFERROR(INDEX(tsk_Name,GanttView[[#This Row],[_Row]])="",TRUE()),"",INDEX(tsk_Status,GanttView[[#This Row],[_Row]]))</f>
        <v/>
      </c>
      <c r="L193" s="68" t="n">
        <f aca="false">ROW()-ROW(GanttView[[#Headers],[ID]])</f>
        <v>188</v>
      </c>
      <c r="M193" s="69" t="b">
        <f aca="false">IF(IFERROR(INDEX(tsk_Name,GanttView[[#This Row],[_Row]])="",TRUE()),FALSE(),INDEX(tsk_IsSummary,GanttView[[#This Row],[_Row]]))</f>
        <v>0</v>
      </c>
      <c r="N193" s="69" t="b">
        <f aca="false">IF(IFERROR(INDEX(tsk_Name,GanttView[[#This Row],[_Row]])="",TRUE()),FALSE(),AND(INDEX(tsk_IsLeaf,GanttView[[#This Row],[_Row]])=1,N(INDEX(tsk_Duration,GanttView[[#This Row],[_Row]]))=0))</f>
        <v>0</v>
      </c>
      <c r="O19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70" t="n">
        <f aca="false">IF(GanttView[[#This Row],[_RemFrom]]=0,0,GanttView[[#This Row],[Forecast Finish]])</f>
        <v>0</v>
      </c>
      <c r="S193" s="69" t="b">
        <f aca="false">IF(IFERROR(INDEX(tsk_Name,GanttView[[#This Row],[_Row]])="",TRUE()),FALSE(),N(INDEX(tsk_Variance,GanttView[[#This Row],[_Row]]))&gt;0)</f>
        <v>0</v>
      </c>
      <c r="T193" s="70" t="n">
        <f aca="false">IF(IFERROR(INDEX(tsk_Name,GanttView[[#This Row],[_Row]])="",TRUE()),0,N(INDEX(tsk_Deadline,GanttView[[#This Row],[_Row]])))</f>
        <v>0</v>
      </c>
      <c r="U193" s="69" t="b">
        <f aca="false">IF(IFERROR(INDEX(tsk_Name,GanttView[[#This Row],[_Row]])="",TRUE()),FALSE(),INDEX(tsk_Critical,GanttView[[#This Row],[_Row]])="Yes")</f>
        <v>0</v>
      </c>
    </row>
    <row r="194" customFormat="false" ht="15" hidden="false" customHeight="false" outlineLevel="0" collapsed="false">
      <c r="A194" s="64" t="str">
        <f aca="false">IF(IFERROR(INDEX(tsk_Name,GanttView[[#This Row],[_Row]])="",TRUE()),"",INDEX(tsk_ID,GanttView[[#This Row],[_Row]]))</f>
        <v/>
      </c>
      <c r="B194" s="64" t="str">
        <f aca="false">IF(IFERROR(INDEX(tsk_Name,GanttView[[#This Row],[_Row]])="",TRUE()),"",INDEX(tsk_WBS,GanttView[[#This Row],[_Row]]))</f>
        <v/>
      </c>
      <c r="C194" s="65" t="str">
        <f aca="false">IF(IFERROR(INDEX(tsk_Name,GanttView[[#This Row],[_Row]])="",TRUE()),"",REPT("    ",INDEX(tsk_Level,GanttView[[#This Row],[_Row]])-1)&amp;INDEX(tsk_Name,GanttView[[#This Row],[_Row]]))</f>
        <v/>
      </c>
      <c r="D19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6" t="str">
        <f aca="false">IF(IFERROR(INDEX(tsk_Name,GanttView[[#This Row],[_Row]])="",TRUE()),"",INDEX(tsk_PlanStart,GanttView[[#This Row],[_Row]]))</f>
        <v/>
      </c>
      <c r="F194" s="66" t="str">
        <f aca="false">IF(IFERROR(INDEX(tsk_Name,GanttView[[#This Row],[_Row]])="",TRUE()),"",INDEX(tsk_PlanFinish,GanttView[[#This Row],[_Row]]))</f>
        <v/>
      </c>
      <c r="G194" s="66" t="str">
        <f aca="false">IF(IFERROR(INDEX(tsk_Name,GanttView[[#This Row],[_Row]])="",TRUE()),"",INDEX(tsk_FcStart,GanttView[[#This Row],[_Row]]))</f>
        <v/>
      </c>
      <c r="H194" s="66" t="str">
        <f aca="false">IF(IFERROR(INDEX(tsk_Name,GanttView[[#This Row],[_Row]])="",TRUE()),"",INDEX(tsk_FcFinish,GanttView[[#This Row],[_Row]]))</f>
        <v/>
      </c>
      <c r="I194" s="67" t="str">
        <f aca="false">IF(IFERROR(INDEX(tsk_Name,GanttView[[#This Row],[_Row]])="",TRUE()),"",INDEX(tsk_Progress,GanttView[[#This Row],[_Row]]))</f>
        <v/>
      </c>
      <c r="J194" s="65" t="str">
        <f aca="false">IF(IFERROR(INDEX(tsk_Name,GanttView[[#This Row],[_Row]])="",TRUE()),"",INDEX(tsk_Resource,GanttView[[#This Row],[_Row]])&amp;"")</f>
        <v/>
      </c>
      <c r="K194" s="64" t="str">
        <f aca="false">IF(IFERROR(INDEX(tsk_Name,GanttView[[#This Row],[_Row]])="",TRUE()),"",INDEX(tsk_Status,GanttView[[#This Row],[_Row]]))</f>
        <v/>
      </c>
      <c r="L194" s="68" t="n">
        <f aca="false">ROW()-ROW(GanttView[[#Headers],[ID]])</f>
        <v>189</v>
      </c>
      <c r="M194" s="69" t="b">
        <f aca="false">IF(IFERROR(INDEX(tsk_Name,GanttView[[#This Row],[_Row]])="",TRUE()),FALSE(),INDEX(tsk_IsSummary,GanttView[[#This Row],[_Row]]))</f>
        <v>0</v>
      </c>
      <c r="N194" s="69" t="b">
        <f aca="false">IF(IFERROR(INDEX(tsk_Name,GanttView[[#This Row],[_Row]])="",TRUE()),FALSE(),AND(INDEX(tsk_IsLeaf,GanttView[[#This Row],[_Row]])=1,N(INDEX(tsk_Duration,GanttView[[#This Row],[_Row]]))=0))</f>
        <v>0</v>
      </c>
      <c r="O19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70" t="n">
        <f aca="false">IF(GanttView[[#This Row],[_RemFrom]]=0,0,GanttView[[#This Row],[Forecast Finish]])</f>
        <v>0</v>
      </c>
      <c r="S194" s="69" t="b">
        <f aca="false">IF(IFERROR(INDEX(tsk_Name,GanttView[[#This Row],[_Row]])="",TRUE()),FALSE(),N(INDEX(tsk_Variance,GanttView[[#This Row],[_Row]]))&gt;0)</f>
        <v>0</v>
      </c>
      <c r="T194" s="70" t="n">
        <f aca="false">IF(IFERROR(INDEX(tsk_Name,GanttView[[#This Row],[_Row]])="",TRUE()),0,N(INDEX(tsk_Deadline,GanttView[[#This Row],[_Row]])))</f>
        <v>0</v>
      </c>
      <c r="U194" s="69" t="b">
        <f aca="false">IF(IFERROR(INDEX(tsk_Name,GanttView[[#This Row],[_Row]])="",TRUE()),FALSE(),INDEX(tsk_Critical,GanttView[[#This Row],[_Row]])="Yes")</f>
        <v>0</v>
      </c>
    </row>
    <row r="195" customFormat="false" ht="15" hidden="false" customHeight="false" outlineLevel="0" collapsed="false">
      <c r="A195" s="64" t="str">
        <f aca="false">IF(IFERROR(INDEX(tsk_Name,GanttView[[#This Row],[_Row]])="",TRUE()),"",INDEX(tsk_ID,GanttView[[#This Row],[_Row]]))</f>
        <v/>
      </c>
      <c r="B195" s="64" t="str">
        <f aca="false">IF(IFERROR(INDEX(tsk_Name,GanttView[[#This Row],[_Row]])="",TRUE()),"",INDEX(tsk_WBS,GanttView[[#This Row],[_Row]]))</f>
        <v/>
      </c>
      <c r="C195" s="65" t="str">
        <f aca="false">IF(IFERROR(INDEX(tsk_Name,GanttView[[#This Row],[_Row]])="",TRUE()),"",REPT("    ",INDEX(tsk_Level,GanttView[[#This Row],[_Row]])-1)&amp;INDEX(tsk_Name,GanttView[[#This Row],[_Row]]))</f>
        <v/>
      </c>
      <c r="D19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6" t="str">
        <f aca="false">IF(IFERROR(INDEX(tsk_Name,GanttView[[#This Row],[_Row]])="",TRUE()),"",INDEX(tsk_PlanStart,GanttView[[#This Row],[_Row]]))</f>
        <v/>
      </c>
      <c r="F195" s="66" t="str">
        <f aca="false">IF(IFERROR(INDEX(tsk_Name,GanttView[[#This Row],[_Row]])="",TRUE()),"",INDEX(tsk_PlanFinish,GanttView[[#This Row],[_Row]]))</f>
        <v/>
      </c>
      <c r="G195" s="66" t="str">
        <f aca="false">IF(IFERROR(INDEX(tsk_Name,GanttView[[#This Row],[_Row]])="",TRUE()),"",INDEX(tsk_FcStart,GanttView[[#This Row],[_Row]]))</f>
        <v/>
      </c>
      <c r="H195" s="66" t="str">
        <f aca="false">IF(IFERROR(INDEX(tsk_Name,GanttView[[#This Row],[_Row]])="",TRUE()),"",INDEX(tsk_FcFinish,GanttView[[#This Row],[_Row]]))</f>
        <v/>
      </c>
      <c r="I195" s="67" t="str">
        <f aca="false">IF(IFERROR(INDEX(tsk_Name,GanttView[[#This Row],[_Row]])="",TRUE()),"",INDEX(tsk_Progress,GanttView[[#This Row],[_Row]]))</f>
        <v/>
      </c>
      <c r="J195" s="65" t="str">
        <f aca="false">IF(IFERROR(INDEX(tsk_Name,GanttView[[#This Row],[_Row]])="",TRUE()),"",INDEX(tsk_Resource,GanttView[[#This Row],[_Row]])&amp;"")</f>
        <v/>
      </c>
      <c r="K195" s="64" t="str">
        <f aca="false">IF(IFERROR(INDEX(tsk_Name,GanttView[[#This Row],[_Row]])="",TRUE()),"",INDEX(tsk_Status,GanttView[[#This Row],[_Row]]))</f>
        <v/>
      </c>
      <c r="L195" s="68" t="n">
        <f aca="false">ROW()-ROW(GanttView[[#Headers],[ID]])</f>
        <v>190</v>
      </c>
      <c r="M195" s="69" t="b">
        <f aca="false">IF(IFERROR(INDEX(tsk_Name,GanttView[[#This Row],[_Row]])="",TRUE()),FALSE(),INDEX(tsk_IsSummary,GanttView[[#This Row],[_Row]]))</f>
        <v>0</v>
      </c>
      <c r="N195" s="69" t="b">
        <f aca="false">IF(IFERROR(INDEX(tsk_Name,GanttView[[#This Row],[_Row]])="",TRUE()),FALSE(),AND(INDEX(tsk_IsLeaf,GanttView[[#This Row],[_Row]])=1,N(INDEX(tsk_Duration,GanttView[[#This Row],[_Row]]))=0))</f>
        <v>0</v>
      </c>
      <c r="O19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70" t="n">
        <f aca="false">IF(GanttView[[#This Row],[_RemFrom]]=0,0,GanttView[[#This Row],[Forecast Finish]])</f>
        <v>0</v>
      </c>
      <c r="S195" s="69" t="b">
        <f aca="false">IF(IFERROR(INDEX(tsk_Name,GanttView[[#This Row],[_Row]])="",TRUE()),FALSE(),N(INDEX(tsk_Variance,GanttView[[#This Row],[_Row]]))&gt;0)</f>
        <v>0</v>
      </c>
      <c r="T195" s="70" t="n">
        <f aca="false">IF(IFERROR(INDEX(tsk_Name,GanttView[[#This Row],[_Row]])="",TRUE()),0,N(INDEX(tsk_Deadline,GanttView[[#This Row],[_Row]])))</f>
        <v>0</v>
      </c>
      <c r="U195" s="69" t="b">
        <f aca="false">IF(IFERROR(INDEX(tsk_Name,GanttView[[#This Row],[_Row]])="",TRUE()),FALSE(),INDEX(tsk_Critical,GanttView[[#This Row],[_Row]])="Yes")</f>
        <v>0</v>
      </c>
    </row>
    <row r="196" customFormat="false" ht="15" hidden="false" customHeight="false" outlineLevel="0" collapsed="false">
      <c r="A196" s="64" t="str">
        <f aca="false">IF(IFERROR(INDEX(tsk_Name,GanttView[[#This Row],[_Row]])="",TRUE()),"",INDEX(tsk_ID,GanttView[[#This Row],[_Row]]))</f>
        <v/>
      </c>
      <c r="B196" s="64" t="str">
        <f aca="false">IF(IFERROR(INDEX(tsk_Name,GanttView[[#This Row],[_Row]])="",TRUE()),"",INDEX(tsk_WBS,GanttView[[#This Row],[_Row]]))</f>
        <v/>
      </c>
      <c r="C196" s="65" t="str">
        <f aca="false">IF(IFERROR(INDEX(tsk_Name,GanttView[[#This Row],[_Row]])="",TRUE()),"",REPT("    ",INDEX(tsk_Level,GanttView[[#This Row],[_Row]])-1)&amp;INDEX(tsk_Name,GanttView[[#This Row],[_Row]]))</f>
        <v/>
      </c>
      <c r="D196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6" t="str">
        <f aca="false">IF(IFERROR(INDEX(tsk_Name,GanttView[[#This Row],[_Row]])="",TRUE()),"",INDEX(tsk_PlanStart,GanttView[[#This Row],[_Row]]))</f>
        <v/>
      </c>
      <c r="F196" s="66" t="str">
        <f aca="false">IF(IFERROR(INDEX(tsk_Name,GanttView[[#This Row],[_Row]])="",TRUE()),"",INDEX(tsk_PlanFinish,GanttView[[#This Row],[_Row]]))</f>
        <v/>
      </c>
      <c r="G196" s="66" t="str">
        <f aca="false">IF(IFERROR(INDEX(tsk_Name,GanttView[[#This Row],[_Row]])="",TRUE()),"",INDEX(tsk_FcStart,GanttView[[#This Row],[_Row]]))</f>
        <v/>
      </c>
      <c r="H196" s="66" t="str">
        <f aca="false">IF(IFERROR(INDEX(tsk_Name,GanttView[[#This Row],[_Row]])="",TRUE()),"",INDEX(tsk_FcFinish,GanttView[[#This Row],[_Row]]))</f>
        <v/>
      </c>
      <c r="I196" s="67" t="str">
        <f aca="false">IF(IFERROR(INDEX(tsk_Name,GanttView[[#This Row],[_Row]])="",TRUE()),"",INDEX(tsk_Progress,GanttView[[#This Row],[_Row]]))</f>
        <v/>
      </c>
      <c r="J196" s="65" t="str">
        <f aca="false">IF(IFERROR(INDEX(tsk_Name,GanttView[[#This Row],[_Row]])="",TRUE()),"",INDEX(tsk_Resource,GanttView[[#This Row],[_Row]])&amp;"")</f>
        <v/>
      </c>
      <c r="K196" s="64" t="str">
        <f aca="false">IF(IFERROR(INDEX(tsk_Name,GanttView[[#This Row],[_Row]])="",TRUE()),"",INDEX(tsk_Status,GanttView[[#This Row],[_Row]]))</f>
        <v/>
      </c>
      <c r="L196" s="68" t="n">
        <f aca="false">ROW()-ROW(GanttView[[#Headers],[ID]])</f>
        <v>191</v>
      </c>
      <c r="M196" s="69" t="b">
        <f aca="false">IF(IFERROR(INDEX(tsk_Name,GanttView[[#This Row],[_Row]])="",TRUE()),FALSE(),INDEX(tsk_IsSummary,GanttView[[#This Row],[_Row]]))</f>
        <v>0</v>
      </c>
      <c r="N196" s="69" t="b">
        <f aca="false">IF(IFERROR(INDEX(tsk_Name,GanttView[[#This Row],[_Row]])="",TRUE()),FALSE(),AND(INDEX(tsk_IsLeaf,GanttView[[#This Row],[_Row]])=1,N(INDEX(tsk_Duration,GanttView[[#This Row],[_Row]]))=0))</f>
        <v>0</v>
      </c>
      <c r="O196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70" t="n">
        <f aca="false">IF(GanttView[[#This Row],[_RemFrom]]=0,0,GanttView[[#This Row],[Forecast Finish]])</f>
        <v>0</v>
      </c>
      <c r="S196" s="69" t="b">
        <f aca="false">IF(IFERROR(INDEX(tsk_Name,GanttView[[#This Row],[_Row]])="",TRUE()),FALSE(),N(INDEX(tsk_Variance,GanttView[[#This Row],[_Row]]))&gt;0)</f>
        <v>0</v>
      </c>
      <c r="T196" s="70" t="n">
        <f aca="false">IF(IFERROR(INDEX(tsk_Name,GanttView[[#This Row],[_Row]])="",TRUE()),0,N(INDEX(tsk_Deadline,GanttView[[#This Row],[_Row]])))</f>
        <v>0</v>
      </c>
      <c r="U196" s="69" t="b">
        <f aca="false">IF(IFERROR(INDEX(tsk_Name,GanttView[[#This Row],[_Row]])="",TRUE()),FALSE(),INDEX(tsk_Critical,GanttView[[#This Row],[_Row]])="Yes")</f>
        <v>0</v>
      </c>
    </row>
    <row r="197" customFormat="false" ht="15" hidden="false" customHeight="false" outlineLevel="0" collapsed="false">
      <c r="A197" s="64" t="str">
        <f aca="false">IF(IFERROR(INDEX(tsk_Name,GanttView[[#This Row],[_Row]])="",TRUE()),"",INDEX(tsk_ID,GanttView[[#This Row],[_Row]]))</f>
        <v/>
      </c>
      <c r="B197" s="64" t="str">
        <f aca="false">IF(IFERROR(INDEX(tsk_Name,GanttView[[#This Row],[_Row]])="",TRUE()),"",INDEX(tsk_WBS,GanttView[[#This Row],[_Row]]))</f>
        <v/>
      </c>
      <c r="C197" s="65" t="str">
        <f aca="false">IF(IFERROR(INDEX(tsk_Name,GanttView[[#This Row],[_Row]])="",TRUE()),"",REPT("    ",INDEX(tsk_Level,GanttView[[#This Row],[_Row]])-1)&amp;INDEX(tsk_Name,GanttView[[#This Row],[_Row]]))</f>
        <v/>
      </c>
      <c r="D197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6" t="str">
        <f aca="false">IF(IFERROR(INDEX(tsk_Name,GanttView[[#This Row],[_Row]])="",TRUE()),"",INDEX(tsk_PlanStart,GanttView[[#This Row],[_Row]]))</f>
        <v/>
      </c>
      <c r="F197" s="66" t="str">
        <f aca="false">IF(IFERROR(INDEX(tsk_Name,GanttView[[#This Row],[_Row]])="",TRUE()),"",INDEX(tsk_PlanFinish,GanttView[[#This Row],[_Row]]))</f>
        <v/>
      </c>
      <c r="G197" s="66" t="str">
        <f aca="false">IF(IFERROR(INDEX(tsk_Name,GanttView[[#This Row],[_Row]])="",TRUE()),"",INDEX(tsk_FcStart,GanttView[[#This Row],[_Row]]))</f>
        <v/>
      </c>
      <c r="H197" s="66" t="str">
        <f aca="false">IF(IFERROR(INDEX(tsk_Name,GanttView[[#This Row],[_Row]])="",TRUE()),"",INDEX(tsk_FcFinish,GanttView[[#This Row],[_Row]]))</f>
        <v/>
      </c>
      <c r="I197" s="67" t="str">
        <f aca="false">IF(IFERROR(INDEX(tsk_Name,GanttView[[#This Row],[_Row]])="",TRUE()),"",INDEX(tsk_Progress,GanttView[[#This Row],[_Row]]))</f>
        <v/>
      </c>
      <c r="J197" s="65" t="str">
        <f aca="false">IF(IFERROR(INDEX(tsk_Name,GanttView[[#This Row],[_Row]])="",TRUE()),"",INDEX(tsk_Resource,GanttView[[#This Row],[_Row]])&amp;"")</f>
        <v/>
      </c>
      <c r="K197" s="64" t="str">
        <f aca="false">IF(IFERROR(INDEX(tsk_Name,GanttView[[#This Row],[_Row]])="",TRUE()),"",INDEX(tsk_Status,GanttView[[#This Row],[_Row]]))</f>
        <v/>
      </c>
      <c r="L197" s="68" t="n">
        <f aca="false">ROW()-ROW(GanttView[[#Headers],[ID]])</f>
        <v>192</v>
      </c>
      <c r="M197" s="69" t="b">
        <f aca="false">IF(IFERROR(INDEX(tsk_Name,GanttView[[#This Row],[_Row]])="",TRUE()),FALSE(),INDEX(tsk_IsSummary,GanttView[[#This Row],[_Row]]))</f>
        <v>0</v>
      </c>
      <c r="N197" s="69" t="b">
        <f aca="false">IF(IFERROR(INDEX(tsk_Name,GanttView[[#This Row],[_Row]])="",TRUE()),FALSE(),AND(INDEX(tsk_IsLeaf,GanttView[[#This Row],[_Row]])=1,N(INDEX(tsk_Duration,GanttView[[#This Row],[_Row]]))=0))</f>
        <v>0</v>
      </c>
      <c r="O197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70" t="n">
        <f aca="false">IF(GanttView[[#This Row],[_RemFrom]]=0,0,GanttView[[#This Row],[Forecast Finish]])</f>
        <v>0</v>
      </c>
      <c r="S197" s="69" t="b">
        <f aca="false">IF(IFERROR(INDEX(tsk_Name,GanttView[[#This Row],[_Row]])="",TRUE()),FALSE(),N(INDEX(tsk_Variance,GanttView[[#This Row],[_Row]]))&gt;0)</f>
        <v>0</v>
      </c>
      <c r="T197" s="70" t="n">
        <f aca="false">IF(IFERROR(INDEX(tsk_Name,GanttView[[#This Row],[_Row]])="",TRUE()),0,N(INDEX(tsk_Deadline,GanttView[[#This Row],[_Row]])))</f>
        <v>0</v>
      </c>
      <c r="U197" s="69" t="b">
        <f aca="false">IF(IFERROR(INDEX(tsk_Name,GanttView[[#This Row],[_Row]])="",TRUE()),FALSE(),INDEX(tsk_Critical,GanttView[[#This Row],[_Row]])="Yes")</f>
        <v>0</v>
      </c>
    </row>
    <row r="198" customFormat="false" ht="15" hidden="false" customHeight="false" outlineLevel="0" collapsed="false">
      <c r="A198" s="64" t="str">
        <f aca="false">IF(IFERROR(INDEX(tsk_Name,GanttView[[#This Row],[_Row]])="",TRUE()),"",INDEX(tsk_ID,GanttView[[#This Row],[_Row]]))</f>
        <v/>
      </c>
      <c r="B198" s="64" t="str">
        <f aca="false">IF(IFERROR(INDEX(tsk_Name,GanttView[[#This Row],[_Row]])="",TRUE()),"",INDEX(tsk_WBS,GanttView[[#This Row],[_Row]]))</f>
        <v/>
      </c>
      <c r="C198" s="65" t="str">
        <f aca="false">IF(IFERROR(INDEX(tsk_Name,GanttView[[#This Row],[_Row]])="",TRUE()),"",REPT("    ",INDEX(tsk_Level,GanttView[[#This Row],[_Row]])-1)&amp;INDEX(tsk_Name,GanttView[[#This Row],[_Row]]))</f>
        <v/>
      </c>
      <c r="D198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6" t="str">
        <f aca="false">IF(IFERROR(INDEX(tsk_Name,GanttView[[#This Row],[_Row]])="",TRUE()),"",INDEX(tsk_PlanStart,GanttView[[#This Row],[_Row]]))</f>
        <v/>
      </c>
      <c r="F198" s="66" t="str">
        <f aca="false">IF(IFERROR(INDEX(tsk_Name,GanttView[[#This Row],[_Row]])="",TRUE()),"",INDEX(tsk_PlanFinish,GanttView[[#This Row],[_Row]]))</f>
        <v/>
      </c>
      <c r="G198" s="66" t="str">
        <f aca="false">IF(IFERROR(INDEX(tsk_Name,GanttView[[#This Row],[_Row]])="",TRUE()),"",INDEX(tsk_FcStart,GanttView[[#This Row],[_Row]]))</f>
        <v/>
      </c>
      <c r="H198" s="66" t="str">
        <f aca="false">IF(IFERROR(INDEX(tsk_Name,GanttView[[#This Row],[_Row]])="",TRUE()),"",INDEX(tsk_FcFinish,GanttView[[#This Row],[_Row]]))</f>
        <v/>
      </c>
      <c r="I198" s="67" t="str">
        <f aca="false">IF(IFERROR(INDEX(tsk_Name,GanttView[[#This Row],[_Row]])="",TRUE()),"",INDEX(tsk_Progress,GanttView[[#This Row],[_Row]]))</f>
        <v/>
      </c>
      <c r="J198" s="65" t="str">
        <f aca="false">IF(IFERROR(INDEX(tsk_Name,GanttView[[#This Row],[_Row]])="",TRUE()),"",INDEX(tsk_Resource,GanttView[[#This Row],[_Row]])&amp;"")</f>
        <v/>
      </c>
      <c r="K198" s="64" t="str">
        <f aca="false">IF(IFERROR(INDEX(tsk_Name,GanttView[[#This Row],[_Row]])="",TRUE()),"",INDEX(tsk_Status,GanttView[[#This Row],[_Row]]))</f>
        <v/>
      </c>
      <c r="L198" s="68" t="n">
        <f aca="false">ROW()-ROW(GanttView[[#Headers],[ID]])</f>
        <v>193</v>
      </c>
      <c r="M198" s="69" t="b">
        <f aca="false">IF(IFERROR(INDEX(tsk_Name,GanttView[[#This Row],[_Row]])="",TRUE()),FALSE(),INDEX(tsk_IsSummary,GanttView[[#This Row],[_Row]]))</f>
        <v>0</v>
      </c>
      <c r="N198" s="69" t="b">
        <f aca="false">IF(IFERROR(INDEX(tsk_Name,GanttView[[#This Row],[_Row]])="",TRUE()),FALSE(),AND(INDEX(tsk_IsLeaf,GanttView[[#This Row],[_Row]])=1,N(INDEX(tsk_Duration,GanttView[[#This Row],[_Row]]))=0))</f>
        <v>0</v>
      </c>
      <c r="O198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70" t="n">
        <f aca="false">IF(GanttView[[#This Row],[_RemFrom]]=0,0,GanttView[[#This Row],[Forecast Finish]])</f>
        <v>0</v>
      </c>
      <c r="S198" s="69" t="b">
        <f aca="false">IF(IFERROR(INDEX(tsk_Name,GanttView[[#This Row],[_Row]])="",TRUE()),FALSE(),N(INDEX(tsk_Variance,GanttView[[#This Row],[_Row]]))&gt;0)</f>
        <v>0</v>
      </c>
      <c r="T198" s="70" t="n">
        <f aca="false">IF(IFERROR(INDEX(tsk_Name,GanttView[[#This Row],[_Row]])="",TRUE()),0,N(INDEX(tsk_Deadline,GanttView[[#This Row],[_Row]])))</f>
        <v>0</v>
      </c>
      <c r="U198" s="69" t="b">
        <f aca="false">IF(IFERROR(INDEX(tsk_Name,GanttView[[#This Row],[_Row]])="",TRUE()),FALSE(),INDEX(tsk_Critical,GanttView[[#This Row],[_Row]])="Yes")</f>
        <v>0</v>
      </c>
    </row>
    <row r="199" customFormat="false" ht="15" hidden="false" customHeight="false" outlineLevel="0" collapsed="false">
      <c r="A199" s="64" t="str">
        <f aca="false">IF(IFERROR(INDEX(tsk_Name,GanttView[[#This Row],[_Row]])="",TRUE()),"",INDEX(tsk_ID,GanttView[[#This Row],[_Row]]))</f>
        <v/>
      </c>
      <c r="B199" s="64" t="str">
        <f aca="false">IF(IFERROR(INDEX(tsk_Name,GanttView[[#This Row],[_Row]])="",TRUE()),"",INDEX(tsk_WBS,GanttView[[#This Row],[_Row]]))</f>
        <v/>
      </c>
      <c r="C199" s="65" t="str">
        <f aca="false">IF(IFERROR(INDEX(tsk_Name,GanttView[[#This Row],[_Row]])="",TRUE()),"",REPT("    ",INDEX(tsk_Level,GanttView[[#This Row],[_Row]])-1)&amp;INDEX(tsk_Name,GanttView[[#This Row],[_Row]]))</f>
        <v/>
      </c>
      <c r="D199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6" t="str">
        <f aca="false">IF(IFERROR(INDEX(tsk_Name,GanttView[[#This Row],[_Row]])="",TRUE()),"",INDEX(tsk_PlanStart,GanttView[[#This Row],[_Row]]))</f>
        <v/>
      </c>
      <c r="F199" s="66" t="str">
        <f aca="false">IF(IFERROR(INDEX(tsk_Name,GanttView[[#This Row],[_Row]])="",TRUE()),"",INDEX(tsk_PlanFinish,GanttView[[#This Row],[_Row]]))</f>
        <v/>
      </c>
      <c r="G199" s="66" t="str">
        <f aca="false">IF(IFERROR(INDEX(tsk_Name,GanttView[[#This Row],[_Row]])="",TRUE()),"",INDEX(tsk_FcStart,GanttView[[#This Row],[_Row]]))</f>
        <v/>
      </c>
      <c r="H199" s="66" t="str">
        <f aca="false">IF(IFERROR(INDEX(tsk_Name,GanttView[[#This Row],[_Row]])="",TRUE()),"",INDEX(tsk_FcFinish,GanttView[[#This Row],[_Row]]))</f>
        <v/>
      </c>
      <c r="I199" s="67" t="str">
        <f aca="false">IF(IFERROR(INDEX(tsk_Name,GanttView[[#This Row],[_Row]])="",TRUE()),"",INDEX(tsk_Progress,GanttView[[#This Row],[_Row]]))</f>
        <v/>
      </c>
      <c r="J199" s="65" t="str">
        <f aca="false">IF(IFERROR(INDEX(tsk_Name,GanttView[[#This Row],[_Row]])="",TRUE()),"",INDEX(tsk_Resource,GanttView[[#This Row],[_Row]])&amp;"")</f>
        <v/>
      </c>
      <c r="K199" s="64" t="str">
        <f aca="false">IF(IFERROR(INDEX(tsk_Name,GanttView[[#This Row],[_Row]])="",TRUE()),"",INDEX(tsk_Status,GanttView[[#This Row],[_Row]]))</f>
        <v/>
      </c>
      <c r="L199" s="68" t="n">
        <f aca="false">ROW()-ROW(GanttView[[#Headers],[ID]])</f>
        <v>194</v>
      </c>
      <c r="M199" s="69" t="b">
        <f aca="false">IF(IFERROR(INDEX(tsk_Name,GanttView[[#This Row],[_Row]])="",TRUE()),FALSE(),INDEX(tsk_IsSummary,GanttView[[#This Row],[_Row]]))</f>
        <v>0</v>
      </c>
      <c r="N199" s="69" t="b">
        <f aca="false">IF(IFERROR(INDEX(tsk_Name,GanttView[[#This Row],[_Row]])="",TRUE()),FALSE(),AND(INDEX(tsk_IsLeaf,GanttView[[#This Row],[_Row]])=1,N(INDEX(tsk_Duration,GanttView[[#This Row],[_Row]]))=0))</f>
        <v>0</v>
      </c>
      <c r="O199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70" t="n">
        <f aca="false">IF(GanttView[[#This Row],[_RemFrom]]=0,0,GanttView[[#This Row],[Forecast Finish]])</f>
        <v>0</v>
      </c>
      <c r="S199" s="69" t="b">
        <f aca="false">IF(IFERROR(INDEX(tsk_Name,GanttView[[#This Row],[_Row]])="",TRUE()),FALSE(),N(INDEX(tsk_Variance,GanttView[[#This Row],[_Row]]))&gt;0)</f>
        <v>0</v>
      </c>
      <c r="T199" s="70" t="n">
        <f aca="false">IF(IFERROR(INDEX(tsk_Name,GanttView[[#This Row],[_Row]])="",TRUE()),0,N(INDEX(tsk_Deadline,GanttView[[#This Row],[_Row]])))</f>
        <v>0</v>
      </c>
      <c r="U199" s="69" t="b">
        <f aca="false">IF(IFERROR(INDEX(tsk_Name,GanttView[[#This Row],[_Row]])="",TRUE()),FALSE(),INDEX(tsk_Critical,GanttView[[#This Row],[_Row]])="Yes")</f>
        <v>0</v>
      </c>
    </row>
    <row r="200" customFormat="false" ht="15" hidden="false" customHeight="false" outlineLevel="0" collapsed="false">
      <c r="A200" s="64" t="str">
        <f aca="false">IF(IFERROR(INDEX(tsk_Name,GanttView[[#This Row],[_Row]])="",TRUE()),"",INDEX(tsk_ID,GanttView[[#This Row],[_Row]]))</f>
        <v/>
      </c>
      <c r="B200" s="64" t="str">
        <f aca="false">IF(IFERROR(INDEX(tsk_Name,GanttView[[#This Row],[_Row]])="",TRUE()),"",INDEX(tsk_WBS,GanttView[[#This Row],[_Row]]))</f>
        <v/>
      </c>
      <c r="C200" s="65" t="str">
        <f aca="false">IF(IFERROR(INDEX(tsk_Name,GanttView[[#This Row],[_Row]])="",TRUE()),"",REPT("    ",INDEX(tsk_Level,GanttView[[#This Row],[_Row]])-1)&amp;INDEX(tsk_Name,GanttView[[#This Row],[_Row]]))</f>
        <v/>
      </c>
      <c r="D200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6" t="str">
        <f aca="false">IF(IFERROR(INDEX(tsk_Name,GanttView[[#This Row],[_Row]])="",TRUE()),"",INDEX(tsk_PlanStart,GanttView[[#This Row],[_Row]]))</f>
        <v/>
      </c>
      <c r="F200" s="66" t="str">
        <f aca="false">IF(IFERROR(INDEX(tsk_Name,GanttView[[#This Row],[_Row]])="",TRUE()),"",INDEX(tsk_PlanFinish,GanttView[[#This Row],[_Row]]))</f>
        <v/>
      </c>
      <c r="G200" s="66" t="str">
        <f aca="false">IF(IFERROR(INDEX(tsk_Name,GanttView[[#This Row],[_Row]])="",TRUE()),"",INDEX(tsk_FcStart,GanttView[[#This Row],[_Row]]))</f>
        <v/>
      </c>
      <c r="H200" s="66" t="str">
        <f aca="false">IF(IFERROR(INDEX(tsk_Name,GanttView[[#This Row],[_Row]])="",TRUE()),"",INDEX(tsk_FcFinish,GanttView[[#This Row],[_Row]]))</f>
        <v/>
      </c>
      <c r="I200" s="67" t="str">
        <f aca="false">IF(IFERROR(INDEX(tsk_Name,GanttView[[#This Row],[_Row]])="",TRUE()),"",INDEX(tsk_Progress,GanttView[[#This Row],[_Row]]))</f>
        <v/>
      </c>
      <c r="J200" s="65" t="str">
        <f aca="false">IF(IFERROR(INDEX(tsk_Name,GanttView[[#This Row],[_Row]])="",TRUE()),"",INDEX(tsk_Resource,GanttView[[#This Row],[_Row]])&amp;"")</f>
        <v/>
      </c>
      <c r="K200" s="64" t="str">
        <f aca="false">IF(IFERROR(INDEX(tsk_Name,GanttView[[#This Row],[_Row]])="",TRUE()),"",INDEX(tsk_Status,GanttView[[#This Row],[_Row]]))</f>
        <v/>
      </c>
      <c r="L200" s="68" t="n">
        <f aca="false">ROW()-ROW(GanttView[[#Headers],[ID]])</f>
        <v>195</v>
      </c>
      <c r="M200" s="69" t="b">
        <f aca="false">IF(IFERROR(INDEX(tsk_Name,GanttView[[#This Row],[_Row]])="",TRUE()),FALSE(),INDEX(tsk_IsSummary,GanttView[[#This Row],[_Row]]))</f>
        <v>0</v>
      </c>
      <c r="N200" s="69" t="b">
        <f aca="false">IF(IFERROR(INDEX(tsk_Name,GanttView[[#This Row],[_Row]])="",TRUE()),FALSE(),AND(INDEX(tsk_IsLeaf,GanttView[[#This Row],[_Row]])=1,N(INDEX(tsk_Duration,GanttView[[#This Row],[_Row]]))=0))</f>
        <v>0</v>
      </c>
      <c r="O200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70" t="n">
        <f aca="false">IF(GanttView[[#This Row],[_RemFrom]]=0,0,GanttView[[#This Row],[Forecast Finish]])</f>
        <v>0</v>
      </c>
      <c r="S200" s="69" t="b">
        <f aca="false">IF(IFERROR(INDEX(tsk_Name,GanttView[[#This Row],[_Row]])="",TRUE()),FALSE(),N(INDEX(tsk_Variance,GanttView[[#This Row],[_Row]]))&gt;0)</f>
        <v>0</v>
      </c>
      <c r="T200" s="70" t="n">
        <f aca="false">IF(IFERROR(INDEX(tsk_Name,GanttView[[#This Row],[_Row]])="",TRUE()),0,N(INDEX(tsk_Deadline,GanttView[[#This Row],[_Row]])))</f>
        <v>0</v>
      </c>
      <c r="U200" s="69" t="b">
        <f aca="false">IF(IFERROR(INDEX(tsk_Name,GanttView[[#This Row],[_Row]])="",TRUE()),FALSE(),INDEX(tsk_Critical,GanttView[[#This Row],[_Row]])="Yes")</f>
        <v>0</v>
      </c>
    </row>
    <row r="201" customFormat="false" ht="15" hidden="false" customHeight="false" outlineLevel="0" collapsed="false">
      <c r="A201" s="64" t="str">
        <f aca="false">IF(IFERROR(INDEX(tsk_Name,GanttView[[#This Row],[_Row]])="",TRUE()),"",INDEX(tsk_ID,GanttView[[#This Row],[_Row]]))</f>
        <v/>
      </c>
      <c r="B201" s="64" t="str">
        <f aca="false">IF(IFERROR(INDEX(tsk_Name,GanttView[[#This Row],[_Row]])="",TRUE()),"",INDEX(tsk_WBS,GanttView[[#This Row],[_Row]]))</f>
        <v/>
      </c>
      <c r="C201" s="65" t="str">
        <f aca="false">IF(IFERROR(INDEX(tsk_Name,GanttView[[#This Row],[_Row]])="",TRUE()),"",REPT("    ",INDEX(tsk_Level,GanttView[[#This Row],[_Row]])-1)&amp;INDEX(tsk_Name,GanttView[[#This Row],[_Row]]))</f>
        <v/>
      </c>
      <c r="D201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6" t="str">
        <f aca="false">IF(IFERROR(INDEX(tsk_Name,GanttView[[#This Row],[_Row]])="",TRUE()),"",INDEX(tsk_PlanStart,GanttView[[#This Row],[_Row]]))</f>
        <v/>
      </c>
      <c r="F201" s="66" t="str">
        <f aca="false">IF(IFERROR(INDEX(tsk_Name,GanttView[[#This Row],[_Row]])="",TRUE()),"",INDEX(tsk_PlanFinish,GanttView[[#This Row],[_Row]]))</f>
        <v/>
      </c>
      <c r="G201" s="66" t="str">
        <f aca="false">IF(IFERROR(INDEX(tsk_Name,GanttView[[#This Row],[_Row]])="",TRUE()),"",INDEX(tsk_FcStart,GanttView[[#This Row],[_Row]]))</f>
        <v/>
      </c>
      <c r="H201" s="66" t="str">
        <f aca="false">IF(IFERROR(INDEX(tsk_Name,GanttView[[#This Row],[_Row]])="",TRUE()),"",INDEX(tsk_FcFinish,GanttView[[#This Row],[_Row]]))</f>
        <v/>
      </c>
      <c r="I201" s="67" t="str">
        <f aca="false">IF(IFERROR(INDEX(tsk_Name,GanttView[[#This Row],[_Row]])="",TRUE()),"",INDEX(tsk_Progress,GanttView[[#This Row],[_Row]]))</f>
        <v/>
      </c>
      <c r="J201" s="65" t="str">
        <f aca="false">IF(IFERROR(INDEX(tsk_Name,GanttView[[#This Row],[_Row]])="",TRUE()),"",INDEX(tsk_Resource,GanttView[[#This Row],[_Row]])&amp;"")</f>
        <v/>
      </c>
      <c r="K201" s="64" t="str">
        <f aca="false">IF(IFERROR(INDEX(tsk_Name,GanttView[[#This Row],[_Row]])="",TRUE()),"",INDEX(tsk_Status,GanttView[[#This Row],[_Row]]))</f>
        <v/>
      </c>
      <c r="L201" s="68" t="n">
        <f aca="false">ROW()-ROW(GanttView[[#Headers],[ID]])</f>
        <v>196</v>
      </c>
      <c r="M201" s="69" t="b">
        <f aca="false">IF(IFERROR(INDEX(tsk_Name,GanttView[[#This Row],[_Row]])="",TRUE()),FALSE(),INDEX(tsk_IsSummary,GanttView[[#This Row],[_Row]]))</f>
        <v>0</v>
      </c>
      <c r="N201" s="69" t="b">
        <f aca="false">IF(IFERROR(INDEX(tsk_Name,GanttView[[#This Row],[_Row]])="",TRUE()),FALSE(),AND(INDEX(tsk_IsLeaf,GanttView[[#This Row],[_Row]])=1,N(INDEX(tsk_Duration,GanttView[[#This Row],[_Row]]))=0))</f>
        <v>0</v>
      </c>
      <c r="O201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70" t="n">
        <f aca="false">IF(GanttView[[#This Row],[_RemFrom]]=0,0,GanttView[[#This Row],[Forecast Finish]])</f>
        <v>0</v>
      </c>
      <c r="S201" s="69" t="b">
        <f aca="false">IF(IFERROR(INDEX(tsk_Name,GanttView[[#This Row],[_Row]])="",TRUE()),FALSE(),N(INDEX(tsk_Variance,GanttView[[#This Row],[_Row]]))&gt;0)</f>
        <v>0</v>
      </c>
      <c r="T201" s="70" t="n">
        <f aca="false">IF(IFERROR(INDEX(tsk_Name,GanttView[[#This Row],[_Row]])="",TRUE()),0,N(INDEX(tsk_Deadline,GanttView[[#This Row],[_Row]])))</f>
        <v>0</v>
      </c>
      <c r="U201" s="69" t="b">
        <f aca="false">IF(IFERROR(INDEX(tsk_Name,GanttView[[#This Row],[_Row]])="",TRUE()),FALSE(),INDEX(tsk_Critical,GanttView[[#This Row],[_Row]])="Yes")</f>
        <v>0</v>
      </c>
    </row>
    <row r="202" customFormat="false" ht="15" hidden="false" customHeight="false" outlineLevel="0" collapsed="false">
      <c r="A202" s="64" t="str">
        <f aca="false">IF(IFERROR(INDEX(tsk_Name,GanttView[[#This Row],[_Row]])="",TRUE()),"",INDEX(tsk_ID,GanttView[[#This Row],[_Row]]))</f>
        <v/>
      </c>
      <c r="B202" s="64" t="str">
        <f aca="false">IF(IFERROR(INDEX(tsk_Name,GanttView[[#This Row],[_Row]])="",TRUE()),"",INDEX(tsk_WBS,GanttView[[#This Row],[_Row]]))</f>
        <v/>
      </c>
      <c r="C202" s="65" t="str">
        <f aca="false">IF(IFERROR(INDEX(tsk_Name,GanttView[[#This Row],[_Row]])="",TRUE()),"",REPT("    ",INDEX(tsk_Level,GanttView[[#This Row],[_Row]])-1)&amp;INDEX(tsk_Name,GanttView[[#This Row],[_Row]]))</f>
        <v/>
      </c>
      <c r="D202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6" t="str">
        <f aca="false">IF(IFERROR(INDEX(tsk_Name,GanttView[[#This Row],[_Row]])="",TRUE()),"",INDEX(tsk_PlanStart,GanttView[[#This Row],[_Row]]))</f>
        <v/>
      </c>
      <c r="F202" s="66" t="str">
        <f aca="false">IF(IFERROR(INDEX(tsk_Name,GanttView[[#This Row],[_Row]])="",TRUE()),"",INDEX(tsk_PlanFinish,GanttView[[#This Row],[_Row]]))</f>
        <v/>
      </c>
      <c r="G202" s="66" t="str">
        <f aca="false">IF(IFERROR(INDEX(tsk_Name,GanttView[[#This Row],[_Row]])="",TRUE()),"",INDEX(tsk_FcStart,GanttView[[#This Row],[_Row]]))</f>
        <v/>
      </c>
      <c r="H202" s="66" t="str">
        <f aca="false">IF(IFERROR(INDEX(tsk_Name,GanttView[[#This Row],[_Row]])="",TRUE()),"",INDEX(tsk_FcFinish,GanttView[[#This Row],[_Row]]))</f>
        <v/>
      </c>
      <c r="I202" s="67" t="str">
        <f aca="false">IF(IFERROR(INDEX(tsk_Name,GanttView[[#This Row],[_Row]])="",TRUE()),"",INDEX(tsk_Progress,GanttView[[#This Row],[_Row]]))</f>
        <v/>
      </c>
      <c r="J202" s="65" t="str">
        <f aca="false">IF(IFERROR(INDEX(tsk_Name,GanttView[[#This Row],[_Row]])="",TRUE()),"",INDEX(tsk_Resource,GanttView[[#This Row],[_Row]])&amp;"")</f>
        <v/>
      </c>
      <c r="K202" s="64" t="str">
        <f aca="false">IF(IFERROR(INDEX(tsk_Name,GanttView[[#This Row],[_Row]])="",TRUE()),"",INDEX(tsk_Status,GanttView[[#This Row],[_Row]]))</f>
        <v/>
      </c>
      <c r="L202" s="68" t="n">
        <f aca="false">ROW()-ROW(GanttView[[#Headers],[ID]])</f>
        <v>197</v>
      </c>
      <c r="M202" s="69" t="b">
        <f aca="false">IF(IFERROR(INDEX(tsk_Name,GanttView[[#This Row],[_Row]])="",TRUE()),FALSE(),INDEX(tsk_IsSummary,GanttView[[#This Row],[_Row]]))</f>
        <v>0</v>
      </c>
      <c r="N202" s="69" t="b">
        <f aca="false">IF(IFERROR(INDEX(tsk_Name,GanttView[[#This Row],[_Row]])="",TRUE()),FALSE(),AND(INDEX(tsk_IsLeaf,GanttView[[#This Row],[_Row]])=1,N(INDEX(tsk_Duration,GanttView[[#This Row],[_Row]]))=0))</f>
        <v>0</v>
      </c>
      <c r="O202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70" t="n">
        <f aca="false">IF(GanttView[[#This Row],[_RemFrom]]=0,0,GanttView[[#This Row],[Forecast Finish]])</f>
        <v>0</v>
      </c>
      <c r="S202" s="69" t="b">
        <f aca="false">IF(IFERROR(INDEX(tsk_Name,GanttView[[#This Row],[_Row]])="",TRUE()),FALSE(),N(INDEX(tsk_Variance,GanttView[[#This Row],[_Row]]))&gt;0)</f>
        <v>0</v>
      </c>
      <c r="T202" s="70" t="n">
        <f aca="false">IF(IFERROR(INDEX(tsk_Name,GanttView[[#This Row],[_Row]])="",TRUE()),0,N(INDEX(tsk_Deadline,GanttView[[#This Row],[_Row]])))</f>
        <v>0</v>
      </c>
      <c r="U202" s="69" t="b">
        <f aca="false">IF(IFERROR(INDEX(tsk_Name,GanttView[[#This Row],[_Row]])="",TRUE()),FALSE(),INDEX(tsk_Critical,GanttView[[#This Row],[_Row]])="Yes")</f>
        <v>0</v>
      </c>
    </row>
    <row r="203" customFormat="false" ht="15" hidden="false" customHeight="false" outlineLevel="0" collapsed="false">
      <c r="A203" s="64" t="str">
        <f aca="false">IF(IFERROR(INDEX(tsk_Name,GanttView[[#This Row],[_Row]])="",TRUE()),"",INDEX(tsk_ID,GanttView[[#This Row],[_Row]]))</f>
        <v/>
      </c>
      <c r="B203" s="64" t="str">
        <f aca="false">IF(IFERROR(INDEX(tsk_Name,GanttView[[#This Row],[_Row]])="",TRUE()),"",INDEX(tsk_WBS,GanttView[[#This Row],[_Row]]))</f>
        <v/>
      </c>
      <c r="C203" s="65" t="str">
        <f aca="false">IF(IFERROR(INDEX(tsk_Name,GanttView[[#This Row],[_Row]])="",TRUE()),"",REPT("    ",INDEX(tsk_Level,GanttView[[#This Row],[_Row]])-1)&amp;INDEX(tsk_Name,GanttView[[#This Row],[_Row]]))</f>
        <v/>
      </c>
      <c r="D203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6" t="str">
        <f aca="false">IF(IFERROR(INDEX(tsk_Name,GanttView[[#This Row],[_Row]])="",TRUE()),"",INDEX(tsk_PlanStart,GanttView[[#This Row],[_Row]]))</f>
        <v/>
      </c>
      <c r="F203" s="66" t="str">
        <f aca="false">IF(IFERROR(INDEX(tsk_Name,GanttView[[#This Row],[_Row]])="",TRUE()),"",INDEX(tsk_PlanFinish,GanttView[[#This Row],[_Row]]))</f>
        <v/>
      </c>
      <c r="G203" s="66" t="str">
        <f aca="false">IF(IFERROR(INDEX(tsk_Name,GanttView[[#This Row],[_Row]])="",TRUE()),"",INDEX(tsk_FcStart,GanttView[[#This Row],[_Row]]))</f>
        <v/>
      </c>
      <c r="H203" s="66" t="str">
        <f aca="false">IF(IFERROR(INDEX(tsk_Name,GanttView[[#This Row],[_Row]])="",TRUE()),"",INDEX(tsk_FcFinish,GanttView[[#This Row],[_Row]]))</f>
        <v/>
      </c>
      <c r="I203" s="67" t="str">
        <f aca="false">IF(IFERROR(INDEX(tsk_Name,GanttView[[#This Row],[_Row]])="",TRUE()),"",INDEX(tsk_Progress,GanttView[[#This Row],[_Row]]))</f>
        <v/>
      </c>
      <c r="J203" s="65" t="str">
        <f aca="false">IF(IFERROR(INDEX(tsk_Name,GanttView[[#This Row],[_Row]])="",TRUE()),"",INDEX(tsk_Resource,GanttView[[#This Row],[_Row]])&amp;"")</f>
        <v/>
      </c>
      <c r="K203" s="64" t="str">
        <f aca="false">IF(IFERROR(INDEX(tsk_Name,GanttView[[#This Row],[_Row]])="",TRUE()),"",INDEX(tsk_Status,GanttView[[#This Row],[_Row]]))</f>
        <v/>
      </c>
      <c r="L203" s="68" t="n">
        <f aca="false">ROW()-ROW(GanttView[[#Headers],[ID]])</f>
        <v>198</v>
      </c>
      <c r="M203" s="69" t="b">
        <f aca="false">IF(IFERROR(INDEX(tsk_Name,GanttView[[#This Row],[_Row]])="",TRUE()),FALSE(),INDEX(tsk_IsSummary,GanttView[[#This Row],[_Row]]))</f>
        <v>0</v>
      </c>
      <c r="N203" s="69" t="b">
        <f aca="false">IF(IFERROR(INDEX(tsk_Name,GanttView[[#This Row],[_Row]])="",TRUE()),FALSE(),AND(INDEX(tsk_IsLeaf,GanttView[[#This Row],[_Row]])=1,N(INDEX(tsk_Duration,GanttView[[#This Row],[_Row]]))=0))</f>
        <v>0</v>
      </c>
      <c r="O203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70" t="n">
        <f aca="false">IF(GanttView[[#This Row],[_RemFrom]]=0,0,GanttView[[#This Row],[Forecast Finish]])</f>
        <v>0</v>
      </c>
      <c r="S203" s="69" t="b">
        <f aca="false">IF(IFERROR(INDEX(tsk_Name,GanttView[[#This Row],[_Row]])="",TRUE()),FALSE(),N(INDEX(tsk_Variance,GanttView[[#This Row],[_Row]]))&gt;0)</f>
        <v>0</v>
      </c>
      <c r="T203" s="70" t="n">
        <f aca="false">IF(IFERROR(INDEX(tsk_Name,GanttView[[#This Row],[_Row]])="",TRUE()),0,N(INDEX(tsk_Deadline,GanttView[[#This Row],[_Row]])))</f>
        <v>0</v>
      </c>
      <c r="U203" s="69" t="b">
        <f aca="false">IF(IFERROR(INDEX(tsk_Name,GanttView[[#This Row],[_Row]])="",TRUE()),FALSE(),INDEX(tsk_Critical,GanttView[[#This Row],[_Row]])="Yes")</f>
        <v>0</v>
      </c>
    </row>
    <row r="204" customFormat="false" ht="15" hidden="false" customHeight="false" outlineLevel="0" collapsed="false">
      <c r="A204" s="64" t="str">
        <f aca="false">IF(IFERROR(INDEX(tsk_Name,GanttView[[#This Row],[_Row]])="",TRUE()),"",INDEX(tsk_ID,GanttView[[#This Row],[_Row]]))</f>
        <v/>
      </c>
      <c r="B204" s="64" t="str">
        <f aca="false">IF(IFERROR(INDEX(tsk_Name,GanttView[[#This Row],[_Row]])="",TRUE()),"",INDEX(tsk_WBS,GanttView[[#This Row],[_Row]]))</f>
        <v/>
      </c>
      <c r="C204" s="65" t="str">
        <f aca="false">IF(IFERROR(INDEX(tsk_Name,GanttView[[#This Row],[_Row]])="",TRUE()),"",REPT("    ",INDEX(tsk_Level,GanttView[[#This Row],[_Row]])-1)&amp;INDEX(tsk_Name,GanttView[[#This Row],[_Row]]))</f>
        <v/>
      </c>
      <c r="D204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6" t="str">
        <f aca="false">IF(IFERROR(INDEX(tsk_Name,GanttView[[#This Row],[_Row]])="",TRUE()),"",INDEX(tsk_PlanStart,GanttView[[#This Row],[_Row]]))</f>
        <v/>
      </c>
      <c r="F204" s="66" t="str">
        <f aca="false">IF(IFERROR(INDEX(tsk_Name,GanttView[[#This Row],[_Row]])="",TRUE()),"",INDEX(tsk_PlanFinish,GanttView[[#This Row],[_Row]]))</f>
        <v/>
      </c>
      <c r="G204" s="66" t="str">
        <f aca="false">IF(IFERROR(INDEX(tsk_Name,GanttView[[#This Row],[_Row]])="",TRUE()),"",INDEX(tsk_FcStart,GanttView[[#This Row],[_Row]]))</f>
        <v/>
      </c>
      <c r="H204" s="66" t="str">
        <f aca="false">IF(IFERROR(INDEX(tsk_Name,GanttView[[#This Row],[_Row]])="",TRUE()),"",INDEX(tsk_FcFinish,GanttView[[#This Row],[_Row]]))</f>
        <v/>
      </c>
      <c r="I204" s="67" t="str">
        <f aca="false">IF(IFERROR(INDEX(tsk_Name,GanttView[[#This Row],[_Row]])="",TRUE()),"",INDEX(tsk_Progress,GanttView[[#This Row],[_Row]]))</f>
        <v/>
      </c>
      <c r="J204" s="65" t="str">
        <f aca="false">IF(IFERROR(INDEX(tsk_Name,GanttView[[#This Row],[_Row]])="",TRUE()),"",INDEX(tsk_Resource,GanttView[[#This Row],[_Row]])&amp;"")</f>
        <v/>
      </c>
      <c r="K204" s="64" t="str">
        <f aca="false">IF(IFERROR(INDEX(tsk_Name,GanttView[[#This Row],[_Row]])="",TRUE()),"",INDEX(tsk_Status,GanttView[[#This Row],[_Row]]))</f>
        <v/>
      </c>
      <c r="L204" s="68" t="n">
        <f aca="false">ROW()-ROW(GanttView[[#Headers],[ID]])</f>
        <v>199</v>
      </c>
      <c r="M204" s="69" t="b">
        <f aca="false">IF(IFERROR(INDEX(tsk_Name,GanttView[[#This Row],[_Row]])="",TRUE()),FALSE(),INDEX(tsk_IsSummary,GanttView[[#This Row],[_Row]]))</f>
        <v>0</v>
      </c>
      <c r="N204" s="69" t="b">
        <f aca="false">IF(IFERROR(INDEX(tsk_Name,GanttView[[#This Row],[_Row]])="",TRUE()),FALSE(),AND(INDEX(tsk_IsLeaf,GanttView[[#This Row],[_Row]])=1,N(INDEX(tsk_Duration,GanttView[[#This Row],[_Row]]))=0))</f>
        <v>0</v>
      </c>
      <c r="O204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70" t="n">
        <f aca="false">IF(GanttView[[#This Row],[_RemFrom]]=0,0,GanttView[[#This Row],[Forecast Finish]])</f>
        <v>0</v>
      </c>
      <c r="S204" s="69" t="b">
        <f aca="false">IF(IFERROR(INDEX(tsk_Name,GanttView[[#This Row],[_Row]])="",TRUE()),FALSE(),N(INDEX(tsk_Variance,GanttView[[#This Row],[_Row]]))&gt;0)</f>
        <v>0</v>
      </c>
      <c r="T204" s="70" t="n">
        <f aca="false">IF(IFERROR(INDEX(tsk_Name,GanttView[[#This Row],[_Row]])="",TRUE()),0,N(INDEX(tsk_Deadline,GanttView[[#This Row],[_Row]])))</f>
        <v>0</v>
      </c>
      <c r="U204" s="69" t="b">
        <f aca="false">IF(IFERROR(INDEX(tsk_Name,GanttView[[#This Row],[_Row]])="",TRUE()),FALSE(),INDEX(tsk_Critical,GanttView[[#This Row],[_Row]])="Yes")</f>
        <v>0</v>
      </c>
    </row>
    <row r="205" customFormat="false" ht="15" hidden="false" customHeight="false" outlineLevel="0" collapsed="false">
      <c r="A205" s="64" t="str">
        <f aca="false">IF(IFERROR(INDEX(tsk_Name,GanttView[[#This Row],[_Row]])="",TRUE()),"",INDEX(tsk_ID,GanttView[[#This Row],[_Row]]))</f>
        <v/>
      </c>
      <c r="B205" s="64" t="str">
        <f aca="false">IF(IFERROR(INDEX(tsk_Name,GanttView[[#This Row],[_Row]])="",TRUE()),"",INDEX(tsk_WBS,GanttView[[#This Row],[_Row]]))</f>
        <v/>
      </c>
      <c r="C205" s="65" t="str">
        <f aca="false">IF(IFERROR(INDEX(tsk_Name,GanttView[[#This Row],[_Row]])="",TRUE()),"",REPT("    ",INDEX(tsk_Level,GanttView[[#This Row],[_Row]])-1)&amp;INDEX(tsk_Name,GanttView[[#This Row],[_Row]]))</f>
        <v/>
      </c>
      <c r="D205" s="64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6" t="str">
        <f aca="false">IF(IFERROR(INDEX(tsk_Name,GanttView[[#This Row],[_Row]])="",TRUE()),"",INDEX(tsk_PlanStart,GanttView[[#This Row],[_Row]]))</f>
        <v/>
      </c>
      <c r="F205" s="66" t="str">
        <f aca="false">IF(IFERROR(INDEX(tsk_Name,GanttView[[#This Row],[_Row]])="",TRUE()),"",INDEX(tsk_PlanFinish,GanttView[[#This Row],[_Row]]))</f>
        <v/>
      </c>
      <c r="G205" s="66" t="str">
        <f aca="false">IF(IFERROR(INDEX(tsk_Name,GanttView[[#This Row],[_Row]])="",TRUE()),"",INDEX(tsk_FcStart,GanttView[[#This Row],[_Row]]))</f>
        <v/>
      </c>
      <c r="H205" s="66" t="str">
        <f aca="false">IF(IFERROR(INDEX(tsk_Name,GanttView[[#This Row],[_Row]])="",TRUE()),"",INDEX(tsk_FcFinish,GanttView[[#This Row],[_Row]]))</f>
        <v/>
      </c>
      <c r="I205" s="67" t="str">
        <f aca="false">IF(IFERROR(INDEX(tsk_Name,GanttView[[#This Row],[_Row]])="",TRUE()),"",INDEX(tsk_Progress,GanttView[[#This Row],[_Row]]))</f>
        <v/>
      </c>
      <c r="J205" s="65" t="str">
        <f aca="false">IF(IFERROR(INDEX(tsk_Name,GanttView[[#This Row],[_Row]])="",TRUE()),"",INDEX(tsk_Resource,GanttView[[#This Row],[_Row]])&amp;"")</f>
        <v/>
      </c>
      <c r="K205" s="64" t="str">
        <f aca="false">IF(IFERROR(INDEX(tsk_Name,GanttView[[#This Row],[_Row]])="",TRUE()),"",INDEX(tsk_Status,GanttView[[#This Row],[_Row]]))</f>
        <v/>
      </c>
      <c r="L205" s="68" t="n">
        <f aca="false">ROW()-ROW(GanttView[[#Headers],[ID]])</f>
        <v>200</v>
      </c>
      <c r="M205" s="69" t="b">
        <f aca="false">IF(IFERROR(INDEX(tsk_Name,GanttView[[#This Row],[_Row]])="",TRUE()),FALSE(),INDEX(tsk_IsSummary,GanttView[[#This Row],[_Row]]))</f>
        <v>0</v>
      </c>
      <c r="N205" s="69" t="b">
        <f aca="false">IF(IFERROR(INDEX(tsk_Name,GanttView[[#This Row],[_Row]])="",TRUE()),FALSE(),AND(INDEX(tsk_IsLeaf,GanttView[[#This Row],[_Row]])=1,N(INDEX(tsk_Duration,GanttView[[#This Row],[_Row]]))=0))</f>
        <v>0</v>
      </c>
      <c r="O205" s="70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70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70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70" t="n">
        <f aca="false">IF(GanttView[[#This Row],[_RemFrom]]=0,0,GanttView[[#This Row],[Forecast Finish]])</f>
        <v>0</v>
      </c>
      <c r="S205" s="69" t="b">
        <f aca="false">IF(IFERROR(INDEX(tsk_Name,GanttView[[#This Row],[_Row]])="",TRUE()),FALSE(),N(INDEX(tsk_Variance,GanttView[[#This Row],[_Row]]))&gt;0)</f>
        <v>0</v>
      </c>
      <c r="T205" s="70" t="n">
        <f aca="false">IF(IFERROR(INDEX(tsk_Name,GanttView[[#This Row],[_Row]])="",TRUE()),0,N(INDEX(tsk_Deadline,GanttView[[#This Row],[_Row]])))</f>
        <v>0</v>
      </c>
      <c r="U205" s="69" t="b">
        <f aca="false">IF(IFERROR(INDEX(tsk_Name,GanttView[[#This Row],[_Row]])="",TRUE()),FALSE(),INDEX(tsk_Critical,GanttView[[#This Row],[_Row]])="Yes")</f>
        <v>0</v>
      </c>
    </row>
  </sheetData>
  <conditionalFormatting sqref="W6:FP205">
    <cfRule type="expression" priority="2" aboveAverage="0" equalAverage="0" bottom="0" percent="0" rank="0" text="" dxfId="27">
      <formula>AND($T6&gt;0,$T6&gt;=W$5,$T6&lt;W$5+GanttPeriod)</formula>
    </cfRule>
    <cfRule type="expression" priority="3" aboveAverage="0" equalAverage="0" bottom="0" percent="0" rank="0" text="" dxfId="28">
      <formula>AND($M6,AND($G6&gt;0,W$5&lt;=$H6,W$5+GanttPeriod-1&gt;=$G6))</formula>
    </cfRule>
    <cfRule type="expression" priority="4" aboveAverage="0" equalAverage="0" bottom="0" percent="0" rank="0" text="" dxfId="29">
      <formula>AND($N6,AND($G6&gt;0,$G6&gt;=W$5,$G6&lt;W$5+GanttPeriod))</formula>
    </cfRule>
    <cfRule type="expression" priority="5" aboveAverage="0" equalAverage="0" bottom="0" percent="0" rank="0" text="" dxfId="30">
      <formula>AND($O6&gt;0,W$5&lt;=$P6,W$5+GanttPeriod-1&gt;=$O6)</formula>
    </cfRule>
    <cfRule type="expression" priority="6" aboveAverage="0" equalAverage="0" bottom="0" percent="0" rank="0" text="" dxfId="31">
      <formula>AND($U6,AND($Q6&gt;0,W$5&lt;=$R6,W$5+GanttPeriod-1&gt;=$Q6))</formula>
    </cfRule>
    <cfRule type="expression" priority="7" aboveAverage="0" equalAverage="0" bottom="0" percent="0" rank="0" text="" dxfId="32">
      <formula>AND($S6,AND($Q6&gt;0,W$5&lt;=$R6,W$5+GanttPeriod-1&gt;=$Q6))</formula>
    </cfRule>
    <cfRule type="expression" priority="8" aboveAverage="0" equalAverage="0" bottom="0" percent="0" rank="0" text="" dxfId="33">
      <formula>AND($Q6&gt;0,W$5&lt;=$R6,W$5+GanttPeriod-1&gt;=$Q6)</formula>
    </cfRule>
    <cfRule type="expression" priority="9" aboveAverage="0" equalAverage="0" bottom="0" percent="0" rank="0" text="" dxfId="34">
      <formula>AND(ISNUMBER($E6),AND($E6&gt;0,W$5&lt;=$F6,W$5+GanttPeriod-1&gt;=$E6))</formula>
    </cfRule>
    <cfRule type="expression" priority="10" aboveAverage="0" equalAverage="0" bottom="0" percent="0" rank="0" text="" dxfId="35">
      <formula>AND(StatusDate&gt;0,StatusDate&gt;=W$5,StatusDate&lt;W$5+GanttPeriod)</formula>
    </cfRule>
    <cfRule type="expression" priority="11" aboveAverage="0" equalAverage="0" bottom="0" percent="0" rank="0" text="" dxfId="36">
      <formula>AND(GanttPeriod=1,NETWORKDAYS.INTL(W$5,W$5,WorkWeek,Holidays)=0)</formula>
    </cfRule>
  </conditionalFormatting>
  <conditionalFormatting sqref="W5:FP5">
    <cfRule type="expression" priority="12" aboveAverage="0" equalAverage="0" bottom="0" percent="0" rank="0" text="" dxfId="27">
      <formula>AND(StatusDate&gt;0,StatusDate&gt;=W$5,StatusDate&lt;W$5+GanttPeriod)</formula>
    </cfRule>
  </conditionalFormatting>
  <conditionalFormatting sqref="A6:K205">
    <cfRule type="expression" priority="13" aboveAverage="0" equalAverage="0" bottom="0" percent="0" rank="0" text="" dxfId="16">
      <formula>$M6</formula>
    </cfRule>
  </conditionalFormatting>
  <conditionalFormatting sqref="K6:K205">
    <cfRule type="expression" priority="14" aboveAverage="0" equalAverage="0" bottom="0" percent="0" rank="0" text="" dxfId="10">
      <formula>$K6="Complete"</formula>
    </cfRule>
    <cfRule type="expression" priority="15" aboveAverage="0" equalAverage="0" bottom="0" percent="0" rank="0" text="" dxfId="18">
      <formula>$K6="In Progress"</formula>
    </cfRule>
    <cfRule type="expression" priority="16" aboveAverage="0" equalAverage="0" bottom="0" percent="0" rank="0" text="" dxfId="19">
      <formula>$K6="Behind"</formula>
    </cfRule>
    <cfRule type="expression" priority="17" aboveAverage="0" equalAverage="0" bottom="0" percent="0" rank="0" text="" dxfId="20">
      <formula>$K6="Late Start"</formula>
    </cfRule>
    <cfRule type="expression" priority="18" aboveAverage="0" equalAverage="0" bottom="0" percent="0" rank="0" text="" dxfId="21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305</v>
      </c>
    </row>
    <row r="2" customFormat="false" ht="15" hidden="false" customHeight="false" outlineLevel="0" collapsed="false">
      <c r="A2" s="8" t="s">
        <v>306</v>
      </c>
    </row>
    <row r="5" customFormat="false" ht="15" hidden="false" customHeight="false" outlineLevel="0" collapsed="false">
      <c r="B5" s="36" t="s">
        <v>307</v>
      </c>
      <c r="C5" s="36" t="s">
        <v>308</v>
      </c>
      <c r="D5" s="36" t="s">
        <v>309</v>
      </c>
      <c r="E5" s="36" t="s">
        <v>310</v>
      </c>
      <c r="F5" s="36" t="s">
        <v>311</v>
      </c>
      <c r="G5" s="36" t="s">
        <v>312</v>
      </c>
      <c r="H5" s="36" t="s">
        <v>313</v>
      </c>
      <c r="I5" s="9" t="s">
        <v>314</v>
      </c>
      <c r="J5" s="9" t="s">
        <v>223</v>
      </c>
      <c r="K5" s="9" t="s">
        <v>224</v>
      </c>
      <c r="L5" s="36" t="s">
        <v>99</v>
      </c>
    </row>
    <row r="6" customFormat="false" ht="15" hidden="false" customHeight="false" outlineLevel="0" collapsed="false">
      <c r="B6" s="40"/>
      <c r="C6" s="40"/>
      <c r="D6" s="40"/>
      <c r="E6" s="40"/>
      <c r="F6" s="31"/>
      <c r="G6" s="45"/>
      <c r="H6" s="40"/>
      <c r="I6" s="34" t="str">
        <f aca="false">IF(ResourceTable[[#This Row],[Resource Name]]="","",COUNTIFS(tsk_Resource,ResourceTable[[#This Row],[Resource Name]],tsk_IsLeaf,1))</f>
        <v/>
      </c>
      <c r="J6" s="42" t="str">
        <f aca="false">IF(ResourceTable[[#This Row],[Resource Name]]="","",SUMIFS(tsk_Work,tsk_Resource,ResourceTable[[#This Row],[Resource Name]],tsk_IsLeaf,1))</f>
        <v/>
      </c>
      <c r="K6" s="43" t="str">
        <f aca="false">IF(ResourceTable[[#This Row],[Resource Name]]="","",SUMIFS(tsk_Cost,tsk_Resource,ResourceTable[[#This Row],[Resource Name]],tsk_IsLeaf,1))</f>
        <v/>
      </c>
      <c r="L6" s="40"/>
    </row>
    <row r="7" customFormat="false" ht="15" hidden="false" customHeight="false" outlineLevel="0" collapsed="false">
      <c r="B7" s="40"/>
      <c r="C7" s="40"/>
      <c r="D7" s="40"/>
      <c r="E7" s="40"/>
      <c r="F7" s="31"/>
      <c r="G7" s="45"/>
      <c r="H7" s="40"/>
      <c r="I7" s="34" t="str">
        <f aca="false">IF(ResourceTable[[#This Row],[Resource Name]]="","",COUNTIFS(tsk_Resource,ResourceTable[[#This Row],[Resource Name]],tsk_IsLeaf,1))</f>
        <v/>
      </c>
      <c r="J7" s="42" t="str">
        <f aca="false">IF(ResourceTable[[#This Row],[Resource Name]]="","",SUMIFS(tsk_Work,tsk_Resource,ResourceTable[[#This Row],[Resource Name]],tsk_IsLeaf,1))</f>
        <v/>
      </c>
      <c r="K7" s="43" t="str">
        <f aca="false">IF(ResourceTable[[#This Row],[Resource Name]]="","",SUMIFS(tsk_Cost,tsk_Resource,ResourceTable[[#This Row],[Resource Name]],tsk_IsLeaf,1))</f>
        <v/>
      </c>
      <c r="L7" s="40"/>
    </row>
    <row r="8" customFormat="false" ht="15" hidden="false" customHeight="false" outlineLevel="0" collapsed="false">
      <c r="B8" s="40"/>
      <c r="C8" s="40"/>
      <c r="D8" s="40"/>
      <c r="E8" s="40"/>
      <c r="F8" s="31"/>
      <c r="G8" s="45"/>
      <c r="H8" s="40"/>
      <c r="I8" s="34" t="str">
        <f aca="false">IF(ResourceTable[[#This Row],[Resource Name]]="","",COUNTIFS(tsk_Resource,ResourceTable[[#This Row],[Resource Name]],tsk_IsLeaf,1))</f>
        <v/>
      </c>
      <c r="J8" s="42" t="str">
        <f aca="false">IF(ResourceTable[[#This Row],[Resource Name]]="","",SUMIFS(tsk_Work,tsk_Resource,ResourceTable[[#This Row],[Resource Name]],tsk_IsLeaf,1))</f>
        <v/>
      </c>
      <c r="K8" s="43" t="str">
        <f aca="false">IF(ResourceTable[[#This Row],[Resource Name]]="","",SUMIFS(tsk_Cost,tsk_Resource,ResourceTable[[#This Row],[Resource Name]],tsk_IsLeaf,1))</f>
        <v/>
      </c>
      <c r="L8" s="40"/>
    </row>
    <row r="9" customFormat="false" ht="15" hidden="false" customHeight="false" outlineLevel="0" collapsed="false">
      <c r="B9" s="40"/>
      <c r="C9" s="40"/>
      <c r="D9" s="40"/>
      <c r="E9" s="40"/>
      <c r="F9" s="31"/>
      <c r="G9" s="45"/>
      <c r="H9" s="40"/>
      <c r="I9" s="34" t="str">
        <f aca="false">IF(ResourceTable[[#This Row],[Resource Name]]="","",COUNTIFS(tsk_Resource,ResourceTable[[#This Row],[Resource Name]],tsk_IsLeaf,1))</f>
        <v/>
      </c>
      <c r="J9" s="42" t="str">
        <f aca="false">IF(ResourceTable[[#This Row],[Resource Name]]="","",SUMIFS(tsk_Work,tsk_Resource,ResourceTable[[#This Row],[Resource Name]],tsk_IsLeaf,1))</f>
        <v/>
      </c>
      <c r="K9" s="43" t="str">
        <f aca="false">IF(ResourceTable[[#This Row],[Resource Name]]="","",SUMIFS(tsk_Cost,tsk_Resource,ResourceTable[[#This Row],[Resource Name]],tsk_IsLeaf,1))</f>
        <v/>
      </c>
      <c r="L9" s="40"/>
    </row>
    <row r="10" customFormat="false" ht="15" hidden="false" customHeight="false" outlineLevel="0" collapsed="false">
      <c r="B10" s="40"/>
      <c r="C10" s="40"/>
      <c r="D10" s="40"/>
      <c r="E10" s="40"/>
      <c r="F10" s="31"/>
      <c r="G10" s="45"/>
      <c r="H10" s="40"/>
      <c r="I10" s="34" t="str">
        <f aca="false">IF(ResourceTable[[#This Row],[Resource Name]]="","",COUNTIFS(tsk_Resource,ResourceTable[[#This Row],[Resource Name]],tsk_IsLeaf,1))</f>
        <v/>
      </c>
      <c r="J10" s="42" t="str">
        <f aca="false">IF(ResourceTable[[#This Row],[Resource Name]]="","",SUMIFS(tsk_Work,tsk_Resource,ResourceTable[[#This Row],[Resource Name]],tsk_IsLeaf,1))</f>
        <v/>
      </c>
      <c r="K10" s="43" t="str">
        <f aca="false">IF(ResourceTable[[#This Row],[Resource Name]]="","",SUMIFS(tsk_Cost,tsk_Resource,ResourceTable[[#This Row],[Resource Name]],tsk_IsLeaf,1))</f>
        <v/>
      </c>
      <c r="L10" s="40"/>
    </row>
    <row r="11" customFormat="false" ht="15" hidden="false" customHeight="false" outlineLevel="0" collapsed="false">
      <c r="B11" s="40"/>
      <c r="C11" s="40"/>
      <c r="D11" s="40"/>
      <c r="E11" s="40"/>
      <c r="F11" s="31"/>
      <c r="G11" s="45"/>
      <c r="H11" s="40"/>
      <c r="I11" s="34" t="str">
        <f aca="false">IF(ResourceTable[[#This Row],[Resource Name]]="","",COUNTIFS(tsk_Resource,ResourceTable[[#This Row],[Resource Name]],tsk_IsLeaf,1))</f>
        <v/>
      </c>
      <c r="J11" s="42" t="str">
        <f aca="false">IF(ResourceTable[[#This Row],[Resource Name]]="","",SUMIFS(tsk_Work,tsk_Resource,ResourceTable[[#This Row],[Resource Name]],tsk_IsLeaf,1))</f>
        <v/>
      </c>
      <c r="K11" s="43" t="str">
        <f aca="false">IF(ResourceTable[[#This Row],[Resource Name]]="","",SUMIFS(tsk_Cost,tsk_Resource,ResourceTable[[#This Row],[Resource Name]],tsk_IsLeaf,1))</f>
        <v/>
      </c>
      <c r="L11" s="40"/>
    </row>
    <row r="12" customFormat="false" ht="15" hidden="false" customHeight="false" outlineLevel="0" collapsed="false">
      <c r="B12" s="40"/>
      <c r="C12" s="40"/>
      <c r="D12" s="40"/>
      <c r="E12" s="40"/>
      <c r="F12" s="31"/>
      <c r="G12" s="45"/>
      <c r="H12" s="40"/>
      <c r="I12" s="34" t="str">
        <f aca="false">IF(ResourceTable[[#This Row],[Resource Name]]="","",COUNTIFS(tsk_Resource,ResourceTable[[#This Row],[Resource Name]],tsk_IsLeaf,1))</f>
        <v/>
      </c>
      <c r="J12" s="42" t="str">
        <f aca="false">IF(ResourceTable[[#This Row],[Resource Name]]="","",SUMIFS(tsk_Work,tsk_Resource,ResourceTable[[#This Row],[Resource Name]],tsk_IsLeaf,1))</f>
        <v/>
      </c>
      <c r="K12" s="43" t="str">
        <f aca="false">IF(ResourceTable[[#This Row],[Resource Name]]="","",SUMIFS(tsk_Cost,tsk_Resource,ResourceTable[[#This Row],[Resource Name]],tsk_IsLeaf,1))</f>
        <v/>
      </c>
      <c r="L12" s="40"/>
    </row>
    <row r="13" customFormat="false" ht="15" hidden="false" customHeight="false" outlineLevel="0" collapsed="false">
      <c r="B13" s="40"/>
      <c r="C13" s="40"/>
      <c r="D13" s="40"/>
      <c r="E13" s="40"/>
      <c r="F13" s="31"/>
      <c r="G13" s="45"/>
      <c r="H13" s="40"/>
      <c r="I13" s="34" t="str">
        <f aca="false">IF(ResourceTable[[#This Row],[Resource Name]]="","",COUNTIFS(tsk_Resource,ResourceTable[[#This Row],[Resource Name]],tsk_IsLeaf,1))</f>
        <v/>
      </c>
      <c r="J13" s="42" t="str">
        <f aca="false">IF(ResourceTable[[#This Row],[Resource Name]]="","",SUMIFS(tsk_Work,tsk_Resource,ResourceTable[[#This Row],[Resource Name]],tsk_IsLeaf,1))</f>
        <v/>
      </c>
      <c r="K13" s="43" t="str">
        <f aca="false">IF(ResourceTable[[#This Row],[Resource Name]]="","",SUMIFS(tsk_Cost,tsk_Resource,ResourceTable[[#This Row],[Resource Name]],tsk_IsLeaf,1))</f>
        <v/>
      </c>
      <c r="L13" s="40"/>
    </row>
    <row r="14" customFormat="false" ht="15" hidden="false" customHeight="false" outlineLevel="0" collapsed="false">
      <c r="B14" s="40"/>
      <c r="C14" s="40"/>
      <c r="D14" s="40"/>
      <c r="E14" s="40"/>
      <c r="F14" s="31"/>
      <c r="G14" s="45"/>
      <c r="H14" s="40"/>
      <c r="I14" s="34" t="str">
        <f aca="false">IF(ResourceTable[[#This Row],[Resource Name]]="","",COUNTIFS(tsk_Resource,ResourceTable[[#This Row],[Resource Name]],tsk_IsLeaf,1))</f>
        <v/>
      </c>
      <c r="J14" s="42" t="str">
        <f aca="false">IF(ResourceTable[[#This Row],[Resource Name]]="","",SUMIFS(tsk_Work,tsk_Resource,ResourceTable[[#This Row],[Resource Name]],tsk_IsLeaf,1))</f>
        <v/>
      </c>
      <c r="K14" s="43" t="str">
        <f aca="false">IF(ResourceTable[[#This Row],[Resource Name]]="","",SUMIFS(tsk_Cost,tsk_Resource,ResourceTable[[#This Row],[Resource Name]],tsk_IsLeaf,1))</f>
        <v/>
      </c>
      <c r="L14" s="40"/>
    </row>
    <row r="15" customFormat="false" ht="15" hidden="false" customHeight="false" outlineLevel="0" collapsed="false">
      <c r="B15" s="40"/>
      <c r="C15" s="40"/>
      <c r="D15" s="40"/>
      <c r="E15" s="40"/>
      <c r="F15" s="31"/>
      <c r="G15" s="45"/>
      <c r="H15" s="40"/>
      <c r="I15" s="34" t="str">
        <f aca="false">IF(ResourceTable[[#This Row],[Resource Name]]="","",COUNTIFS(tsk_Resource,ResourceTable[[#This Row],[Resource Name]],tsk_IsLeaf,1))</f>
        <v/>
      </c>
      <c r="J15" s="42" t="str">
        <f aca="false">IF(ResourceTable[[#This Row],[Resource Name]]="","",SUMIFS(tsk_Work,tsk_Resource,ResourceTable[[#This Row],[Resource Name]],tsk_IsLeaf,1))</f>
        <v/>
      </c>
      <c r="K15" s="43" t="str">
        <f aca="false">IF(ResourceTable[[#This Row],[Resource Name]]="","",SUMIFS(tsk_Cost,tsk_Resource,ResourceTable[[#This Row],[Resource Name]],tsk_IsLeaf,1))</f>
        <v/>
      </c>
      <c r="L15" s="40"/>
    </row>
    <row r="16" customFormat="false" ht="15" hidden="false" customHeight="false" outlineLevel="0" collapsed="false">
      <c r="B16" s="40"/>
      <c r="C16" s="40"/>
      <c r="D16" s="40"/>
      <c r="E16" s="40"/>
      <c r="F16" s="31"/>
      <c r="G16" s="45"/>
      <c r="H16" s="40"/>
      <c r="I16" s="34" t="str">
        <f aca="false">IF(ResourceTable[[#This Row],[Resource Name]]="","",COUNTIFS(tsk_Resource,ResourceTable[[#This Row],[Resource Name]],tsk_IsLeaf,1))</f>
        <v/>
      </c>
      <c r="J16" s="42" t="str">
        <f aca="false">IF(ResourceTable[[#This Row],[Resource Name]]="","",SUMIFS(tsk_Work,tsk_Resource,ResourceTable[[#This Row],[Resource Name]],tsk_IsLeaf,1))</f>
        <v/>
      </c>
      <c r="K16" s="43" t="str">
        <f aca="false">IF(ResourceTable[[#This Row],[Resource Name]]="","",SUMIFS(tsk_Cost,tsk_Resource,ResourceTable[[#This Row],[Resource Name]],tsk_IsLeaf,1))</f>
        <v/>
      </c>
      <c r="L16" s="40"/>
    </row>
    <row r="17" customFormat="false" ht="15" hidden="false" customHeight="false" outlineLevel="0" collapsed="false">
      <c r="B17" s="40"/>
      <c r="C17" s="40"/>
      <c r="D17" s="40"/>
      <c r="E17" s="40"/>
      <c r="F17" s="31"/>
      <c r="G17" s="45"/>
      <c r="H17" s="40"/>
      <c r="I17" s="34" t="str">
        <f aca="false">IF(ResourceTable[[#This Row],[Resource Name]]="","",COUNTIFS(tsk_Resource,ResourceTable[[#This Row],[Resource Name]],tsk_IsLeaf,1))</f>
        <v/>
      </c>
      <c r="J17" s="42" t="str">
        <f aca="false">IF(ResourceTable[[#This Row],[Resource Name]]="","",SUMIFS(tsk_Work,tsk_Resource,ResourceTable[[#This Row],[Resource Name]],tsk_IsLeaf,1))</f>
        <v/>
      </c>
      <c r="K17" s="43" t="str">
        <f aca="false">IF(ResourceTable[[#This Row],[Resource Name]]="","",SUMIFS(tsk_Cost,tsk_Resource,ResourceTable[[#This Row],[Resource Name]],tsk_IsLeaf,1))</f>
        <v/>
      </c>
      <c r="L17" s="40"/>
    </row>
    <row r="18" customFormat="false" ht="15" hidden="false" customHeight="false" outlineLevel="0" collapsed="false">
      <c r="B18" s="40"/>
      <c r="C18" s="40"/>
      <c r="D18" s="40"/>
      <c r="E18" s="40"/>
      <c r="F18" s="31"/>
      <c r="G18" s="45"/>
      <c r="H18" s="40"/>
      <c r="I18" s="34" t="str">
        <f aca="false">IF(ResourceTable[[#This Row],[Resource Name]]="","",COUNTIFS(tsk_Resource,ResourceTable[[#This Row],[Resource Name]],tsk_IsLeaf,1))</f>
        <v/>
      </c>
      <c r="J18" s="42" t="str">
        <f aca="false">IF(ResourceTable[[#This Row],[Resource Name]]="","",SUMIFS(tsk_Work,tsk_Resource,ResourceTable[[#This Row],[Resource Name]],tsk_IsLeaf,1))</f>
        <v/>
      </c>
      <c r="K18" s="43" t="str">
        <f aca="false">IF(ResourceTable[[#This Row],[Resource Name]]="","",SUMIFS(tsk_Cost,tsk_Resource,ResourceTable[[#This Row],[Resource Name]],tsk_IsLeaf,1))</f>
        <v/>
      </c>
      <c r="L18" s="40"/>
    </row>
    <row r="19" customFormat="false" ht="15" hidden="false" customHeight="false" outlineLevel="0" collapsed="false">
      <c r="B19" s="40"/>
      <c r="C19" s="40"/>
      <c r="D19" s="40"/>
      <c r="E19" s="40"/>
      <c r="F19" s="31"/>
      <c r="G19" s="45"/>
      <c r="H19" s="40"/>
      <c r="I19" s="34" t="str">
        <f aca="false">IF(ResourceTable[[#This Row],[Resource Name]]="","",COUNTIFS(tsk_Resource,ResourceTable[[#This Row],[Resource Name]],tsk_IsLeaf,1))</f>
        <v/>
      </c>
      <c r="J19" s="42" t="str">
        <f aca="false">IF(ResourceTable[[#This Row],[Resource Name]]="","",SUMIFS(tsk_Work,tsk_Resource,ResourceTable[[#This Row],[Resource Name]],tsk_IsLeaf,1))</f>
        <v/>
      </c>
      <c r="K19" s="43" t="str">
        <f aca="false">IF(ResourceTable[[#This Row],[Resource Name]]="","",SUMIFS(tsk_Cost,tsk_Resource,ResourceTable[[#This Row],[Resource Name]],tsk_IsLeaf,1))</f>
        <v/>
      </c>
      <c r="L19" s="40"/>
    </row>
    <row r="20" customFormat="false" ht="15" hidden="false" customHeight="false" outlineLevel="0" collapsed="false">
      <c r="B20" s="40"/>
      <c r="C20" s="40"/>
      <c r="D20" s="40"/>
      <c r="E20" s="40"/>
      <c r="F20" s="31"/>
      <c r="G20" s="45"/>
      <c r="H20" s="40"/>
      <c r="I20" s="34" t="str">
        <f aca="false">IF(ResourceTable[[#This Row],[Resource Name]]="","",COUNTIFS(tsk_Resource,ResourceTable[[#This Row],[Resource Name]],tsk_IsLeaf,1))</f>
        <v/>
      </c>
      <c r="J20" s="42" t="str">
        <f aca="false">IF(ResourceTable[[#This Row],[Resource Name]]="","",SUMIFS(tsk_Work,tsk_Resource,ResourceTable[[#This Row],[Resource Name]],tsk_IsLeaf,1))</f>
        <v/>
      </c>
      <c r="K20" s="43" t="str">
        <f aca="false">IF(ResourceTable[[#This Row],[Resource Name]]="","",SUMIFS(tsk_Cost,tsk_Resource,ResourceTable[[#This Row],[Resource Name]],tsk_IsLeaf,1))</f>
        <v/>
      </c>
      <c r="L20" s="40"/>
    </row>
    <row r="21" customFormat="false" ht="15" hidden="false" customHeight="false" outlineLevel="0" collapsed="false">
      <c r="B21" s="40"/>
      <c r="C21" s="40"/>
      <c r="D21" s="40"/>
      <c r="E21" s="40"/>
      <c r="F21" s="31"/>
      <c r="G21" s="45"/>
      <c r="H21" s="40"/>
      <c r="I21" s="34" t="str">
        <f aca="false">IF(ResourceTable[[#This Row],[Resource Name]]="","",COUNTIFS(tsk_Resource,ResourceTable[[#This Row],[Resource Name]],tsk_IsLeaf,1))</f>
        <v/>
      </c>
      <c r="J21" s="42" t="str">
        <f aca="false">IF(ResourceTable[[#This Row],[Resource Name]]="","",SUMIFS(tsk_Work,tsk_Resource,ResourceTable[[#This Row],[Resource Name]],tsk_IsLeaf,1))</f>
        <v/>
      </c>
      <c r="K21" s="43" t="str">
        <f aca="false">IF(ResourceTable[[#This Row],[Resource Name]]="","",SUMIFS(tsk_Cost,tsk_Resource,ResourceTable[[#This Row],[Resource Name]],tsk_IsLeaf,1))</f>
        <v/>
      </c>
      <c r="L21" s="40"/>
    </row>
    <row r="22" customFormat="false" ht="15" hidden="false" customHeight="false" outlineLevel="0" collapsed="false">
      <c r="B22" s="40"/>
      <c r="C22" s="40"/>
      <c r="D22" s="40"/>
      <c r="E22" s="40"/>
      <c r="F22" s="31"/>
      <c r="G22" s="45"/>
      <c r="H22" s="40"/>
      <c r="I22" s="34" t="str">
        <f aca="false">IF(ResourceTable[[#This Row],[Resource Name]]="","",COUNTIFS(tsk_Resource,ResourceTable[[#This Row],[Resource Name]],tsk_IsLeaf,1))</f>
        <v/>
      </c>
      <c r="J22" s="42" t="str">
        <f aca="false">IF(ResourceTable[[#This Row],[Resource Name]]="","",SUMIFS(tsk_Work,tsk_Resource,ResourceTable[[#This Row],[Resource Name]],tsk_IsLeaf,1))</f>
        <v/>
      </c>
      <c r="K22" s="43" t="str">
        <f aca="false">IF(ResourceTable[[#This Row],[Resource Name]]="","",SUMIFS(tsk_Cost,tsk_Resource,ResourceTable[[#This Row],[Resource Name]],tsk_IsLeaf,1))</f>
        <v/>
      </c>
      <c r="L22" s="40"/>
    </row>
    <row r="23" customFormat="false" ht="15" hidden="false" customHeight="false" outlineLevel="0" collapsed="false">
      <c r="B23" s="40"/>
      <c r="C23" s="40"/>
      <c r="D23" s="40"/>
      <c r="E23" s="40"/>
      <c r="F23" s="31"/>
      <c r="G23" s="45"/>
      <c r="H23" s="40"/>
      <c r="I23" s="34" t="str">
        <f aca="false">IF(ResourceTable[[#This Row],[Resource Name]]="","",COUNTIFS(tsk_Resource,ResourceTable[[#This Row],[Resource Name]],tsk_IsLeaf,1))</f>
        <v/>
      </c>
      <c r="J23" s="42" t="str">
        <f aca="false">IF(ResourceTable[[#This Row],[Resource Name]]="","",SUMIFS(tsk_Work,tsk_Resource,ResourceTable[[#This Row],[Resource Name]],tsk_IsLeaf,1))</f>
        <v/>
      </c>
      <c r="K23" s="43" t="str">
        <f aca="false">IF(ResourceTable[[#This Row],[Resource Name]]="","",SUMIFS(tsk_Cost,tsk_Resource,ResourceTable[[#This Row],[Resource Name]],tsk_IsLeaf,1))</f>
        <v/>
      </c>
      <c r="L23" s="40"/>
    </row>
    <row r="24" customFormat="false" ht="15" hidden="false" customHeight="false" outlineLevel="0" collapsed="false">
      <c r="B24" s="40"/>
      <c r="C24" s="40"/>
      <c r="D24" s="40"/>
      <c r="E24" s="40"/>
      <c r="F24" s="31"/>
      <c r="G24" s="45"/>
      <c r="H24" s="40"/>
      <c r="I24" s="34" t="str">
        <f aca="false">IF(ResourceTable[[#This Row],[Resource Name]]="","",COUNTIFS(tsk_Resource,ResourceTable[[#This Row],[Resource Name]],tsk_IsLeaf,1))</f>
        <v/>
      </c>
      <c r="J24" s="42" t="str">
        <f aca="false">IF(ResourceTable[[#This Row],[Resource Name]]="","",SUMIFS(tsk_Work,tsk_Resource,ResourceTable[[#This Row],[Resource Name]],tsk_IsLeaf,1))</f>
        <v/>
      </c>
      <c r="K24" s="43" t="str">
        <f aca="false">IF(ResourceTable[[#This Row],[Resource Name]]="","",SUMIFS(tsk_Cost,tsk_Resource,ResourceTable[[#This Row],[Resource Name]],tsk_IsLeaf,1))</f>
        <v/>
      </c>
      <c r="L24" s="40"/>
    </row>
    <row r="25" customFormat="false" ht="15" hidden="false" customHeight="false" outlineLevel="0" collapsed="false">
      <c r="B25" s="40"/>
      <c r="C25" s="40"/>
      <c r="D25" s="40"/>
      <c r="E25" s="40"/>
      <c r="F25" s="31"/>
      <c r="G25" s="45"/>
      <c r="H25" s="40"/>
      <c r="I25" s="34" t="str">
        <f aca="false">IF(ResourceTable[[#This Row],[Resource Name]]="","",COUNTIFS(tsk_Resource,ResourceTable[[#This Row],[Resource Name]],tsk_IsLeaf,1))</f>
        <v/>
      </c>
      <c r="J25" s="42" t="str">
        <f aca="false">IF(ResourceTable[[#This Row],[Resource Name]]="","",SUMIFS(tsk_Work,tsk_Resource,ResourceTable[[#This Row],[Resource Name]],tsk_IsLeaf,1))</f>
        <v/>
      </c>
      <c r="K25" s="43" t="str">
        <f aca="false">IF(ResourceTable[[#This Row],[Resource Name]]="","",SUMIFS(tsk_Cost,tsk_Resource,ResourceTable[[#This Row],[Resource Name]],tsk_IsLeaf,1))</f>
        <v/>
      </c>
      <c r="L25" s="40"/>
    </row>
    <row r="26" customFormat="false" ht="15" hidden="false" customHeight="false" outlineLevel="0" collapsed="false">
      <c r="B26" s="40"/>
      <c r="C26" s="40"/>
      <c r="D26" s="40"/>
      <c r="E26" s="40"/>
      <c r="F26" s="31"/>
      <c r="G26" s="45"/>
      <c r="H26" s="40"/>
      <c r="I26" s="34" t="str">
        <f aca="false">IF(ResourceTable[[#This Row],[Resource Name]]="","",COUNTIFS(tsk_Resource,ResourceTable[[#This Row],[Resource Name]],tsk_IsLeaf,1))</f>
        <v/>
      </c>
      <c r="J26" s="42" t="str">
        <f aca="false">IF(ResourceTable[[#This Row],[Resource Name]]="","",SUMIFS(tsk_Work,tsk_Resource,ResourceTable[[#This Row],[Resource Name]],tsk_IsLeaf,1))</f>
        <v/>
      </c>
      <c r="K26" s="43" t="str">
        <f aca="false">IF(ResourceTable[[#This Row],[Resource Name]]="","",SUMIFS(tsk_Cost,tsk_Resource,ResourceTable[[#This Row],[Resource Name]],tsk_IsLeaf,1))</f>
        <v/>
      </c>
      <c r="L26" s="40"/>
    </row>
    <row r="27" customFormat="false" ht="15" hidden="false" customHeight="false" outlineLevel="0" collapsed="false">
      <c r="B27" s="40"/>
      <c r="C27" s="40"/>
      <c r="D27" s="40"/>
      <c r="E27" s="40"/>
      <c r="F27" s="31"/>
      <c r="G27" s="45"/>
      <c r="H27" s="40"/>
      <c r="I27" s="34" t="str">
        <f aca="false">IF(ResourceTable[[#This Row],[Resource Name]]="","",COUNTIFS(tsk_Resource,ResourceTable[[#This Row],[Resource Name]],tsk_IsLeaf,1))</f>
        <v/>
      </c>
      <c r="J27" s="42" t="str">
        <f aca="false">IF(ResourceTable[[#This Row],[Resource Name]]="","",SUMIFS(tsk_Work,tsk_Resource,ResourceTable[[#This Row],[Resource Name]],tsk_IsLeaf,1))</f>
        <v/>
      </c>
      <c r="K27" s="43" t="str">
        <f aca="false">IF(ResourceTable[[#This Row],[Resource Name]]="","",SUMIFS(tsk_Cost,tsk_Resource,ResourceTable[[#This Row],[Resource Name]],tsk_IsLeaf,1))</f>
        <v/>
      </c>
      <c r="L27" s="40"/>
    </row>
    <row r="28" customFormat="false" ht="15" hidden="false" customHeight="false" outlineLevel="0" collapsed="false">
      <c r="B28" s="40"/>
      <c r="C28" s="40"/>
      <c r="D28" s="40"/>
      <c r="E28" s="40"/>
      <c r="F28" s="31"/>
      <c r="G28" s="45"/>
      <c r="H28" s="40"/>
      <c r="I28" s="34" t="str">
        <f aca="false">IF(ResourceTable[[#This Row],[Resource Name]]="","",COUNTIFS(tsk_Resource,ResourceTable[[#This Row],[Resource Name]],tsk_IsLeaf,1))</f>
        <v/>
      </c>
      <c r="J28" s="42" t="str">
        <f aca="false">IF(ResourceTable[[#This Row],[Resource Name]]="","",SUMIFS(tsk_Work,tsk_Resource,ResourceTable[[#This Row],[Resource Name]],tsk_IsLeaf,1))</f>
        <v/>
      </c>
      <c r="K28" s="43" t="str">
        <f aca="false">IF(ResourceTable[[#This Row],[Resource Name]]="","",SUMIFS(tsk_Cost,tsk_Resource,ResourceTable[[#This Row],[Resource Name]],tsk_IsLeaf,1))</f>
        <v/>
      </c>
      <c r="L28" s="40"/>
    </row>
    <row r="29" customFormat="false" ht="15" hidden="false" customHeight="false" outlineLevel="0" collapsed="false">
      <c r="B29" s="40"/>
      <c r="C29" s="40"/>
      <c r="D29" s="40"/>
      <c r="E29" s="40"/>
      <c r="F29" s="31"/>
      <c r="G29" s="45"/>
      <c r="H29" s="40"/>
      <c r="I29" s="34" t="str">
        <f aca="false">IF(ResourceTable[[#This Row],[Resource Name]]="","",COUNTIFS(tsk_Resource,ResourceTable[[#This Row],[Resource Name]],tsk_IsLeaf,1))</f>
        <v/>
      </c>
      <c r="J29" s="42" t="str">
        <f aca="false">IF(ResourceTable[[#This Row],[Resource Name]]="","",SUMIFS(tsk_Work,tsk_Resource,ResourceTable[[#This Row],[Resource Name]],tsk_IsLeaf,1))</f>
        <v/>
      </c>
      <c r="K29" s="43" t="str">
        <f aca="false">IF(ResourceTable[[#This Row],[Resource Name]]="","",SUMIFS(tsk_Cost,tsk_Resource,ResourceTable[[#This Row],[Resource Name]],tsk_IsLeaf,1))</f>
        <v/>
      </c>
      <c r="L29" s="40"/>
    </row>
    <row r="30" customFormat="false" ht="15" hidden="false" customHeight="false" outlineLevel="0" collapsed="false">
      <c r="B30" s="40"/>
      <c r="C30" s="40"/>
      <c r="D30" s="40"/>
      <c r="E30" s="40"/>
      <c r="F30" s="31"/>
      <c r="G30" s="45"/>
      <c r="H30" s="40"/>
      <c r="I30" s="34" t="str">
        <f aca="false">IF(ResourceTable[[#This Row],[Resource Name]]="","",COUNTIFS(tsk_Resource,ResourceTable[[#This Row],[Resource Name]],tsk_IsLeaf,1))</f>
        <v/>
      </c>
      <c r="J30" s="42" t="str">
        <f aca="false">IF(ResourceTable[[#This Row],[Resource Name]]="","",SUMIFS(tsk_Work,tsk_Resource,ResourceTable[[#This Row],[Resource Name]],tsk_IsLeaf,1))</f>
        <v/>
      </c>
      <c r="K30" s="43" t="str">
        <f aca="false">IF(ResourceTable[[#This Row],[Resource Name]]="","",SUMIFS(tsk_Cost,tsk_Resource,ResourceTable[[#This Row],[Resource Name]],tsk_IsLeaf,1))</f>
        <v/>
      </c>
      <c r="L30" s="40"/>
    </row>
    <row r="31" customFormat="false" ht="15" hidden="false" customHeight="false" outlineLevel="0" collapsed="false">
      <c r="B31" s="40"/>
      <c r="C31" s="40"/>
      <c r="D31" s="40"/>
      <c r="E31" s="40"/>
      <c r="F31" s="31"/>
      <c r="G31" s="45"/>
      <c r="H31" s="40"/>
      <c r="I31" s="34" t="str">
        <f aca="false">IF(ResourceTable[[#This Row],[Resource Name]]="","",COUNTIFS(tsk_Resource,ResourceTable[[#This Row],[Resource Name]],tsk_IsLeaf,1))</f>
        <v/>
      </c>
      <c r="J31" s="42" t="str">
        <f aca="false">IF(ResourceTable[[#This Row],[Resource Name]]="","",SUMIFS(tsk_Work,tsk_Resource,ResourceTable[[#This Row],[Resource Name]],tsk_IsLeaf,1))</f>
        <v/>
      </c>
      <c r="K31" s="43" t="str">
        <f aca="false">IF(ResourceTable[[#This Row],[Resource Name]]="","",SUMIFS(tsk_Cost,tsk_Resource,ResourceTable[[#This Row],[Resource Name]],tsk_IsLeaf,1))</f>
        <v/>
      </c>
      <c r="L31" s="40"/>
    </row>
    <row r="32" customFormat="false" ht="15" hidden="false" customHeight="false" outlineLevel="0" collapsed="false">
      <c r="B32" s="40"/>
      <c r="C32" s="40"/>
      <c r="D32" s="40"/>
      <c r="E32" s="40"/>
      <c r="F32" s="31"/>
      <c r="G32" s="45"/>
      <c r="H32" s="40"/>
      <c r="I32" s="34" t="str">
        <f aca="false">IF(ResourceTable[[#This Row],[Resource Name]]="","",COUNTIFS(tsk_Resource,ResourceTable[[#This Row],[Resource Name]],tsk_IsLeaf,1))</f>
        <v/>
      </c>
      <c r="J32" s="42" t="str">
        <f aca="false">IF(ResourceTable[[#This Row],[Resource Name]]="","",SUMIFS(tsk_Work,tsk_Resource,ResourceTable[[#This Row],[Resource Name]],tsk_IsLeaf,1))</f>
        <v/>
      </c>
      <c r="K32" s="43" t="str">
        <f aca="false">IF(ResourceTable[[#This Row],[Resource Name]]="","",SUMIFS(tsk_Cost,tsk_Resource,ResourceTable[[#This Row],[Resource Name]],tsk_IsLeaf,1))</f>
        <v/>
      </c>
      <c r="L32" s="40"/>
    </row>
    <row r="33" customFormat="false" ht="15" hidden="false" customHeight="false" outlineLevel="0" collapsed="false">
      <c r="B33" s="40"/>
      <c r="C33" s="40"/>
      <c r="D33" s="40"/>
      <c r="E33" s="40"/>
      <c r="F33" s="31"/>
      <c r="G33" s="45"/>
      <c r="H33" s="40"/>
      <c r="I33" s="34" t="str">
        <f aca="false">IF(ResourceTable[[#This Row],[Resource Name]]="","",COUNTIFS(tsk_Resource,ResourceTable[[#This Row],[Resource Name]],tsk_IsLeaf,1))</f>
        <v/>
      </c>
      <c r="J33" s="42" t="str">
        <f aca="false">IF(ResourceTable[[#This Row],[Resource Name]]="","",SUMIFS(tsk_Work,tsk_Resource,ResourceTable[[#This Row],[Resource Name]],tsk_IsLeaf,1))</f>
        <v/>
      </c>
      <c r="K33" s="43" t="str">
        <f aca="false">IF(ResourceTable[[#This Row],[Resource Name]]="","",SUMIFS(tsk_Cost,tsk_Resource,ResourceTable[[#This Row],[Resource Name]],tsk_IsLeaf,1))</f>
        <v/>
      </c>
      <c r="L33" s="40"/>
    </row>
    <row r="34" customFormat="false" ht="15" hidden="false" customHeight="false" outlineLevel="0" collapsed="false">
      <c r="B34" s="40"/>
      <c r="C34" s="40"/>
      <c r="D34" s="40"/>
      <c r="E34" s="40"/>
      <c r="F34" s="31"/>
      <c r="G34" s="45"/>
      <c r="H34" s="40"/>
      <c r="I34" s="34" t="str">
        <f aca="false">IF(ResourceTable[[#This Row],[Resource Name]]="","",COUNTIFS(tsk_Resource,ResourceTable[[#This Row],[Resource Name]],tsk_IsLeaf,1))</f>
        <v/>
      </c>
      <c r="J34" s="42" t="str">
        <f aca="false">IF(ResourceTable[[#This Row],[Resource Name]]="","",SUMIFS(tsk_Work,tsk_Resource,ResourceTable[[#This Row],[Resource Name]],tsk_IsLeaf,1))</f>
        <v/>
      </c>
      <c r="K34" s="43" t="str">
        <f aca="false">IF(ResourceTable[[#This Row],[Resource Name]]="","",SUMIFS(tsk_Cost,tsk_Resource,ResourceTable[[#This Row],[Resource Name]],tsk_IsLeaf,1))</f>
        <v/>
      </c>
      <c r="L34" s="40"/>
    </row>
    <row r="35" customFormat="false" ht="15" hidden="false" customHeight="false" outlineLevel="0" collapsed="false">
      <c r="B35" s="40"/>
      <c r="C35" s="40"/>
      <c r="D35" s="40"/>
      <c r="E35" s="40"/>
      <c r="F35" s="31"/>
      <c r="G35" s="45"/>
      <c r="H35" s="40"/>
      <c r="I35" s="34" t="str">
        <f aca="false">IF(ResourceTable[[#This Row],[Resource Name]]="","",COUNTIFS(tsk_Resource,ResourceTable[[#This Row],[Resource Name]],tsk_IsLeaf,1))</f>
        <v/>
      </c>
      <c r="J35" s="42" t="str">
        <f aca="false">IF(ResourceTable[[#This Row],[Resource Name]]="","",SUMIFS(tsk_Work,tsk_Resource,ResourceTable[[#This Row],[Resource Name]],tsk_IsLeaf,1))</f>
        <v/>
      </c>
      <c r="K35" s="43" t="str">
        <f aca="false">IF(ResourceTable[[#This Row],[Resource Name]]="","",SUMIFS(tsk_Cost,tsk_Resource,ResourceTable[[#This Row],[Resource Name]],tsk_IsLeaf,1))</f>
        <v/>
      </c>
      <c r="L35" s="40"/>
    </row>
    <row r="36" customFormat="false" ht="15" hidden="false" customHeight="false" outlineLevel="0" collapsed="false">
      <c r="B36" s="40"/>
      <c r="C36" s="40"/>
      <c r="D36" s="40"/>
      <c r="E36" s="40"/>
      <c r="F36" s="31"/>
      <c r="G36" s="45"/>
      <c r="H36" s="40"/>
      <c r="I36" s="34" t="str">
        <f aca="false">IF(ResourceTable[[#This Row],[Resource Name]]="","",COUNTIFS(tsk_Resource,ResourceTable[[#This Row],[Resource Name]],tsk_IsLeaf,1))</f>
        <v/>
      </c>
      <c r="J36" s="42" t="str">
        <f aca="false">IF(ResourceTable[[#This Row],[Resource Name]]="","",SUMIFS(tsk_Work,tsk_Resource,ResourceTable[[#This Row],[Resource Name]],tsk_IsLeaf,1))</f>
        <v/>
      </c>
      <c r="K36" s="43" t="str">
        <f aca="false">IF(ResourceTable[[#This Row],[Resource Name]]="","",SUMIFS(tsk_Cost,tsk_Resource,ResourceTable[[#This Row],[Resource Name]],tsk_IsLeaf,1))</f>
        <v/>
      </c>
      <c r="L36" s="40"/>
    </row>
    <row r="37" customFormat="false" ht="15" hidden="false" customHeight="false" outlineLevel="0" collapsed="false">
      <c r="B37" s="40"/>
      <c r="C37" s="40"/>
      <c r="D37" s="40"/>
      <c r="E37" s="40"/>
      <c r="F37" s="31"/>
      <c r="G37" s="45"/>
      <c r="H37" s="40"/>
      <c r="I37" s="34" t="str">
        <f aca="false">IF(ResourceTable[[#This Row],[Resource Name]]="","",COUNTIFS(tsk_Resource,ResourceTable[[#This Row],[Resource Name]],tsk_IsLeaf,1))</f>
        <v/>
      </c>
      <c r="J37" s="42" t="str">
        <f aca="false">IF(ResourceTable[[#This Row],[Resource Name]]="","",SUMIFS(tsk_Work,tsk_Resource,ResourceTable[[#This Row],[Resource Name]],tsk_IsLeaf,1))</f>
        <v/>
      </c>
      <c r="K37" s="43" t="str">
        <f aca="false">IF(ResourceTable[[#This Row],[Resource Name]]="","",SUMIFS(tsk_Cost,tsk_Resource,ResourceTable[[#This Row],[Resource Name]],tsk_IsLeaf,1))</f>
        <v/>
      </c>
      <c r="L37" s="40"/>
    </row>
    <row r="38" customFormat="false" ht="15" hidden="false" customHeight="false" outlineLevel="0" collapsed="false">
      <c r="B38" s="40"/>
      <c r="C38" s="40"/>
      <c r="D38" s="40"/>
      <c r="E38" s="40"/>
      <c r="F38" s="31"/>
      <c r="G38" s="45"/>
      <c r="H38" s="40"/>
      <c r="I38" s="34" t="str">
        <f aca="false">IF(ResourceTable[[#This Row],[Resource Name]]="","",COUNTIFS(tsk_Resource,ResourceTable[[#This Row],[Resource Name]],tsk_IsLeaf,1))</f>
        <v/>
      </c>
      <c r="J38" s="42" t="str">
        <f aca="false">IF(ResourceTable[[#This Row],[Resource Name]]="","",SUMIFS(tsk_Work,tsk_Resource,ResourceTable[[#This Row],[Resource Name]],tsk_IsLeaf,1))</f>
        <v/>
      </c>
      <c r="K38" s="43" t="str">
        <f aca="false">IF(ResourceTable[[#This Row],[Resource Name]]="","",SUMIFS(tsk_Cost,tsk_Resource,ResourceTable[[#This Row],[Resource Name]],tsk_IsLeaf,1))</f>
        <v/>
      </c>
      <c r="L38" s="40"/>
    </row>
    <row r="39" customFormat="false" ht="15" hidden="false" customHeight="false" outlineLevel="0" collapsed="false">
      <c r="B39" s="40"/>
      <c r="C39" s="40"/>
      <c r="D39" s="40"/>
      <c r="E39" s="40"/>
      <c r="F39" s="31"/>
      <c r="G39" s="45"/>
      <c r="H39" s="40"/>
      <c r="I39" s="34" t="str">
        <f aca="false">IF(ResourceTable[[#This Row],[Resource Name]]="","",COUNTIFS(tsk_Resource,ResourceTable[[#This Row],[Resource Name]],tsk_IsLeaf,1))</f>
        <v/>
      </c>
      <c r="J39" s="42" t="str">
        <f aca="false">IF(ResourceTable[[#This Row],[Resource Name]]="","",SUMIFS(tsk_Work,tsk_Resource,ResourceTable[[#This Row],[Resource Name]],tsk_IsLeaf,1))</f>
        <v/>
      </c>
      <c r="K39" s="43" t="str">
        <f aca="false">IF(ResourceTable[[#This Row],[Resource Name]]="","",SUMIFS(tsk_Cost,tsk_Resource,ResourceTable[[#This Row],[Resource Name]],tsk_IsLeaf,1))</f>
        <v/>
      </c>
      <c r="L39" s="40"/>
    </row>
    <row r="40" customFormat="false" ht="15" hidden="false" customHeight="false" outlineLevel="0" collapsed="false">
      <c r="B40" s="40"/>
      <c r="C40" s="40"/>
      <c r="D40" s="40"/>
      <c r="E40" s="40"/>
      <c r="F40" s="31"/>
      <c r="G40" s="45"/>
      <c r="H40" s="40"/>
      <c r="I40" s="34" t="str">
        <f aca="false">IF(ResourceTable[[#This Row],[Resource Name]]="","",COUNTIFS(tsk_Resource,ResourceTable[[#This Row],[Resource Name]],tsk_IsLeaf,1))</f>
        <v/>
      </c>
      <c r="J40" s="42" t="str">
        <f aca="false">IF(ResourceTable[[#This Row],[Resource Name]]="","",SUMIFS(tsk_Work,tsk_Resource,ResourceTable[[#This Row],[Resource Name]],tsk_IsLeaf,1))</f>
        <v/>
      </c>
      <c r="K40" s="43" t="str">
        <f aca="false">IF(ResourceTable[[#This Row],[Resource Name]]="","",SUMIFS(tsk_Cost,tsk_Resource,ResourceTable[[#This Row],[Resource Name]],tsk_IsLeaf,1))</f>
        <v/>
      </c>
      <c r="L40" s="40"/>
    </row>
    <row r="41" customFormat="false" ht="15" hidden="false" customHeight="false" outlineLevel="0" collapsed="false">
      <c r="B41" s="40"/>
      <c r="C41" s="40"/>
      <c r="D41" s="40"/>
      <c r="E41" s="40"/>
      <c r="F41" s="31"/>
      <c r="G41" s="45"/>
      <c r="H41" s="40"/>
      <c r="I41" s="34" t="str">
        <f aca="false">IF(ResourceTable[[#This Row],[Resource Name]]="","",COUNTIFS(tsk_Resource,ResourceTable[[#This Row],[Resource Name]],tsk_IsLeaf,1))</f>
        <v/>
      </c>
      <c r="J41" s="42" t="str">
        <f aca="false">IF(ResourceTable[[#This Row],[Resource Name]]="","",SUMIFS(tsk_Work,tsk_Resource,ResourceTable[[#This Row],[Resource Name]],tsk_IsLeaf,1))</f>
        <v/>
      </c>
      <c r="K41" s="43" t="str">
        <f aca="false">IF(ResourceTable[[#This Row],[Resource Name]]="","",SUMIFS(tsk_Cost,tsk_Resource,ResourceTable[[#This Row],[Resource Name]],tsk_IsLeaf,1))</f>
        <v/>
      </c>
      <c r="L41" s="40"/>
    </row>
    <row r="42" customFormat="false" ht="15" hidden="false" customHeight="false" outlineLevel="0" collapsed="false">
      <c r="B42" s="40"/>
      <c r="C42" s="40"/>
      <c r="D42" s="40"/>
      <c r="E42" s="40"/>
      <c r="F42" s="31"/>
      <c r="G42" s="45"/>
      <c r="H42" s="40"/>
      <c r="I42" s="34" t="str">
        <f aca="false">IF(ResourceTable[[#This Row],[Resource Name]]="","",COUNTIFS(tsk_Resource,ResourceTable[[#This Row],[Resource Name]],tsk_IsLeaf,1))</f>
        <v/>
      </c>
      <c r="J42" s="42" t="str">
        <f aca="false">IF(ResourceTable[[#This Row],[Resource Name]]="","",SUMIFS(tsk_Work,tsk_Resource,ResourceTable[[#This Row],[Resource Name]],tsk_IsLeaf,1))</f>
        <v/>
      </c>
      <c r="K42" s="43" t="str">
        <f aca="false">IF(ResourceTable[[#This Row],[Resource Name]]="","",SUMIFS(tsk_Cost,tsk_Resource,ResourceTable[[#This Row],[Resource Name]],tsk_IsLeaf,1))</f>
        <v/>
      </c>
      <c r="L42" s="40"/>
    </row>
    <row r="43" customFormat="false" ht="15" hidden="false" customHeight="false" outlineLevel="0" collapsed="false">
      <c r="B43" s="40"/>
      <c r="C43" s="40"/>
      <c r="D43" s="40"/>
      <c r="E43" s="40"/>
      <c r="F43" s="31"/>
      <c r="G43" s="45"/>
      <c r="H43" s="40"/>
      <c r="I43" s="34" t="str">
        <f aca="false">IF(ResourceTable[[#This Row],[Resource Name]]="","",COUNTIFS(tsk_Resource,ResourceTable[[#This Row],[Resource Name]],tsk_IsLeaf,1))</f>
        <v/>
      </c>
      <c r="J43" s="42" t="str">
        <f aca="false">IF(ResourceTable[[#This Row],[Resource Name]]="","",SUMIFS(tsk_Work,tsk_Resource,ResourceTable[[#This Row],[Resource Name]],tsk_IsLeaf,1))</f>
        <v/>
      </c>
      <c r="K43" s="43" t="str">
        <f aca="false">IF(ResourceTable[[#This Row],[Resource Name]]="","",SUMIFS(tsk_Cost,tsk_Resource,ResourceTable[[#This Row],[Resource Name]],tsk_IsLeaf,1))</f>
        <v/>
      </c>
      <c r="L43" s="40"/>
    </row>
    <row r="44" customFormat="false" ht="15" hidden="false" customHeight="false" outlineLevel="0" collapsed="false">
      <c r="B44" s="40"/>
      <c r="C44" s="40"/>
      <c r="D44" s="40"/>
      <c r="E44" s="40"/>
      <c r="F44" s="31"/>
      <c r="G44" s="45"/>
      <c r="H44" s="40"/>
      <c r="I44" s="34" t="str">
        <f aca="false">IF(ResourceTable[[#This Row],[Resource Name]]="","",COUNTIFS(tsk_Resource,ResourceTable[[#This Row],[Resource Name]],tsk_IsLeaf,1))</f>
        <v/>
      </c>
      <c r="J44" s="42" t="str">
        <f aca="false">IF(ResourceTable[[#This Row],[Resource Name]]="","",SUMIFS(tsk_Work,tsk_Resource,ResourceTable[[#This Row],[Resource Name]],tsk_IsLeaf,1))</f>
        <v/>
      </c>
      <c r="K44" s="43" t="str">
        <f aca="false">IF(ResourceTable[[#This Row],[Resource Name]]="","",SUMIFS(tsk_Cost,tsk_Resource,ResourceTable[[#This Row],[Resource Name]],tsk_IsLeaf,1))</f>
        <v/>
      </c>
      <c r="L44" s="40"/>
    </row>
    <row r="45" customFormat="false" ht="15" hidden="false" customHeight="false" outlineLevel="0" collapsed="false">
      <c r="B45" s="40"/>
      <c r="C45" s="40"/>
      <c r="D45" s="40"/>
      <c r="E45" s="40"/>
      <c r="F45" s="31"/>
      <c r="G45" s="45"/>
      <c r="H45" s="40"/>
      <c r="I45" s="34" t="str">
        <f aca="false">IF(ResourceTable[[#This Row],[Resource Name]]="","",COUNTIFS(tsk_Resource,ResourceTable[[#This Row],[Resource Name]],tsk_IsLeaf,1))</f>
        <v/>
      </c>
      <c r="J45" s="42" t="str">
        <f aca="false">IF(ResourceTable[[#This Row],[Resource Name]]="","",SUMIFS(tsk_Work,tsk_Resource,ResourceTable[[#This Row],[Resource Name]],tsk_IsLeaf,1))</f>
        <v/>
      </c>
      <c r="K45" s="43" t="str">
        <f aca="false">IF(ResourceTable[[#This Row],[Resource Name]]="","",SUMIFS(tsk_Cost,tsk_Resource,ResourceTable[[#This Row],[Resource Name]],tsk_IsLeaf,1))</f>
        <v/>
      </c>
      <c r="L45" s="40"/>
    </row>
    <row r="46" customFormat="false" ht="15" hidden="false" customHeight="false" outlineLevel="0" collapsed="false">
      <c r="B46" s="40"/>
      <c r="C46" s="40"/>
      <c r="D46" s="40"/>
      <c r="E46" s="40"/>
      <c r="F46" s="31"/>
      <c r="G46" s="45"/>
      <c r="H46" s="40"/>
      <c r="I46" s="34" t="str">
        <f aca="false">IF(ResourceTable[[#This Row],[Resource Name]]="","",COUNTIFS(tsk_Resource,ResourceTable[[#This Row],[Resource Name]],tsk_IsLeaf,1))</f>
        <v/>
      </c>
      <c r="J46" s="42" t="str">
        <f aca="false">IF(ResourceTable[[#This Row],[Resource Name]]="","",SUMIFS(tsk_Work,tsk_Resource,ResourceTable[[#This Row],[Resource Name]],tsk_IsLeaf,1))</f>
        <v/>
      </c>
      <c r="K46" s="43" t="str">
        <f aca="false">IF(ResourceTable[[#This Row],[Resource Name]]="","",SUMIFS(tsk_Cost,tsk_Resource,ResourceTable[[#This Row],[Resource Name]],tsk_IsLeaf,1))</f>
        <v/>
      </c>
      <c r="L46" s="40"/>
    </row>
    <row r="47" customFormat="false" ht="15" hidden="false" customHeight="false" outlineLevel="0" collapsed="false">
      <c r="B47" s="40"/>
      <c r="C47" s="40"/>
      <c r="D47" s="40"/>
      <c r="E47" s="40"/>
      <c r="F47" s="31"/>
      <c r="G47" s="45"/>
      <c r="H47" s="40"/>
      <c r="I47" s="34" t="str">
        <f aca="false">IF(ResourceTable[[#This Row],[Resource Name]]="","",COUNTIFS(tsk_Resource,ResourceTable[[#This Row],[Resource Name]],tsk_IsLeaf,1))</f>
        <v/>
      </c>
      <c r="J47" s="42" t="str">
        <f aca="false">IF(ResourceTable[[#This Row],[Resource Name]]="","",SUMIFS(tsk_Work,tsk_Resource,ResourceTable[[#This Row],[Resource Name]],tsk_IsLeaf,1))</f>
        <v/>
      </c>
      <c r="K47" s="43" t="str">
        <f aca="false">IF(ResourceTable[[#This Row],[Resource Name]]="","",SUMIFS(tsk_Cost,tsk_Resource,ResourceTable[[#This Row],[Resource Name]],tsk_IsLeaf,1))</f>
        <v/>
      </c>
      <c r="L47" s="40"/>
    </row>
    <row r="48" customFormat="false" ht="15" hidden="false" customHeight="false" outlineLevel="0" collapsed="false">
      <c r="B48" s="40"/>
      <c r="C48" s="40"/>
      <c r="D48" s="40"/>
      <c r="E48" s="40"/>
      <c r="F48" s="31"/>
      <c r="G48" s="45"/>
      <c r="H48" s="40"/>
      <c r="I48" s="34" t="str">
        <f aca="false">IF(ResourceTable[[#This Row],[Resource Name]]="","",COUNTIFS(tsk_Resource,ResourceTable[[#This Row],[Resource Name]],tsk_IsLeaf,1))</f>
        <v/>
      </c>
      <c r="J48" s="42" t="str">
        <f aca="false">IF(ResourceTable[[#This Row],[Resource Name]]="","",SUMIFS(tsk_Work,tsk_Resource,ResourceTable[[#This Row],[Resource Name]],tsk_IsLeaf,1))</f>
        <v/>
      </c>
      <c r="K48" s="43" t="str">
        <f aca="false">IF(ResourceTable[[#This Row],[Resource Name]]="","",SUMIFS(tsk_Cost,tsk_Resource,ResourceTable[[#This Row],[Resource Name]],tsk_IsLeaf,1))</f>
        <v/>
      </c>
      <c r="L48" s="40"/>
    </row>
    <row r="49" customFormat="false" ht="15" hidden="false" customHeight="false" outlineLevel="0" collapsed="false">
      <c r="B49" s="40"/>
      <c r="C49" s="40"/>
      <c r="D49" s="40"/>
      <c r="E49" s="40"/>
      <c r="F49" s="31"/>
      <c r="G49" s="45"/>
      <c r="H49" s="40"/>
      <c r="I49" s="34" t="str">
        <f aca="false">IF(ResourceTable[[#This Row],[Resource Name]]="","",COUNTIFS(tsk_Resource,ResourceTable[[#This Row],[Resource Name]],tsk_IsLeaf,1))</f>
        <v/>
      </c>
      <c r="J49" s="42" t="str">
        <f aca="false">IF(ResourceTable[[#This Row],[Resource Name]]="","",SUMIFS(tsk_Work,tsk_Resource,ResourceTable[[#This Row],[Resource Name]],tsk_IsLeaf,1))</f>
        <v/>
      </c>
      <c r="K49" s="43" t="str">
        <f aca="false">IF(ResourceTable[[#This Row],[Resource Name]]="","",SUMIFS(tsk_Cost,tsk_Resource,ResourceTable[[#This Row],[Resource Name]],tsk_IsLeaf,1))</f>
        <v/>
      </c>
      <c r="L49" s="40"/>
    </row>
    <row r="50" customFormat="false" ht="15" hidden="false" customHeight="false" outlineLevel="0" collapsed="false">
      <c r="B50" s="40"/>
      <c r="C50" s="40"/>
      <c r="D50" s="40"/>
      <c r="E50" s="40"/>
      <c r="F50" s="31"/>
      <c r="G50" s="45"/>
      <c r="H50" s="40"/>
      <c r="I50" s="34" t="str">
        <f aca="false">IF(ResourceTable[[#This Row],[Resource Name]]="","",COUNTIFS(tsk_Resource,ResourceTable[[#This Row],[Resource Name]],tsk_IsLeaf,1))</f>
        <v/>
      </c>
      <c r="J50" s="42" t="str">
        <f aca="false">IF(ResourceTable[[#This Row],[Resource Name]]="","",SUMIFS(tsk_Work,tsk_Resource,ResourceTable[[#This Row],[Resource Name]],tsk_IsLeaf,1))</f>
        <v/>
      </c>
      <c r="K50" s="43" t="str">
        <f aca="false">IF(ResourceTable[[#This Row],[Resource Name]]="","",SUMIFS(tsk_Cost,tsk_Resource,ResourceTable[[#This Row],[Resource Name]],tsk_IsLeaf,1))</f>
        <v/>
      </c>
      <c r="L50" s="40"/>
    </row>
    <row r="51" customFormat="false" ht="15" hidden="false" customHeight="false" outlineLevel="0" collapsed="false">
      <c r="B51" s="40"/>
      <c r="C51" s="40"/>
      <c r="D51" s="40"/>
      <c r="E51" s="40"/>
      <c r="F51" s="31"/>
      <c r="G51" s="45"/>
      <c r="H51" s="40"/>
      <c r="I51" s="34" t="str">
        <f aca="false">IF(ResourceTable[[#This Row],[Resource Name]]="","",COUNTIFS(tsk_Resource,ResourceTable[[#This Row],[Resource Name]],tsk_IsLeaf,1))</f>
        <v/>
      </c>
      <c r="J51" s="42" t="str">
        <f aca="false">IF(ResourceTable[[#This Row],[Resource Name]]="","",SUMIFS(tsk_Work,tsk_Resource,ResourceTable[[#This Row],[Resource Name]],tsk_IsLeaf,1))</f>
        <v/>
      </c>
      <c r="K51" s="43" t="str">
        <f aca="false">IF(ResourceTable[[#This Row],[Resource Name]]="","",SUMIFS(tsk_Cost,tsk_Resource,ResourceTable[[#This Row],[Resource Name]],tsk_IsLeaf,1))</f>
        <v/>
      </c>
      <c r="L51" s="40"/>
    </row>
    <row r="52" customFormat="false" ht="15" hidden="false" customHeight="false" outlineLevel="0" collapsed="false">
      <c r="B52" s="40"/>
      <c r="C52" s="40"/>
      <c r="D52" s="40"/>
      <c r="E52" s="40"/>
      <c r="F52" s="31"/>
      <c r="G52" s="45"/>
      <c r="H52" s="40"/>
      <c r="I52" s="34" t="str">
        <f aca="false">IF(ResourceTable[[#This Row],[Resource Name]]="","",COUNTIFS(tsk_Resource,ResourceTable[[#This Row],[Resource Name]],tsk_IsLeaf,1))</f>
        <v/>
      </c>
      <c r="J52" s="42" t="str">
        <f aca="false">IF(ResourceTable[[#This Row],[Resource Name]]="","",SUMIFS(tsk_Work,tsk_Resource,ResourceTable[[#This Row],[Resource Name]],tsk_IsLeaf,1))</f>
        <v/>
      </c>
      <c r="K52" s="43" t="str">
        <f aca="false">IF(ResourceTable[[#This Row],[Resource Name]]="","",SUMIFS(tsk_Cost,tsk_Resource,ResourceTable[[#This Row],[Resource Name]],tsk_IsLeaf,1))</f>
        <v/>
      </c>
      <c r="L52" s="40"/>
    </row>
    <row r="53" customFormat="false" ht="15" hidden="false" customHeight="false" outlineLevel="0" collapsed="false">
      <c r="B53" s="40"/>
      <c r="C53" s="40"/>
      <c r="D53" s="40"/>
      <c r="E53" s="40"/>
      <c r="F53" s="31"/>
      <c r="G53" s="45"/>
      <c r="H53" s="40"/>
      <c r="I53" s="34" t="str">
        <f aca="false">IF(ResourceTable[[#This Row],[Resource Name]]="","",COUNTIFS(tsk_Resource,ResourceTable[[#This Row],[Resource Name]],tsk_IsLeaf,1))</f>
        <v/>
      </c>
      <c r="J53" s="42" t="str">
        <f aca="false">IF(ResourceTable[[#This Row],[Resource Name]]="","",SUMIFS(tsk_Work,tsk_Resource,ResourceTable[[#This Row],[Resource Name]],tsk_IsLeaf,1))</f>
        <v/>
      </c>
      <c r="K53" s="43" t="str">
        <f aca="false">IF(ResourceTable[[#This Row],[Resource Name]]="","",SUMIFS(tsk_Cost,tsk_Resource,ResourceTable[[#This Row],[Resource Name]],tsk_IsLeaf,1))</f>
        <v/>
      </c>
      <c r="L53" s="40"/>
    </row>
    <row r="54" customFormat="false" ht="15" hidden="false" customHeight="false" outlineLevel="0" collapsed="false">
      <c r="B54" s="40"/>
      <c r="C54" s="40"/>
      <c r="D54" s="40"/>
      <c r="E54" s="40"/>
      <c r="F54" s="31"/>
      <c r="G54" s="45"/>
      <c r="H54" s="40"/>
      <c r="I54" s="34" t="str">
        <f aca="false">IF(ResourceTable[[#This Row],[Resource Name]]="","",COUNTIFS(tsk_Resource,ResourceTable[[#This Row],[Resource Name]],tsk_IsLeaf,1))</f>
        <v/>
      </c>
      <c r="J54" s="42" t="str">
        <f aca="false">IF(ResourceTable[[#This Row],[Resource Name]]="","",SUMIFS(tsk_Work,tsk_Resource,ResourceTable[[#This Row],[Resource Name]],tsk_IsLeaf,1))</f>
        <v/>
      </c>
      <c r="K54" s="43" t="str">
        <f aca="false">IF(ResourceTable[[#This Row],[Resource Name]]="","",SUMIFS(tsk_Cost,tsk_Resource,ResourceTable[[#This Row],[Resource Name]],tsk_IsLeaf,1))</f>
        <v/>
      </c>
      <c r="L54" s="40"/>
    </row>
    <row r="55" customFormat="false" ht="15" hidden="false" customHeight="false" outlineLevel="0" collapsed="false">
      <c r="B55" s="40"/>
      <c r="C55" s="40"/>
      <c r="D55" s="40"/>
      <c r="E55" s="40"/>
      <c r="F55" s="31"/>
      <c r="G55" s="45"/>
      <c r="H55" s="40"/>
      <c r="I55" s="34" t="str">
        <f aca="false">IF(ResourceTable[[#This Row],[Resource Name]]="","",COUNTIFS(tsk_Resource,ResourceTable[[#This Row],[Resource Name]],tsk_IsLeaf,1))</f>
        <v/>
      </c>
      <c r="J55" s="42" t="str">
        <f aca="false">IF(ResourceTable[[#This Row],[Resource Name]]="","",SUMIFS(tsk_Work,tsk_Resource,ResourceTable[[#This Row],[Resource Name]],tsk_IsLeaf,1))</f>
        <v/>
      </c>
      <c r="K55" s="43" t="str">
        <f aca="false">IF(ResourceTable[[#This Row],[Resource Name]]="","",SUMIFS(tsk_Cost,tsk_Resource,ResourceTable[[#This Row],[Resource Name]],tsk_IsLeaf,1))</f>
        <v/>
      </c>
      <c r="L55" s="4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315</v>
      </c>
    </row>
    <row r="5" customFormat="false" ht="23.85" hidden="false" customHeight="false" outlineLevel="0" collapsed="false">
      <c r="A5" s="9" t="s">
        <v>142</v>
      </c>
      <c r="B5" s="9" t="s">
        <v>225</v>
      </c>
      <c r="C5" s="9" t="s">
        <v>316</v>
      </c>
      <c r="D5" s="9" t="s">
        <v>317</v>
      </c>
      <c r="E5" s="9" t="s">
        <v>318</v>
      </c>
      <c r="F5" s="36" t="s">
        <v>319</v>
      </c>
      <c r="G5" s="9" t="s">
        <v>320</v>
      </c>
      <c r="H5" s="9" t="s">
        <v>321</v>
      </c>
      <c r="I5" s="9" t="s">
        <v>43</v>
      </c>
      <c r="J5" s="9" t="s">
        <v>322</v>
      </c>
      <c r="K5" s="9" t="s">
        <v>71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1</v>
      </c>
      <c r="D6" s="24" t="n">
        <f aca="false">SprintTable[[#This Row],[Start]]+SprintLength-1</f>
        <v>14</v>
      </c>
      <c r="E6" s="38" t="n">
        <f aca="false">NETWORKDAYS.INTL(SprintTable[[#This Row],[Start]],SprintTable[[#This Row],[End]],WorkWeek,Holidays)</f>
        <v>10</v>
      </c>
      <c r="F6" s="40"/>
      <c r="G6" s="38" t="n">
        <f aca="false">IF(SprintTable[[#This Row],[Sprint]]="","",COUNTIF(tsk_Sprint,SprintTable[[#This Row],[Sprint]]))</f>
        <v>0</v>
      </c>
      <c r="H6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6" s="42" t="n">
        <f aca="false">IF(SprintTable[[#This Row],[Sprint]]="","",SUMIFS(res_MaxUnits,res_Type,"Work")*HoursPerDay*SprintTable[[#This Row],[Working Days]])</f>
        <v>0</v>
      </c>
      <c r="J6" s="41" t="str">
        <f aca="false">IF(OR(SprintTable[[#This Row],[Sprint]]="",N(SprintTable[[#This Row],[Capacity]])=0),"",SprintTable[[#This Row],[Planned Work]]/SprintTable[[#This Row],[Capacity]])</f>
        <v/>
      </c>
      <c r="K6" s="38" t="str">
        <f aca="false">IF(SprintTable[[#This Row],[Sprint]]="","",IF(StatusDate&gt;SprintTable[[#This Row],[End]],"Closed",IF(StatusDate&gt;=SprintTable[[#This Row],[Start]],"Active","Future")))</f>
        <v>Active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15</v>
      </c>
      <c r="D7" s="24" t="n">
        <f aca="false">SprintTable[[#This Row],[Start]]+SprintLength-1</f>
        <v>28</v>
      </c>
      <c r="E7" s="38" t="n">
        <f aca="false">NETWORKDAYS.INTL(SprintTable[[#This Row],[Start]],SprintTable[[#This Row],[End]],WorkWeek,Holidays)</f>
        <v>10</v>
      </c>
      <c r="F7" s="40"/>
      <c r="G7" s="38" t="n">
        <f aca="false">IF(SprintTable[[#This Row],[Sprint]]="","",COUNTIF(tsk_Sprint,SprintTable[[#This Row],[Sprint]]))</f>
        <v>0</v>
      </c>
      <c r="H7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7" s="42" t="n">
        <f aca="false">IF(SprintTable[[#This Row],[Sprint]]="","",SUMIFS(res_MaxUnits,res_Type,"Work")*HoursPerDay*SprintTable[[#This Row],[Working Days]])</f>
        <v>0</v>
      </c>
      <c r="J7" s="41" t="str">
        <f aca="false">IF(OR(SprintTable[[#This Row],[Sprint]]="",N(SprintTable[[#This Row],[Capacity]])=0),"",SprintTable[[#This Row],[Planned Work]]/SprintTable[[#This Row],[Capacity]])</f>
        <v/>
      </c>
      <c r="K7" s="38" t="str">
        <f aca="false">IF(SprintTable[[#This Row],[Sprint]]="","",IF(StatusDate&gt;SprintTable[[#This Row],[End]],"Closed",IF(StatusDate&gt;=SprintTable[[#This Row],[Start]],"Active","Future")))</f>
        <v>Future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29</v>
      </c>
      <c r="D8" s="24" t="n">
        <f aca="false">SprintTable[[#This Row],[Start]]+SprintLength-1</f>
        <v>42</v>
      </c>
      <c r="E8" s="38" t="n">
        <f aca="false">NETWORKDAYS.INTL(SprintTable[[#This Row],[Start]],SprintTable[[#This Row],[End]],WorkWeek,Holidays)</f>
        <v>10</v>
      </c>
      <c r="F8" s="40"/>
      <c r="G8" s="38" t="n">
        <f aca="false">IF(SprintTable[[#This Row],[Sprint]]="","",COUNTIF(tsk_Sprint,SprintTable[[#This Row],[Sprint]]))</f>
        <v>0</v>
      </c>
      <c r="H8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8" s="42" t="n">
        <f aca="false">IF(SprintTable[[#This Row],[Sprint]]="","",SUMIFS(res_MaxUnits,res_Type,"Work")*HoursPerDay*SprintTable[[#This Row],[Working Days]])</f>
        <v>0</v>
      </c>
      <c r="J8" s="41" t="str">
        <f aca="false">IF(OR(SprintTable[[#This Row],[Sprint]]="",N(SprintTable[[#This Row],[Capacity]])=0),"",SprintTable[[#This Row],[Planned Work]]/SprintTable[[#This Row],[Capacity]])</f>
        <v/>
      </c>
      <c r="K8" s="38" t="str">
        <f aca="false">IF(SprintTable[[#This Row],[Sprint]]="","",IF(StatusDate&gt;SprintTable[[#This Row],[End]],"Closed",IF(StatusDate&gt;=SprintTable[[#This Row],[Start]],"Active","Future")))</f>
        <v>Future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43</v>
      </c>
      <c r="D9" s="24" t="n">
        <f aca="false">SprintTable[[#This Row],[Start]]+SprintLength-1</f>
        <v>56</v>
      </c>
      <c r="E9" s="38" t="n">
        <f aca="false">NETWORKDAYS.INTL(SprintTable[[#This Row],[Start]],SprintTable[[#This Row],[End]],WorkWeek,Holidays)</f>
        <v>10</v>
      </c>
      <c r="F9" s="40"/>
      <c r="G9" s="38" t="n">
        <f aca="false">IF(SprintTable[[#This Row],[Sprint]]="","",COUNTIF(tsk_Sprint,SprintTable[[#This Row],[Sprint]]))</f>
        <v>0</v>
      </c>
      <c r="H9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9" s="42" t="n">
        <f aca="false">IF(SprintTable[[#This Row],[Sprint]]="","",SUMIFS(res_MaxUnits,res_Type,"Work")*HoursPerDay*SprintTable[[#This Row],[Working Days]])</f>
        <v>0</v>
      </c>
      <c r="J9" s="41" t="str">
        <f aca="false">IF(OR(SprintTable[[#This Row],[Sprint]]="",N(SprintTable[[#This Row],[Capacity]])=0),"",SprintTable[[#This Row],[Planned Work]]/SprintTable[[#This Row],[Capacity]])</f>
        <v/>
      </c>
      <c r="K9" s="38" t="str">
        <f aca="false">IF(SprintTable[[#This Row],[Sprint]]="","",IF(StatusDate&gt;SprintTable[[#This Row],[End]],"Closed",IF(StatusDate&gt;=SprintTable[[#This Row],[Start]],"Active","Future")))</f>
        <v>Future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57</v>
      </c>
      <c r="D10" s="24" t="n">
        <f aca="false">SprintTable[[#This Row],[Start]]+SprintLength-1</f>
        <v>70</v>
      </c>
      <c r="E10" s="38" t="n">
        <f aca="false">NETWORKDAYS.INTL(SprintTable[[#This Row],[Start]],SprintTable[[#This Row],[End]],WorkWeek,Holidays)</f>
        <v>10</v>
      </c>
      <c r="F10" s="40"/>
      <c r="G10" s="38" t="n">
        <f aca="false">IF(SprintTable[[#This Row],[Sprint]]="","",COUNTIF(tsk_Sprint,SprintTable[[#This Row],[Sprint]]))</f>
        <v>0</v>
      </c>
      <c r="H10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0" s="42" t="n">
        <f aca="false">IF(SprintTable[[#This Row],[Sprint]]="","",SUMIFS(res_MaxUnits,res_Type,"Work")*HoursPerDay*SprintTable[[#This Row],[Working Days]])</f>
        <v>0</v>
      </c>
      <c r="J10" s="41" t="str">
        <f aca="false">IF(OR(SprintTable[[#This Row],[Sprint]]="",N(SprintTable[[#This Row],[Capacity]])=0),"",SprintTable[[#This Row],[Planned Work]]/SprintTable[[#This Row],[Capacity]])</f>
        <v/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71</v>
      </c>
      <c r="D11" s="24" t="n">
        <f aca="false">SprintTable[[#This Row],[Start]]+SprintLength-1</f>
        <v>84</v>
      </c>
      <c r="E11" s="38" t="n">
        <f aca="false">NETWORKDAYS.INTL(SprintTable[[#This Row],[Start]],SprintTable[[#This Row],[End]],WorkWeek,Holidays)</f>
        <v>10</v>
      </c>
      <c r="F11" s="40"/>
      <c r="G11" s="38" t="n">
        <f aca="false">IF(SprintTable[[#This Row],[Sprint]]="","",COUNTIF(tsk_Sprint,SprintTable[[#This Row],[Sprint]]))</f>
        <v>0</v>
      </c>
      <c r="H11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1" s="42" t="n">
        <f aca="false">IF(SprintTable[[#This Row],[Sprint]]="","",SUMIFS(res_MaxUnits,res_Type,"Work")*HoursPerDay*SprintTable[[#This Row],[Working Days]])</f>
        <v>0</v>
      </c>
      <c r="J11" s="41" t="str">
        <f aca="false">IF(OR(SprintTable[[#This Row],[Sprint]]="",N(SprintTable[[#This Row],[Capacity]])=0),"",SprintTable[[#This Row],[Planned Work]]/SprintTable[[#This Row],[Capacity]])</f>
        <v/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85</v>
      </c>
      <c r="D12" s="24" t="n">
        <f aca="false">SprintTable[[#This Row],[Start]]+SprintLength-1</f>
        <v>98</v>
      </c>
      <c r="E12" s="38" t="n">
        <f aca="false">NETWORKDAYS.INTL(SprintTable[[#This Row],[Start]],SprintTable[[#This Row],[End]],WorkWeek,Holidays)</f>
        <v>10</v>
      </c>
      <c r="F12" s="40"/>
      <c r="G12" s="38" t="n">
        <f aca="false">IF(SprintTable[[#This Row],[Sprint]]="","",COUNTIF(tsk_Sprint,SprintTable[[#This Row],[Sprint]]))</f>
        <v>0</v>
      </c>
      <c r="H12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2" s="42" t="n">
        <f aca="false">IF(SprintTable[[#This Row],[Sprint]]="","",SUMIFS(res_MaxUnits,res_Type,"Work")*HoursPerDay*SprintTable[[#This Row],[Working Days]])</f>
        <v>0</v>
      </c>
      <c r="J12" s="41" t="str">
        <f aca="false">IF(OR(SprintTable[[#This Row],[Sprint]]="",N(SprintTable[[#This Row],[Capacity]])=0),"",SprintTable[[#This Row],[Planned Work]]/SprintTable[[#This Row],[Capacity]])</f>
        <v/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99</v>
      </c>
      <c r="D13" s="24" t="n">
        <f aca="false">SprintTable[[#This Row],[Start]]+SprintLength-1</f>
        <v>112</v>
      </c>
      <c r="E13" s="38" t="n">
        <f aca="false">NETWORKDAYS.INTL(SprintTable[[#This Row],[Start]],SprintTable[[#This Row],[End]],WorkWeek,Holidays)</f>
        <v>10</v>
      </c>
      <c r="F13" s="40"/>
      <c r="G13" s="38" t="n">
        <f aca="false">IF(SprintTable[[#This Row],[Sprint]]="","",COUNTIF(tsk_Sprint,SprintTable[[#This Row],[Sprint]]))</f>
        <v>0</v>
      </c>
      <c r="H13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3" s="42" t="n">
        <f aca="false">IF(SprintTable[[#This Row],[Sprint]]="","",SUMIFS(res_MaxUnits,res_Type,"Work")*HoursPerDay*SprintTable[[#This Row],[Working Days]])</f>
        <v>0</v>
      </c>
      <c r="J13" s="41" t="str">
        <f aca="false">IF(OR(SprintTable[[#This Row],[Sprint]]="",N(SprintTable[[#This Row],[Capacity]])=0),"",SprintTable[[#This Row],[Planned Work]]/SprintTable[[#This Row],[Capacity]])</f>
        <v/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113</v>
      </c>
      <c r="D14" s="24" t="n">
        <f aca="false">SprintTable[[#This Row],[Start]]+SprintLength-1</f>
        <v>126</v>
      </c>
      <c r="E14" s="38" t="n">
        <f aca="false">NETWORKDAYS.INTL(SprintTable[[#This Row],[Start]],SprintTable[[#This Row],[End]],WorkWeek,Holidays)</f>
        <v>10</v>
      </c>
      <c r="F14" s="40"/>
      <c r="G14" s="38" t="n">
        <f aca="false">IF(SprintTable[[#This Row],[Sprint]]="","",COUNTIF(tsk_Sprint,SprintTable[[#This Row],[Sprint]]))</f>
        <v>0</v>
      </c>
      <c r="H14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4" s="42" t="n">
        <f aca="false">IF(SprintTable[[#This Row],[Sprint]]="","",SUMIFS(res_MaxUnits,res_Type,"Work")*HoursPerDay*SprintTable[[#This Row],[Working Days]])</f>
        <v>0</v>
      </c>
      <c r="J14" s="41" t="str">
        <f aca="false">IF(OR(SprintTable[[#This Row],[Sprint]]="",N(SprintTable[[#This Row],[Capacity]])=0),"",SprintTable[[#This Row],[Planned Work]]/SprintTable[[#This Row],[Capacity]])</f>
        <v/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127</v>
      </c>
      <c r="D15" s="24" t="n">
        <f aca="false">SprintTable[[#This Row],[Start]]+SprintLength-1</f>
        <v>140</v>
      </c>
      <c r="E15" s="38" t="n">
        <f aca="false">NETWORKDAYS.INTL(SprintTable[[#This Row],[Start]],SprintTable[[#This Row],[End]],WorkWeek,Holidays)</f>
        <v>10</v>
      </c>
      <c r="F15" s="40"/>
      <c r="G15" s="38" t="n">
        <f aca="false">IF(SprintTable[[#This Row],[Sprint]]="","",COUNTIF(tsk_Sprint,SprintTable[[#This Row],[Sprint]]))</f>
        <v>0</v>
      </c>
      <c r="H15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42" t="n">
        <f aca="false">IF(SprintTable[[#This Row],[Sprint]]="","",SUMIFS(res_MaxUnits,res_Type,"Work")*HoursPerDay*SprintTable[[#This Row],[Working Days]])</f>
        <v>0</v>
      </c>
      <c r="J15" s="41" t="str">
        <f aca="false">IF(OR(SprintTable[[#This Row],[Sprint]]="",N(SprintTable[[#This Row],[Capacity]])=0),"",SprintTable[[#This Row],[Planned Work]]/SprintTable[[#This Row],[Capacity]])</f>
        <v/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141</v>
      </c>
      <c r="D16" s="24" t="n">
        <f aca="false">SprintTable[[#This Row],[Start]]+SprintLength-1</f>
        <v>154</v>
      </c>
      <c r="E16" s="38" t="n">
        <f aca="false">NETWORKDAYS.INTL(SprintTable[[#This Row],[Start]],SprintTable[[#This Row],[End]],WorkWeek,Holidays)</f>
        <v>10</v>
      </c>
      <c r="F16" s="40"/>
      <c r="G16" s="38" t="n">
        <f aca="false">IF(SprintTable[[#This Row],[Sprint]]="","",COUNTIF(tsk_Sprint,SprintTable[[#This Row],[Sprint]]))</f>
        <v>0</v>
      </c>
      <c r="H16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42" t="n">
        <f aca="false">IF(SprintTable[[#This Row],[Sprint]]="","",SUMIFS(res_MaxUnits,res_Type,"Work")*HoursPerDay*SprintTable[[#This Row],[Working Days]])</f>
        <v>0</v>
      </c>
      <c r="J16" s="41" t="str">
        <f aca="false">IF(OR(SprintTable[[#This Row],[Sprint]]="",N(SprintTable[[#This Row],[Capacity]])=0),"",SprintTable[[#This Row],[Planned Work]]/SprintTable[[#This Row],[Capacity]])</f>
        <v/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155</v>
      </c>
      <c r="D17" s="24" t="n">
        <f aca="false">SprintTable[[#This Row],[Start]]+SprintLength-1</f>
        <v>168</v>
      </c>
      <c r="E17" s="38" t="n">
        <f aca="false">NETWORKDAYS.INTL(SprintTable[[#This Row],[Start]],SprintTable[[#This Row],[End]],WorkWeek,Holidays)</f>
        <v>10</v>
      </c>
      <c r="F17" s="40"/>
      <c r="G17" s="38" t="n">
        <f aca="false">IF(SprintTable[[#This Row],[Sprint]]="","",COUNTIF(tsk_Sprint,SprintTable[[#This Row],[Sprint]]))</f>
        <v>0</v>
      </c>
      <c r="H17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42" t="n">
        <f aca="false">IF(SprintTable[[#This Row],[Sprint]]="","",SUMIFS(res_MaxUnits,res_Type,"Work")*HoursPerDay*SprintTable[[#This Row],[Working Days]])</f>
        <v>0</v>
      </c>
      <c r="J17" s="41" t="str">
        <f aca="false">IF(OR(SprintTable[[#This Row],[Sprint]]="",N(SprintTable[[#This Row],[Capacity]])=0),"",SprintTable[[#This Row],[Planned Work]]/SprintTable[[#This Row],[Capacity]])</f>
        <v/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169</v>
      </c>
      <c r="D18" s="24" t="n">
        <f aca="false">SprintTable[[#This Row],[Start]]+SprintLength-1</f>
        <v>182</v>
      </c>
      <c r="E18" s="38" t="n">
        <f aca="false">NETWORKDAYS.INTL(SprintTable[[#This Row],[Start]],SprintTable[[#This Row],[End]],WorkWeek,Holidays)</f>
        <v>10</v>
      </c>
      <c r="F18" s="40"/>
      <c r="G18" s="38" t="str">
        <f aca="false">IF(SprintTable[[#This Row],[Sprint]]="","",COUNTIF(tsk_Sprint,SprintTable[[#This Row],[Sprint]]))</f>
        <v/>
      </c>
      <c r="H18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42" t="str">
        <f aca="false">IF(SprintTable[[#This Row],[Sprint]]="","",SUMIFS(res_MaxUnits,res_Type,"Work")*HoursPerDay*SprintTable[[#This Row],[Working Days]])</f>
        <v/>
      </c>
      <c r="J18" s="41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183</v>
      </c>
      <c r="D19" s="24" t="n">
        <f aca="false">SprintTable[[#This Row],[Start]]+SprintLength-1</f>
        <v>196</v>
      </c>
      <c r="E19" s="38" t="n">
        <f aca="false">NETWORKDAYS.INTL(SprintTable[[#This Row],[Start]],SprintTable[[#This Row],[End]],WorkWeek,Holidays)</f>
        <v>10</v>
      </c>
      <c r="F19" s="40"/>
      <c r="G19" s="38" t="str">
        <f aca="false">IF(SprintTable[[#This Row],[Sprint]]="","",COUNTIF(tsk_Sprint,SprintTable[[#This Row],[Sprint]]))</f>
        <v/>
      </c>
      <c r="H19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42" t="str">
        <f aca="false">IF(SprintTable[[#This Row],[Sprint]]="","",SUMIFS(res_MaxUnits,res_Type,"Work")*HoursPerDay*SprintTable[[#This Row],[Working Days]])</f>
        <v/>
      </c>
      <c r="J19" s="41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197</v>
      </c>
      <c r="D20" s="24" t="n">
        <f aca="false">SprintTable[[#This Row],[Start]]+SprintLength-1</f>
        <v>210</v>
      </c>
      <c r="E20" s="38" t="n">
        <f aca="false">NETWORKDAYS.INTL(SprintTable[[#This Row],[Start]],SprintTable[[#This Row],[End]],WorkWeek,Holidays)</f>
        <v>10</v>
      </c>
      <c r="F20" s="40"/>
      <c r="G20" s="38" t="str">
        <f aca="false">IF(SprintTable[[#This Row],[Sprint]]="","",COUNTIF(tsk_Sprint,SprintTable[[#This Row],[Sprint]]))</f>
        <v/>
      </c>
      <c r="H20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42" t="str">
        <f aca="false">IF(SprintTable[[#This Row],[Sprint]]="","",SUMIFS(res_MaxUnits,res_Type,"Work")*HoursPerDay*SprintTable[[#This Row],[Working Days]])</f>
        <v/>
      </c>
      <c r="J20" s="41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211</v>
      </c>
      <c r="D21" s="24" t="n">
        <f aca="false">SprintTable[[#This Row],[Start]]+SprintLength-1</f>
        <v>224</v>
      </c>
      <c r="E21" s="38" t="n">
        <f aca="false">NETWORKDAYS.INTL(SprintTable[[#This Row],[Start]],SprintTable[[#This Row],[End]],WorkWeek,Holidays)</f>
        <v>10</v>
      </c>
      <c r="F21" s="40"/>
      <c r="G21" s="38" t="str">
        <f aca="false">IF(SprintTable[[#This Row],[Sprint]]="","",COUNTIF(tsk_Sprint,SprintTable[[#This Row],[Sprint]]))</f>
        <v/>
      </c>
      <c r="H21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42" t="str">
        <f aca="false">IF(SprintTable[[#This Row],[Sprint]]="","",SUMIFS(res_MaxUnits,res_Type,"Work")*HoursPerDay*SprintTable[[#This Row],[Working Days]])</f>
        <v/>
      </c>
      <c r="J21" s="41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225</v>
      </c>
      <c r="D22" s="24" t="n">
        <f aca="false">SprintTable[[#This Row],[Start]]+SprintLength-1</f>
        <v>238</v>
      </c>
      <c r="E22" s="38" t="n">
        <f aca="false">NETWORKDAYS.INTL(SprintTable[[#This Row],[Start]],SprintTable[[#This Row],[End]],WorkWeek,Holidays)</f>
        <v>10</v>
      </c>
      <c r="F22" s="40"/>
      <c r="G22" s="38" t="str">
        <f aca="false">IF(SprintTable[[#This Row],[Sprint]]="","",COUNTIF(tsk_Sprint,SprintTable[[#This Row],[Sprint]]))</f>
        <v/>
      </c>
      <c r="H22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42" t="str">
        <f aca="false">IF(SprintTable[[#This Row],[Sprint]]="","",SUMIFS(res_MaxUnits,res_Type,"Work")*HoursPerDay*SprintTable[[#This Row],[Working Days]])</f>
        <v/>
      </c>
      <c r="J22" s="41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239</v>
      </c>
      <c r="D23" s="24" t="n">
        <f aca="false">SprintTable[[#This Row],[Start]]+SprintLength-1</f>
        <v>252</v>
      </c>
      <c r="E23" s="38" t="n">
        <f aca="false">NETWORKDAYS.INTL(SprintTable[[#This Row],[Start]],SprintTable[[#This Row],[End]],WorkWeek,Holidays)</f>
        <v>10</v>
      </c>
      <c r="F23" s="40"/>
      <c r="G23" s="38" t="str">
        <f aca="false">IF(SprintTable[[#This Row],[Sprint]]="","",COUNTIF(tsk_Sprint,SprintTable[[#This Row],[Sprint]]))</f>
        <v/>
      </c>
      <c r="H23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42" t="str">
        <f aca="false">IF(SprintTable[[#This Row],[Sprint]]="","",SUMIFS(res_MaxUnits,res_Type,"Work")*HoursPerDay*SprintTable[[#This Row],[Working Days]])</f>
        <v/>
      </c>
      <c r="J23" s="41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253</v>
      </c>
      <c r="D24" s="24" t="n">
        <f aca="false">SprintTable[[#This Row],[Start]]+SprintLength-1</f>
        <v>266</v>
      </c>
      <c r="E24" s="38" t="n">
        <f aca="false">NETWORKDAYS.INTL(SprintTable[[#This Row],[Start]],SprintTable[[#This Row],[End]],WorkWeek,Holidays)</f>
        <v>10</v>
      </c>
      <c r="F24" s="40"/>
      <c r="G24" s="38" t="str">
        <f aca="false">IF(SprintTable[[#This Row],[Sprint]]="","",COUNTIF(tsk_Sprint,SprintTable[[#This Row],[Sprint]]))</f>
        <v/>
      </c>
      <c r="H24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42" t="str">
        <f aca="false">IF(SprintTable[[#This Row],[Sprint]]="","",SUMIFS(res_MaxUnits,res_Type,"Work")*HoursPerDay*SprintTable[[#This Row],[Working Days]])</f>
        <v/>
      </c>
      <c r="J24" s="41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267</v>
      </c>
      <c r="D25" s="24" t="n">
        <f aca="false">SprintTable[[#This Row],[Start]]+SprintLength-1</f>
        <v>280</v>
      </c>
      <c r="E25" s="38" t="n">
        <f aca="false">NETWORKDAYS.INTL(SprintTable[[#This Row],[Start]],SprintTable[[#This Row],[End]],WorkWeek,Holidays)</f>
        <v>10</v>
      </c>
      <c r="F25" s="40"/>
      <c r="G25" s="38" t="str">
        <f aca="false">IF(SprintTable[[#This Row],[Sprint]]="","",COUNTIF(tsk_Sprint,SprintTable[[#This Row],[Sprint]]))</f>
        <v/>
      </c>
      <c r="H25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42" t="str">
        <f aca="false">IF(SprintTable[[#This Row],[Sprint]]="","",SUMIFS(res_MaxUnits,res_Type,"Work")*HoursPerDay*SprintTable[[#This Row],[Working Days]])</f>
        <v/>
      </c>
      <c r="J25" s="41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281</v>
      </c>
      <c r="D26" s="24" t="n">
        <f aca="false">SprintTable[[#This Row],[Start]]+SprintLength-1</f>
        <v>294</v>
      </c>
      <c r="E26" s="38" t="n">
        <f aca="false">NETWORKDAYS.INTL(SprintTable[[#This Row],[Start]],SprintTable[[#This Row],[End]],WorkWeek,Holidays)</f>
        <v>10</v>
      </c>
      <c r="F26" s="40"/>
      <c r="G26" s="38" t="str">
        <f aca="false">IF(SprintTable[[#This Row],[Sprint]]="","",COUNTIF(tsk_Sprint,SprintTable[[#This Row],[Sprint]]))</f>
        <v/>
      </c>
      <c r="H26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42" t="str">
        <f aca="false">IF(SprintTable[[#This Row],[Sprint]]="","",SUMIFS(res_MaxUnits,res_Type,"Work")*HoursPerDay*SprintTable[[#This Row],[Working Days]])</f>
        <v/>
      </c>
      <c r="J26" s="41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295</v>
      </c>
      <c r="D27" s="24" t="n">
        <f aca="false">SprintTable[[#This Row],[Start]]+SprintLength-1</f>
        <v>308</v>
      </c>
      <c r="E27" s="38" t="n">
        <f aca="false">NETWORKDAYS.INTL(SprintTable[[#This Row],[Start]],SprintTable[[#This Row],[End]],WorkWeek,Holidays)</f>
        <v>10</v>
      </c>
      <c r="F27" s="40"/>
      <c r="G27" s="38" t="str">
        <f aca="false">IF(SprintTable[[#This Row],[Sprint]]="","",COUNTIF(tsk_Sprint,SprintTable[[#This Row],[Sprint]]))</f>
        <v/>
      </c>
      <c r="H27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42" t="str">
        <f aca="false">IF(SprintTable[[#This Row],[Sprint]]="","",SUMIFS(res_MaxUnits,res_Type,"Work")*HoursPerDay*SprintTable[[#This Row],[Working Days]])</f>
        <v/>
      </c>
      <c r="J27" s="41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309</v>
      </c>
      <c r="D28" s="24" t="n">
        <f aca="false">SprintTable[[#This Row],[Start]]+SprintLength-1</f>
        <v>322</v>
      </c>
      <c r="E28" s="38" t="n">
        <f aca="false">NETWORKDAYS.INTL(SprintTable[[#This Row],[Start]],SprintTable[[#This Row],[End]],WorkWeek,Holidays)</f>
        <v>10</v>
      </c>
      <c r="F28" s="40"/>
      <c r="G28" s="38" t="str">
        <f aca="false">IF(SprintTable[[#This Row],[Sprint]]="","",COUNTIF(tsk_Sprint,SprintTable[[#This Row],[Sprint]]))</f>
        <v/>
      </c>
      <c r="H28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42" t="str">
        <f aca="false">IF(SprintTable[[#This Row],[Sprint]]="","",SUMIFS(res_MaxUnits,res_Type,"Work")*HoursPerDay*SprintTable[[#This Row],[Working Days]])</f>
        <v/>
      </c>
      <c r="J28" s="41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323</v>
      </c>
      <c r="D29" s="24" t="n">
        <f aca="false">SprintTable[[#This Row],[Start]]+SprintLength-1</f>
        <v>336</v>
      </c>
      <c r="E29" s="38" t="n">
        <f aca="false">NETWORKDAYS.INTL(SprintTable[[#This Row],[Start]],SprintTable[[#This Row],[End]],WorkWeek,Holidays)</f>
        <v>10</v>
      </c>
      <c r="F29" s="40"/>
      <c r="G29" s="38" t="str">
        <f aca="false">IF(SprintTable[[#This Row],[Sprint]]="","",COUNTIF(tsk_Sprint,SprintTable[[#This Row],[Sprint]]))</f>
        <v/>
      </c>
      <c r="H29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42" t="str">
        <f aca="false">IF(SprintTable[[#This Row],[Sprint]]="","",SUMIFS(res_MaxUnits,res_Type,"Work")*HoursPerDay*SprintTable[[#This Row],[Working Days]])</f>
        <v/>
      </c>
      <c r="J29" s="41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337</v>
      </c>
      <c r="D30" s="24" t="n">
        <f aca="false">SprintTable[[#This Row],[Start]]+SprintLength-1</f>
        <v>350</v>
      </c>
      <c r="E30" s="38" t="n">
        <f aca="false">NETWORKDAYS.INTL(SprintTable[[#This Row],[Start]],SprintTable[[#This Row],[End]],WorkWeek,Holidays)</f>
        <v>10</v>
      </c>
      <c r="F30" s="40"/>
      <c r="G30" s="38" t="str">
        <f aca="false">IF(SprintTable[[#This Row],[Sprint]]="","",COUNTIF(tsk_Sprint,SprintTable[[#This Row],[Sprint]]))</f>
        <v/>
      </c>
      <c r="H30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42" t="str">
        <f aca="false">IF(SprintTable[[#This Row],[Sprint]]="","",SUMIFS(res_MaxUnits,res_Type,"Work")*HoursPerDay*SprintTable[[#This Row],[Working Days]])</f>
        <v/>
      </c>
      <c r="J30" s="41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351</v>
      </c>
      <c r="D31" s="24" t="n">
        <f aca="false">SprintTable[[#This Row],[Start]]+SprintLength-1</f>
        <v>364</v>
      </c>
      <c r="E31" s="38" t="n">
        <f aca="false">NETWORKDAYS.INTL(SprintTable[[#This Row],[Start]],SprintTable[[#This Row],[End]],WorkWeek,Holidays)</f>
        <v>10</v>
      </c>
      <c r="F31" s="40"/>
      <c r="G31" s="38" t="str">
        <f aca="false">IF(SprintTable[[#This Row],[Sprint]]="","",COUNTIF(tsk_Sprint,SprintTable[[#This Row],[Sprint]]))</f>
        <v/>
      </c>
      <c r="H31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42" t="str">
        <f aca="false">IF(SprintTable[[#This Row],[Sprint]]="","",SUMIFS(res_MaxUnits,res_Type,"Work")*HoursPerDay*SprintTable[[#This Row],[Working Days]])</f>
        <v/>
      </c>
      <c r="J31" s="41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1" t="s">
        <v>323</v>
      </c>
    </row>
    <row r="34" customFormat="false" ht="15" hidden="false" customHeight="false" outlineLevel="0" collapsed="false">
      <c r="B34" s="9" t="s">
        <v>221</v>
      </c>
      <c r="C34" s="9" t="s">
        <v>311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2" t="s">
        <v>324</v>
      </c>
      <c r="D35" s="73" t="n">
        <f aca="false">IFERROR(IF(INDEX(spr_Name,(COLUMN()-COLUMN(load_Origin)-1))="","",INDEX(spr_Start,(COLUMN()-COLUMN(load_Origin)-1))),"")</f>
        <v>1</v>
      </c>
      <c r="E35" s="73" t="n">
        <f aca="false">IFERROR(IF(INDEX(spr_Name,(COLUMN()-COLUMN(load_Origin)-1))="","",INDEX(spr_Start,(COLUMN()-COLUMN(load_Origin)-1))),"")</f>
        <v>15</v>
      </c>
      <c r="F35" s="73" t="n">
        <f aca="false">IFERROR(IF(INDEX(spr_Name,(COLUMN()-COLUMN(load_Origin)-1))="","",INDEX(spr_Start,(COLUMN()-COLUMN(load_Origin)-1))),"")</f>
        <v>29</v>
      </c>
      <c r="G35" s="73" t="n">
        <f aca="false">IFERROR(IF(INDEX(spr_Name,(COLUMN()-COLUMN(load_Origin)-1))="","",INDEX(spr_Start,(COLUMN()-COLUMN(load_Origin)-1))),"")</f>
        <v>43</v>
      </c>
      <c r="H35" s="73" t="n">
        <f aca="false">IFERROR(IF(INDEX(spr_Name,(COLUMN()-COLUMN(load_Origin)-1))="","",INDEX(spr_Start,(COLUMN()-COLUMN(load_Origin)-1))),"")</f>
        <v>57</v>
      </c>
      <c r="I35" s="73" t="n">
        <f aca="false">IFERROR(IF(INDEX(spr_Name,(COLUMN()-COLUMN(load_Origin)-1))="","",INDEX(spr_Start,(COLUMN()-COLUMN(load_Origin)-1))),"")</f>
        <v>71</v>
      </c>
      <c r="J35" s="73" t="n">
        <f aca="false">IFERROR(IF(INDEX(spr_Name,(COLUMN()-COLUMN(load_Origin)-1))="","",INDEX(spr_Start,(COLUMN()-COLUMN(load_Origin)-1))),"")</f>
        <v>85</v>
      </c>
      <c r="K35" s="73" t="n">
        <f aca="false">IFERROR(IF(INDEX(spr_Name,(COLUMN()-COLUMN(load_Origin)-1))="","",INDEX(spr_Start,(COLUMN()-COLUMN(load_Origin)-1))),"")</f>
        <v>99</v>
      </c>
      <c r="L35" s="73" t="n">
        <f aca="false">IFERROR(IF(INDEX(spr_Name,(COLUMN()-COLUMN(load_Origin)-1))="","",INDEX(spr_Start,(COLUMN()-COLUMN(load_Origin)-1))),"")</f>
        <v>113</v>
      </c>
      <c r="M35" s="73" t="n">
        <f aca="false">IFERROR(IF(INDEX(spr_Name,(COLUMN()-COLUMN(load_Origin)-1))="","",INDEX(spr_Start,(COLUMN()-COLUMN(load_Origin)-1))),"")</f>
        <v>127</v>
      </c>
      <c r="N35" s="73" t="n">
        <f aca="false">IFERROR(IF(INDEX(spr_Name,(COLUMN()-COLUMN(load_Origin)-1))="","",INDEX(spr_Start,(COLUMN()-COLUMN(load_Origin)-1))),"")</f>
        <v>141</v>
      </c>
      <c r="O35" s="73" t="n">
        <f aca="false">IFERROR(IF(INDEX(spr_Name,(COLUMN()-COLUMN(load_Origin)-1))="","",INDEX(spr_Start,(COLUMN()-COLUMN(load_Origin)-1))),"")</f>
        <v>155</v>
      </c>
      <c r="P35" s="73" t="str">
        <f aca="false">IFERROR(IF(INDEX(spr_Name,(COLUMN()-COLUMN(load_Origin)-1))="","",INDEX(spr_Start,(COLUMN()-COLUMN(load_Origin)-1))),"")</f>
        <v/>
      </c>
      <c r="Q35" s="73" t="str">
        <f aca="false">IFERROR(IF(INDEX(spr_Name,(COLUMN()-COLUMN(load_Origin)-1))="","",INDEX(spr_Start,(COLUMN()-COLUMN(load_Origin)-1))),"")</f>
        <v/>
      </c>
      <c r="R35" s="73" t="str">
        <f aca="false">IFERROR(IF(INDEX(spr_Name,(COLUMN()-COLUMN(load_Origin)-1))="","",INDEX(spr_Start,(COLUMN()-COLUMN(load_Origin)-1))),"")</f>
        <v/>
      </c>
      <c r="S35" s="73" t="str">
        <f aca="false">IFERROR(IF(INDEX(spr_Name,(COLUMN()-COLUMN(load_Origin)-1))="","",INDEX(spr_Start,(COLUMN()-COLUMN(load_Origin)-1))),"")</f>
        <v/>
      </c>
      <c r="T35" s="73" t="str">
        <f aca="false">IFERROR(IF(INDEX(spr_Name,(COLUMN()-COLUMN(load_Origin)-1))="","",INDEX(spr_Start,(COLUMN()-COLUMN(load_Origin)-1))),"")</f>
        <v/>
      </c>
      <c r="U35" s="73" t="str">
        <f aca="false">IFERROR(IF(INDEX(spr_Name,(COLUMN()-COLUMN(load_Origin)-1))="","",INDEX(spr_Start,(COLUMN()-COLUMN(load_Origin)-1))),"")</f>
        <v/>
      </c>
      <c r="V35" s="73" t="str">
        <f aca="false">IFERROR(IF(INDEX(spr_Name,(COLUMN()-COLUMN(load_Origin)-1))="","",INDEX(spr_Start,(COLUMN()-COLUMN(load_Origin)-1))),"")</f>
        <v/>
      </c>
      <c r="W35" s="73" t="str">
        <f aca="false">IFERROR(IF(INDEX(spr_Name,(COLUMN()-COLUMN(load_Origin)-1))="","",INDEX(spr_Start,(COLUMN()-COLUMN(load_Origin)-1))),"")</f>
        <v/>
      </c>
      <c r="X35" s="73" t="str">
        <f aca="false">IFERROR(IF(INDEX(spr_Name,(COLUMN()-COLUMN(load_Origin)-1))="","",INDEX(spr_Start,(COLUMN()-COLUMN(load_Origin)-1))),"")</f>
        <v/>
      </c>
      <c r="Y35" s="73" t="str">
        <f aca="false">IFERROR(IF(INDEX(spr_Name,(COLUMN()-COLUMN(load_Origin)-1))="","",INDEX(spr_Start,(COLUMN()-COLUMN(load_Origin)-1))),"")</f>
        <v/>
      </c>
      <c r="Z35" s="73" t="str">
        <f aca="false">IFERROR(IF(INDEX(spr_Name,(COLUMN()-COLUMN(load_Origin)-1))="","",INDEX(spr_Start,(COLUMN()-COLUMN(load_Origin)-1))),"")</f>
        <v/>
      </c>
      <c r="AA35" s="73" t="str">
        <f aca="false">IFERROR(IF(INDEX(spr_Name,(COLUMN()-COLUMN(load_Origin)-1))="","",INDEX(spr_Start,(COLUMN()-COLUMN(load_Origin)-1))),"")</f>
        <v/>
      </c>
      <c r="AB35" s="73" t="str">
        <f aca="false">IFERROR(IF(INDEX(spr_Name,(COLUMN()-COLUMN(load_Origin)-1))="","",INDEX(spr_Start,(COLUMN()-COLUMN(load_Origin)-1))),"")</f>
        <v/>
      </c>
      <c r="AC35" s="73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4" t="str">
        <f aca="false">IFERROR(INDEX(res_Name,(ROW()-ROW(load_Origin)-1))&amp;"","")</f>
        <v/>
      </c>
      <c r="C36" s="75" t="str">
        <f aca="false">IFERROR(IF(INDEX(res_Name,(ROW()-ROW(load_Origin)-1))="","",INDEX(res_MaxUnits,(ROW()-ROW(load_Origin)-1))),"")</f>
        <v/>
      </c>
      <c r="D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74" t="str">
        <f aca="false">IFERROR(INDEX(res_Name,(ROW()-ROW(load_Origin)-1))&amp;"","")</f>
        <v/>
      </c>
      <c r="C37" s="75" t="str">
        <f aca="false">IFERROR(IF(INDEX(res_Name,(ROW()-ROW(load_Origin)-1))="","",INDEX(res_MaxUnits,(ROW()-ROW(load_Origin)-1))),"")</f>
        <v/>
      </c>
      <c r="D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74" t="str">
        <f aca="false">IFERROR(INDEX(res_Name,(ROW()-ROW(load_Origin)-1))&amp;"","")</f>
        <v/>
      </c>
      <c r="C38" s="75" t="str">
        <f aca="false">IFERROR(IF(INDEX(res_Name,(ROW()-ROW(load_Origin)-1))="","",INDEX(res_MaxUnits,(ROW()-ROW(load_Origin)-1))),"")</f>
        <v/>
      </c>
      <c r="D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74" t="str">
        <f aca="false">IFERROR(INDEX(res_Name,(ROW()-ROW(load_Origin)-1))&amp;"","")</f>
        <v/>
      </c>
      <c r="C39" s="75" t="str">
        <f aca="false">IFERROR(IF(INDEX(res_Name,(ROW()-ROW(load_Origin)-1))="","",INDEX(res_MaxUnits,(ROW()-ROW(load_Origin)-1))),"")</f>
        <v/>
      </c>
      <c r="D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74" t="str">
        <f aca="false">IFERROR(INDEX(res_Name,(ROW()-ROW(load_Origin)-1))&amp;"","")</f>
        <v/>
      </c>
      <c r="C40" s="75" t="str">
        <f aca="false">IFERROR(IF(INDEX(res_Name,(ROW()-ROW(load_Origin)-1))="","",INDEX(res_MaxUnits,(ROW()-ROW(load_Origin)-1))),"")</f>
        <v/>
      </c>
      <c r="D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74" t="str">
        <f aca="false">IFERROR(INDEX(res_Name,(ROW()-ROW(load_Origin)-1))&amp;"","")</f>
        <v/>
      </c>
      <c r="C41" s="75" t="str">
        <f aca="false">IFERROR(IF(INDEX(res_Name,(ROW()-ROW(load_Origin)-1))="","",INDEX(res_MaxUnits,(ROW()-ROW(load_Origin)-1))),"")</f>
        <v/>
      </c>
      <c r="D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74" t="str">
        <f aca="false">IFERROR(INDEX(res_Name,(ROW()-ROW(load_Origin)-1))&amp;"","")</f>
        <v/>
      </c>
      <c r="C42" s="75" t="str">
        <f aca="false">IFERROR(IF(INDEX(res_Name,(ROW()-ROW(load_Origin)-1))="","",INDEX(res_MaxUnits,(ROW()-ROW(load_Origin)-1))),"")</f>
        <v/>
      </c>
      <c r="D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74" t="str">
        <f aca="false">IFERROR(INDEX(res_Name,(ROW()-ROW(load_Origin)-1))&amp;"","")</f>
        <v/>
      </c>
      <c r="C43" s="75" t="str">
        <f aca="false">IFERROR(IF(INDEX(res_Name,(ROW()-ROW(load_Origin)-1))="","",INDEX(res_MaxUnits,(ROW()-ROW(load_Origin)-1))),"")</f>
        <v/>
      </c>
      <c r="D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74" t="str">
        <f aca="false">IFERROR(INDEX(res_Name,(ROW()-ROW(load_Origin)-1))&amp;"","")</f>
        <v/>
      </c>
      <c r="C44" s="75" t="str">
        <f aca="false">IFERROR(IF(INDEX(res_Name,(ROW()-ROW(load_Origin)-1))="","",INDEX(res_MaxUnits,(ROW()-ROW(load_Origin)-1))),"")</f>
        <v/>
      </c>
      <c r="D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74" t="str">
        <f aca="false">IFERROR(INDEX(res_Name,(ROW()-ROW(load_Origin)-1))&amp;"","")</f>
        <v/>
      </c>
      <c r="C45" s="75" t="str">
        <f aca="false">IFERROR(IF(INDEX(res_Name,(ROW()-ROW(load_Origin)-1))="","",INDEX(res_MaxUnits,(ROW()-ROW(load_Origin)-1))),"")</f>
        <v/>
      </c>
      <c r="D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74" t="str">
        <f aca="false">IFERROR(INDEX(res_Name,(ROW()-ROW(load_Origin)-1))&amp;"","")</f>
        <v/>
      </c>
      <c r="C46" s="75" t="str">
        <f aca="false">IFERROR(IF(INDEX(res_Name,(ROW()-ROW(load_Origin)-1))="","",INDEX(res_MaxUnits,(ROW()-ROW(load_Origin)-1))),"")</f>
        <v/>
      </c>
      <c r="D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74" t="str">
        <f aca="false">IFERROR(INDEX(res_Name,(ROW()-ROW(load_Origin)-1))&amp;"","")</f>
        <v/>
      </c>
      <c r="C47" s="75" t="str">
        <f aca="false">IFERROR(IF(INDEX(res_Name,(ROW()-ROW(load_Origin)-1))="","",INDEX(res_MaxUnits,(ROW()-ROW(load_Origin)-1))),"")</f>
        <v/>
      </c>
      <c r="D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74" t="str">
        <f aca="false">IFERROR(INDEX(res_Name,(ROW()-ROW(load_Origin)-1))&amp;"","")</f>
        <v/>
      </c>
      <c r="C48" s="75" t="str">
        <f aca="false">IFERROR(IF(INDEX(res_Name,(ROW()-ROW(load_Origin)-1))="","",INDEX(res_MaxUnits,(ROW()-ROW(load_Origin)-1))),"")</f>
        <v/>
      </c>
      <c r="D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74" t="str">
        <f aca="false">IFERROR(INDEX(res_Name,(ROW()-ROW(load_Origin)-1))&amp;"","")</f>
        <v/>
      </c>
      <c r="C49" s="75" t="str">
        <f aca="false">IFERROR(IF(INDEX(res_Name,(ROW()-ROW(load_Origin)-1))="","",INDEX(res_MaxUnits,(ROW()-ROW(load_Origin)-1))),"")</f>
        <v/>
      </c>
      <c r="D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74" t="str">
        <f aca="false">IFERROR(INDEX(res_Name,(ROW()-ROW(load_Origin)-1))&amp;"","")</f>
        <v/>
      </c>
      <c r="C50" s="75" t="str">
        <f aca="false">IFERROR(IF(INDEX(res_Name,(ROW()-ROW(load_Origin)-1))="","",INDEX(res_MaxUnits,(ROW()-ROW(load_Origin)-1))),"")</f>
        <v/>
      </c>
      <c r="D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74" t="str">
        <f aca="false">IFERROR(INDEX(res_Name,(ROW()-ROW(load_Origin)-1))&amp;"","")</f>
        <v/>
      </c>
      <c r="C51" s="75" t="str">
        <f aca="false">IFERROR(IF(INDEX(res_Name,(ROW()-ROW(load_Origin)-1))="","",INDEX(res_MaxUnits,(ROW()-ROW(load_Origin)-1))),"")</f>
        <v/>
      </c>
      <c r="D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74" t="str">
        <f aca="false">IFERROR(INDEX(res_Name,(ROW()-ROW(load_Origin)-1))&amp;"","")</f>
        <v/>
      </c>
      <c r="C52" s="75" t="str">
        <f aca="false">IFERROR(IF(INDEX(res_Name,(ROW()-ROW(load_Origin)-1))="","",INDEX(res_MaxUnits,(ROW()-ROW(load_Origin)-1))),"")</f>
        <v/>
      </c>
      <c r="D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74" t="str">
        <f aca="false">IFERROR(INDEX(res_Name,(ROW()-ROW(load_Origin)-1))&amp;"","")</f>
        <v/>
      </c>
      <c r="C53" s="75" t="str">
        <f aca="false">IFERROR(IF(INDEX(res_Name,(ROW()-ROW(load_Origin)-1))="","",INDEX(res_MaxUnits,(ROW()-ROW(load_Origin)-1))),"")</f>
        <v/>
      </c>
      <c r="D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74" t="str">
        <f aca="false">IFERROR(INDEX(res_Name,(ROW()-ROW(load_Origin)-1))&amp;"","")</f>
        <v/>
      </c>
      <c r="C54" s="75" t="str">
        <f aca="false">IFERROR(IF(INDEX(res_Name,(ROW()-ROW(load_Origin)-1))="","",INDEX(res_MaxUnits,(ROW()-ROW(load_Origin)-1))),"")</f>
        <v/>
      </c>
      <c r="D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74" t="str">
        <f aca="false">IFERROR(INDEX(res_Name,(ROW()-ROW(load_Origin)-1))&amp;"","")</f>
        <v/>
      </c>
      <c r="C55" s="75" t="str">
        <f aca="false">IFERROR(IF(INDEX(res_Name,(ROW()-ROW(load_Origin)-1))="","",INDEX(res_MaxUnits,(ROW()-ROW(load_Origin)-1))),"")</f>
        <v/>
      </c>
      <c r="D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74" t="str">
        <f aca="false">IFERROR(INDEX(res_Name,(ROW()-ROW(load_Origin)-1))&amp;"","")</f>
        <v/>
      </c>
      <c r="C56" s="75" t="str">
        <f aca="false">IFERROR(IF(INDEX(res_Name,(ROW()-ROW(load_Origin)-1))="","",INDEX(res_MaxUnits,(ROW()-ROW(load_Origin)-1))),"")</f>
        <v/>
      </c>
      <c r="D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74" t="str">
        <f aca="false">IFERROR(INDEX(res_Name,(ROW()-ROW(load_Origin)-1))&amp;"","")</f>
        <v/>
      </c>
      <c r="C57" s="75" t="str">
        <f aca="false">IFERROR(IF(INDEX(res_Name,(ROW()-ROW(load_Origin)-1))="","",INDEX(res_MaxUnits,(ROW()-ROW(load_Origin)-1))),"")</f>
        <v/>
      </c>
      <c r="D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74" t="str">
        <f aca="false">IFERROR(INDEX(res_Name,(ROW()-ROW(load_Origin)-1))&amp;"","")</f>
        <v/>
      </c>
      <c r="C58" s="75" t="str">
        <f aca="false">IFERROR(IF(INDEX(res_Name,(ROW()-ROW(load_Origin)-1))="","",INDEX(res_MaxUnits,(ROW()-ROW(load_Origin)-1))),"")</f>
        <v/>
      </c>
      <c r="D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74" t="str">
        <f aca="false">IFERROR(INDEX(res_Name,(ROW()-ROW(load_Origin)-1))&amp;"","")</f>
        <v/>
      </c>
      <c r="C59" s="75" t="str">
        <f aca="false">IFERROR(IF(INDEX(res_Name,(ROW()-ROW(load_Origin)-1))="","",INDEX(res_MaxUnits,(ROW()-ROW(load_Origin)-1))),"")</f>
        <v/>
      </c>
      <c r="D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74" t="str">
        <f aca="false">IFERROR(INDEX(res_Name,(ROW()-ROW(load_Origin)-1))&amp;"","")</f>
        <v/>
      </c>
      <c r="C60" s="75" t="str">
        <f aca="false">IFERROR(IF(INDEX(res_Name,(ROW()-ROW(load_Origin)-1))="","",INDEX(res_MaxUnits,(ROW()-ROW(load_Origin)-1))),"")</f>
        <v/>
      </c>
      <c r="D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7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71" t="s">
        <v>325</v>
      </c>
    </row>
    <row r="64" customFormat="false" ht="15" hidden="false" customHeight="false" outlineLevel="0" collapsed="false">
      <c r="B64" s="9" t="s">
        <v>221</v>
      </c>
      <c r="C64" s="9" t="s">
        <v>311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2" t="s">
        <v>324</v>
      </c>
      <c r="D65" s="73" t="n">
        <f aca="false">IFERROR(IF(INDEX(spr_Name,(COLUMN()-COLUMN(util_Origin)-1))="","",INDEX(spr_Start,(COLUMN()-COLUMN(util_Origin)-1))),"")</f>
        <v>1</v>
      </c>
      <c r="E65" s="73" t="n">
        <f aca="false">IFERROR(IF(INDEX(spr_Name,(COLUMN()-COLUMN(util_Origin)-1))="","",INDEX(spr_Start,(COLUMN()-COLUMN(util_Origin)-1))),"")</f>
        <v>15</v>
      </c>
      <c r="F65" s="73" t="n">
        <f aca="false">IFERROR(IF(INDEX(spr_Name,(COLUMN()-COLUMN(util_Origin)-1))="","",INDEX(spr_Start,(COLUMN()-COLUMN(util_Origin)-1))),"")</f>
        <v>29</v>
      </c>
      <c r="G65" s="73" t="n">
        <f aca="false">IFERROR(IF(INDEX(spr_Name,(COLUMN()-COLUMN(util_Origin)-1))="","",INDEX(spr_Start,(COLUMN()-COLUMN(util_Origin)-1))),"")</f>
        <v>43</v>
      </c>
      <c r="H65" s="73" t="n">
        <f aca="false">IFERROR(IF(INDEX(spr_Name,(COLUMN()-COLUMN(util_Origin)-1))="","",INDEX(spr_Start,(COLUMN()-COLUMN(util_Origin)-1))),"")</f>
        <v>57</v>
      </c>
      <c r="I65" s="73" t="n">
        <f aca="false">IFERROR(IF(INDEX(spr_Name,(COLUMN()-COLUMN(util_Origin)-1))="","",INDEX(spr_Start,(COLUMN()-COLUMN(util_Origin)-1))),"")</f>
        <v>71</v>
      </c>
      <c r="J65" s="73" t="n">
        <f aca="false">IFERROR(IF(INDEX(spr_Name,(COLUMN()-COLUMN(util_Origin)-1))="","",INDEX(spr_Start,(COLUMN()-COLUMN(util_Origin)-1))),"")</f>
        <v>85</v>
      </c>
      <c r="K65" s="73" t="n">
        <f aca="false">IFERROR(IF(INDEX(spr_Name,(COLUMN()-COLUMN(util_Origin)-1))="","",INDEX(spr_Start,(COLUMN()-COLUMN(util_Origin)-1))),"")</f>
        <v>99</v>
      </c>
      <c r="L65" s="73" t="n">
        <f aca="false">IFERROR(IF(INDEX(spr_Name,(COLUMN()-COLUMN(util_Origin)-1))="","",INDEX(spr_Start,(COLUMN()-COLUMN(util_Origin)-1))),"")</f>
        <v>113</v>
      </c>
      <c r="M65" s="73" t="n">
        <f aca="false">IFERROR(IF(INDEX(spr_Name,(COLUMN()-COLUMN(util_Origin)-1))="","",INDEX(spr_Start,(COLUMN()-COLUMN(util_Origin)-1))),"")</f>
        <v>127</v>
      </c>
      <c r="N65" s="73" t="n">
        <f aca="false">IFERROR(IF(INDEX(spr_Name,(COLUMN()-COLUMN(util_Origin)-1))="","",INDEX(spr_Start,(COLUMN()-COLUMN(util_Origin)-1))),"")</f>
        <v>141</v>
      </c>
      <c r="O65" s="73" t="n">
        <f aca="false">IFERROR(IF(INDEX(spr_Name,(COLUMN()-COLUMN(util_Origin)-1))="","",INDEX(spr_Start,(COLUMN()-COLUMN(util_Origin)-1))),"")</f>
        <v>155</v>
      </c>
      <c r="P65" s="73" t="str">
        <f aca="false">IFERROR(IF(INDEX(spr_Name,(COLUMN()-COLUMN(util_Origin)-1))="","",INDEX(spr_Start,(COLUMN()-COLUMN(util_Origin)-1))),"")</f>
        <v/>
      </c>
      <c r="Q65" s="73" t="str">
        <f aca="false">IFERROR(IF(INDEX(spr_Name,(COLUMN()-COLUMN(util_Origin)-1))="","",INDEX(spr_Start,(COLUMN()-COLUMN(util_Origin)-1))),"")</f>
        <v/>
      </c>
      <c r="R65" s="73" t="str">
        <f aca="false">IFERROR(IF(INDEX(spr_Name,(COLUMN()-COLUMN(util_Origin)-1))="","",INDEX(spr_Start,(COLUMN()-COLUMN(util_Origin)-1))),"")</f>
        <v/>
      </c>
      <c r="S65" s="73" t="str">
        <f aca="false">IFERROR(IF(INDEX(spr_Name,(COLUMN()-COLUMN(util_Origin)-1))="","",INDEX(spr_Start,(COLUMN()-COLUMN(util_Origin)-1))),"")</f>
        <v/>
      </c>
      <c r="T65" s="73" t="str">
        <f aca="false">IFERROR(IF(INDEX(spr_Name,(COLUMN()-COLUMN(util_Origin)-1))="","",INDEX(spr_Start,(COLUMN()-COLUMN(util_Origin)-1))),"")</f>
        <v/>
      </c>
      <c r="U65" s="73" t="str">
        <f aca="false">IFERROR(IF(INDEX(spr_Name,(COLUMN()-COLUMN(util_Origin)-1))="","",INDEX(spr_Start,(COLUMN()-COLUMN(util_Origin)-1))),"")</f>
        <v/>
      </c>
      <c r="V65" s="73" t="str">
        <f aca="false">IFERROR(IF(INDEX(spr_Name,(COLUMN()-COLUMN(util_Origin)-1))="","",INDEX(spr_Start,(COLUMN()-COLUMN(util_Origin)-1))),"")</f>
        <v/>
      </c>
      <c r="W65" s="73" t="str">
        <f aca="false">IFERROR(IF(INDEX(spr_Name,(COLUMN()-COLUMN(util_Origin)-1))="","",INDEX(spr_Start,(COLUMN()-COLUMN(util_Origin)-1))),"")</f>
        <v/>
      </c>
      <c r="X65" s="73" t="str">
        <f aca="false">IFERROR(IF(INDEX(spr_Name,(COLUMN()-COLUMN(util_Origin)-1))="","",INDEX(spr_Start,(COLUMN()-COLUMN(util_Origin)-1))),"")</f>
        <v/>
      </c>
      <c r="Y65" s="73" t="str">
        <f aca="false">IFERROR(IF(INDEX(spr_Name,(COLUMN()-COLUMN(util_Origin)-1))="","",INDEX(spr_Start,(COLUMN()-COLUMN(util_Origin)-1))),"")</f>
        <v/>
      </c>
      <c r="Z65" s="73" t="str">
        <f aca="false">IFERROR(IF(INDEX(spr_Name,(COLUMN()-COLUMN(util_Origin)-1))="","",INDEX(spr_Start,(COLUMN()-COLUMN(util_Origin)-1))),"")</f>
        <v/>
      </c>
      <c r="AA65" s="73" t="str">
        <f aca="false">IFERROR(IF(INDEX(spr_Name,(COLUMN()-COLUMN(util_Origin)-1))="","",INDEX(spr_Start,(COLUMN()-COLUMN(util_Origin)-1))),"")</f>
        <v/>
      </c>
      <c r="AB65" s="73" t="str">
        <f aca="false">IFERROR(IF(INDEX(spr_Name,(COLUMN()-COLUMN(util_Origin)-1))="","",INDEX(spr_Start,(COLUMN()-COLUMN(util_Origin)-1))),"")</f>
        <v/>
      </c>
      <c r="AC65" s="73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4" t="str">
        <f aca="false">IFERROR(INDEX(res_Name,(ROW()-ROW(util_Origin)-1))&amp;"","")</f>
        <v/>
      </c>
      <c r="C66" s="75" t="str">
        <f aca="false">IFERROR(IF(INDEX(res_Name,(ROW()-ROW(util_Origin)-1))="","",INDEX(res_MaxUnits,(ROW()-ROW(util_Origin)-1))),"")</f>
        <v/>
      </c>
      <c r="D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4" t="str">
        <f aca="false">IFERROR(INDEX(res_Name,(ROW()-ROW(util_Origin)-1))&amp;"","")</f>
        <v/>
      </c>
      <c r="C67" s="75" t="str">
        <f aca="false">IFERROR(IF(INDEX(res_Name,(ROW()-ROW(util_Origin)-1))="","",INDEX(res_MaxUnits,(ROW()-ROW(util_Origin)-1))),"")</f>
        <v/>
      </c>
      <c r="D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4" t="str">
        <f aca="false">IFERROR(INDEX(res_Name,(ROW()-ROW(util_Origin)-1))&amp;"","")</f>
        <v/>
      </c>
      <c r="C68" s="75" t="str">
        <f aca="false">IFERROR(IF(INDEX(res_Name,(ROW()-ROW(util_Origin)-1))="","",INDEX(res_MaxUnits,(ROW()-ROW(util_Origin)-1))),"")</f>
        <v/>
      </c>
      <c r="D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4" t="str">
        <f aca="false">IFERROR(INDEX(res_Name,(ROW()-ROW(util_Origin)-1))&amp;"","")</f>
        <v/>
      </c>
      <c r="C69" s="75" t="str">
        <f aca="false">IFERROR(IF(INDEX(res_Name,(ROW()-ROW(util_Origin)-1))="","",INDEX(res_MaxUnits,(ROW()-ROW(util_Origin)-1))),"")</f>
        <v/>
      </c>
      <c r="D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4" t="str">
        <f aca="false">IFERROR(INDEX(res_Name,(ROW()-ROW(util_Origin)-1))&amp;"","")</f>
        <v/>
      </c>
      <c r="C70" s="75" t="str">
        <f aca="false">IFERROR(IF(INDEX(res_Name,(ROW()-ROW(util_Origin)-1))="","",INDEX(res_MaxUnits,(ROW()-ROW(util_Origin)-1))),"")</f>
        <v/>
      </c>
      <c r="D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4" t="str">
        <f aca="false">IFERROR(INDEX(res_Name,(ROW()-ROW(util_Origin)-1))&amp;"","")</f>
        <v/>
      </c>
      <c r="C71" s="75" t="str">
        <f aca="false">IFERROR(IF(INDEX(res_Name,(ROW()-ROW(util_Origin)-1))="","",INDEX(res_MaxUnits,(ROW()-ROW(util_Origin)-1))),"")</f>
        <v/>
      </c>
      <c r="D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4" t="str">
        <f aca="false">IFERROR(INDEX(res_Name,(ROW()-ROW(util_Origin)-1))&amp;"","")</f>
        <v/>
      </c>
      <c r="C72" s="75" t="str">
        <f aca="false">IFERROR(IF(INDEX(res_Name,(ROW()-ROW(util_Origin)-1))="","",INDEX(res_MaxUnits,(ROW()-ROW(util_Origin)-1))),"")</f>
        <v/>
      </c>
      <c r="D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4" t="str">
        <f aca="false">IFERROR(INDEX(res_Name,(ROW()-ROW(util_Origin)-1))&amp;"","")</f>
        <v/>
      </c>
      <c r="C73" s="75" t="str">
        <f aca="false">IFERROR(IF(INDEX(res_Name,(ROW()-ROW(util_Origin)-1))="","",INDEX(res_MaxUnits,(ROW()-ROW(util_Origin)-1))),"")</f>
        <v/>
      </c>
      <c r="D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4" t="str">
        <f aca="false">IFERROR(INDEX(res_Name,(ROW()-ROW(util_Origin)-1))&amp;"","")</f>
        <v/>
      </c>
      <c r="C74" s="75" t="str">
        <f aca="false">IFERROR(IF(INDEX(res_Name,(ROW()-ROW(util_Origin)-1))="","",INDEX(res_MaxUnits,(ROW()-ROW(util_Origin)-1))),"")</f>
        <v/>
      </c>
      <c r="D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4" t="str">
        <f aca="false">IFERROR(INDEX(res_Name,(ROW()-ROW(util_Origin)-1))&amp;"","")</f>
        <v/>
      </c>
      <c r="C75" s="75" t="str">
        <f aca="false">IFERROR(IF(INDEX(res_Name,(ROW()-ROW(util_Origin)-1))="","",INDEX(res_MaxUnits,(ROW()-ROW(util_Origin)-1))),"")</f>
        <v/>
      </c>
      <c r="D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4" t="str">
        <f aca="false">IFERROR(INDEX(res_Name,(ROW()-ROW(util_Origin)-1))&amp;"","")</f>
        <v/>
      </c>
      <c r="C76" s="75" t="str">
        <f aca="false">IFERROR(IF(INDEX(res_Name,(ROW()-ROW(util_Origin)-1))="","",INDEX(res_MaxUnits,(ROW()-ROW(util_Origin)-1))),"")</f>
        <v/>
      </c>
      <c r="D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4" t="str">
        <f aca="false">IFERROR(INDEX(res_Name,(ROW()-ROW(util_Origin)-1))&amp;"","")</f>
        <v/>
      </c>
      <c r="C77" s="75" t="str">
        <f aca="false">IFERROR(IF(INDEX(res_Name,(ROW()-ROW(util_Origin)-1))="","",INDEX(res_MaxUnits,(ROW()-ROW(util_Origin)-1))),"")</f>
        <v/>
      </c>
      <c r="D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4" t="str">
        <f aca="false">IFERROR(INDEX(res_Name,(ROW()-ROW(util_Origin)-1))&amp;"","")</f>
        <v/>
      </c>
      <c r="C78" s="75" t="str">
        <f aca="false">IFERROR(IF(INDEX(res_Name,(ROW()-ROW(util_Origin)-1))="","",INDEX(res_MaxUnits,(ROW()-ROW(util_Origin)-1))),"")</f>
        <v/>
      </c>
      <c r="D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4" t="str">
        <f aca="false">IFERROR(INDEX(res_Name,(ROW()-ROW(util_Origin)-1))&amp;"","")</f>
        <v/>
      </c>
      <c r="C79" s="75" t="str">
        <f aca="false">IFERROR(IF(INDEX(res_Name,(ROW()-ROW(util_Origin)-1))="","",INDEX(res_MaxUnits,(ROW()-ROW(util_Origin)-1))),"")</f>
        <v/>
      </c>
      <c r="D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4" t="str">
        <f aca="false">IFERROR(INDEX(res_Name,(ROW()-ROW(util_Origin)-1))&amp;"","")</f>
        <v/>
      </c>
      <c r="C80" s="75" t="str">
        <f aca="false">IFERROR(IF(INDEX(res_Name,(ROW()-ROW(util_Origin)-1))="","",INDEX(res_MaxUnits,(ROW()-ROW(util_Origin)-1))),"")</f>
        <v/>
      </c>
      <c r="D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4" t="str">
        <f aca="false">IFERROR(INDEX(res_Name,(ROW()-ROW(util_Origin)-1))&amp;"","")</f>
        <v/>
      </c>
      <c r="C81" s="75" t="str">
        <f aca="false">IFERROR(IF(INDEX(res_Name,(ROW()-ROW(util_Origin)-1))="","",INDEX(res_MaxUnits,(ROW()-ROW(util_Origin)-1))),"")</f>
        <v/>
      </c>
      <c r="D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4" t="str">
        <f aca="false">IFERROR(INDEX(res_Name,(ROW()-ROW(util_Origin)-1))&amp;"","")</f>
        <v/>
      </c>
      <c r="C82" s="75" t="str">
        <f aca="false">IFERROR(IF(INDEX(res_Name,(ROW()-ROW(util_Origin)-1))="","",INDEX(res_MaxUnits,(ROW()-ROW(util_Origin)-1))),"")</f>
        <v/>
      </c>
      <c r="D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4" t="str">
        <f aca="false">IFERROR(INDEX(res_Name,(ROW()-ROW(util_Origin)-1))&amp;"","")</f>
        <v/>
      </c>
      <c r="C83" s="75" t="str">
        <f aca="false">IFERROR(IF(INDEX(res_Name,(ROW()-ROW(util_Origin)-1))="","",INDEX(res_MaxUnits,(ROW()-ROW(util_Origin)-1))),"")</f>
        <v/>
      </c>
      <c r="D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4" t="str">
        <f aca="false">IFERROR(INDEX(res_Name,(ROW()-ROW(util_Origin)-1))&amp;"","")</f>
        <v/>
      </c>
      <c r="C84" s="75" t="str">
        <f aca="false">IFERROR(IF(INDEX(res_Name,(ROW()-ROW(util_Origin)-1))="","",INDEX(res_MaxUnits,(ROW()-ROW(util_Origin)-1))),"")</f>
        <v/>
      </c>
      <c r="D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4" t="str">
        <f aca="false">IFERROR(INDEX(res_Name,(ROW()-ROW(util_Origin)-1))&amp;"","")</f>
        <v/>
      </c>
      <c r="C85" s="75" t="str">
        <f aca="false">IFERROR(IF(INDEX(res_Name,(ROW()-ROW(util_Origin)-1))="","",INDEX(res_MaxUnits,(ROW()-ROW(util_Origin)-1))),"")</f>
        <v/>
      </c>
      <c r="D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4" t="str">
        <f aca="false">IFERROR(INDEX(res_Name,(ROW()-ROW(util_Origin)-1))&amp;"","")</f>
        <v/>
      </c>
      <c r="C86" s="75" t="str">
        <f aca="false">IFERROR(IF(INDEX(res_Name,(ROW()-ROW(util_Origin)-1))="","",INDEX(res_MaxUnits,(ROW()-ROW(util_Origin)-1))),"")</f>
        <v/>
      </c>
      <c r="D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4" t="str">
        <f aca="false">IFERROR(INDEX(res_Name,(ROW()-ROW(util_Origin)-1))&amp;"","")</f>
        <v/>
      </c>
      <c r="C87" s="75" t="str">
        <f aca="false">IFERROR(IF(INDEX(res_Name,(ROW()-ROW(util_Origin)-1))="","",INDEX(res_MaxUnits,(ROW()-ROW(util_Origin)-1))),"")</f>
        <v/>
      </c>
      <c r="D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4" t="str">
        <f aca="false">IFERROR(INDEX(res_Name,(ROW()-ROW(util_Origin)-1))&amp;"","")</f>
        <v/>
      </c>
      <c r="C88" s="75" t="str">
        <f aca="false">IFERROR(IF(INDEX(res_Name,(ROW()-ROW(util_Origin)-1))="","",INDEX(res_MaxUnits,(ROW()-ROW(util_Origin)-1))),"")</f>
        <v/>
      </c>
      <c r="D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4" t="str">
        <f aca="false">IFERROR(INDEX(res_Name,(ROW()-ROW(util_Origin)-1))&amp;"","")</f>
        <v/>
      </c>
      <c r="C89" s="75" t="str">
        <f aca="false">IFERROR(IF(INDEX(res_Name,(ROW()-ROW(util_Origin)-1))="","",INDEX(res_MaxUnits,(ROW()-ROW(util_Origin)-1))),"")</f>
        <v/>
      </c>
      <c r="D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4" t="str">
        <f aca="false">IFERROR(INDEX(res_Name,(ROW()-ROW(util_Origin)-1))&amp;"","")</f>
        <v/>
      </c>
      <c r="C90" s="75" t="str">
        <f aca="false">IFERROR(IF(INDEX(res_Name,(ROW()-ROW(util_Origin)-1))="","",INDEX(res_MaxUnits,(ROW()-ROW(util_Origin)-1))),"")</f>
        <v/>
      </c>
      <c r="D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77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39">
      <formula>$B6=""</formula>
    </cfRule>
    <cfRule type="expression" priority="3" aboveAverage="0" equalAverage="0" bottom="0" percent="0" rank="0" text="" dxfId="40">
      <formula>$K6="Active"</formula>
    </cfRule>
  </conditionalFormatting>
  <conditionalFormatting sqref="J6:J31">
    <cfRule type="expression" priority="4" aboveAverage="0" equalAverage="0" bottom="0" percent="0" rank="0" text="" dxfId="9">
      <formula>AND(ISNUMBER($J6),$J6&gt;1)</formula>
    </cfRule>
  </conditionalFormatting>
  <conditionalFormatting sqref="D36:AC60">
    <cfRule type="expression" priority="5" aboveAverage="0" equalAverage="0" bottom="0" percent="0" rank="0" text="" dxfId="24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326</v>
      </c>
    </row>
    <row r="2" customFormat="false" ht="15" hidden="false" customHeight="false" outlineLevel="0" collapsed="false">
      <c r="A2" s="8" t="s">
        <v>327</v>
      </c>
    </row>
    <row r="4" customFormat="false" ht="15" hidden="false" customHeight="false" outlineLevel="0" collapsed="false">
      <c r="B4" s="36" t="s">
        <v>328</v>
      </c>
      <c r="C4" s="36" t="s">
        <v>329</v>
      </c>
    </row>
    <row r="5" customFormat="false" ht="15" hidden="false" customHeight="false" outlineLevel="0" collapsed="false">
      <c r="B5" s="29"/>
      <c r="C5" s="40"/>
    </row>
    <row r="6" customFormat="false" ht="15" hidden="false" customHeight="false" outlineLevel="0" collapsed="false">
      <c r="B6" s="29"/>
      <c r="C6" s="40"/>
    </row>
    <row r="7" customFormat="false" ht="15" hidden="false" customHeight="false" outlineLevel="0" collapsed="false">
      <c r="B7" s="29"/>
      <c r="C7" s="40"/>
    </row>
    <row r="8" customFormat="false" ht="15" hidden="false" customHeight="false" outlineLevel="0" collapsed="false">
      <c r="B8" s="29"/>
      <c r="C8" s="40"/>
    </row>
    <row r="9" customFormat="false" ht="15" hidden="false" customHeight="false" outlineLevel="0" collapsed="false">
      <c r="B9" s="29"/>
      <c r="C9" s="40"/>
    </row>
    <row r="10" customFormat="false" ht="15" hidden="false" customHeight="false" outlineLevel="0" collapsed="false">
      <c r="B10" s="29"/>
      <c r="C10" s="40"/>
    </row>
    <row r="11" customFormat="false" ht="15" hidden="false" customHeight="false" outlineLevel="0" collapsed="false">
      <c r="B11" s="29"/>
      <c r="C11" s="40"/>
    </row>
    <row r="12" customFormat="false" ht="15" hidden="false" customHeight="false" outlineLevel="0" collapsed="false">
      <c r="B12" s="29"/>
      <c r="C12" s="40"/>
    </row>
    <row r="13" customFormat="false" ht="15" hidden="false" customHeight="false" outlineLevel="0" collapsed="false">
      <c r="B13" s="29"/>
      <c r="C13" s="40"/>
    </row>
    <row r="14" customFormat="false" ht="15" hidden="false" customHeight="false" outlineLevel="0" collapsed="false">
      <c r="B14" s="29"/>
      <c r="C14" s="40"/>
    </row>
    <row r="15" customFormat="false" ht="15" hidden="false" customHeight="false" outlineLevel="0" collapsed="false">
      <c r="B15" s="29"/>
      <c r="C15" s="40"/>
    </row>
    <row r="16" customFormat="false" ht="15" hidden="false" customHeight="false" outlineLevel="0" collapsed="false">
      <c r="B16" s="29"/>
      <c r="C16" s="40"/>
    </row>
    <row r="17" customFormat="false" ht="15" hidden="false" customHeight="false" outlineLevel="0" collapsed="false">
      <c r="B17" s="29"/>
      <c r="C17" s="40"/>
    </row>
    <row r="18" customFormat="false" ht="15" hidden="false" customHeight="false" outlineLevel="0" collapsed="false">
      <c r="B18" s="29"/>
      <c r="C18" s="40"/>
    </row>
    <row r="19" customFormat="false" ht="15" hidden="false" customHeight="false" outlineLevel="0" collapsed="false">
      <c r="B19" s="29"/>
      <c r="C19" s="40"/>
    </row>
    <row r="20" customFormat="false" ht="15" hidden="false" customHeight="false" outlineLevel="0" collapsed="false">
      <c r="B20" s="29"/>
      <c r="C20" s="40"/>
    </row>
    <row r="21" customFormat="false" ht="15" hidden="false" customHeight="false" outlineLevel="0" collapsed="false">
      <c r="B21" s="29"/>
      <c r="C21" s="40"/>
    </row>
    <row r="22" customFormat="false" ht="15" hidden="false" customHeight="false" outlineLevel="0" collapsed="false">
      <c r="B22" s="29"/>
      <c r="C22" s="40"/>
    </row>
    <row r="23" customFormat="false" ht="15" hidden="false" customHeight="false" outlineLevel="0" collapsed="false">
      <c r="B23" s="29"/>
      <c r="C23" s="40"/>
    </row>
    <row r="24" customFormat="false" ht="15" hidden="false" customHeight="false" outlineLevel="0" collapsed="false">
      <c r="B24" s="29"/>
      <c r="C24" s="40"/>
    </row>
    <row r="25" customFormat="false" ht="15" hidden="false" customHeight="false" outlineLevel="0" collapsed="false">
      <c r="B25" s="29"/>
      <c r="C25" s="40"/>
    </row>
    <row r="26" customFormat="false" ht="15" hidden="false" customHeight="false" outlineLevel="0" collapsed="false">
      <c r="B26" s="29"/>
      <c r="C26" s="40"/>
    </row>
    <row r="27" customFormat="false" ht="15" hidden="false" customHeight="false" outlineLevel="0" collapsed="false">
      <c r="B27" s="29"/>
      <c r="C27" s="40"/>
    </row>
    <row r="28" customFormat="false" ht="15" hidden="false" customHeight="false" outlineLevel="0" collapsed="false">
      <c r="B28" s="29"/>
      <c r="C28" s="40"/>
    </row>
    <row r="29" customFormat="false" ht="15" hidden="false" customHeight="false" outlineLevel="0" collapsed="false">
      <c r="B29" s="29"/>
      <c r="C29" s="40"/>
    </row>
    <row r="30" customFormat="false" ht="15" hidden="false" customHeight="false" outlineLevel="0" collapsed="false">
      <c r="B30" s="29"/>
      <c r="C30" s="40"/>
    </row>
    <row r="31" customFormat="false" ht="15" hidden="false" customHeight="false" outlineLevel="0" collapsed="false">
      <c r="B31" s="29"/>
      <c r="C31" s="40"/>
    </row>
    <row r="32" customFormat="false" ht="15" hidden="false" customHeight="false" outlineLevel="0" collapsed="false">
      <c r="B32" s="29"/>
      <c r="C32" s="40"/>
    </row>
    <row r="33" customFormat="false" ht="15" hidden="false" customHeight="false" outlineLevel="0" collapsed="false">
      <c r="B33" s="29"/>
      <c r="C33" s="40"/>
    </row>
    <row r="34" customFormat="false" ht="15" hidden="false" customHeight="false" outlineLevel="0" collapsed="false">
      <c r="B34" s="29"/>
      <c r="C34" s="40"/>
    </row>
    <row r="35" customFormat="false" ht="15" hidden="false" customHeight="false" outlineLevel="0" collapsed="false">
      <c r="B35" s="29"/>
      <c r="C35" s="40"/>
    </row>
    <row r="36" customFormat="false" ht="15" hidden="false" customHeight="false" outlineLevel="0" collapsed="false">
      <c r="B36" s="29"/>
      <c r="C36" s="40"/>
    </row>
    <row r="37" customFormat="false" ht="15" hidden="false" customHeight="false" outlineLevel="0" collapsed="false">
      <c r="B37" s="29"/>
      <c r="C37" s="40"/>
    </row>
    <row r="38" customFormat="false" ht="15" hidden="false" customHeight="false" outlineLevel="0" collapsed="false">
      <c r="B38" s="29"/>
      <c r="C38" s="40"/>
    </row>
    <row r="39" customFormat="false" ht="15" hidden="false" customHeight="false" outlineLevel="0" collapsed="false">
      <c r="B39" s="29"/>
      <c r="C39" s="40"/>
    </row>
    <row r="40" customFormat="false" ht="15" hidden="false" customHeight="false" outlineLevel="0" collapsed="false">
      <c r="B40" s="29"/>
      <c r="C40" s="40"/>
    </row>
    <row r="41" customFormat="false" ht="15" hidden="false" customHeight="false" outlineLevel="0" collapsed="false">
      <c r="B41" s="29"/>
      <c r="C41" s="40"/>
    </row>
    <row r="42" customFormat="false" ht="15" hidden="false" customHeight="false" outlineLevel="0" collapsed="false">
      <c r="B42" s="29"/>
      <c r="C42" s="40"/>
    </row>
    <row r="43" customFormat="false" ht="15" hidden="false" customHeight="false" outlineLevel="0" collapsed="false">
      <c r="B43" s="29"/>
      <c r="C43" s="40"/>
    </row>
    <row r="44" customFormat="false" ht="15" hidden="false" customHeight="false" outlineLevel="0" collapsed="false">
      <c r="B44" s="29"/>
      <c r="C44" s="40"/>
    </row>
    <row r="45" customFormat="false" ht="15" hidden="false" customHeight="false" outlineLevel="0" collapsed="false">
      <c r="B45" s="29"/>
      <c r="C45" s="40"/>
    </row>
    <row r="46" customFormat="false" ht="15" hidden="false" customHeight="false" outlineLevel="0" collapsed="false">
      <c r="B46" s="29"/>
      <c r="C46" s="40"/>
    </row>
    <row r="47" customFormat="false" ht="15" hidden="false" customHeight="false" outlineLevel="0" collapsed="false">
      <c r="B47" s="29"/>
      <c r="C47" s="40"/>
    </row>
    <row r="48" customFormat="false" ht="15" hidden="false" customHeight="false" outlineLevel="0" collapsed="false">
      <c r="B48" s="29"/>
      <c r="C48" s="40"/>
    </row>
    <row r="49" customFormat="false" ht="15" hidden="false" customHeight="false" outlineLevel="0" collapsed="false">
      <c r="B49" s="29"/>
      <c r="C49" s="40"/>
    </row>
    <row r="50" customFormat="false" ht="15" hidden="false" customHeight="false" outlineLevel="0" collapsed="false">
      <c r="B50" s="29"/>
      <c r="C50" s="40"/>
    </row>
    <row r="51" customFormat="false" ht="15" hidden="false" customHeight="false" outlineLevel="0" collapsed="false">
      <c r="B51" s="29"/>
      <c r="C51" s="40"/>
    </row>
    <row r="52" customFormat="false" ht="15" hidden="false" customHeight="false" outlineLevel="0" collapsed="false">
      <c r="B52" s="29"/>
      <c r="C52" s="40"/>
    </row>
    <row r="53" customFormat="false" ht="15" hidden="false" customHeight="false" outlineLevel="0" collapsed="false">
      <c r="B53" s="29"/>
      <c r="C53" s="40"/>
    </row>
    <row r="54" customFormat="false" ht="15" hidden="false" customHeight="false" outlineLevel="0" collapsed="false">
      <c r="B54" s="29"/>
      <c r="C54" s="40"/>
    </row>
    <row r="55" customFormat="false" ht="15" hidden="false" customHeight="false" outlineLevel="0" collapsed="false">
      <c r="B55" s="29"/>
      <c r="C55" s="40"/>
    </row>
    <row r="56" customFormat="false" ht="15" hidden="false" customHeight="false" outlineLevel="0" collapsed="false">
      <c r="B56" s="29"/>
      <c r="C56" s="40"/>
    </row>
    <row r="57" customFormat="false" ht="15" hidden="false" customHeight="false" outlineLevel="0" collapsed="false">
      <c r="B57" s="29"/>
      <c r="C57" s="40"/>
    </row>
    <row r="58" customFormat="false" ht="15" hidden="false" customHeight="false" outlineLevel="0" collapsed="false">
      <c r="B58" s="29"/>
      <c r="C58" s="40"/>
    </row>
    <row r="59" customFormat="false" ht="15" hidden="false" customHeight="false" outlineLevel="0" collapsed="false">
      <c r="B59" s="29"/>
      <c r="C59" s="40"/>
    </row>
    <row r="60" customFormat="false" ht="15" hidden="false" customHeight="false" outlineLevel="0" collapsed="false">
      <c r="B60" s="29"/>
      <c r="C60" s="40"/>
    </row>
    <row r="61" customFormat="false" ht="15" hidden="false" customHeight="false" outlineLevel="0" collapsed="false">
      <c r="B61" s="29"/>
      <c r="C61" s="40"/>
    </row>
    <row r="62" customFormat="false" ht="15" hidden="false" customHeight="false" outlineLevel="0" collapsed="false">
      <c r="B62" s="29"/>
      <c r="C62" s="40"/>
    </row>
    <row r="63" customFormat="false" ht="15" hidden="false" customHeight="false" outlineLevel="0" collapsed="false">
      <c r="B63" s="29"/>
      <c r="C63" s="40"/>
    </row>
    <row r="64" customFormat="false" ht="15" hidden="false" customHeight="false" outlineLevel="0" collapsed="false">
      <c r="B64" s="29"/>
      <c r="C64" s="40"/>
    </row>
    <row r="65" customFormat="false" ht="15" hidden="false" customHeight="false" outlineLevel="0" collapsed="false">
      <c r="B65" s="29"/>
      <c r="C65" s="40"/>
    </row>
    <row r="66" customFormat="false" ht="15" hidden="false" customHeight="false" outlineLevel="0" collapsed="false">
      <c r="B66" s="29"/>
      <c r="C66" s="40"/>
    </row>
    <row r="67" customFormat="false" ht="15" hidden="false" customHeight="false" outlineLevel="0" collapsed="false">
      <c r="B67" s="29"/>
      <c r="C67" s="40"/>
    </row>
    <row r="68" customFormat="false" ht="15" hidden="false" customHeight="false" outlineLevel="0" collapsed="false">
      <c r="B68" s="29"/>
      <c r="C68" s="40"/>
    </row>
    <row r="69" customFormat="false" ht="15" hidden="false" customHeight="false" outlineLevel="0" collapsed="false">
      <c r="B69" s="29"/>
      <c r="C69" s="40"/>
    </row>
    <row r="70" customFormat="false" ht="15" hidden="false" customHeight="false" outlineLevel="0" collapsed="false">
      <c r="B70" s="29"/>
      <c r="C70" s="40"/>
    </row>
    <row r="71" customFormat="false" ht="15" hidden="false" customHeight="false" outlineLevel="0" collapsed="false">
      <c r="B71" s="29"/>
      <c r="C71" s="40"/>
    </row>
    <row r="72" customFormat="false" ht="15" hidden="false" customHeight="false" outlineLevel="0" collapsed="false">
      <c r="B72" s="29"/>
      <c r="C72" s="40"/>
    </row>
    <row r="73" customFormat="false" ht="15" hidden="false" customHeight="false" outlineLevel="0" collapsed="false">
      <c r="B73" s="29"/>
      <c r="C73" s="40"/>
    </row>
    <row r="74" customFormat="false" ht="15" hidden="false" customHeight="false" outlineLevel="0" collapsed="false">
      <c r="B74" s="29"/>
      <c r="C74" s="40"/>
    </row>
    <row r="75" customFormat="false" ht="15" hidden="false" customHeight="false" outlineLevel="0" collapsed="false">
      <c r="B75" s="29"/>
      <c r="C75" s="40"/>
    </row>
    <row r="76" customFormat="false" ht="15" hidden="false" customHeight="false" outlineLevel="0" collapsed="false">
      <c r="B76" s="29"/>
      <c r="C76" s="40"/>
    </row>
    <row r="77" customFormat="false" ht="15" hidden="false" customHeight="false" outlineLevel="0" collapsed="false">
      <c r="B77" s="29"/>
      <c r="C77" s="40"/>
    </row>
    <row r="78" customFormat="false" ht="15" hidden="false" customHeight="false" outlineLevel="0" collapsed="false">
      <c r="B78" s="29"/>
      <c r="C78" s="40"/>
    </row>
    <row r="79" customFormat="false" ht="15" hidden="false" customHeight="false" outlineLevel="0" collapsed="false">
      <c r="B79" s="29"/>
      <c r="C79" s="40"/>
    </row>
    <row r="80" customFormat="false" ht="15" hidden="false" customHeight="false" outlineLevel="0" collapsed="false">
      <c r="B80" s="29"/>
      <c r="C80" s="40"/>
    </row>
    <row r="81" customFormat="false" ht="15" hidden="false" customHeight="false" outlineLevel="0" collapsed="false">
      <c r="B81" s="29"/>
      <c r="C81" s="40"/>
    </row>
    <row r="82" customFormat="false" ht="15" hidden="false" customHeight="false" outlineLevel="0" collapsed="false">
      <c r="B82" s="29"/>
      <c r="C82" s="40"/>
    </row>
    <row r="83" customFormat="false" ht="15" hidden="false" customHeight="false" outlineLevel="0" collapsed="false">
      <c r="B83" s="29"/>
      <c r="C83" s="40"/>
    </row>
    <row r="84" customFormat="false" ht="15" hidden="false" customHeight="false" outlineLevel="0" collapsed="false">
      <c r="B84" s="29"/>
      <c r="C84" s="40"/>
    </row>
    <row r="85" customFormat="false" ht="15" hidden="false" customHeight="false" outlineLevel="0" collapsed="false">
      <c r="B85" s="29"/>
      <c r="C85" s="40"/>
    </row>
    <row r="86" customFormat="false" ht="15" hidden="false" customHeight="false" outlineLevel="0" collapsed="false">
      <c r="B86" s="29"/>
      <c r="C86" s="40"/>
    </row>
    <row r="87" customFormat="false" ht="15" hidden="false" customHeight="false" outlineLevel="0" collapsed="false">
      <c r="B87" s="29"/>
      <c r="C87" s="40"/>
    </row>
    <row r="88" customFormat="false" ht="15" hidden="false" customHeight="false" outlineLevel="0" collapsed="false">
      <c r="B88" s="29"/>
      <c r="C88" s="40"/>
    </row>
    <row r="89" customFormat="false" ht="15" hidden="false" customHeight="false" outlineLevel="0" collapsed="false">
      <c r="B89" s="29"/>
      <c r="C89" s="40"/>
    </row>
    <row r="90" customFormat="false" ht="15" hidden="false" customHeight="false" outlineLevel="0" collapsed="false">
      <c r="B90" s="29"/>
      <c r="C90" s="40"/>
    </row>
    <row r="91" customFormat="false" ht="15" hidden="false" customHeight="false" outlineLevel="0" collapsed="false">
      <c r="B91" s="29"/>
      <c r="C91" s="40"/>
    </row>
    <row r="92" customFormat="false" ht="15" hidden="false" customHeight="false" outlineLevel="0" collapsed="false">
      <c r="B92" s="29"/>
      <c r="C92" s="40"/>
    </row>
    <row r="93" customFormat="false" ht="15" hidden="false" customHeight="false" outlineLevel="0" collapsed="false">
      <c r="B93" s="29"/>
      <c r="C93" s="40"/>
    </row>
    <row r="94" customFormat="false" ht="15" hidden="false" customHeight="false" outlineLevel="0" collapsed="false">
      <c r="B94" s="29"/>
      <c r="C94" s="40"/>
    </row>
    <row r="95" customFormat="false" ht="15" hidden="false" customHeight="false" outlineLevel="0" collapsed="false">
      <c r="B95" s="29"/>
      <c r="C95" s="40"/>
    </row>
    <row r="96" customFormat="false" ht="15" hidden="false" customHeight="false" outlineLevel="0" collapsed="false">
      <c r="B96" s="29"/>
      <c r="C96" s="40"/>
    </row>
    <row r="97" customFormat="false" ht="15" hidden="false" customHeight="false" outlineLevel="0" collapsed="false">
      <c r="B97" s="29"/>
      <c r="C97" s="40"/>
    </row>
    <row r="98" customFormat="false" ht="15" hidden="false" customHeight="false" outlineLevel="0" collapsed="false">
      <c r="B98" s="29"/>
      <c r="C98" s="40"/>
    </row>
    <row r="99" customFormat="false" ht="15" hidden="false" customHeight="false" outlineLevel="0" collapsed="false">
      <c r="B99" s="29"/>
      <c r="C99" s="40"/>
    </row>
    <row r="100" customFormat="false" ht="15" hidden="false" customHeight="false" outlineLevel="0" collapsed="false">
      <c r="B100" s="29"/>
      <c r="C100" s="40"/>
    </row>
    <row r="101" customFormat="false" ht="15" hidden="false" customHeight="false" outlineLevel="0" collapsed="false">
      <c r="B101" s="29"/>
      <c r="C101" s="40"/>
    </row>
    <row r="102" customFormat="false" ht="15" hidden="false" customHeight="false" outlineLevel="0" collapsed="false">
      <c r="B102" s="29"/>
      <c r="C102" s="40"/>
    </row>
    <row r="103" customFormat="false" ht="15" hidden="false" customHeight="false" outlineLevel="0" collapsed="false">
      <c r="B103" s="29"/>
      <c r="C103" s="40"/>
    </row>
    <row r="104" customFormat="false" ht="15" hidden="false" customHeight="false" outlineLevel="0" collapsed="false">
      <c r="B104" s="29"/>
      <c r="C104" s="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191</v>
      </c>
      <c r="B1" s="9" t="s">
        <v>330</v>
      </c>
      <c r="C1" s="9" t="s">
        <v>331</v>
      </c>
      <c r="D1" s="9" t="s">
        <v>332</v>
      </c>
      <c r="E1" s="9" t="s">
        <v>333</v>
      </c>
      <c r="F1" s="9" t="s">
        <v>196</v>
      </c>
      <c r="G1" s="9" t="s">
        <v>316</v>
      </c>
      <c r="H1" s="9" t="s">
        <v>334</v>
      </c>
      <c r="I1" s="9" t="s">
        <v>37</v>
      </c>
      <c r="J1" s="9" t="s">
        <v>335</v>
      </c>
      <c r="K1" s="9" t="s">
        <v>336</v>
      </c>
      <c r="L1" s="9" t="s">
        <v>219</v>
      </c>
      <c r="M1" s="9" t="s">
        <v>207</v>
      </c>
      <c r="N1" s="9" t="s">
        <v>208</v>
      </c>
      <c r="O1" s="9" t="s">
        <v>231</v>
      </c>
      <c r="P1" s="9" t="s">
        <v>232</v>
      </c>
      <c r="Q1" s="9" t="s">
        <v>233</v>
      </c>
      <c r="R1" s="9" t="s">
        <v>234</v>
      </c>
      <c r="S1" s="9" t="s">
        <v>235</v>
      </c>
      <c r="T1" s="9" t="s">
        <v>337</v>
      </c>
      <c r="U1" s="9" t="s">
        <v>338</v>
      </c>
      <c r="V1" s="9" t="s">
        <v>204</v>
      </c>
      <c r="W1" s="9" t="s">
        <v>99</v>
      </c>
    </row>
    <row r="2" customFormat="false" ht="15" hidden="false" customHeight="false" outlineLevel="0" collapsed="false">
      <c r="A2" s="23" t="str">
        <f aca="false">IF(IFERROR(INDEX(tsk_Name,(ROW()-ROW(MSPTasks[[#Headers],[ID]])))="",TRUE()),"",INDEX(tsk_ID,(ROW()-ROW(MSPTasks[[#Headers],[ID]]))))</f>
        <v/>
      </c>
      <c r="B2" s="23" t="str">
        <f aca="false">IF(IFERROR(INDEX(tsk_Name,(ROW()-ROW(MSPTasks[[#Headers],[ID]])))="",TRUE()),"",INDEX(tsk_UID,(ROW()-ROW(MSPTasks[[#Headers],[ID]]))))</f>
        <v/>
      </c>
      <c r="C2" s="23" t="str">
        <f aca="false">IF(IFERROR(INDEX(tsk_Name,(ROW()-ROW(MSPTasks[[#Headers],[ID]])))="",TRUE()),"",INDEX(tsk_Name,(ROW()-ROW(MSPTasks[[#Headers],[ID]]))))</f>
        <v/>
      </c>
      <c r="D2" s="23" t="str">
        <f aca="false">IF(IFERROR(INDEX(tsk_Name,(ROW()-ROW(MSPTasks[[#Headers],[ID]])))="",TRUE()),"",INDEX(tsk_Level,(ROW()-ROW(MSPTasks[[#Headers],[ID]]))))</f>
        <v/>
      </c>
      <c r="E2" s="23" t="str">
        <f aca="false">IF(IFERROR(INDEX(tsk_Name,(ROW()-ROW(MSPTasks[[#Headers],[ID]])))="",TRUE()),"",IF(INDEX(tsk_Mode,(ROW()-ROW(MSPTasks[[#Headers],[ID]])))="Manual","Manually Scheduled","Auto Scheduled"))</f>
        <v/>
      </c>
      <c r="F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78" t="str">
        <f aca="false">IF(IFERROR(INDEX(tsk_Name,(ROW()-ROW(MSPTasks[[#Headers],[ID]])))="",TRUE()),"",INDEX(tsk_FcStart,(ROW()-ROW(MSPTasks[[#Headers],[ID]]))))</f>
        <v/>
      </c>
      <c r="H2" s="78" t="str">
        <f aca="false">IF(IFERROR(INDEX(tsk_Name,(ROW()-ROW(MSPTasks[[#Headers],[ID]])))="",TRUE()),"",INDEX(tsk_FcFinish,(ROW()-ROW(MSPTasks[[#Headers],[ID]]))))</f>
        <v/>
      </c>
      <c r="I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78" t="str">
        <f aca="false">IF(IFERROR(INDEX(tsk_Name,(ROW()-ROW(MSPTasks[[#Headers],[ID]])))="",TRUE()),"",INDEX(tsk_PlanStart,(ROW()-ROW(MSPTasks[[#Headers],[ID]]))))</f>
        <v/>
      </c>
      <c r="P2" s="78" t="str">
        <f aca="false">IF(IFERROR(INDEX(tsk_Name,(ROW()-ROW(MSPTasks[[#Headers],[ID]])))="",TRUE()),"",INDEX(tsk_PlanFinish,(ROW()-ROW(MSPTasks[[#Headers],[ID]]))))</f>
        <v/>
      </c>
      <c r="Q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/>
      </c>
    </row>
    <row r="3" customFormat="false" ht="15" hidden="false" customHeight="false" outlineLevel="0" collapsed="false">
      <c r="A3" s="23" t="str">
        <f aca="false">IF(IFERROR(INDEX(tsk_Name,(ROW()-ROW(MSPTasks[[#Headers],[ID]])))="",TRUE()),"",INDEX(tsk_ID,(ROW()-ROW(MSPTasks[[#Headers],[ID]]))))</f>
        <v/>
      </c>
      <c r="B3" s="23" t="str">
        <f aca="false">IF(IFERROR(INDEX(tsk_Name,(ROW()-ROW(MSPTasks[[#Headers],[ID]])))="",TRUE()),"",INDEX(tsk_UID,(ROW()-ROW(MSPTasks[[#Headers],[ID]]))))</f>
        <v/>
      </c>
      <c r="C3" s="23" t="str">
        <f aca="false">IF(IFERROR(INDEX(tsk_Name,(ROW()-ROW(MSPTasks[[#Headers],[ID]])))="",TRUE()),"",INDEX(tsk_Name,(ROW()-ROW(MSPTasks[[#Headers],[ID]]))))</f>
        <v/>
      </c>
      <c r="D3" s="23" t="str">
        <f aca="false">IF(IFERROR(INDEX(tsk_Name,(ROW()-ROW(MSPTasks[[#Headers],[ID]])))="",TRUE()),"",INDEX(tsk_Level,(ROW()-ROW(MSPTasks[[#Headers],[ID]]))))</f>
        <v/>
      </c>
      <c r="E3" s="23" t="str">
        <f aca="false">IF(IFERROR(INDEX(tsk_Name,(ROW()-ROW(MSPTasks[[#Headers],[ID]])))="",TRUE()),"",IF(INDEX(tsk_Mode,(ROW()-ROW(MSPTasks[[#Headers],[ID]])))="Manual","Manually Scheduled","Auto Scheduled"))</f>
        <v/>
      </c>
      <c r="F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" s="78" t="str">
        <f aca="false">IF(IFERROR(INDEX(tsk_Name,(ROW()-ROW(MSPTasks[[#Headers],[ID]])))="",TRUE()),"",INDEX(tsk_FcStart,(ROW()-ROW(MSPTasks[[#Headers],[ID]]))))</f>
        <v/>
      </c>
      <c r="H3" s="78" t="str">
        <f aca="false">IF(IFERROR(INDEX(tsk_Name,(ROW()-ROW(MSPTasks[[#Headers],[ID]])))="",TRUE()),"",INDEX(tsk_FcFinish,(ROW()-ROW(MSPTasks[[#Headers],[ID]]))))</f>
        <v/>
      </c>
      <c r="I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" s="78" t="str">
        <f aca="false">IF(IFERROR(INDEX(tsk_Name,(ROW()-ROW(MSPTasks[[#Headers],[ID]])))="",TRUE()),"",INDEX(tsk_PlanStart,(ROW()-ROW(MSPTasks[[#Headers],[ID]]))))</f>
        <v/>
      </c>
      <c r="P3" s="78" t="str">
        <f aca="false">IF(IFERROR(INDEX(tsk_Name,(ROW()-ROW(MSPTasks[[#Headers],[ID]])))="",TRUE()),"",INDEX(tsk_PlanFinish,(ROW()-ROW(MSPTasks[[#Headers],[ID]]))))</f>
        <v/>
      </c>
      <c r="Q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/>
      </c>
    </row>
    <row r="4" customFormat="false" ht="15" hidden="false" customHeight="false" outlineLevel="0" collapsed="false">
      <c r="A4" s="23" t="str">
        <f aca="false">IF(IFERROR(INDEX(tsk_Name,(ROW()-ROW(MSPTasks[[#Headers],[ID]])))="",TRUE()),"",INDEX(tsk_ID,(ROW()-ROW(MSPTasks[[#Headers],[ID]]))))</f>
        <v/>
      </c>
      <c r="B4" s="23" t="str">
        <f aca="false">IF(IFERROR(INDEX(tsk_Name,(ROW()-ROW(MSPTasks[[#Headers],[ID]])))="",TRUE()),"",INDEX(tsk_UID,(ROW()-ROW(MSPTasks[[#Headers],[ID]]))))</f>
        <v/>
      </c>
      <c r="C4" s="23" t="str">
        <f aca="false">IF(IFERROR(INDEX(tsk_Name,(ROW()-ROW(MSPTasks[[#Headers],[ID]])))="",TRUE()),"",INDEX(tsk_Name,(ROW()-ROW(MSPTasks[[#Headers],[ID]]))))</f>
        <v/>
      </c>
      <c r="D4" s="23" t="str">
        <f aca="false">IF(IFERROR(INDEX(tsk_Name,(ROW()-ROW(MSPTasks[[#Headers],[ID]])))="",TRUE()),"",INDEX(tsk_Level,(ROW()-ROW(MSPTasks[[#Headers],[ID]]))))</f>
        <v/>
      </c>
      <c r="E4" s="23" t="str">
        <f aca="false">IF(IFERROR(INDEX(tsk_Name,(ROW()-ROW(MSPTasks[[#Headers],[ID]])))="",TRUE()),"",IF(INDEX(tsk_Mode,(ROW()-ROW(MSPTasks[[#Headers],[ID]])))="Manual","Manually Scheduled","Auto Scheduled"))</f>
        <v/>
      </c>
      <c r="F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" s="78" t="str">
        <f aca="false">IF(IFERROR(INDEX(tsk_Name,(ROW()-ROW(MSPTasks[[#Headers],[ID]])))="",TRUE()),"",INDEX(tsk_FcStart,(ROW()-ROW(MSPTasks[[#Headers],[ID]]))))</f>
        <v/>
      </c>
      <c r="H4" s="78" t="str">
        <f aca="false">IF(IFERROR(INDEX(tsk_Name,(ROW()-ROW(MSPTasks[[#Headers],[ID]])))="",TRUE()),"",INDEX(tsk_FcFinish,(ROW()-ROW(MSPTasks[[#Headers],[ID]]))))</f>
        <v/>
      </c>
      <c r="I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" s="78" t="str">
        <f aca="false">IF(IFERROR(INDEX(tsk_Name,(ROW()-ROW(MSPTasks[[#Headers],[ID]])))="",TRUE()),"",INDEX(tsk_PlanStart,(ROW()-ROW(MSPTasks[[#Headers],[ID]]))))</f>
        <v/>
      </c>
      <c r="P4" s="78" t="str">
        <f aca="false">IF(IFERROR(INDEX(tsk_Name,(ROW()-ROW(MSPTasks[[#Headers],[ID]])))="",TRUE()),"",INDEX(tsk_PlanFinish,(ROW()-ROW(MSPTasks[[#Headers],[ID]]))))</f>
        <v/>
      </c>
      <c r="Q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str">
        <f aca="false">IF(IFERROR(INDEX(tsk_Name,(ROW()-ROW(MSPTasks[[#Headers],[ID]])))="",TRUE()),"",INDEX(tsk_ID,(ROW()-ROW(MSPTasks[[#Headers],[ID]]))))</f>
        <v/>
      </c>
      <c r="B5" s="23" t="str">
        <f aca="false">IF(IFERROR(INDEX(tsk_Name,(ROW()-ROW(MSPTasks[[#Headers],[ID]])))="",TRUE()),"",INDEX(tsk_UID,(ROW()-ROW(MSPTasks[[#Headers],[ID]]))))</f>
        <v/>
      </c>
      <c r="C5" s="23" t="str">
        <f aca="false">IF(IFERROR(INDEX(tsk_Name,(ROW()-ROW(MSPTasks[[#Headers],[ID]])))="",TRUE()),"",INDEX(tsk_Name,(ROW()-ROW(MSPTasks[[#Headers],[ID]]))))</f>
        <v/>
      </c>
      <c r="D5" s="23" t="str">
        <f aca="false">IF(IFERROR(INDEX(tsk_Name,(ROW()-ROW(MSPTasks[[#Headers],[ID]])))="",TRUE()),"",INDEX(tsk_Level,(ROW()-ROW(MSPTasks[[#Headers],[ID]]))))</f>
        <v/>
      </c>
      <c r="E5" s="23" t="str">
        <f aca="false">IF(IFERROR(INDEX(tsk_Name,(ROW()-ROW(MSPTasks[[#Headers],[ID]])))="",TRUE()),"",IF(INDEX(tsk_Mode,(ROW()-ROW(MSPTasks[[#Headers],[ID]])))="Manual","Manually Scheduled","Auto Scheduled"))</f>
        <v/>
      </c>
      <c r="F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" s="78" t="str">
        <f aca="false">IF(IFERROR(INDEX(tsk_Name,(ROW()-ROW(MSPTasks[[#Headers],[ID]])))="",TRUE()),"",INDEX(tsk_FcStart,(ROW()-ROW(MSPTasks[[#Headers],[ID]]))))</f>
        <v/>
      </c>
      <c r="H5" s="78" t="str">
        <f aca="false">IF(IFERROR(INDEX(tsk_Name,(ROW()-ROW(MSPTasks[[#Headers],[ID]])))="",TRUE()),"",INDEX(tsk_FcFinish,(ROW()-ROW(MSPTasks[[#Headers],[ID]]))))</f>
        <v/>
      </c>
      <c r="I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" s="78" t="str">
        <f aca="false">IF(IFERROR(INDEX(tsk_Name,(ROW()-ROW(MSPTasks[[#Headers],[ID]])))="",TRUE()),"",INDEX(tsk_PlanStart,(ROW()-ROW(MSPTasks[[#Headers],[ID]]))))</f>
        <v/>
      </c>
      <c r="P5" s="78" t="str">
        <f aca="false">IF(IFERROR(INDEX(tsk_Name,(ROW()-ROW(MSPTasks[[#Headers],[ID]])))="",TRUE()),"",INDEX(tsk_PlanFinish,(ROW()-ROW(MSPTasks[[#Headers],[ID]]))))</f>
        <v/>
      </c>
      <c r="Q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/>
      </c>
    </row>
    <row r="6" customFormat="false" ht="15" hidden="false" customHeight="false" outlineLevel="0" collapsed="false">
      <c r="A6" s="23" t="str">
        <f aca="false">IF(IFERROR(INDEX(tsk_Name,(ROW()-ROW(MSPTasks[[#Headers],[ID]])))="",TRUE()),"",INDEX(tsk_ID,(ROW()-ROW(MSPTasks[[#Headers],[ID]]))))</f>
        <v/>
      </c>
      <c r="B6" s="23" t="str">
        <f aca="false">IF(IFERROR(INDEX(tsk_Name,(ROW()-ROW(MSPTasks[[#Headers],[ID]])))="",TRUE()),"",INDEX(tsk_UID,(ROW()-ROW(MSPTasks[[#Headers],[ID]]))))</f>
        <v/>
      </c>
      <c r="C6" s="23" t="str">
        <f aca="false">IF(IFERROR(INDEX(tsk_Name,(ROW()-ROW(MSPTasks[[#Headers],[ID]])))="",TRUE()),"",INDEX(tsk_Name,(ROW()-ROW(MSPTasks[[#Headers],[ID]]))))</f>
        <v/>
      </c>
      <c r="D6" s="23" t="str">
        <f aca="false">IF(IFERROR(INDEX(tsk_Name,(ROW()-ROW(MSPTasks[[#Headers],[ID]])))="",TRUE()),"",INDEX(tsk_Level,(ROW()-ROW(MSPTasks[[#Headers],[ID]]))))</f>
        <v/>
      </c>
      <c r="E6" s="23" t="str">
        <f aca="false">IF(IFERROR(INDEX(tsk_Name,(ROW()-ROW(MSPTasks[[#Headers],[ID]])))="",TRUE()),"",IF(INDEX(tsk_Mode,(ROW()-ROW(MSPTasks[[#Headers],[ID]])))="Manual","Manually Scheduled","Auto Scheduled"))</f>
        <v/>
      </c>
      <c r="F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78" t="str">
        <f aca="false">IF(IFERROR(INDEX(tsk_Name,(ROW()-ROW(MSPTasks[[#Headers],[ID]])))="",TRUE()),"",INDEX(tsk_FcStart,(ROW()-ROW(MSPTasks[[#Headers],[ID]]))))</f>
        <v/>
      </c>
      <c r="H6" s="78" t="str">
        <f aca="false">IF(IFERROR(INDEX(tsk_Name,(ROW()-ROW(MSPTasks[[#Headers],[ID]])))="",TRUE()),"",INDEX(tsk_FcFinish,(ROW()-ROW(MSPTasks[[#Headers],[ID]]))))</f>
        <v/>
      </c>
      <c r="I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78" t="str">
        <f aca="false">IF(IFERROR(INDEX(tsk_Name,(ROW()-ROW(MSPTasks[[#Headers],[ID]])))="",TRUE()),"",INDEX(tsk_PlanStart,(ROW()-ROW(MSPTasks[[#Headers],[ID]]))))</f>
        <v/>
      </c>
      <c r="P6" s="78" t="str">
        <f aca="false">IF(IFERROR(INDEX(tsk_Name,(ROW()-ROW(MSPTasks[[#Headers],[ID]])))="",TRUE()),"",INDEX(tsk_PlanFinish,(ROW()-ROW(MSPTasks[[#Headers],[ID]]))))</f>
        <v/>
      </c>
      <c r="Q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str">
        <f aca="false">IF(IFERROR(INDEX(tsk_Name,(ROW()-ROW(MSPTasks[[#Headers],[ID]])))="",TRUE()),"",INDEX(tsk_ID,(ROW()-ROW(MSPTasks[[#Headers],[ID]]))))</f>
        <v/>
      </c>
      <c r="B7" s="23" t="str">
        <f aca="false">IF(IFERROR(INDEX(tsk_Name,(ROW()-ROW(MSPTasks[[#Headers],[ID]])))="",TRUE()),"",INDEX(tsk_UID,(ROW()-ROW(MSPTasks[[#Headers],[ID]]))))</f>
        <v/>
      </c>
      <c r="C7" s="23" t="str">
        <f aca="false">IF(IFERROR(INDEX(tsk_Name,(ROW()-ROW(MSPTasks[[#Headers],[ID]])))="",TRUE()),"",INDEX(tsk_Name,(ROW()-ROW(MSPTasks[[#Headers],[ID]]))))</f>
        <v/>
      </c>
      <c r="D7" s="23" t="str">
        <f aca="false">IF(IFERROR(INDEX(tsk_Name,(ROW()-ROW(MSPTasks[[#Headers],[ID]])))="",TRUE()),"",INDEX(tsk_Level,(ROW()-ROW(MSPTasks[[#Headers],[ID]]))))</f>
        <v/>
      </c>
      <c r="E7" s="23" t="str">
        <f aca="false">IF(IFERROR(INDEX(tsk_Name,(ROW()-ROW(MSPTasks[[#Headers],[ID]])))="",TRUE()),"",IF(INDEX(tsk_Mode,(ROW()-ROW(MSPTasks[[#Headers],[ID]])))="Manual","Manually Scheduled","Auto Scheduled"))</f>
        <v/>
      </c>
      <c r="F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" s="78" t="str">
        <f aca="false">IF(IFERROR(INDEX(tsk_Name,(ROW()-ROW(MSPTasks[[#Headers],[ID]])))="",TRUE()),"",INDEX(tsk_FcStart,(ROW()-ROW(MSPTasks[[#Headers],[ID]]))))</f>
        <v/>
      </c>
      <c r="H7" s="78" t="str">
        <f aca="false">IF(IFERROR(INDEX(tsk_Name,(ROW()-ROW(MSPTasks[[#Headers],[ID]])))="",TRUE()),"",INDEX(tsk_FcFinish,(ROW()-ROW(MSPTasks[[#Headers],[ID]]))))</f>
        <v/>
      </c>
      <c r="I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" s="78" t="str">
        <f aca="false">IF(IFERROR(INDEX(tsk_Name,(ROW()-ROW(MSPTasks[[#Headers],[ID]])))="",TRUE()),"",INDEX(tsk_PlanStart,(ROW()-ROW(MSPTasks[[#Headers],[ID]]))))</f>
        <v/>
      </c>
      <c r="P7" s="78" t="str">
        <f aca="false">IF(IFERROR(INDEX(tsk_Name,(ROW()-ROW(MSPTasks[[#Headers],[ID]])))="",TRUE()),"",INDEX(tsk_PlanFinish,(ROW()-ROW(MSPTasks[[#Headers],[ID]]))))</f>
        <v/>
      </c>
      <c r="Q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str">
        <f aca="false">IF(IFERROR(INDEX(tsk_Name,(ROW()-ROW(MSPTasks[[#Headers],[ID]])))="",TRUE()),"",INDEX(tsk_ID,(ROW()-ROW(MSPTasks[[#Headers],[ID]]))))</f>
        <v/>
      </c>
      <c r="B8" s="23" t="str">
        <f aca="false">IF(IFERROR(INDEX(tsk_Name,(ROW()-ROW(MSPTasks[[#Headers],[ID]])))="",TRUE()),"",INDEX(tsk_UID,(ROW()-ROW(MSPTasks[[#Headers],[ID]]))))</f>
        <v/>
      </c>
      <c r="C8" s="23" t="str">
        <f aca="false">IF(IFERROR(INDEX(tsk_Name,(ROW()-ROW(MSPTasks[[#Headers],[ID]])))="",TRUE()),"",INDEX(tsk_Name,(ROW()-ROW(MSPTasks[[#Headers],[ID]]))))</f>
        <v/>
      </c>
      <c r="D8" s="23" t="str">
        <f aca="false">IF(IFERROR(INDEX(tsk_Name,(ROW()-ROW(MSPTasks[[#Headers],[ID]])))="",TRUE()),"",INDEX(tsk_Level,(ROW()-ROW(MSPTasks[[#Headers],[ID]]))))</f>
        <v/>
      </c>
      <c r="E8" s="23" t="str">
        <f aca="false">IF(IFERROR(INDEX(tsk_Name,(ROW()-ROW(MSPTasks[[#Headers],[ID]])))="",TRUE()),"",IF(INDEX(tsk_Mode,(ROW()-ROW(MSPTasks[[#Headers],[ID]])))="Manual","Manually Scheduled","Auto Scheduled"))</f>
        <v/>
      </c>
      <c r="F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" s="78" t="str">
        <f aca="false">IF(IFERROR(INDEX(tsk_Name,(ROW()-ROW(MSPTasks[[#Headers],[ID]])))="",TRUE()),"",INDEX(tsk_FcStart,(ROW()-ROW(MSPTasks[[#Headers],[ID]]))))</f>
        <v/>
      </c>
      <c r="H8" s="78" t="str">
        <f aca="false">IF(IFERROR(INDEX(tsk_Name,(ROW()-ROW(MSPTasks[[#Headers],[ID]])))="",TRUE()),"",INDEX(tsk_FcFinish,(ROW()-ROW(MSPTasks[[#Headers],[ID]]))))</f>
        <v/>
      </c>
      <c r="I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" s="78" t="str">
        <f aca="false">IF(IFERROR(INDEX(tsk_Name,(ROW()-ROW(MSPTasks[[#Headers],[ID]])))="",TRUE()),"",INDEX(tsk_PlanStart,(ROW()-ROW(MSPTasks[[#Headers],[ID]]))))</f>
        <v/>
      </c>
      <c r="P8" s="78" t="str">
        <f aca="false">IF(IFERROR(INDEX(tsk_Name,(ROW()-ROW(MSPTasks[[#Headers],[ID]])))="",TRUE()),"",INDEX(tsk_PlanFinish,(ROW()-ROW(MSPTasks[[#Headers],[ID]]))))</f>
        <v/>
      </c>
      <c r="Q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/>
      </c>
    </row>
    <row r="9" customFormat="false" ht="15" hidden="false" customHeight="false" outlineLevel="0" collapsed="false">
      <c r="A9" s="23" t="str">
        <f aca="false">IF(IFERROR(INDEX(tsk_Name,(ROW()-ROW(MSPTasks[[#Headers],[ID]])))="",TRUE()),"",INDEX(tsk_ID,(ROW()-ROW(MSPTasks[[#Headers],[ID]]))))</f>
        <v/>
      </c>
      <c r="B9" s="23" t="str">
        <f aca="false">IF(IFERROR(INDEX(tsk_Name,(ROW()-ROW(MSPTasks[[#Headers],[ID]])))="",TRUE()),"",INDEX(tsk_UID,(ROW()-ROW(MSPTasks[[#Headers],[ID]]))))</f>
        <v/>
      </c>
      <c r="C9" s="23" t="str">
        <f aca="false">IF(IFERROR(INDEX(tsk_Name,(ROW()-ROW(MSPTasks[[#Headers],[ID]])))="",TRUE()),"",INDEX(tsk_Name,(ROW()-ROW(MSPTasks[[#Headers],[ID]]))))</f>
        <v/>
      </c>
      <c r="D9" s="23" t="str">
        <f aca="false">IF(IFERROR(INDEX(tsk_Name,(ROW()-ROW(MSPTasks[[#Headers],[ID]])))="",TRUE()),"",INDEX(tsk_Level,(ROW()-ROW(MSPTasks[[#Headers],[ID]]))))</f>
        <v/>
      </c>
      <c r="E9" s="23" t="str">
        <f aca="false">IF(IFERROR(INDEX(tsk_Name,(ROW()-ROW(MSPTasks[[#Headers],[ID]])))="",TRUE()),"",IF(INDEX(tsk_Mode,(ROW()-ROW(MSPTasks[[#Headers],[ID]])))="Manual","Manually Scheduled","Auto Scheduled"))</f>
        <v/>
      </c>
      <c r="F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" s="78" t="str">
        <f aca="false">IF(IFERROR(INDEX(tsk_Name,(ROW()-ROW(MSPTasks[[#Headers],[ID]])))="",TRUE()),"",INDEX(tsk_FcStart,(ROW()-ROW(MSPTasks[[#Headers],[ID]]))))</f>
        <v/>
      </c>
      <c r="H9" s="78" t="str">
        <f aca="false">IF(IFERROR(INDEX(tsk_Name,(ROW()-ROW(MSPTasks[[#Headers],[ID]])))="",TRUE()),"",INDEX(tsk_FcFinish,(ROW()-ROW(MSPTasks[[#Headers],[ID]]))))</f>
        <v/>
      </c>
      <c r="I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" s="78" t="str">
        <f aca="false">IF(IFERROR(INDEX(tsk_Name,(ROW()-ROW(MSPTasks[[#Headers],[ID]])))="",TRUE()),"",INDEX(tsk_PlanStart,(ROW()-ROW(MSPTasks[[#Headers],[ID]]))))</f>
        <v/>
      </c>
      <c r="P9" s="78" t="str">
        <f aca="false">IF(IFERROR(INDEX(tsk_Name,(ROW()-ROW(MSPTasks[[#Headers],[ID]])))="",TRUE()),"",INDEX(tsk_PlanFinish,(ROW()-ROW(MSPTasks[[#Headers],[ID]]))))</f>
        <v/>
      </c>
      <c r="Q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str">
        <f aca="false">IF(IFERROR(INDEX(tsk_Name,(ROW()-ROW(MSPTasks[[#Headers],[ID]])))="",TRUE()),"",INDEX(tsk_ID,(ROW()-ROW(MSPTasks[[#Headers],[ID]]))))</f>
        <v/>
      </c>
      <c r="B10" s="23" t="str">
        <f aca="false">IF(IFERROR(INDEX(tsk_Name,(ROW()-ROW(MSPTasks[[#Headers],[ID]])))="",TRUE()),"",INDEX(tsk_UID,(ROW()-ROW(MSPTasks[[#Headers],[ID]]))))</f>
        <v/>
      </c>
      <c r="C10" s="23" t="str">
        <f aca="false">IF(IFERROR(INDEX(tsk_Name,(ROW()-ROW(MSPTasks[[#Headers],[ID]])))="",TRUE()),"",INDEX(tsk_Name,(ROW()-ROW(MSPTasks[[#Headers],[ID]]))))</f>
        <v/>
      </c>
      <c r="D10" s="23" t="str">
        <f aca="false">IF(IFERROR(INDEX(tsk_Name,(ROW()-ROW(MSPTasks[[#Headers],[ID]])))="",TRUE()),"",INDEX(tsk_Level,(ROW()-ROW(MSPTasks[[#Headers],[ID]]))))</f>
        <v/>
      </c>
      <c r="E10" s="23" t="str">
        <f aca="false">IF(IFERROR(INDEX(tsk_Name,(ROW()-ROW(MSPTasks[[#Headers],[ID]])))="",TRUE()),"",IF(INDEX(tsk_Mode,(ROW()-ROW(MSPTasks[[#Headers],[ID]])))="Manual","Manually Scheduled","Auto Scheduled"))</f>
        <v/>
      </c>
      <c r="F1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" s="78" t="str">
        <f aca="false">IF(IFERROR(INDEX(tsk_Name,(ROW()-ROW(MSPTasks[[#Headers],[ID]])))="",TRUE()),"",INDEX(tsk_FcStart,(ROW()-ROW(MSPTasks[[#Headers],[ID]]))))</f>
        <v/>
      </c>
      <c r="H10" s="78" t="str">
        <f aca="false">IF(IFERROR(INDEX(tsk_Name,(ROW()-ROW(MSPTasks[[#Headers],[ID]])))="",TRUE()),"",INDEX(tsk_FcFinish,(ROW()-ROW(MSPTasks[[#Headers],[ID]]))))</f>
        <v/>
      </c>
      <c r="I1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" s="78" t="str">
        <f aca="false">IF(IFERROR(INDEX(tsk_Name,(ROW()-ROW(MSPTasks[[#Headers],[ID]])))="",TRUE()),"",INDEX(tsk_PlanStart,(ROW()-ROW(MSPTasks[[#Headers],[ID]]))))</f>
        <v/>
      </c>
      <c r="P10" s="78" t="str">
        <f aca="false">IF(IFERROR(INDEX(tsk_Name,(ROW()-ROW(MSPTasks[[#Headers],[ID]])))="",TRUE()),"",INDEX(tsk_PlanFinish,(ROW()-ROW(MSPTasks[[#Headers],[ID]]))))</f>
        <v/>
      </c>
      <c r="Q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/>
      </c>
    </row>
    <row r="11" customFormat="false" ht="15" hidden="false" customHeight="false" outlineLevel="0" collapsed="false">
      <c r="A11" s="23" t="str">
        <f aca="false">IF(IFERROR(INDEX(tsk_Name,(ROW()-ROW(MSPTasks[[#Headers],[ID]])))="",TRUE()),"",INDEX(tsk_ID,(ROW()-ROW(MSPTasks[[#Headers],[ID]]))))</f>
        <v/>
      </c>
      <c r="B11" s="23" t="str">
        <f aca="false">IF(IFERROR(INDEX(tsk_Name,(ROW()-ROW(MSPTasks[[#Headers],[ID]])))="",TRUE()),"",INDEX(tsk_UID,(ROW()-ROW(MSPTasks[[#Headers],[ID]]))))</f>
        <v/>
      </c>
      <c r="C11" s="23" t="str">
        <f aca="false">IF(IFERROR(INDEX(tsk_Name,(ROW()-ROW(MSPTasks[[#Headers],[ID]])))="",TRUE()),"",INDEX(tsk_Name,(ROW()-ROW(MSPTasks[[#Headers],[ID]]))))</f>
        <v/>
      </c>
      <c r="D11" s="23" t="str">
        <f aca="false">IF(IFERROR(INDEX(tsk_Name,(ROW()-ROW(MSPTasks[[#Headers],[ID]])))="",TRUE()),"",INDEX(tsk_Level,(ROW()-ROW(MSPTasks[[#Headers],[ID]]))))</f>
        <v/>
      </c>
      <c r="E11" s="23" t="str">
        <f aca="false">IF(IFERROR(INDEX(tsk_Name,(ROW()-ROW(MSPTasks[[#Headers],[ID]])))="",TRUE()),"",IF(INDEX(tsk_Mode,(ROW()-ROW(MSPTasks[[#Headers],[ID]])))="Manual","Manually Scheduled","Auto Scheduled"))</f>
        <v/>
      </c>
      <c r="F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78" t="str">
        <f aca="false">IF(IFERROR(INDEX(tsk_Name,(ROW()-ROW(MSPTasks[[#Headers],[ID]])))="",TRUE()),"",INDEX(tsk_FcStart,(ROW()-ROW(MSPTasks[[#Headers],[ID]]))))</f>
        <v/>
      </c>
      <c r="H11" s="78" t="str">
        <f aca="false">IF(IFERROR(INDEX(tsk_Name,(ROW()-ROW(MSPTasks[[#Headers],[ID]])))="",TRUE()),"",INDEX(tsk_FcFinish,(ROW()-ROW(MSPTasks[[#Headers],[ID]]))))</f>
        <v/>
      </c>
      <c r="I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78" t="str">
        <f aca="false">IF(IFERROR(INDEX(tsk_Name,(ROW()-ROW(MSPTasks[[#Headers],[ID]])))="",TRUE()),"",INDEX(tsk_PlanStart,(ROW()-ROW(MSPTasks[[#Headers],[ID]]))))</f>
        <v/>
      </c>
      <c r="P11" s="78" t="str">
        <f aca="false">IF(IFERROR(INDEX(tsk_Name,(ROW()-ROW(MSPTasks[[#Headers],[ID]])))="",TRUE()),"",INDEX(tsk_PlanFinish,(ROW()-ROW(MSPTasks[[#Headers],[ID]]))))</f>
        <v/>
      </c>
      <c r="Q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str">
        <f aca="false">IF(IFERROR(INDEX(tsk_Name,(ROW()-ROW(MSPTasks[[#Headers],[ID]])))="",TRUE()),"",INDEX(tsk_ID,(ROW()-ROW(MSPTasks[[#Headers],[ID]]))))</f>
        <v/>
      </c>
      <c r="B12" s="23" t="str">
        <f aca="false">IF(IFERROR(INDEX(tsk_Name,(ROW()-ROW(MSPTasks[[#Headers],[ID]])))="",TRUE()),"",INDEX(tsk_UID,(ROW()-ROW(MSPTasks[[#Headers],[ID]]))))</f>
        <v/>
      </c>
      <c r="C12" s="23" t="str">
        <f aca="false">IF(IFERROR(INDEX(tsk_Name,(ROW()-ROW(MSPTasks[[#Headers],[ID]])))="",TRUE()),"",INDEX(tsk_Name,(ROW()-ROW(MSPTasks[[#Headers],[ID]]))))</f>
        <v/>
      </c>
      <c r="D12" s="23" t="str">
        <f aca="false">IF(IFERROR(INDEX(tsk_Name,(ROW()-ROW(MSPTasks[[#Headers],[ID]])))="",TRUE()),"",INDEX(tsk_Level,(ROW()-ROW(MSPTasks[[#Headers],[ID]]))))</f>
        <v/>
      </c>
      <c r="E12" s="23" t="str">
        <f aca="false">IF(IFERROR(INDEX(tsk_Name,(ROW()-ROW(MSPTasks[[#Headers],[ID]])))="",TRUE()),"",IF(INDEX(tsk_Mode,(ROW()-ROW(MSPTasks[[#Headers],[ID]])))="Manual","Manually Scheduled","Auto Scheduled"))</f>
        <v/>
      </c>
      <c r="F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78" t="str">
        <f aca="false">IF(IFERROR(INDEX(tsk_Name,(ROW()-ROW(MSPTasks[[#Headers],[ID]])))="",TRUE()),"",INDEX(tsk_FcStart,(ROW()-ROW(MSPTasks[[#Headers],[ID]]))))</f>
        <v/>
      </c>
      <c r="H12" s="78" t="str">
        <f aca="false">IF(IFERROR(INDEX(tsk_Name,(ROW()-ROW(MSPTasks[[#Headers],[ID]])))="",TRUE()),"",INDEX(tsk_FcFinish,(ROW()-ROW(MSPTasks[[#Headers],[ID]]))))</f>
        <v/>
      </c>
      <c r="I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78" t="str">
        <f aca="false">IF(IFERROR(INDEX(tsk_Name,(ROW()-ROW(MSPTasks[[#Headers],[ID]])))="",TRUE()),"",INDEX(tsk_PlanStart,(ROW()-ROW(MSPTasks[[#Headers],[ID]]))))</f>
        <v/>
      </c>
      <c r="P12" s="78" t="str">
        <f aca="false">IF(IFERROR(INDEX(tsk_Name,(ROW()-ROW(MSPTasks[[#Headers],[ID]])))="",TRUE()),"",INDEX(tsk_PlanFinish,(ROW()-ROW(MSPTasks[[#Headers],[ID]]))))</f>
        <v/>
      </c>
      <c r="Q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/>
      </c>
    </row>
    <row r="13" customFormat="false" ht="15" hidden="false" customHeight="false" outlineLevel="0" collapsed="false">
      <c r="A13" s="23" t="str">
        <f aca="false">IF(IFERROR(INDEX(tsk_Name,(ROW()-ROW(MSPTasks[[#Headers],[ID]])))="",TRUE()),"",INDEX(tsk_ID,(ROW()-ROW(MSPTasks[[#Headers],[ID]]))))</f>
        <v/>
      </c>
      <c r="B13" s="23" t="str">
        <f aca="false">IF(IFERROR(INDEX(tsk_Name,(ROW()-ROW(MSPTasks[[#Headers],[ID]])))="",TRUE()),"",INDEX(tsk_UID,(ROW()-ROW(MSPTasks[[#Headers],[ID]]))))</f>
        <v/>
      </c>
      <c r="C13" s="23" t="str">
        <f aca="false">IF(IFERROR(INDEX(tsk_Name,(ROW()-ROW(MSPTasks[[#Headers],[ID]])))="",TRUE()),"",INDEX(tsk_Name,(ROW()-ROW(MSPTasks[[#Headers],[ID]]))))</f>
        <v/>
      </c>
      <c r="D13" s="23" t="str">
        <f aca="false">IF(IFERROR(INDEX(tsk_Name,(ROW()-ROW(MSPTasks[[#Headers],[ID]])))="",TRUE()),"",INDEX(tsk_Level,(ROW()-ROW(MSPTasks[[#Headers],[ID]]))))</f>
        <v/>
      </c>
      <c r="E13" s="23" t="str">
        <f aca="false">IF(IFERROR(INDEX(tsk_Name,(ROW()-ROW(MSPTasks[[#Headers],[ID]])))="",TRUE()),"",IF(INDEX(tsk_Mode,(ROW()-ROW(MSPTasks[[#Headers],[ID]])))="Manual","Manually Scheduled","Auto Scheduled"))</f>
        <v/>
      </c>
      <c r="F1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" s="78" t="str">
        <f aca="false">IF(IFERROR(INDEX(tsk_Name,(ROW()-ROW(MSPTasks[[#Headers],[ID]])))="",TRUE()),"",INDEX(tsk_FcStart,(ROW()-ROW(MSPTasks[[#Headers],[ID]]))))</f>
        <v/>
      </c>
      <c r="H13" s="78" t="str">
        <f aca="false">IF(IFERROR(INDEX(tsk_Name,(ROW()-ROW(MSPTasks[[#Headers],[ID]])))="",TRUE()),"",INDEX(tsk_FcFinish,(ROW()-ROW(MSPTasks[[#Headers],[ID]]))))</f>
        <v/>
      </c>
      <c r="I1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" s="78" t="str">
        <f aca="false">IF(IFERROR(INDEX(tsk_Name,(ROW()-ROW(MSPTasks[[#Headers],[ID]])))="",TRUE()),"",INDEX(tsk_PlanStart,(ROW()-ROW(MSPTasks[[#Headers],[ID]]))))</f>
        <v/>
      </c>
      <c r="P13" s="78" t="str">
        <f aca="false">IF(IFERROR(INDEX(tsk_Name,(ROW()-ROW(MSPTasks[[#Headers],[ID]])))="",TRUE()),"",INDEX(tsk_PlanFinish,(ROW()-ROW(MSPTasks[[#Headers],[ID]]))))</f>
        <v/>
      </c>
      <c r="Q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str">
        <f aca="false">IF(IFERROR(INDEX(tsk_Name,(ROW()-ROW(MSPTasks[[#Headers],[ID]])))="",TRUE()),"",INDEX(tsk_ID,(ROW()-ROW(MSPTasks[[#Headers],[ID]]))))</f>
        <v/>
      </c>
      <c r="B14" s="23" t="str">
        <f aca="false">IF(IFERROR(INDEX(tsk_Name,(ROW()-ROW(MSPTasks[[#Headers],[ID]])))="",TRUE()),"",INDEX(tsk_UID,(ROW()-ROW(MSPTasks[[#Headers],[ID]]))))</f>
        <v/>
      </c>
      <c r="C14" s="23" t="str">
        <f aca="false">IF(IFERROR(INDEX(tsk_Name,(ROW()-ROW(MSPTasks[[#Headers],[ID]])))="",TRUE()),"",INDEX(tsk_Name,(ROW()-ROW(MSPTasks[[#Headers],[ID]]))))</f>
        <v/>
      </c>
      <c r="D14" s="23" t="str">
        <f aca="false">IF(IFERROR(INDEX(tsk_Name,(ROW()-ROW(MSPTasks[[#Headers],[ID]])))="",TRUE()),"",INDEX(tsk_Level,(ROW()-ROW(MSPTasks[[#Headers],[ID]]))))</f>
        <v/>
      </c>
      <c r="E14" s="23" t="str">
        <f aca="false">IF(IFERROR(INDEX(tsk_Name,(ROW()-ROW(MSPTasks[[#Headers],[ID]])))="",TRUE()),"",IF(INDEX(tsk_Mode,(ROW()-ROW(MSPTasks[[#Headers],[ID]])))="Manual","Manually Scheduled","Auto Scheduled"))</f>
        <v/>
      </c>
      <c r="F1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" s="78" t="str">
        <f aca="false">IF(IFERROR(INDEX(tsk_Name,(ROW()-ROW(MSPTasks[[#Headers],[ID]])))="",TRUE()),"",INDEX(tsk_FcStart,(ROW()-ROW(MSPTasks[[#Headers],[ID]]))))</f>
        <v/>
      </c>
      <c r="H14" s="78" t="str">
        <f aca="false">IF(IFERROR(INDEX(tsk_Name,(ROW()-ROW(MSPTasks[[#Headers],[ID]])))="",TRUE()),"",INDEX(tsk_FcFinish,(ROW()-ROW(MSPTasks[[#Headers],[ID]]))))</f>
        <v/>
      </c>
      <c r="I1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78" t="str">
        <f aca="false">IF(IFERROR(INDEX(tsk_Name,(ROW()-ROW(MSPTasks[[#Headers],[ID]])))="",TRUE()),"",INDEX(tsk_PlanStart,(ROW()-ROW(MSPTasks[[#Headers],[ID]]))))</f>
        <v/>
      </c>
      <c r="P14" s="78" t="str">
        <f aca="false">IF(IFERROR(INDEX(tsk_Name,(ROW()-ROW(MSPTasks[[#Headers],[ID]])))="",TRUE()),"",INDEX(tsk_PlanFinish,(ROW()-ROW(MSPTasks[[#Headers],[ID]]))))</f>
        <v/>
      </c>
      <c r="Q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/>
      </c>
    </row>
    <row r="15" customFormat="false" ht="15" hidden="false" customHeight="false" outlineLevel="0" collapsed="false">
      <c r="A15" s="23" t="str">
        <f aca="false">IF(IFERROR(INDEX(tsk_Name,(ROW()-ROW(MSPTasks[[#Headers],[ID]])))="",TRUE()),"",INDEX(tsk_ID,(ROW()-ROW(MSPTasks[[#Headers],[ID]]))))</f>
        <v/>
      </c>
      <c r="B15" s="23" t="str">
        <f aca="false">IF(IFERROR(INDEX(tsk_Name,(ROW()-ROW(MSPTasks[[#Headers],[ID]])))="",TRUE()),"",INDEX(tsk_UID,(ROW()-ROW(MSPTasks[[#Headers],[ID]]))))</f>
        <v/>
      </c>
      <c r="C15" s="23" t="str">
        <f aca="false">IF(IFERROR(INDEX(tsk_Name,(ROW()-ROW(MSPTasks[[#Headers],[ID]])))="",TRUE()),"",INDEX(tsk_Name,(ROW()-ROW(MSPTasks[[#Headers],[ID]]))))</f>
        <v/>
      </c>
      <c r="D15" s="23" t="str">
        <f aca="false">IF(IFERROR(INDEX(tsk_Name,(ROW()-ROW(MSPTasks[[#Headers],[ID]])))="",TRUE()),"",INDEX(tsk_Level,(ROW()-ROW(MSPTasks[[#Headers],[ID]]))))</f>
        <v/>
      </c>
      <c r="E15" s="23" t="str">
        <f aca="false">IF(IFERROR(INDEX(tsk_Name,(ROW()-ROW(MSPTasks[[#Headers],[ID]])))="",TRUE()),"",IF(INDEX(tsk_Mode,(ROW()-ROW(MSPTasks[[#Headers],[ID]])))="Manual","Manually Scheduled","Auto Scheduled"))</f>
        <v/>
      </c>
      <c r="F1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" s="78" t="str">
        <f aca="false">IF(IFERROR(INDEX(tsk_Name,(ROW()-ROW(MSPTasks[[#Headers],[ID]])))="",TRUE()),"",INDEX(tsk_FcStart,(ROW()-ROW(MSPTasks[[#Headers],[ID]]))))</f>
        <v/>
      </c>
      <c r="H15" s="78" t="str">
        <f aca="false">IF(IFERROR(INDEX(tsk_Name,(ROW()-ROW(MSPTasks[[#Headers],[ID]])))="",TRUE()),"",INDEX(tsk_FcFinish,(ROW()-ROW(MSPTasks[[#Headers],[ID]]))))</f>
        <v/>
      </c>
      <c r="I1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78" t="str">
        <f aca="false">IF(IFERROR(INDEX(tsk_Name,(ROW()-ROW(MSPTasks[[#Headers],[ID]])))="",TRUE()),"",INDEX(tsk_PlanStart,(ROW()-ROW(MSPTasks[[#Headers],[ID]]))))</f>
        <v/>
      </c>
      <c r="P15" s="78" t="str">
        <f aca="false">IF(IFERROR(INDEX(tsk_Name,(ROW()-ROW(MSPTasks[[#Headers],[ID]])))="",TRUE()),"",INDEX(tsk_PlanFinish,(ROW()-ROW(MSPTasks[[#Headers],[ID]]))))</f>
        <v/>
      </c>
      <c r="Q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str">
        <f aca="false">IF(IFERROR(INDEX(tsk_Name,(ROW()-ROW(MSPTasks[[#Headers],[ID]])))="",TRUE()),"",INDEX(tsk_ID,(ROW()-ROW(MSPTasks[[#Headers],[ID]]))))</f>
        <v/>
      </c>
      <c r="B16" s="23" t="str">
        <f aca="false">IF(IFERROR(INDEX(tsk_Name,(ROW()-ROW(MSPTasks[[#Headers],[ID]])))="",TRUE()),"",INDEX(tsk_UID,(ROW()-ROW(MSPTasks[[#Headers],[ID]]))))</f>
        <v/>
      </c>
      <c r="C16" s="23" t="str">
        <f aca="false">IF(IFERROR(INDEX(tsk_Name,(ROW()-ROW(MSPTasks[[#Headers],[ID]])))="",TRUE()),"",INDEX(tsk_Name,(ROW()-ROW(MSPTasks[[#Headers],[ID]]))))</f>
        <v/>
      </c>
      <c r="D16" s="23" t="str">
        <f aca="false">IF(IFERROR(INDEX(tsk_Name,(ROW()-ROW(MSPTasks[[#Headers],[ID]])))="",TRUE()),"",INDEX(tsk_Level,(ROW()-ROW(MSPTasks[[#Headers],[ID]]))))</f>
        <v/>
      </c>
      <c r="E16" s="23" t="str">
        <f aca="false">IF(IFERROR(INDEX(tsk_Name,(ROW()-ROW(MSPTasks[[#Headers],[ID]])))="",TRUE()),"",IF(INDEX(tsk_Mode,(ROW()-ROW(MSPTasks[[#Headers],[ID]])))="Manual","Manually Scheduled","Auto Scheduled"))</f>
        <v/>
      </c>
      <c r="F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78" t="str">
        <f aca="false">IF(IFERROR(INDEX(tsk_Name,(ROW()-ROW(MSPTasks[[#Headers],[ID]])))="",TRUE()),"",INDEX(tsk_FcStart,(ROW()-ROW(MSPTasks[[#Headers],[ID]]))))</f>
        <v/>
      </c>
      <c r="H16" s="78" t="str">
        <f aca="false">IF(IFERROR(INDEX(tsk_Name,(ROW()-ROW(MSPTasks[[#Headers],[ID]])))="",TRUE()),"",INDEX(tsk_FcFinish,(ROW()-ROW(MSPTasks[[#Headers],[ID]]))))</f>
        <v/>
      </c>
      <c r="I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78" t="str">
        <f aca="false">IF(IFERROR(INDEX(tsk_Name,(ROW()-ROW(MSPTasks[[#Headers],[ID]])))="",TRUE()),"",INDEX(tsk_PlanStart,(ROW()-ROW(MSPTasks[[#Headers],[ID]]))))</f>
        <v/>
      </c>
      <c r="P16" s="78" t="str">
        <f aca="false">IF(IFERROR(INDEX(tsk_Name,(ROW()-ROW(MSPTasks[[#Headers],[ID]])))="",TRUE()),"",INDEX(tsk_PlanFinish,(ROW()-ROW(MSPTasks[[#Headers],[ID]]))))</f>
        <v/>
      </c>
      <c r="Q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str">
        <f aca="false">IF(IFERROR(INDEX(tsk_Name,(ROW()-ROW(MSPTasks[[#Headers],[ID]])))="",TRUE()),"",INDEX(tsk_ID,(ROW()-ROW(MSPTasks[[#Headers],[ID]]))))</f>
        <v/>
      </c>
      <c r="B17" s="23" t="str">
        <f aca="false">IF(IFERROR(INDEX(tsk_Name,(ROW()-ROW(MSPTasks[[#Headers],[ID]])))="",TRUE()),"",INDEX(tsk_UID,(ROW()-ROW(MSPTasks[[#Headers],[ID]]))))</f>
        <v/>
      </c>
      <c r="C17" s="23" t="str">
        <f aca="false">IF(IFERROR(INDEX(tsk_Name,(ROW()-ROW(MSPTasks[[#Headers],[ID]])))="",TRUE()),"",INDEX(tsk_Name,(ROW()-ROW(MSPTasks[[#Headers],[ID]]))))</f>
        <v/>
      </c>
      <c r="D17" s="23" t="str">
        <f aca="false">IF(IFERROR(INDEX(tsk_Name,(ROW()-ROW(MSPTasks[[#Headers],[ID]])))="",TRUE()),"",INDEX(tsk_Level,(ROW()-ROW(MSPTasks[[#Headers],[ID]]))))</f>
        <v/>
      </c>
      <c r="E17" s="23" t="str">
        <f aca="false">IF(IFERROR(INDEX(tsk_Name,(ROW()-ROW(MSPTasks[[#Headers],[ID]])))="",TRUE()),"",IF(INDEX(tsk_Mode,(ROW()-ROW(MSPTasks[[#Headers],[ID]])))="Manual","Manually Scheduled","Auto Scheduled"))</f>
        <v/>
      </c>
      <c r="F1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" s="78" t="str">
        <f aca="false">IF(IFERROR(INDEX(tsk_Name,(ROW()-ROW(MSPTasks[[#Headers],[ID]])))="",TRUE()),"",INDEX(tsk_FcStart,(ROW()-ROW(MSPTasks[[#Headers],[ID]]))))</f>
        <v/>
      </c>
      <c r="H17" s="78" t="str">
        <f aca="false">IF(IFERROR(INDEX(tsk_Name,(ROW()-ROW(MSPTasks[[#Headers],[ID]])))="",TRUE()),"",INDEX(tsk_FcFinish,(ROW()-ROW(MSPTasks[[#Headers],[ID]]))))</f>
        <v/>
      </c>
      <c r="I1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" s="78" t="str">
        <f aca="false">IF(IFERROR(INDEX(tsk_Name,(ROW()-ROW(MSPTasks[[#Headers],[ID]])))="",TRUE()),"",INDEX(tsk_PlanStart,(ROW()-ROW(MSPTasks[[#Headers],[ID]]))))</f>
        <v/>
      </c>
      <c r="P17" s="78" t="str">
        <f aca="false">IF(IFERROR(INDEX(tsk_Name,(ROW()-ROW(MSPTasks[[#Headers],[ID]])))="",TRUE()),"",INDEX(tsk_PlanFinish,(ROW()-ROW(MSPTasks[[#Headers],[ID]]))))</f>
        <v/>
      </c>
      <c r="Q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str">
        <f aca="false">IF(IFERROR(INDEX(tsk_Name,(ROW()-ROW(MSPTasks[[#Headers],[ID]])))="",TRUE()),"",INDEX(tsk_ID,(ROW()-ROW(MSPTasks[[#Headers],[ID]]))))</f>
        <v/>
      </c>
      <c r="B18" s="23" t="str">
        <f aca="false">IF(IFERROR(INDEX(tsk_Name,(ROW()-ROW(MSPTasks[[#Headers],[ID]])))="",TRUE()),"",INDEX(tsk_UID,(ROW()-ROW(MSPTasks[[#Headers],[ID]]))))</f>
        <v/>
      </c>
      <c r="C18" s="23" t="str">
        <f aca="false">IF(IFERROR(INDEX(tsk_Name,(ROW()-ROW(MSPTasks[[#Headers],[ID]])))="",TRUE()),"",INDEX(tsk_Name,(ROW()-ROW(MSPTasks[[#Headers],[ID]]))))</f>
        <v/>
      </c>
      <c r="D18" s="23" t="str">
        <f aca="false">IF(IFERROR(INDEX(tsk_Name,(ROW()-ROW(MSPTasks[[#Headers],[ID]])))="",TRUE()),"",INDEX(tsk_Level,(ROW()-ROW(MSPTasks[[#Headers],[ID]]))))</f>
        <v/>
      </c>
      <c r="E18" s="23" t="str">
        <f aca="false">IF(IFERROR(INDEX(tsk_Name,(ROW()-ROW(MSPTasks[[#Headers],[ID]])))="",TRUE()),"",IF(INDEX(tsk_Mode,(ROW()-ROW(MSPTasks[[#Headers],[ID]])))="Manual","Manually Scheduled","Auto Scheduled"))</f>
        <v/>
      </c>
      <c r="F1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" s="78" t="str">
        <f aca="false">IF(IFERROR(INDEX(tsk_Name,(ROW()-ROW(MSPTasks[[#Headers],[ID]])))="",TRUE()),"",INDEX(tsk_FcStart,(ROW()-ROW(MSPTasks[[#Headers],[ID]]))))</f>
        <v/>
      </c>
      <c r="H18" s="78" t="str">
        <f aca="false">IF(IFERROR(INDEX(tsk_Name,(ROW()-ROW(MSPTasks[[#Headers],[ID]])))="",TRUE()),"",INDEX(tsk_FcFinish,(ROW()-ROW(MSPTasks[[#Headers],[ID]]))))</f>
        <v/>
      </c>
      <c r="I1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78" t="str">
        <f aca="false">IF(IFERROR(INDEX(tsk_Name,(ROW()-ROW(MSPTasks[[#Headers],[ID]])))="",TRUE()),"",INDEX(tsk_PlanStart,(ROW()-ROW(MSPTasks[[#Headers],[ID]]))))</f>
        <v/>
      </c>
      <c r="P18" s="78" t="str">
        <f aca="false">IF(IFERROR(INDEX(tsk_Name,(ROW()-ROW(MSPTasks[[#Headers],[ID]])))="",TRUE()),"",INDEX(tsk_PlanFinish,(ROW()-ROW(MSPTasks[[#Headers],[ID]]))))</f>
        <v/>
      </c>
      <c r="Q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str">
        <f aca="false">IF(IFERROR(INDEX(tsk_Name,(ROW()-ROW(MSPTasks[[#Headers],[ID]])))="",TRUE()),"",INDEX(tsk_ID,(ROW()-ROW(MSPTasks[[#Headers],[ID]]))))</f>
        <v/>
      </c>
      <c r="B19" s="23" t="str">
        <f aca="false">IF(IFERROR(INDEX(tsk_Name,(ROW()-ROW(MSPTasks[[#Headers],[ID]])))="",TRUE()),"",INDEX(tsk_UID,(ROW()-ROW(MSPTasks[[#Headers],[ID]]))))</f>
        <v/>
      </c>
      <c r="C19" s="23" t="str">
        <f aca="false">IF(IFERROR(INDEX(tsk_Name,(ROW()-ROW(MSPTasks[[#Headers],[ID]])))="",TRUE()),"",INDEX(tsk_Name,(ROW()-ROW(MSPTasks[[#Headers],[ID]]))))</f>
        <v/>
      </c>
      <c r="D19" s="23" t="str">
        <f aca="false">IF(IFERROR(INDEX(tsk_Name,(ROW()-ROW(MSPTasks[[#Headers],[ID]])))="",TRUE()),"",INDEX(tsk_Level,(ROW()-ROW(MSPTasks[[#Headers],[ID]]))))</f>
        <v/>
      </c>
      <c r="E19" s="23" t="str">
        <f aca="false">IF(IFERROR(INDEX(tsk_Name,(ROW()-ROW(MSPTasks[[#Headers],[ID]])))="",TRUE()),"",IF(INDEX(tsk_Mode,(ROW()-ROW(MSPTasks[[#Headers],[ID]])))="Manual","Manually Scheduled","Auto Scheduled"))</f>
        <v/>
      </c>
      <c r="F1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" s="78" t="str">
        <f aca="false">IF(IFERROR(INDEX(tsk_Name,(ROW()-ROW(MSPTasks[[#Headers],[ID]])))="",TRUE()),"",INDEX(tsk_FcStart,(ROW()-ROW(MSPTasks[[#Headers],[ID]]))))</f>
        <v/>
      </c>
      <c r="H19" s="78" t="str">
        <f aca="false">IF(IFERROR(INDEX(tsk_Name,(ROW()-ROW(MSPTasks[[#Headers],[ID]])))="",TRUE()),"",INDEX(tsk_FcFinish,(ROW()-ROW(MSPTasks[[#Headers],[ID]]))))</f>
        <v/>
      </c>
      <c r="I1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78" t="str">
        <f aca="false">IF(IFERROR(INDEX(tsk_Name,(ROW()-ROW(MSPTasks[[#Headers],[ID]])))="",TRUE()),"",INDEX(tsk_PlanStart,(ROW()-ROW(MSPTasks[[#Headers],[ID]]))))</f>
        <v/>
      </c>
      <c r="P19" s="78" t="str">
        <f aca="false">IF(IFERROR(INDEX(tsk_Name,(ROW()-ROW(MSPTasks[[#Headers],[ID]])))="",TRUE()),"",INDEX(tsk_PlanFinish,(ROW()-ROW(MSPTasks[[#Headers],[ID]]))))</f>
        <v/>
      </c>
      <c r="Q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/>
      </c>
    </row>
    <row r="20" customFormat="false" ht="15" hidden="false" customHeight="false" outlineLevel="0" collapsed="false">
      <c r="A20" s="23" t="str">
        <f aca="false">IF(IFERROR(INDEX(tsk_Name,(ROW()-ROW(MSPTasks[[#Headers],[ID]])))="",TRUE()),"",INDEX(tsk_ID,(ROW()-ROW(MSPTasks[[#Headers],[ID]]))))</f>
        <v/>
      </c>
      <c r="B20" s="23" t="str">
        <f aca="false">IF(IFERROR(INDEX(tsk_Name,(ROW()-ROW(MSPTasks[[#Headers],[ID]])))="",TRUE()),"",INDEX(tsk_UID,(ROW()-ROW(MSPTasks[[#Headers],[ID]]))))</f>
        <v/>
      </c>
      <c r="C20" s="23" t="str">
        <f aca="false">IF(IFERROR(INDEX(tsk_Name,(ROW()-ROW(MSPTasks[[#Headers],[ID]])))="",TRUE()),"",INDEX(tsk_Name,(ROW()-ROW(MSPTasks[[#Headers],[ID]]))))</f>
        <v/>
      </c>
      <c r="D20" s="23" t="str">
        <f aca="false">IF(IFERROR(INDEX(tsk_Name,(ROW()-ROW(MSPTasks[[#Headers],[ID]])))="",TRUE()),"",INDEX(tsk_Level,(ROW()-ROW(MSPTasks[[#Headers],[ID]]))))</f>
        <v/>
      </c>
      <c r="E20" s="23" t="str">
        <f aca="false">IF(IFERROR(INDEX(tsk_Name,(ROW()-ROW(MSPTasks[[#Headers],[ID]])))="",TRUE()),"",IF(INDEX(tsk_Mode,(ROW()-ROW(MSPTasks[[#Headers],[ID]])))="Manual","Manually Scheduled","Auto Scheduled"))</f>
        <v/>
      </c>
      <c r="F2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" s="78" t="str">
        <f aca="false">IF(IFERROR(INDEX(tsk_Name,(ROW()-ROW(MSPTasks[[#Headers],[ID]])))="",TRUE()),"",INDEX(tsk_FcStart,(ROW()-ROW(MSPTasks[[#Headers],[ID]]))))</f>
        <v/>
      </c>
      <c r="H20" s="78" t="str">
        <f aca="false">IF(IFERROR(INDEX(tsk_Name,(ROW()-ROW(MSPTasks[[#Headers],[ID]])))="",TRUE()),"",INDEX(tsk_FcFinish,(ROW()-ROW(MSPTasks[[#Headers],[ID]]))))</f>
        <v/>
      </c>
      <c r="I2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78" t="str">
        <f aca="false">IF(IFERROR(INDEX(tsk_Name,(ROW()-ROW(MSPTasks[[#Headers],[ID]])))="",TRUE()),"",INDEX(tsk_PlanStart,(ROW()-ROW(MSPTasks[[#Headers],[ID]]))))</f>
        <v/>
      </c>
      <c r="P20" s="78" t="str">
        <f aca="false">IF(IFERROR(INDEX(tsk_Name,(ROW()-ROW(MSPTasks[[#Headers],[ID]])))="",TRUE()),"",INDEX(tsk_PlanFinish,(ROW()-ROW(MSPTasks[[#Headers],[ID]]))))</f>
        <v/>
      </c>
      <c r="Q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" s="23" t="str">
        <f aca="false">IF(IFERROR(INDEX(tsk_Name,(ROW()-ROW(MSPTasks[[#Headers],[ID]])))="",TRUE()),"",INDEX(tsk_Notes,(ROW()-ROW(MSPTasks[[#Headers],[ID]])))&amp;"")</f>
        <v/>
      </c>
    </row>
    <row r="21" customFormat="false" ht="15" hidden="false" customHeight="false" outlineLevel="0" collapsed="false">
      <c r="A21" s="23" t="str">
        <f aca="false">IF(IFERROR(INDEX(tsk_Name,(ROW()-ROW(MSPTasks[[#Headers],[ID]])))="",TRUE()),"",INDEX(tsk_ID,(ROW()-ROW(MSPTasks[[#Headers],[ID]]))))</f>
        <v/>
      </c>
      <c r="B21" s="23" t="str">
        <f aca="false">IF(IFERROR(INDEX(tsk_Name,(ROW()-ROW(MSPTasks[[#Headers],[ID]])))="",TRUE()),"",INDEX(tsk_UID,(ROW()-ROW(MSPTasks[[#Headers],[ID]]))))</f>
        <v/>
      </c>
      <c r="C21" s="23" t="str">
        <f aca="false">IF(IFERROR(INDEX(tsk_Name,(ROW()-ROW(MSPTasks[[#Headers],[ID]])))="",TRUE()),"",INDEX(tsk_Name,(ROW()-ROW(MSPTasks[[#Headers],[ID]]))))</f>
        <v/>
      </c>
      <c r="D21" s="23" t="str">
        <f aca="false">IF(IFERROR(INDEX(tsk_Name,(ROW()-ROW(MSPTasks[[#Headers],[ID]])))="",TRUE()),"",INDEX(tsk_Level,(ROW()-ROW(MSPTasks[[#Headers],[ID]]))))</f>
        <v/>
      </c>
      <c r="E21" s="23" t="str">
        <f aca="false">IF(IFERROR(INDEX(tsk_Name,(ROW()-ROW(MSPTasks[[#Headers],[ID]])))="",TRUE()),"",IF(INDEX(tsk_Mode,(ROW()-ROW(MSPTasks[[#Headers],[ID]])))="Manual","Manually Scheduled","Auto Scheduled"))</f>
        <v/>
      </c>
      <c r="F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78" t="str">
        <f aca="false">IF(IFERROR(INDEX(tsk_Name,(ROW()-ROW(MSPTasks[[#Headers],[ID]])))="",TRUE()),"",INDEX(tsk_FcStart,(ROW()-ROW(MSPTasks[[#Headers],[ID]]))))</f>
        <v/>
      </c>
      <c r="H21" s="78" t="str">
        <f aca="false">IF(IFERROR(INDEX(tsk_Name,(ROW()-ROW(MSPTasks[[#Headers],[ID]])))="",TRUE()),"",INDEX(tsk_FcFinish,(ROW()-ROW(MSPTasks[[#Headers],[ID]]))))</f>
        <v/>
      </c>
      <c r="I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78" t="str">
        <f aca="false">IF(IFERROR(INDEX(tsk_Name,(ROW()-ROW(MSPTasks[[#Headers],[ID]])))="",TRUE()),"",INDEX(tsk_PlanStart,(ROW()-ROW(MSPTasks[[#Headers],[ID]]))))</f>
        <v/>
      </c>
      <c r="P21" s="78" t="str">
        <f aca="false">IF(IFERROR(INDEX(tsk_Name,(ROW()-ROW(MSPTasks[[#Headers],[ID]])))="",TRUE()),"",INDEX(tsk_PlanFinish,(ROW()-ROW(MSPTasks[[#Headers],[ID]]))))</f>
        <v/>
      </c>
      <c r="Q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str">
        <f aca="false">IF(IFERROR(INDEX(tsk_Name,(ROW()-ROW(MSPTasks[[#Headers],[ID]])))="",TRUE()),"",INDEX(tsk_ID,(ROW()-ROW(MSPTasks[[#Headers],[ID]]))))</f>
        <v/>
      </c>
      <c r="B22" s="23" t="str">
        <f aca="false">IF(IFERROR(INDEX(tsk_Name,(ROW()-ROW(MSPTasks[[#Headers],[ID]])))="",TRUE()),"",INDEX(tsk_UID,(ROW()-ROW(MSPTasks[[#Headers],[ID]]))))</f>
        <v/>
      </c>
      <c r="C22" s="23" t="str">
        <f aca="false">IF(IFERROR(INDEX(tsk_Name,(ROW()-ROW(MSPTasks[[#Headers],[ID]])))="",TRUE()),"",INDEX(tsk_Name,(ROW()-ROW(MSPTasks[[#Headers],[ID]]))))</f>
        <v/>
      </c>
      <c r="D22" s="23" t="str">
        <f aca="false">IF(IFERROR(INDEX(tsk_Name,(ROW()-ROW(MSPTasks[[#Headers],[ID]])))="",TRUE()),"",INDEX(tsk_Level,(ROW()-ROW(MSPTasks[[#Headers],[ID]]))))</f>
        <v/>
      </c>
      <c r="E22" s="23" t="str">
        <f aca="false">IF(IFERROR(INDEX(tsk_Name,(ROW()-ROW(MSPTasks[[#Headers],[ID]])))="",TRUE()),"",IF(INDEX(tsk_Mode,(ROW()-ROW(MSPTasks[[#Headers],[ID]])))="Manual","Manually Scheduled","Auto Scheduled"))</f>
        <v/>
      </c>
      <c r="F2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2" s="78" t="str">
        <f aca="false">IF(IFERROR(INDEX(tsk_Name,(ROW()-ROW(MSPTasks[[#Headers],[ID]])))="",TRUE()),"",INDEX(tsk_FcStart,(ROW()-ROW(MSPTasks[[#Headers],[ID]]))))</f>
        <v/>
      </c>
      <c r="H22" s="78" t="str">
        <f aca="false">IF(IFERROR(INDEX(tsk_Name,(ROW()-ROW(MSPTasks[[#Headers],[ID]])))="",TRUE()),"",INDEX(tsk_FcFinish,(ROW()-ROW(MSPTasks[[#Headers],[ID]]))))</f>
        <v/>
      </c>
      <c r="I2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78" t="str">
        <f aca="false">IF(IFERROR(INDEX(tsk_Name,(ROW()-ROW(MSPTasks[[#Headers],[ID]])))="",TRUE()),"",INDEX(tsk_PlanStart,(ROW()-ROW(MSPTasks[[#Headers],[ID]]))))</f>
        <v/>
      </c>
      <c r="P22" s="78" t="str">
        <f aca="false">IF(IFERROR(INDEX(tsk_Name,(ROW()-ROW(MSPTasks[[#Headers],[ID]])))="",TRUE()),"",INDEX(tsk_PlanFinish,(ROW()-ROW(MSPTasks[[#Headers],[ID]]))))</f>
        <v/>
      </c>
      <c r="Q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str">
        <f aca="false">IF(IFERROR(INDEX(tsk_Name,(ROW()-ROW(MSPTasks[[#Headers],[ID]])))="",TRUE()),"",INDEX(tsk_ID,(ROW()-ROW(MSPTasks[[#Headers],[ID]]))))</f>
        <v/>
      </c>
      <c r="B23" s="23" t="str">
        <f aca="false">IF(IFERROR(INDEX(tsk_Name,(ROW()-ROW(MSPTasks[[#Headers],[ID]])))="",TRUE()),"",INDEX(tsk_UID,(ROW()-ROW(MSPTasks[[#Headers],[ID]]))))</f>
        <v/>
      </c>
      <c r="C23" s="23" t="str">
        <f aca="false">IF(IFERROR(INDEX(tsk_Name,(ROW()-ROW(MSPTasks[[#Headers],[ID]])))="",TRUE()),"",INDEX(tsk_Name,(ROW()-ROW(MSPTasks[[#Headers],[ID]]))))</f>
        <v/>
      </c>
      <c r="D23" s="23" t="str">
        <f aca="false">IF(IFERROR(INDEX(tsk_Name,(ROW()-ROW(MSPTasks[[#Headers],[ID]])))="",TRUE()),"",INDEX(tsk_Level,(ROW()-ROW(MSPTasks[[#Headers],[ID]]))))</f>
        <v/>
      </c>
      <c r="E23" s="23" t="str">
        <f aca="false">IF(IFERROR(INDEX(tsk_Name,(ROW()-ROW(MSPTasks[[#Headers],[ID]])))="",TRUE()),"",IF(INDEX(tsk_Mode,(ROW()-ROW(MSPTasks[[#Headers],[ID]])))="Manual","Manually Scheduled","Auto Scheduled"))</f>
        <v/>
      </c>
      <c r="F2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3" s="78" t="str">
        <f aca="false">IF(IFERROR(INDEX(tsk_Name,(ROW()-ROW(MSPTasks[[#Headers],[ID]])))="",TRUE()),"",INDEX(tsk_FcStart,(ROW()-ROW(MSPTasks[[#Headers],[ID]]))))</f>
        <v/>
      </c>
      <c r="H23" s="78" t="str">
        <f aca="false">IF(IFERROR(INDEX(tsk_Name,(ROW()-ROW(MSPTasks[[#Headers],[ID]])))="",TRUE()),"",INDEX(tsk_FcFinish,(ROW()-ROW(MSPTasks[[#Headers],[ID]]))))</f>
        <v/>
      </c>
      <c r="I2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78" t="str">
        <f aca="false">IF(IFERROR(INDEX(tsk_Name,(ROW()-ROW(MSPTasks[[#Headers],[ID]])))="",TRUE()),"",INDEX(tsk_PlanStart,(ROW()-ROW(MSPTasks[[#Headers],[ID]]))))</f>
        <v/>
      </c>
      <c r="P23" s="78" t="str">
        <f aca="false">IF(IFERROR(INDEX(tsk_Name,(ROW()-ROW(MSPTasks[[#Headers],[ID]])))="",TRUE()),"",INDEX(tsk_PlanFinish,(ROW()-ROW(MSPTasks[[#Headers],[ID]]))))</f>
        <v/>
      </c>
      <c r="Q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/>
      </c>
    </row>
    <row r="24" customFormat="false" ht="15" hidden="false" customHeight="false" outlineLevel="0" collapsed="false">
      <c r="A24" s="23" t="str">
        <f aca="false">IF(IFERROR(INDEX(tsk_Name,(ROW()-ROW(MSPTasks[[#Headers],[ID]])))="",TRUE()),"",INDEX(tsk_ID,(ROW()-ROW(MSPTasks[[#Headers],[ID]]))))</f>
        <v/>
      </c>
      <c r="B24" s="23" t="str">
        <f aca="false">IF(IFERROR(INDEX(tsk_Name,(ROW()-ROW(MSPTasks[[#Headers],[ID]])))="",TRUE()),"",INDEX(tsk_UID,(ROW()-ROW(MSPTasks[[#Headers],[ID]]))))</f>
        <v/>
      </c>
      <c r="C24" s="23" t="str">
        <f aca="false">IF(IFERROR(INDEX(tsk_Name,(ROW()-ROW(MSPTasks[[#Headers],[ID]])))="",TRUE()),"",INDEX(tsk_Name,(ROW()-ROW(MSPTasks[[#Headers],[ID]]))))</f>
        <v/>
      </c>
      <c r="D24" s="23" t="str">
        <f aca="false">IF(IFERROR(INDEX(tsk_Name,(ROW()-ROW(MSPTasks[[#Headers],[ID]])))="",TRUE()),"",INDEX(tsk_Level,(ROW()-ROW(MSPTasks[[#Headers],[ID]]))))</f>
        <v/>
      </c>
      <c r="E24" s="23" t="str">
        <f aca="false">IF(IFERROR(INDEX(tsk_Name,(ROW()-ROW(MSPTasks[[#Headers],[ID]])))="",TRUE()),"",IF(INDEX(tsk_Mode,(ROW()-ROW(MSPTasks[[#Headers],[ID]])))="Manual","Manually Scheduled","Auto Scheduled"))</f>
        <v/>
      </c>
      <c r="F2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4" s="78" t="str">
        <f aca="false">IF(IFERROR(INDEX(tsk_Name,(ROW()-ROW(MSPTasks[[#Headers],[ID]])))="",TRUE()),"",INDEX(tsk_FcStart,(ROW()-ROW(MSPTasks[[#Headers],[ID]]))))</f>
        <v/>
      </c>
      <c r="H24" s="78" t="str">
        <f aca="false">IF(IFERROR(INDEX(tsk_Name,(ROW()-ROW(MSPTasks[[#Headers],[ID]])))="",TRUE()),"",INDEX(tsk_FcFinish,(ROW()-ROW(MSPTasks[[#Headers],[ID]]))))</f>
        <v/>
      </c>
      <c r="I2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78" t="str">
        <f aca="false">IF(IFERROR(INDEX(tsk_Name,(ROW()-ROW(MSPTasks[[#Headers],[ID]])))="",TRUE()),"",INDEX(tsk_PlanStart,(ROW()-ROW(MSPTasks[[#Headers],[ID]]))))</f>
        <v/>
      </c>
      <c r="P24" s="78" t="str">
        <f aca="false">IF(IFERROR(INDEX(tsk_Name,(ROW()-ROW(MSPTasks[[#Headers],[ID]])))="",TRUE()),"",INDEX(tsk_PlanFinish,(ROW()-ROW(MSPTasks[[#Headers],[ID]]))))</f>
        <v/>
      </c>
      <c r="Q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str">
        <f aca="false">IF(IFERROR(INDEX(tsk_Name,(ROW()-ROW(MSPTasks[[#Headers],[ID]])))="",TRUE()),"",INDEX(tsk_ID,(ROW()-ROW(MSPTasks[[#Headers],[ID]]))))</f>
        <v/>
      </c>
      <c r="B25" s="23" t="str">
        <f aca="false">IF(IFERROR(INDEX(tsk_Name,(ROW()-ROW(MSPTasks[[#Headers],[ID]])))="",TRUE()),"",INDEX(tsk_UID,(ROW()-ROW(MSPTasks[[#Headers],[ID]]))))</f>
        <v/>
      </c>
      <c r="C25" s="23" t="str">
        <f aca="false">IF(IFERROR(INDEX(tsk_Name,(ROW()-ROW(MSPTasks[[#Headers],[ID]])))="",TRUE()),"",INDEX(tsk_Name,(ROW()-ROW(MSPTasks[[#Headers],[ID]]))))</f>
        <v/>
      </c>
      <c r="D25" s="23" t="str">
        <f aca="false">IF(IFERROR(INDEX(tsk_Name,(ROW()-ROW(MSPTasks[[#Headers],[ID]])))="",TRUE()),"",INDEX(tsk_Level,(ROW()-ROW(MSPTasks[[#Headers],[ID]]))))</f>
        <v/>
      </c>
      <c r="E25" s="23" t="str">
        <f aca="false">IF(IFERROR(INDEX(tsk_Name,(ROW()-ROW(MSPTasks[[#Headers],[ID]])))="",TRUE()),"",IF(INDEX(tsk_Mode,(ROW()-ROW(MSPTasks[[#Headers],[ID]])))="Manual","Manually Scheduled","Auto Scheduled"))</f>
        <v/>
      </c>
      <c r="F2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5" s="78" t="str">
        <f aca="false">IF(IFERROR(INDEX(tsk_Name,(ROW()-ROW(MSPTasks[[#Headers],[ID]])))="",TRUE()),"",INDEX(tsk_FcStart,(ROW()-ROW(MSPTasks[[#Headers],[ID]]))))</f>
        <v/>
      </c>
      <c r="H25" s="78" t="str">
        <f aca="false">IF(IFERROR(INDEX(tsk_Name,(ROW()-ROW(MSPTasks[[#Headers],[ID]])))="",TRUE()),"",INDEX(tsk_FcFinish,(ROW()-ROW(MSPTasks[[#Headers],[ID]]))))</f>
        <v/>
      </c>
      <c r="I2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78" t="str">
        <f aca="false">IF(IFERROR(INDEX(tsk_Name,(ROW()-ROW(MSPTasks[[#Headers],[ID]])))="",TRUE()),"",INDEX(tsk_PlanStart,(ROW()-ROW(MSPTasks[[#Headers],[ID]]))))</f>
        <v/>
      </c>
      <c r="P25" s="78" t="str">
        <f aca="false">IF(IFERROR(INDEX(tsk_Name,(ROW()-ROW(MSPTasks[[#Headers],[ID]])))="",TRUE()),"",INDEX(tsk_PlanFinish,(ROW()-ROW(MSPTasks[[#Headers],[ID]]))))</f>
        <v/>
      </c>
      <c r="Q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str">
        <f aca="false">IF(IFERROR(INDEX(tsk_Name,(ROW()-ROW(MSPTasks[[#Headers],[ID]])))="",TRUE()),"",INDEX(tsk_ID,(ROW()-ROW(MSPTasks[[#Headers],[ID]]))))</f>
        <v/>
      </c>
      <c r="B26" s="23" t="str">
        <f aca="false">IF(IFERROR(INDEX(tsk_Name,(ROW()-ROW(MSPTasks[[#Headers],[ID]])))="",TRUE()),"",INDEX(tsk_UID,(ROW()-ROW(MSPTasks[[#Headers],[ID]]))))</f>
        <v/>
      </c>
      <c r="C26" s="23" t="str">
        <f aca="false">IF(IFERROR(INDEX(tsk_Name,(ROW()-ROW(MSPTasks[[#Headers],[ID]])))="",TRUE()),"",INDEX(tsk_Name,(ROW()-ROW(MSPTasks[[#Headers],[ID]]))))</f>
        <v/>
      </c>
      <c r="D26" s="23" t="str">
        <f aca="false">IF(IFERROR(INDEX(tsk_Name,(ROW()-ROW(MSPTasks[[#Headers],[ID]])))="",TRUE()),"",INDEX(tsk_Level,(ROW()-ROW(MSPTasks[[#Headers],[ID]]))))</f>
        <v/>
      </c>
      <c r="E26" s="23" t="str">
        <f aca="false">IF(IFERROR(INDEX(tsk_Name,(ROW()-ROW(MSPTasks[[#Headers],[ID]])))="",TRUE()),"",IF(INDEX(tsk_Mode,(ROW()-ROW(MSPTasks[[#Headers],[ID]])))="Manual","Manually Scheduled","Auto Scheduled"))</f>
        <v/>
      </c>
      <c r="F2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6" s="78" t="str">
        <f aca="false">IF(IFERROR(INDEX(tsk_Name,(ROW()-ROW(MSPTasks[[#Headers],[ID]])))="",TRUE()),"",INDEX(tsk_FcStart,(ROW()-ROW(MSPTasks[[#Headers],[ID]]))))</f>
        <v/>
      </c>
      <c r="H26" s="78" t="str">
        <f aca="false">IF(IFERROR(INDEX(tsk_Name,(ROW()-ROW(MSPTasks[[#Headers],[ID]])))="",TRUE()),"",INDEX(tsk_FcFinish,(ROW()-ROW(MSPTasks[[#Headers],[ID]]))))</f>
        <v/>
      </c>
      <c r="I2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78" t="str">
        <f aca="false">IF(IFERROR(INDEX(tsk_Name,(ROW()-ROW(MSPTasks[[#Headers],[ID]])))="",TRUE()),"",INDEX(tsk_PlanStart,(ROW()-ROW(MSPTasks[[#Headers],[ID]]))))</f>
        <v/>
      </c>
      <c r="P26" s="78" t="str">
        <f aca="false">IF(IFERROR(INDEX(tsk_Name,(ROW()-ROW(MSPTasks[[#Headers],[ID]])))="",TRUE()),"",INDEX(tsk_PlanFinish,(ROW()-ROW(MSPTasks[[#Headers],[ID]]))))</f>
        <v/>
      </c>
      <c r="Q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6" s="23" t="str">
        <f aca="false">IF(IFERROR(INDEX(tsk_Name,(ROW()-ROW(MSPTasks[[#Headers],[ID]])))="",TRUE()),"",INDEX(tsk_Notes,(ROW()-ROW(MSPTasks[[#Headers],[ID]])))&amp;"")</f>
        <v/>
      </c>
    </row>
    <row r="27" customFormat="false" ht="15" hidden="false" customHeight="false" outlineLevel="0" collapsed="false">
      <c r="A27" s="23" t="str">
        <f aca="false">IF(IFERROR(INDEX(tsk_Name,(ROW()-ROW(MSPTasks[[#Headers],[ID]])))="",TRUE()),"",INDEX(tsk_ID,(ROW()-ROW(MSPTasks[[#Headers],[ID]]))))</f>
        <v/>
      </c>
      <c r="B27" s="23" t="str">
        <f aca="false">IF(IFERROR(INDEX(tsk_Name,(ROW()-ROW(MSPTasks[[#Headers],[ID]])))="",TRUE()),"",INDEX(tsk_UID,(ROW()-ROW(MSPTasks[[#Headers],[ID]]))))</f>
        <v/>
      </c>
      <c r="C27" s="23" t="str">
        <f aca="false">IF(IFERROR(INDEX(tsk_Name,(ROW()-ROW(MSPTasks[[#Headers],[ID]])))="",TRUE()),"",INDEX(tsk_Name,(ROW()-ROW(MSPTasks[[#Headers],[ID]]))))</f>
        <v/>
      </c>
      <c r="D27" s="23" t="str">
        <f aca="false">IF(IFERROR(INDEX(tsk_Name,(ROW()-ROW(MSPTasks[[#Headers],[ID]])))="",TRUE()),"",INDEX(tsk_Level,(ROW()-ROW(MSPTasks[[#Headers],[ID]]))))</f>
        <v/>
      </c>
      <c r="E27" s="23" t="str">
        <f aca="false">IF(IFERROR(INDEX(tsk_Name,(ROW()-ROW(MSPTasks[[#Headers],[ID]])))="",TRUE()),"",IF(INDEX(tsk_Mode,(ROW()-ROW(MSPTasks[[#Headers],[ID]])))="Manual","Manually Scheduled","Auto Scheduled"))</f>
        <v/>
      </c>
      <c r="F2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7" s="78" t="str">
        <f aca="false">IF(IFERROR(INDEX(tsk_Name,(ROW()-ROW(MSPTasks[[#Headers],[ID]])))="",TRUE()),"",INDEX(tsk_FcStart,(ROW()-ROW(MSPTasks[[#Headers],[ID]]))))</f>
        <v/>
      </c>
      <c r="H27" s="78" t="str">
        <f aca="false">IF(IFERROR(INDEX(tsk_Name,(ROW()-ROW(MSPTasks[[#Headers],[ID]])))="",TRUE()),"",INDEX(tsk_FcFinish,(ROW()-ROW(MSPTasks[[#Headers],[ID]]))))</f>
        <v/>
      </c>
      <c r="I2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78" t="str">
        <f aca="false">IF(IFERROR(INDEX(tsk_Name,(ROW()-ROW(MSPTasks[[#Headers],[ID]])))="",TRUE()),"",INDEX(tsk_PlanStart,(ROW()-ROW(MSPTasks[[#Headers],[ID]]))))</f>
        <v/>
      </c>
      <c r="P27" s="78" t="str">
        <f aca="false">IF(IFERROR(INDEX(tsk_Name,(ROW()-ROW(MSPTasks[[#Headers],[ID]])))="",TRUE()),"",INDEX(tsk_PlanFinish,(ROW()-ROW(MSPTasks[[#Headers],[ID]]))))</f>
        <v/>
      </c>
      <c r="Q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str">
        <f aca="false">IF(IFERROR(INDEX(tsk_Name,(ROW()-ROW(MSPTasks[[#Headers],[ID]])))="",TRUE()),"",INDEX(tsk_ID,(ROW()-ROW(MSPTasks[[#Headers],[ID]]))))</f>
        <v/>
      </c>
      <c r="B28" s="23" t="str">
        <f aca="false">IF(IFERROR(INDEX(tsk_Name,(ROW()-ROW(MSPTasks[[#Headers],[ID]])))="",TRUE()),"",INDEX(tsk_UID,(ROW()-ROW(MSPTasks[[#Headers],[ID]]))))</f>
        <v/>
      </c>
      <c r="C28" s="23" t="str">
        <f aca="false">IF(IFERROR(INDEX(tsk_Name,(ROW()-ROW(MSPTasks[[#Headers],[ID]])))="",TRUE()),"",INDEX(tsk_Name,(ROW()-ROW(MSPTasks[[#Headers],[ID]]))))</f>
        <v/>
      </c>
      <c r="D28" s="23" t="str">
        <f aca="false">IF(IFERROR(INDEX(tsk_Name,(ROW()-ROW(MSPTasks[[#Headers],[ID]])))="",TRUE()),"",INDEX(tsk_Level,(ROW()-ROW(MSPTasks[[#Headers],[ID]]))))</f>
        <v/>
      </c>
      <c r="E28" s="23" t="str">
        <f aca="false">IF(IFERROR(INDEX(tsk_Name,(ROW()-ROW(MSPTasks[[#Headers],[ID]])))="",TRUE()),"",IF(INDEX(tsk_Mode,(ROW()-ROW(MSPTasks[[#Headers],[ID]])))="Manual","Manually Scheduled","Auto Scheduled"))</f>
        <v/>
      </c>
      <c r="F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78" t="str">
        <f aca="false">IF(IFERROR(INDEX(tsk_Name,(ROW()-ROW(MSPTasks[[#Headers],[ID]])))="",TRUE()),"",INDEX(tsk_FcStart,(ROW()-ROW(MSPTasks[[#Headers],[ID]]))))</f>
        <v/>
      </c>
      <c r="H28" s="78" t="str">
        <f aca="false">IF(IFERROR(INDEX(tsk_Name,(ROW()-ROW(MSPTasks[[#Headers],[ID]])))="",TRUE()),"",INDEX(tsk_FcFinish,(ROW()-ROW(MSPTasks[[#Headers],[ID]]))))</f>
        <v/>
      </c>
      <c r="I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78" t="str">
        <f aca="false">IF(IFERROR(INDEX(tsk_Name,(ROW()-ROW(MSPTasks[[#Headers],[ID]])))="",TRUE()),"",INDEX(tsk_PlanStart,(ROW()-ROW(MSPTasks[[#Headers],[ID]]))))</f>
        <v/>
      </c>
      <c r="P28" s="78" t="str">
        <f aca="false">IF(IFERROR(INDEX(tsk_Name,(ROW()-ROW(MSPTasks[[#Headers],[ID]])))="",TRUE()),"",INDEX(tsk_PlanFinish,(ROW()-ROW(MSPTasks[[#Headers],[ID]]))))</f>
        <v/>
      </c>
      <c r="Q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str">
        <f aca="false">IF(IFERROR(INDEX(tsk_Name,(ROW()-ROW(MSPTasks[[#Headers],[ID]])))="",TRUE()),"",INDEX(tsk_ID,(ROW()-ROW(MSPTasks[[#Headers],[ID]]))))</f>
        <v/>
      </c>
      <c r="B29" s="23" t="str">
        <f aca="false">IF(IFERROR(INDEX(tsk_Name,(ROW()-ROW(MSPTasks[[#Headers],[ID]])))="",TRUE()),"",INDEX(tsk_UID,(ROW()-ROW(MSPTasks[[#Headers],[ID]]))))</f>
        <v/>
      </c>
      <c r="C29" s="23" t="str">
        <f aca="false">IF(IFERROR(INDEX(tsk_Name,(ROW()-ROW(MSPTasks[[#Headers],[ID]])))="",TRUE()),"",INDEX(tsk_Name,(ROW()-ROW(MSPTasks[[#Headers],[ID]]))))</f>
        <v/>
      </c>
      <c r="D29" s="23" t="str">
        <f aca="false">IF(IFERROR(INDEX(tsk_Name,(ROW()-ROW(MSPTasks[[#Headers],[ID]])))="",TRUE()),"",INDEX(tsk_Level,(ROW()-ROW(MSPTasks[[#Headers],[ID]]))))</f>
        <v/>
      </c>
      <c r="E29" s="23" t="str">
        <f aca="false">IF(IFERROR(INDEX(tsk_Name,(ROW()-ROW(MSPTasks[[#Headers],[ID]])))="",TRUE()),"",IF(INDEX(tsk_Mode,(ROW()-ROW(MSPTasks[[#Headers],[ID]])))="Manual","Manually Scheduled","Auto Scheduled"))</f>
        <v/>
      </c>
      <c r="F2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9" s="78" t="str">
        <f aca="false">IF(IFERROR(INDEX(tsk_Name,(ROW()-ROW(MSPTasks[[#Headers],[ID]])))="",TRUE()),"",INDEX(tsk_FcStart,(ROW()-ROW(MSPTasks[[#Headers],[ID]]))))</f>
        <v/>
      </c>
      <c r="H29" s="78" t="str">
        <f aca="false">IF(IFERROR(INDEX(tsk_Name,(ROW()-ROW(MSPTasks[[#Headers],[ID]])))="",TRUE()),"",INDEX(tsk_FcFinish,(ROW()-ROW(MSPTasks[[#Headers],[ID]]))))</f>
        <v/>
      </c>
      <c r="I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78" t="str">
        <f aca="false">IF(IFERROR(INDEX(tsk_Name,(ROW()-ROW(MSPTasks[[#Headers],[ID]])))="",TRUE()),"",INDEX(tsk_PlanStart,(ROW()-ROW(MSPTasks[[#Headers],[ID]]))))</f>
        <v/>
      </c>
      <c r="P29" s="78" t="str">
        <f aca="false">IF(IFERROR(INDEX(tsk_Name,(ROW()-ROW(MSPTasks[[#Headers],[ID]])))="",TRUE()),"",INDEX(tsk_PlanFinish,(ROW()-ROW(MSPTasks[[#Headers],[ID]]))))</f>
        <v/>
      </c>
      <c r="Q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/>
      </c>
    </row>
    <row r="30" customFormat="false" ht="15" hidden="false" customHeight="false" outlineLevel="0" collapsed="false">
      <c r="A30" s="23" t="str">
        <f aca="false">IF(IFERROR(INDEX(tsk_Name,(ROW()-ROW(MSPTasks[[#Headers],[ID]])))="",TRUE()),"",INDEX(tsk_ID,(ROW()-ROW(MSPTasks[[#Headers],[ID]]))))</f>
        <v/>
      </c>
      <c r="B30" s="23" t="str">
        <f aca="false">IF(IFERROR(INDEX(tsk_Name,(ROW()-ROW(MSPTasks[[#Headers],[ID]])))="",TRUE()),"",INDEX(tsk_UID,(ROW()-ROW(MSPTasks[[#Headers],[ID]]))))</f>
        <v/>
      </c>
      <c r="C30" s="23" t="str">
        <f aca="false">IF(IFERROR(INDEX(tsk_Name,(ROW()-ROW(MSPTasks[[#Headers],[ID]])))="",TRUE()),"",INDEX(tsk_Name,(ROW()-ROW(MSPTasks[[#Headers],[ID]]))))</f>
        <v/>
      </c>
      <c r="D30" s="23" t="str">
        <f aca="false">IF(IFERROR(INDEX(tsk_Name,(ROW()-ROW(MSPTasks[[#Headers],[ID]])))="",TRUE()),"",INDEX(tsk_Level,(ROW()-ROW(MSPTasks[[#Headers],[ID]]))))</f>
        <v/>
      </c>
      <c r="E30" s="23" t="str">
        <f aca="false">IF(IFERROR(INDEX(tsk_Name,(ROW()-ROW(MSPTasks[[#Headers],[ID]])))="",TRUE()),"",IF(INDEX(tsk_Mode,(ROW()-ROW(MSPTasks[[#Headers],[ID]])))="Manual","Manually Scheduled","Auto Scheduled"))</f>
        <v/>
      </c>
      <c r="F3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0" s="78" t="str">
        <f aca="false">IF(IFERROR(INDEX(tsk_Name,(ROW()-ROW(MSPTasks[[#Headers],[ID]])))="",TRUE()),"",INDEX(tsk_FcStart,(ROW()-ROW(MSPTasks[[#Headers],[ID]]))))</f>
        <v/>
      </c>
      <c r="H30" s="78" t="str">
        <f aca="false">IF(IFERROR(INDEX(tsk_Name,(ROW()-ROW(MSPTasks[[#Headers],[ID]])))="",TRUE()),"",INDEX(tsk_FcFinish,(ROW()-ROW(MSPTasks[[#Headers],[ID]]))))</f>
        <v/>
      </c>
      <c r="I3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78" t="str">
        <f aca="false">IF(IFERROR(INDEX(tsk_Name,(ROW()-ROW(MSPTasks[[#Headers],[ID]])))="",TRUE()),"",INDEX(tsk_PlanStart,(ROW()-ROW(MSPTasks[[#Headers],[ID]]))))</f>
        <v/>
      </c>
      <c r="P30" s="78" t="str">
        <f aca="false">IF(IFERROR(INDEX(tsk_Name,(ROW()-ROW(MSPTasks[[#Headers],[ID]])))="",TRUE()),"",INDEX(tsk_PlanFinish,(ROW()-ROW(MSPTasks[[#Headers],[ID]]))))</f>
        <v/>
      </c>
      <c r="Q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str">
        <f aca="false">IF(IFERROR(INDEX(tsk_Name,(ROW()-ROW(MSPTasks[[#Headers],[ID]])))="",TRUE()),"",INDEX(tsk_ID,(ROW()-ROW(MSPTasks[[#Headers],[ID]]))))</f>
        <v/>
      </c>
      <c r="B31" s="23" t="str">
        <f aca="false">IF(IFERROR(INDEX(tsk_Name,(ROW()-ROW(MSPTasks[[#Headers],[ID]])))="",TRUE()),"",INDEX(tsk_UID,(ROW()-ROW(MSPTasks[[#Headers],[ID]]))))</f>
        <v/>
      </c>
      <c r="C31" s="23" t="str">
        <f aca="false">IF(IFERROR(INDEX(tsk_Name,(ROW()-ROW(MSPTasks[[#Headers],[ID]])))="",TRUE()),"",INDEX(tsk_Name,(ROW()-ROW(MSPTasks[[#Headers],[ID]]))))</f>
        <v/>
      </c>
      <c r="D31" s="23" t="str">
        <f aca="false">IF(IFERROR(INDEX(tsk_Name,(ROW()-ROW(MSPTasks[[#Headers],[ID]])))="",TRUE()),"",INDEX(tsk_Level,(ROW()-ROW(MSPTasks[[#Headers],[ID]]))))</f>
        <v/>
      </c>
      <c r="E31" s="23" t="str">
        <f aca="false">IF(IFERROR(INDEX(tsk_Name,(ROW()-ROW(MSPTasks[[#Headers],[ID]])))="",TRUE()),"",IF(INDEX(tsk_Mode,(ROW()-ROW(MSPTasks[[#Headers],[ID]])))="Manual","Manually Scheduled","Auto Scheduled"))</f>
        <v/>
      </c>
      <c r="F3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1" s="78" t="str">
        <f aca="false">IF(IFERROR(INDEX(tsk_Name,(ROW()-ROW(MSPTasks[[#Headers],[ID]])))="",TRUE()),"",INDEX(tsk_FcStart,(ROW()-ROW(MSPTasks[[#Headers],[ID]]))))</f>
        <v/>
      </c>
      <c r="H31" s="78" t="str">
        <f aca="false">IF(IFERROR(INDEX(tsk_Name,(ROW()-ROW(MSPTasks[[#Headers],[ID]])))="",TRUE()),"",INDEX(tsk_FcFinish,(ROW()-ROW(MSPTasks[[#Headers],[ID]]))))</f>
        <v/>
      </c>
      <c r="I3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78" t="str">
        <f aca="false">IF(IFERROR(INDEX(tsk_Name,(ROW()-ROW(MSPTasks[[#Headers],[ID]])))="",TRUE()),"",INDEX(tsk_PlanStart,(ROW()-ROW(MSPTasks[[#Headers],[ID]]))))</f>
        <v/>
      </c>
      <c r="P31" s="78" t="str">
        <f aca="false">IF(IFERROR(INDEX(tsk_Name,(ROW()-ROW(MSPTasks[[#Headers],[ID]])))="",TRUE()),"",INDEX(tsk_PlanFinish,(ROW()-ROW(MSPTasks[[#Headers],[ID]]))))</f>
        <v/>
      </c>
      <c r="Q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/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78" t="str">
        <f aca="false">IF(IFERROR(INDEX(tsk_Name,(ROW()-ROW(MSPTasks[[#Headers],[ID]])))="",TRUE()),"",INDEX(tsk_FcStart,(ROW()-ROW(MSPTasks[[#Headers],[ID]]))))</f>
        <v/>
      </c>
      <c r="H32" s="78" t="str">
        <f aca="false">IF(IFERROR(INDEX(tsk_Name,(ROW()-ROW(MSPTasks[[#Headers],[ID]])))="",TRUE()),"",INDEX(tsk_FcFinish,(ROW()-ROW(MSPTasks[[#Headers],[ID]]))))</f>
        <v/>
      </c>
      <c r="I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78" t="str">
        <f aca="false">IF(IFERROR(INDEX(tsk_Name,(ROW()-ROW(MSPTasks[[#Headers],[ID]])))="",TRUE()),"",INDEX(tsk_PlanStart,(ROW()-ROW(MSPTasks[[#Headers],[ID]]))))</f>
        <v/>
      </c>
      <c r="P32" s="78" t="str">
        <f aca="false">IF(IFERROR(INDEX(tsk_Name,(ROW()-ROW(MSPTasks[[#Headers],[ID]])))="",TRUE()),"",INDEX(tsk_PlanFinish,(ROW()-ROW(MSPTasks[[#Headers],[ID]]))))</f>
        <v/>
      </c>
      <c r="Q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78" t="str">
        <f aca="false">IF(IFERROR(INDEX(tsk_Name,(ROW()-ROW(MSPTasks[[#Headers],[ID]])))="",TRUE()),"",INDEX(tsk_FcStart,(ROW()-ROW(MSPTasks[[#Headers],[ID]]))))</f>
        <v/>
      </c>
      <c r="H33" s="78" t="str">
        <f aca="false">IF(IFERROR(INDEX(tsk_Name,(ROW()-ROW(MSPTasks[[#Headers],[ID]])))="",TRUE()),"",INDEX(tsk_FcFinish,(ROW()-ROW(MSPTasks[[#Headers],[ID]]))))</f>
        <v/>
      </c>
      <c r="I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78" t="str">
        <f aca="false">IF(IFERROR(INDEX(tsk_Name,(ROW()-ROW(MSPTasks[[#Headers],[ID]])))="",TRUE()),"",INDEX(tsk_PlanStart,(ROW()-ROW(MSPTasks[[#Headers],[ID]]))))</f>
        <v/>
      </c>
      <c r="P33" s="78" t="str">
        <f aca="false">IF(IFERROR(INDEX(tsk_Name,(ROW()-ROW(MSPTasks[[#Headers],[ID]])))="",TRUE()),"",INDEX(tsk_PlanFinish,(ROW()-ROW(MSPTasks[[#Headers],[ID]]))))</f>
        <v/>
      </c>
      <c r="Q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78" t="str">
        <f aca="false">IF(IFERROR(INDEX(tsk_Name,(ROW()-ROW(MSPTasks[[#Headers],[ID]])))="",TRUE()),"",INDEX(tsk_FcStart,(ROW()-ROW(MSPTasks[[#Headers],[ID]]))))</f>
        <v/>
      </c>
      <c r="H34" s="78" t="str">
        <f aca="false">IF(IFERROR(INDEX(tsk_Name,(ROW()-ROW(MSPTasks[[#Headers],[ID]])))="",TRUE()),"",INDEX(tsk_FcFinish,(ROW()-ROW(MSPTasks[[#Headers],[ID]]))))</f>
        <v/>
      </c>
      <c r="I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78" t="str">
        <f aca="false">IF(IFERROR(INDEX(tsk_Name,(ROW()-ROW(MSPTasks[[#Headers],[ID]])))="",TRUE()),"",INDEX(tsk_PlanStart,(ROW()-ROW(MSPTasks[[#Headers],[ID]]))))</f>
        <v/>
      </c>
      <c r="P34" s="78" t="str">
        <f aca="false">IF(IFERROR(INDEX(tsk_Name,(ROW()-ROW(MSPTasks[[#Headers],[ID]])))="",TRUE()),"",INDEX(tsk_PlanFinish,(ROW()-ROW(MSPTasks[[#Headers],[ID]]))))</f>
        <v/>
      </c>
      <c r="Q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78" t="str">
        <f aca="false">IF(IFERROR(INDEX(tsk_Name,(ROW()-ROW(MSPTasks[[#Headers],[ID]])))="",TRUE()),"",INDEX(tsk_FcStart,(ROW()-ROW(MSPTasks[[#Headers],[ID]]))))</f>
        <v/>
      </c>
      <c r="H35" s="78" t="str">
        <f aca="false">IF(IFERROR(INDEX(tsk_Name,(ROW()-ROW(MSPTasks[[#Headers],[ID]])))="",TRUE()),"",INDEX(tsk_FcFinish,(ROW()-ROW(MSPTasks[[#Headers],[ID]]))))</f>
        <v/>
      </c>
      <c r="I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78" t="str">
        <f aca="false">IF(IFERROR(INDEX(tsk_Name,(ROW()-ROW(MSPTasks[[#Headers],[ID]])))="",TRUE()),"",INDEX(tsk_PlanStart,(ROW()-ROW(MSPTasks[[#Headers],[ID]]))))</f>
        <v/>
      </c>
      <c r="P35" s="78" t="str">
        <f aca="false">IF(IFERROR(INDEX(tsk_Name,(ROW()-ROW(MSPTasks[[#Headers],[ID]])))="",TRUE()),"",INDEX(tsk_PlanFinish,(ROW()-ROW(MSPTasks[[#Headers],[ID]]))))</f>
        <v/>
      </c>
      <c r="Q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78" t="str">
        <f aca="false">IF(IFERROR(INDEX(tsk_Name,(ROW()-ROW(MSPTasks[[#Headers],[ID]])))="",TRUE()),"",INDEX(tsk_FcStart,(ROW()-ROW(MSPTasks[[#Headers],[ID]]))))</f>
        <v/>
      </c>
      <c r="H36" s="78" t="str">
        <f aca="false">IF(IFERROR(INDEX(tsk_Name,(ROW()-ROW(MSPTasks[[#Headers],[ID]])))="",TRUE()),"",INDEX(tsk_FcFinish,(ROW()-ROW(MSPTasks[[#Headers],[ID]]))))</f>
        <v/>
      </c>
      <c r="I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78" t="str">
        <f aca="false">IF(IFERROR(INDEX(tsk_Name,(ROW()-ROW(MSPTasks[[#Headers],[ID]])))="",TRUE()),"",INDEX(tsk_PlanStart,(ROW()-ROW(MSPTasks[[#Headers],[ID]]))))</f>
        <v/>
      </c>
      <c r="P36" s="78" t="str">
        <f aca="false">IF(IFERROR(INDEX(tsk_Name,(ROW()-ROW(MSPTasks[[#Headers],[ID]])))="",TRUE()),"",INDEX(tsk_PlanFinish,(ROW()-ROW(MSPTasks[[#Headers],[ID]]))))</f>
        <v/>
      </c>
      <c r="Q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78" t="str">
        <f aca="false">IF(IFERROR(INDEX(tsk_Name,(ROW()-ROW(MSPTasks[[#Headers],[ID]])))="",TRUE()),"",INDEX(tsk_FcStart,(ROW()-ROW(MSPTasks[[#Headers],[ID]]))))</f>
        <v/>
      </c>
      <c r="H37" s="78" t="str">
        <f aca="false">IF(IFERROR(INDEX(tsk_Name,(ROW()-ROW(MSPTasks[[#Headers],[ID]])))="",TRUE()),"",INDEX(tsk_FcFinish,(ROW()-ROW(MSPTasks[[#Headers],[ID]]))))</f>
        <v/>
      </c>
      <c r="I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78" t="str">
        <f aca="false">IF(IFERROR(INDEX(tsk_Name,(ROW()-ROW(MSPTasks[[#Headers],[ID]])))="",TRUE()),"",INDEX(tsk_PlanStart,(ROW()-ROW(MSPTasks[[#Headers],[ID]]))))</f>
        <v/>
      </c>
      <c r="P37" s="78" t="str">
        <f aca="false">IF(IFERROR(INDEX(tsk_Name,(ROW()-ROW(MSPTasks[[#Headers],[ID]])))="",TRUE()),"",INDEX(tsk_PlanFinish,(ROW()-ROW(MSPTasks[[#Headers],[ID]]))))</f>
        <v/>
      </c>
      <c r="Q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78" t="str">
        <f aca="false">IF(IFERROR(INDEX(tsk_Name,(ROW()-ROW(MSPTasks[[#Headers],[ID]])))="",TRUE()),"",INDEX(tsk_FcStart,(ROW()-ROW(MSPTasks[[#Headers],[ID]]))))</f>
        <v/>
      </c>
      <c r="H38" s="78" t="str">
        <f aca="false">IF(IFERROR(INDEX(tsk_Name,(ROW()-ROW(MSPTasks[[#Headers],[ID]])))="",TRUE()),"",INDEX(tsk_FcFinish,(ROW()-ROW(MSPTasks[[#Headers],[ID]]))))</f>
        <v/>
      </c>
      <c r="I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78" t="str">
        <f aca="false">IF(IFERROR(INDEX(tsk_Name,(ROW()-ROW(MSPTasks[[#Headers],[ID]])))="",TRUE()),"",INDEX(tsk_PlanStart,(ROW()-ROW(MSPTasks[[#Headers],[ID]]))))</f>
        <v/>
      </c>
      <c r="P38" s="78" t="str">
        <f aca="false">IF(IFERROR(INDEX(tsk_Name,(ROW()-ROW(MSPTasks[[#Headers],[ID]])))="",TRUE()),"",INDEX(tsk_PlanFinish,(ROW()-ROW(MSPTasks[[#Headers],[ID]]))))</f>
        <v/>
      </c>
      <c r="Q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78" t="str">
        <f aca="false">IF(IFERROR(INDEX(tsk_Name,(ROW()-ROW(MSPTasks[[#Headers],[ID]])))="",TRUE()),"",INDEX(tsk_FcStart,(ROW()-ROW(MSPTasks[[#Headers],[ID]]))))</f>
        <v/>
      </c>
      <c r="H39" s="78" t="str">
        <f aca="false">IF(IFERROR(INDEX(tsk_Name,(ROW()-ROW(MSPTasks[[#Headers],[ID]])))="",TRUE()),"",INDEX(tsk_FcFinish,(ROW()-ROW(MSPTasks[[#Headers],[ID]]))))</f>
        <v/>
      </c>
      <c r="I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78" t="str">
        <f aca="false">IF(IFERROR(INDEX(tsk_Name,(ROW()-ROW(MSPTasks[[#Headers],[ID]])))="",TRUE()),"",INDEX(tsk_PlanStart,(ROW()-ROW(MSPTasks[[#Headers],[ID]]))))</f>
        <v/>
      </c>
      <c r="P39" s="78" t="str">
        <f aca="false">IF(IFERROR(INDEX(tsk_Name,(ROW()-ROW(MSPTasks[[#Headers],[ID]])))="",TRUE()),"",INDEX(tsk_PlanFinish,(ROW()-ROW(MSPTasks[[#Headers],[ID]]))))</f>
        <v/>
      </c>
      <c r="Q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78" t="str">
        <f aca="false">IF(IFERROR(INDEX(tsk_Name,(ROW()-ROW(MSPTasks[[#Headers],[ID]])))="",TRUE()),"",INDEX(tsk_FcStart,(ROW()-ROW(MSPTasks[[#Headers],[ID]]))))</f>
        <v/>
      </c>
      <c r="H40" s="78" t="str">
        <f aca="false">IF(IFERROR(INDEX(tsk_Name,(ROW()-ROW(MSPTasks[[#Headers],[ID]])))="",TRUE()),"",INDEX(tsk_FcFinish,(ROW()-ROW(MSPTasks[[#Headers],[ID]]))))</f>
        <v/>
      </c>
      <c r="I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78" t="str">
        <f aca="false">IF(IFERROR(INDEX(tsk_Name,(ROW()-ROW(MSPTasks[[#Headers],[ID]])))="",TRUE()),"",INDEX(tsk_PlanStart,(ROW()-ROW(MSPTasks[[#Headers],[ID]]))))</f>
        <v/>
      </c>
      <c r="P40" s="78" t="str">
        <f aca="false">IF(IFERROR(INDEX(tsk_Name,(ROW()-ROW(MSPTasks[[#Headers],[ID]])))="",TRUE()),"",INDEX(tsk_PlanFinish,(ROW()-ROW(MSPTasks[[#Headers],[ID]]))))</f>
        <v/>
      </c>
      <c r="Q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78" t="str">
        <f aca="false">IF(IFERROR(INDEX(tsk_Name,(ROW()-ROW(MSPTasks[[#Headers],[ID]])))="",TRUE()),"",INDEX(tsk_FcStart,(ROW()-ROW(MSPTasks[[#Headers],[ID]]))))</f>
        <v/>
      </c>
      <c r="H41" s="78" t="str">
        <f aca="false">IF(IFERROR(INDEX(tsk_Name,(ROW()-ROW(MSPTasks[[#Headers],[ID]])))="",TRUE()),"",INDEX(tsk_FcFinish,(ROW()-ROW(MSPTasks[[#Headers],[ID]]))))</f>
        <v/>
      </c>
      <c r="I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78" t="str">
        <f aca="false">IF(IFERROR(INDEX(tsk_Name,(ROW()-ROW(MSPTasks[[#Headers],[ID]])))="",TRUE()),"",INDEX(tsk_PlanStart,(ROW()-ROW(MSPTasks[[#Headers],[ID]]))))</f>
        <v/>
      </c>
      <c r="P41" s="78" t="str">
        <f aca="false">IF(IFERROR(INDEX(tsk_Name,(ROW()-ROW(MSPTasks[[#Headers],[ID]])))="",TRUE()),"",INDEX(tsk_PlanFinish,(ROW()-ROW(MSPTasks[[#Headers],[ID]]))))</f>
        <v/>
      </c>
      <c r="Q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78" t="str">
        <f aca="false">IF(IFERROR(INDEX(tsk_Name,(ROW()-ROW(MSPTasks[[#Headers],[ID]])))="",TRUE()),"",INDEX(tsk_FcStart,(ROW()-ROW(MSPTasks[[#Headers],[ID]]))))</f>
        <v/>
      </c>
      <c r="H42" s="78" t="str">
        <f aca="false">IF(IFERROR(INDEX(tsk_Name,(ROW()-ROW(MSPTasks[[#Headers],[ID]])))="",TRUE()),"",INDEX(tsk_FcFinish,(ROW()-ROW(MSPTasks[[#Headers],[ID]]))))</f>
        <v/>
      </c>
      <c r="I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78" t="str">
        <f aca="false">IF(IFERROR(INDEX(tsk_Name,(ROW()-ROW(MSPTasks[[#Headers],[ID]])))="",TRUE()),"",INDEX(tsk_PlanStart,(ROW()-ROW(MSPTasks[[#Headers],[ID]]))))</f>
        <v/>
      </c>
      <c r="P42" s="78" t="str">
        <f aca="false">IF(IFERROR(INDEX(tsk_Name,(ROW()-ROW(MSPTasks[[#Headers],[ID]])))="",TRUE()),"",INDEX(tsk_PlanFinish,(ROW()-ROW(MSPTasks[[#Headers],[ID]]))))</f>
        <v/>
      </c>
      <c r="Q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78" t="str">
        <f aca="false">IF(IFERROR(INDEX(tsk_Name,(ROW()-ROW(MSPTasks[[#Headers],[ID]])))="",TRUE()),"",INDEX(tsk_FcStart,(ROW()-ROW(MSPTasks[[#Headers],[ID]]))))</f>
        <v/>
      </c>
      <c r="H43" s="78" t="str">
        <f aca="false">IF(IFERROR(INDEX(tsk_Name,(ROW()-ROW(MSPTasks[[#Headers],[ID]])))="",TRUE()),"",INDEX(tsk_FcFinish,(ROW()-ROW(MSPTasks[[#Headers],[ID]]))))</f>
        <v/>
      </c>
      <c r="I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78" t="str">
        <f aca="false">IF(IFERROR(INDEX(tsk_Name,(ROW()-ROW(MSPTasks[[#Headers],[ID]])))="",TRUE()),"",INDEX(tsk_PlanStart,(ROW()-ROW(MSPTasks[[#Headers],[ID]]))))</f>
        <v/>
      </c>
      <c r="P43" s="78" t="str">
        <f aca="false">IF(IFERROR(INDEX(tsk_Name,(ROW()-ROW(MSPTasks[[#Headers],[ID]])))="",TRUE()),"",INDEX(tsk_PlanFinish,(ROW()-ROW(MSPTasks[[#Headers],[ID]]))))</f>
        <v/>
      </c>
      <c r="Q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78" t="str">
        <f aca="false">IF(IFERROR(INDEX(tsk_Name,(ROW()-ROW(MSPTasks[[#Headers],[ID]])))="",TRUE()),"",INDEX(tsk_FcStart,(ROW()-ROW(MSPTasks[[#Headers],[ID]]))))</f>
        <v/>
      </c>
      <c r="H44" s="78" t="str">
        <f aca="false">IF(IFERROR(INDEX(tsk_Name,(ROW()-ROW(MSPTasks[[#Headers],[ID]])))="",TRUE()),"",INDEX(tsk_FcFinish,(ROW()-ROW(MSPTasks[[#Headers],[ID]]))))</f>
        <v/>
      </c>
      <c r="I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78" t="str">
        <f aca="false">IF(IFERROR(INDEX(tsk_Name,(ROW()-ROW(MSPTasks[[#Headers],[ID]])))="",TRUE()),"",INDEX(tsk_PlanStart,(ROW()-ROW(MSPTasks[[#Headers],[ID]]))))</f>
        <v/>
      </c>
      <c r="P44" s="78" t="str">
        <f aca="false">IF(IFERROR(INDEX(tsk_Name,(ROW()-ROW(MSPTasks[[#Headers],[ID]])))="",TRUE()),"",INDEX(tsk_PlanFinish,(ROW()-ROW(MSPTasks[[#Headers],[ID]]))))</f>
        <v/>
      </c>
      <c r="Q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78" t="str">
        <f aca="false">IF(IFERROR(INDEX(tsk_Name,(ROW()-ROW(MSPTasks[[#Headers],[ID]])))="",TRUE()),"",INDEX(tsk_FcStart,(ROW()-ROW(MSPTasks[[#Headers],[ID]]))))</f>
        <v/>
      </c>
      <c r="H45" s="78" t="str">
        <f aca="false">IF(IFERROR(INDEX(tsk_Name,(ROW()-ROW(MSPTasks[[#Headers],[ID]])))="",TRUE()),"",INDEX(tsk_FcFinish,(ROW()-ROW(MSPTasks[[#Headers],[ID]]))))</f>
        <v/>
      </c>
      <c r="I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78" t="str">
        <f aca="false">IF(IFERROR(INDEX(tsk_Name,(ROW()-ROW(MSPTasks[[#Headers],[ID]])))="",TRUE()),"",INDEX(tsk_PlanStart,(ROW()-ROW(MSPTasks[[#Headers],[ID]]))))</f>
        <v/>
      </c>
      <c r="P45" s="78" t="str">
        <f aca="false">IF(IFERROR(INDEX(tsk_Name,(ROW()-ROW(MSPTasks[[#Headers],[ID]])))="",TRUE()),"",INDEX(tsk_PlanFinish,(ROW()-ROW(MSPTasks[[#Headers],[ID]]))))</f>
        <v/>
      </c>
      <c r="Q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78" t="str">
        <f aca="false">IF(IFERROR(INDEX(tsk_Name,(ROW()-ROW(MSPTasks[[#Headers],[ID]])))="",TRUE()),"",INDEX(tsk_FcStart,(ROW()-ROW(MSPTasks[[#Headers],[ID]]))))</f>
        <v/>
      </c>
      <c r="H46" s="78" t="str">
        <f aca="false">IF(IFERROR(INDEX(tsk_Name,(ROW()-ROW(MSPTasks[[#Headers],[ID]])))="",TRUE()),"",INDEX(tsk_FcFinish,(ROW()-ROW(MSPTasks[[#Headers],[ID]]))))</f>
        <v/>
      </c>
      <c r="I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78" t="str">
        <f aca="false">IF(IFERROR(INDEX(tsk_Name,(ROW()-ROW(MSPTasks[[#Headers],[ID]])))="",TRUE()),"",INDEX(tsk_PlanStart,(ROW()-ROW(MSPTasks[[#Headers],[ID]]))))</f>
        <v/>
      </c>
      <c r="P46" s="78" t="str">
        <f aca="false">IF(IFERROR(INDEX(tsk_Name,(ROW()-ROW(MSPTasks[[#Headers],[ID]])))="",TRUE()),"",INDEX(tsk_PlanFinish,(ROW()-ROW(MSPTasks[[#Headers],[ID]]))))</f>
        <v/>
      </c>
      <c r="Q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78" t="str">
        <f aca="false">IF(IFERROR(INDEX(tsk_Name,(ROW()-ROW(MSPTasks[[#Headers],[ID]])))="",TRUE()),"",INDEX(tsk_FcStart,(ROW()-ROW(MSPTasks[[#Headers],[ID]]))))</f>
        <v/>
      </c>
      <c r="H47" s="78" t="str">
        <f aca="false">IF(IFERROR(INDEX(tsk_Name,(ROW()-ROW(MSPTasks[[#Headers],[ID]])))="",TRUE()),"",INDEX(tsk_FcFinish,(ROW()-ROW(MSPTasks[[#Headers],[ID]]))))</f>
        <v/>
      </c>
      <c r="I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78" t="str">
        <f aca="false">IF(IFERROR(INDEX(tsk_Name,(ROW()-ROW(MSPTasks[[#Headers],[ID]])))="",TRUE()),"",INDEX(tsk_PlanStart,(ROW()-ROW(MSPTasks[[#Headers],[ID]]))))</f>
        <v/>
      </c>
      <c r="P47" s="78" t="str">
        <f aca="false">IF(IFERROR(INDEX(tsk_Name,(ROW()-ROW(MSPTasks[[#Headers],[ID]])))="",TRUE()),"",INDEX(tsk_PlanFinish,(ROW()-ROW(MSPTasks[[#Headers],[ID]]))))</f>
        <v/>
      </c>
      <c r="Q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78" t="str">
        <f aca="false">IF(IFERROR(INDEX(tsk_Name,(ROW()-ROW(MSPTasks[[#Headers],[ID]])))="",TRUE()),"",INDEX(tsk_FcStart,(ROW()-ROW(MSPTasks[[#Headers],[ID]]))))</f>
        <v/>
      </c>
      <c r="H48" s="78" t="str">
        <f aca="false">IF(IFERROR(INDEX(tsk_Name,(ROW()-ROW(MSPTasks[[#Headers],[ID]])))="",TRUE()),"",INDEX(tsk_FcFinish,(ROW()-ROW(MSPTasks[[#Headers],[ID]]))))</f>
        <v/>
      </c>
      <c r="I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78" t="str">
        <f aca="false">IF(IFERROR(INDEX(tsk_Name,(ROW()-ROW(MSPTasks[[#Headers],[ID]])))="",TRUE()),"",INDEX(tsk_PlanStart,(ROW()-ROW(MSPTasks[[#Headers],[ID]]))))</f>
        <v/>
      </c>
      <c r="P48" s="78" t="str">
        <f aca="false">IF(IFERROR(INDEX(tsk_Name,(ROW()-ROW(MSPTasks[[#Headers],[ID]])))="",TRUE()),"",INDEX(tsk_PlanFinish,(ROW()-ROW(MSPTasks[[#Headers],[ID]]))))</f>
        <v/>
      </c>
      <c r="Q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78" t="str">
        <f aca="false">IF(IFERROR(INDEX(tsk_Name,(ROW()-ROW(MSPTasks[[#Headers],[ID]])))="",TRUE()),"",INDEX(tsk_FcStart,(ROW()-ROW(MSPTasks[[#Headers],[ID]]))))</f>
        <v/>
      </c>
      <c r="H49" s="78" t="str">
        <f aca="false">IF(IFERROR(INDEX(tsk_Name,(ROW()-ROW(MSPTasks[[#Headers],[ID]])))="",TRUE()),"",INDEX(tsk_FcFinish,(ROW()-ROW(MSPTasks[[#Headers],[ID]]))))</f>
        <v/>
      </c>
      <c r="I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78" t="str">
        <f aca="false">IF(IFERROR(INDEX(tsk_Name,(ROW()-ROW(MSPTasks[[#Headers],[ID]])))="",TRUE()),"",INDEX(tsk_PlanStart,(ROW()-ROW(MSPTasks[[#Headers],[ID]]))))</f>
        <v/>
      </c>
      <c r="P49" s="78" t="str">
        <f aca="false">IF(IFERROR(INDEX(tsk_Name,(ROW()-ROW(MSPTasks[[#Headers],[ID]])))="",TRUE()),"",INDEX(tsk_PlanFinish,(ROW()-ROW(MSPTasks[[#Headers],[ID]]))))</f>
        <v/>
      </c>
      <c r="Q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78" t="str">
        <f aca="false">IF(IFERROR(INDEX(tsk_Name,(ROW()-ROW(MSPTasks[[#Headers],[ID]])))="",TRUE()),"",INDEX(tsk_FcStart,(ROW()-ROW(MSPTasks[[#Headers],[ID]]))))</f>
        <v/>
      </c>
      <c r="H50" s="78" t="str">
        <f aca="false">IF(IFERROR(INDEX(tsk_Name,(ROW()-ROW(MSPTasks[[#Headers],[ID]])))="",TRUE()),"",INDEX(tsk_FcFinish,(ROW()-ROW(MSPTasks[[#Headers],[ID]]))))</f>
        <v/>
      </c>
      <c r="I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78" t="str">
        <f aca="false">IF(IFERROR(INDEX(tsk_Name,(ROW()-ROW(MSPTasks[[#Headers],[ID]])))="",TRUE()),"",INDEX(tsk_PlanStart,(ROW()-ROW(MSPTasks[[#Headers],[ID]]))))</f>
        <v/>
      </c>
      <c r="P50" s="78" t="str">
        <f aca="false">IF(IFERROR(INDEX(tsk_Name,(ROW()-ROW(MSPTasks[[#Headers],[ID]])))="",TRUE()),"",INDEX(tsk_PlanFinish,(ROW()-ROW(MSPTasks[[#Headers],[ID]]))))</f>
        <v/>
      </c>
      <c r="Q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78" t="str">
        <f aca="false">IF(IFERROR(INDEX(tsk_Name,(ROW()-ROW(MSPTasks[[#Headers],[ID]])))="",TRUE()),"",INDEX(tsk_FcStart,(ROW()-ROW(MSPTasks[[#Headers],[ID]]))))</f>
        <v/>
      </c>
      <c r="H51" s="78" t="str">
        <f aca="false">IF(IFERROR(INDEX(tsk_Name,(ROW()-ROW(MSPTasks[[#Headers],[ID]])))="",TRUE()),"",INDEX(tsk_FcFinish,(ROW()-ROW(MSPTasks[[#Headers],[ID]]))))</f>
        <v/>
      </c>
      <c r="I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78" t="str">
        <f aca="false">IF(IFERROR(INDEX(tsk_Name,(ROW()-ROW(MSPTasks[[#Headers],[ID]])))="",TRUE()),"",INDEX(tsk_PlanStart,(ROW()-ROW(MSPTasks[[#Headers],[ID]]))))</f>
        <v/>
      </c>
      <c r="P51" s="78" t="str">
        <f aca="false">IF(IFERROR(INDEX(tsk_Name,(ROW()-ROW(MSPTasks[[#Headers],[ID]])))="",TRUE()),"",INDEX(tsk_PlanFinish,(ROW()-ROW(MSPTasks[[#Headers],[ID]]))))</f>
        <v/>
      </c>
      <c r="Q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78" t="str">
        <f aca="false">IF(IFERROR(INDEX(tsk_Name,(ROW()-ROW(MSPTasks[[#Headers],[ID]])))="",TRUE()),"",INDEX(tsk_FcStart,(ROW()-ROW(MSPTasks[[#Headers],[ID]]))))</f>
        <v/>
      </c>
      <c r="H52" s="78" t="str">
        <f aca="false">IF(IFERROR(INDEX(tsk_Name,(ROW()-ROW(MSPTasks[[#Headers],[ID]])))="",TRUE()),"",INDEX(tsk_FcFinish,(ROW()-ROW(MSPTasks[[#Headers],[ID]]))))</f>
        <v/>
      </c>
      <c r="I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78" t="str">
        <f aca="false">IF(IFERROR(INDEX(tsk_Name,(ROW()-ROW(MSPTasks[[#Headers],[ID]])))="",TRUE()),"",INDEX(tsk_PlanStart,(ROW()-ROW(MSPTasks[[#Headers],[ID]]))))</f>
        <v/>
      </c>
      <c r="P52" s="78" t="str">
        <f aca="false">IF(IFERROR(INDEX(tsk_Name,(ROW()-ROW(MSPTasks[[#Headers],[ID]])))="",TRUE()),"",INDEX(tsk_PlanFinish,(ROW()-ROW(MSPTasks[[#Headers],[ID]]))))</f>
        <v/>
      </c>
      <c r="Q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78" t="str">
        <f aca="false">IF(IFERROR(INDEX(tsk_Name,(ROW()-ROW(MSPTasks[[#Headers],[ID]])))="",TRUE()),"",INDEX(tsk_FcStart,(ROW()-ROW(MSPTasks[[#Headers],[ID]]))))</f>
        <v/>
      </c>
      <c r="H53" s="78" t="str">
        <f aca="false">IF(IFERROR(INDEX(tsk_Name,(ROW()-ROW(MSPTasks[[#Headers],[ID]])))="",TRUE()),"",INDEX(tsk_FcFinish,(ROW()-ROW(MSPTasks[[#Headers],[ID]]))))</f>
        <v/>
      </c>
      <c r="I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78" t="str">
        <f aca="false">IF(IFERROR(INDEX(tsk_Name,(ROW()-ROW(MSPTasks[[#Headers],[ID]])))="",TRUE()),"",INDEX(tsk_PlanStart,(ROW()-ROW(MSPTasks[[#Headers],[ID]]))))</f>
        <v/>
      </c>
      <c r="P53" s="78" t="str">
        <f aca="false">IF(IFERROR(INDEX(tsk_Name,(ROW()-ROW(MSPTasks[[#Headers],[ID]])))="",TRUE()),"",INDEX(tsk_PlanFinish,(ROW()-ROW(MSPTasks[[#Headers],[ID]]))))</f>
        <v/>
      </c>
      <c r="Q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78" t="str">
        <f aca="false">IF(IFERROR(INDEX(tsk_Name,(ROW()-ROW(MSPTasks[[#Headers],[ID]])))="",TRUE()),"",INDEX(tsk_FcStart,(ROW()-ROW(MSPTasks[[#Headers],[ID]]))))</f>
        <v/>
      </c>
      <c r="H54" s="78" t="str">
        <f aca="false">IF(IFERROR(INDEX(tsk_Name,(ROW()-ROW(MSPTasks[[#Headers],[ID]])))="",TRUE()),"",INDEX(tsk_FcFinish,(ROW()-ROW(MSPTasks[[#Headers],[ID]]))))</f>
        <v/>
      </c>
      <c r="I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78" t="str">
        <f aca="false">IF(IFERROR(INDEX(tsk_Name,(ROW()-ROW(MSPTasks[[#Headers],[ID]])))="",TRUE()),"",INDEX(tsk_PlanStart,(ROW()-ROW(MSPTasks[[#Headers],[ID]]))))</f>
        <v/>
      </c>
      <c r="P54" s="78" t="str">
        <f aca="false">IF(IFERROR(INDEX(tsk_Name,(ROW()-ROW(MSPTasks[[#Headers],[ID]])))="",TRUE()),"",INDEX(tsk_PlanFinish,(ROW()-ROW(MSPTasks[[#Headers],[ID]]))))</f>
        <v/>
      </c>
      <c r="Q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78" t="str">
        <f aca="false">IF(IFERROR(INDEX(tsk_Name,(ROW()-ROW(MSPTasks[[#Headers],[ID]])))="",TRUE()),"",INDEX(tsk_FcStart,(ROW()-ROW(MSPTasks[[#Headers],[ID]]))))</f>
        <v/>
      </c>
      <c r="H55" s="78" t="str">
        <f aca="false">IF(IFERROR(INDEX(tsk_Name,(ROW()-ROW(MSPTasks[[#Headers],[ID]])))="",TRUE()),"",INDEX(tsk_FcFinish,(ROW()-ROW(MSPTasks[[#Headers],[ID]]))))</f>
        <v/>
      </c>
      <c r="I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78" t="str">
        <f aca="false">IF(IFERROR(INDEX(tsk_Name,(ROW()-ROW(MSPTasks[[#Headers],[ID]])))="",TRUE()),"",INDEX(tsk_PlanStart,(ROW()-ROW(MSPTasks[[#Headers],[ID]]))))</f>
        <v/>
      </c>
      <c r="P55" s="78" t="str">
        <f aca="false">IF(IFERROR(INDEX(tsk_Name,(ROW()-ROW(MSPTasks[[#Headers],[ID]])))="",TRUE()),"",INDEX(tsk_PlanFinish,(ROW()-ROW(MSPTasks[[#Headers],[ID]]))))</f>
        <v/>
      </c>
      <c r="Q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78" t="str">
        <f aca="false">IF(IFERROR(INDEX(tsk_Name,(ROW()-ROW(MSPTasks[[#Headers],[ID]])))="",TRUE()),"",INDEX(tsk_FcStart,(ROW()-ROW(MSPTasks[[#Headers],[ID]]))))</f>
        <v/>
      </c>
      <c r="H56" s="78" t="str">
        <f aca="false">IF(IFERROR(INDEX(tsk_Name,(ROW()-ROW(MSPTasks[[#Headers],[ID]])))="",TRUE()),"",INDEX(tsk_FcFinish,(ROW()-ROW(MSPTasks[[#Headers],[ID]]))))</f>
        <v/>
      </c>
      <c r="I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78" t="str">
        <f aca="false">IF(IFERROR(INDEX(tsk_Name,(ROW()-ROW(MSPTasks[[#Headers],[ID]])))="",TRUE()),"",INDEX(tsk_PlanStart,(ROW()-ROW(MSPTasks[[#Headers],[ID]]))))</f>
        <v/>
      </c>
      <c r="P56" s="78" t="str">
        <f aca="false">IF(IFERROR(INDEX(tsk_Name,(ROW()-ROW(MSPTasks[[#Headers],[ID]])))="",TRUE()),"",INDEX(tsk_PlanFinish,(ROW()-ROW(MSPTasks[[#Headers],[ID]]))))</f>
        <v/>
      </c>
      <c r="Q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78" t="str">
        <f aca="false">IF(IFERROR(INDEX(tsk_Name,(ROW()-ROW(MSPTasks[[#Headers],[ID]])))="",TRUE()),"",INDEX(tsk_FcStart,(ROW()-ROW(MSPTasks[[#Headers],[ID]]))))</f>
        <v/>
      </c>
      <c r="H57" s="78" t="str">
        <f aca="false">IF(IFERROR(INDEX(tsk_Name,(ROW()-ROW(MSPTasks[[#Headers],[ID]])))="",TRUE()),"",INDEX(tsk_FcFinish,(ROW()-ROW(MSPTasks[[#Headers],[ID]]))))</f>
        <v/>
      </c>
      <c r="I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78" t="str">
        <f aca="false">IF(IFERROR(INDEX(tsk_Name,(ROW()-ROW(MSPTasks[[#Headers],[ID]])))="",TRUE()),"",INDEX(tsk_PlanStart,(ROW()-ROW(MSPTasks[[#Headers],[ID]]))))</f>
        <v/>
      </c>
      <c r="P57" s="78" t="str">
        <f aca="false">IF(IFERROR(INDEX(tsk_Name,(ROW()-ROW(MSPTasks[[#Headers],[ID]])))="",TRUE()),"",INDEX(tsk_PlanFinish,(ROW()-ROW(MSPTasks[[#Headers],[ID]]))))</f>
        <v/>
      </c>
      <c r="Q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78" t="str">
        <f aca="false">IF(IFERROR(INDEX(tsk_Name,(ROW()-ROW(MSPTasks[[#Headers],[ID]])))="",TRUE()),"",INDEX(tsk_FcStart,(ROW()-ROW(MSPTasks[[#Headers],[ID]]))))</f>
        <v/>
      </c>
      <c r="H58" s="78" t="str">
        <f aca="false">IF(IFERROR(INDEX(tsk_Name,(ROW()-ROW(MSPTasks[[#Headers],[ID]])))="",TRUE()),"",INDEX(tsk_FcFinish,(ROW()-ROW(MSPTasks[[#Headers],[ID]]))))</f>
        <v/>
      </c>
      <c r="I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78" t="str">
        <f aca="false">IF(IFERROR(INDEX(tsk_Name,(ROW()-ROW(MSPTasks[[#Headers],[ID]])))="",TRUE()),"",INDEX(tsk_PlanStart,(ROW()-ROW(MSPTasks[[#Headers],[ID]]))))</f>
        <v/>
      </c>
      <c r="P58" s="78" t="str">
        <f aca="false">IF(IFERROR(INDEX(tsk_Name,(ROW()-ROW(MSPTasks[[#Headers],[ID]])))="",TRUE()),"",INDEX(tsk_PlanFinish,(ROW()-ROW(MSPTasks[[#Headers],[ID]]))))</f>
        <v/>
      </c>
      <c r="Q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78" t="str">
        <f aca="false">IF(IFERROR(INDEX(tsk_Name,(ROW()-ROW(MSPTasks[[#Headers],[ID]])))="",TRUE()),"",INDEX(tsk_FcStart,(ROW()-ROW(MSPTasks[[#Headers],[ID]]))))</f>
        <v/>
      </c>
      <c r="H59" s="78" t="str">
        <f aca="false">IF(IFERROR(INDEX(tsk_Name,(ROW()-ROW(MSPTasks[[#Headers],[ID]])))="",TRUE()),"",INDEX(tsk_FcFinish,(ROW()-ROW(MSPTasks[[#Headers],[ID]]))))</f>
        <v/>
      </c>
      <c r="I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78" t="str">
        <f aca="false">IF(IFERROR(INDEX(tsk_Name,(ROW()-ROW(MSPTasks[[#Headers],[ID]])))="",TRUE()),"",INDEX(tsk_PlanStart,(ROW()-ROW(MSPTasks[[#Headers],[ID]]))))</f>
        <v/>
      </c>
      <c r="P59" s="78" t="str">
        <f aca="false">IF(IFERROR(INDEX(tsk_Name,(ROW()-ROW(MSPTasks[[#Headers],[ID]])))="",TRUE()),"",INDEX(tsk_PlanFinish,(ROW()-ROW(MSPTasks[[#Headers],[ID]]))))</f>
        <v/>
      </c>
      <c r="Q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78" t="str">
        <f aca="false">IF(IFERROR(INDEX(tsk_Name,(ROW()-ROW(MSPTasks[[#Headers],[ID]])))="",TRUE()),"",INDEX(tsk_FcStart,(ROW()-ROW(MSPTasks[[#Headers],[ID]]))))</f>
        <v/>
      </c>
      <c r="H60" s="78" t="str">
        <f aca="false">IF(IFERROR(INDEX(tsk_Name,(ROW()-ROW(MSPTasks[[#Headers],[ID]])))="",TRUE()),"",INDEX(tsk_FcFinish,(ROW()-ROW(MSPTasks[[#Headers],[ID]]))))</f>
        <v/>
      </c>
      <c r="I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78" t="str">
        <f aca="false">IF(IFERROR(INDEX(tsk_Name,(ROW()-ROW(MSPTasks[[#Headers],[ID]])))="",TRUE()),"",INDEX(tsk_PlanStart,(ROW()-ROW(MSPTasks[[#Headers],[ID]]))))</f>
        <v/>
      </c>
      <c r="P60" s="78" t="str">
        <f aca="false">IF(IFERROR(INDEX(tsk_Name,(ROW()-ROW(MSPTasks[[#Headers],[ID]])))="",TRUE()),"",INDEX(tsk_PlanFinish,(ROW()-ROW(MSPTasks[[#Headers],[ID]]))))</f>
        <v/>
      </c>
      <c r="Q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78" t="str">
        <f aca="false">IF(IFERROR(INDEX(tsk_Name,(ROW()-ROW(MSPTasks[[#Headers],[ID]])))="",TRUE()),"",INDEX(tsk_FcStart,(ROW()-ROW(MSPTasks[[#Headers],[ID]]))))</f>
        <v/>
      </c>
      <c r="H61" s="78" t="str">
        <f aca="false">IF(IFERROR(INDEX(tsk_Name,(ROW()-ROW(MSPTasks[[#Headers],[ID]])))="",TRUE()),"",INDEX(tsk_FcFinish,(ROW()-ROW(MSPTasks[[#Headers],[ID]]))))</f>
        <v/>
      </c>
      <c r="I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78" t="str">
        <f aca="false">IF(IFERROR(INDEX(tsk_Name,(ROW()-ROW(MSPTasks[[#Headers],[ID]])))="",TRUE()),"",INDEX(tsk_PlanStart,(ROW()-ROW(MSPTasks[[#Headers],[ID]]))))</f>
        <v/>
      </c>
      <c r="P61" s="78" t="str">
        <f aca="false">IF(IFERROR(INDEX(tsk_Name,(ROW()-ROW(MSPTasks[[#Headers],[ID]])))="",TRUE()),"",INDEX(tsk_PlanFinish,(ROW()-ROW(MSPTasks[[#Headers],[ID]]))))</f>
        <v/>
      </c>
      <c r="Q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78" t="str">
        <f aca="false">IF(IFERROR(INDEX(tsk_Name,(ROW()-ROW(MSPTasks[[#Headers],[ID]])))="",TRUE()),"",INDEX(tsk_FcStart,(ROW()-ROW(MSPTasks[[#Headers],[ID]]))))</f>
        <v/>
      </c>
      <c r="H62" s="78" t="str">
        <f aca="false">IF(IFERROR(INDEX(tsk_Name,(ROW()-ROW(MSPTasks[[#Headers],[ID]])))="",TRUE()),"",INDEX(tsk_FcFinish,(ROW()-ROW(MSPTasks[[#Headers],[ID]]))))</f>
        <v/>
      </c>
      <c r="I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78" t="str">
        <f aca="false">IF(IFERROR(INDEX(tsk_Name,(ROW()-ROW(MSPTasks[[#Headers],[ID]])))="",TRUE()),"",INDEX(tsk_PlanStart,(ROW()-ROW(MSPTasks[[#Headers],[ID]]))))</f>
        <v/>
      </c>
      <c r="P62" s="78" t="str">
        <f aca="false">IF(IFERROR(INDEX(tsk_Name,(ROW()-ROW(MSPTasks[[#Headers],[ID]])))="",TRUE()),"",INDEX(tsk_PlanFinish,(ROW()-ROW(MSPTasks[[#Headers],[ID]]))))</f>
        <v/>
      </c>
      <c r="Q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78" t="str">
        <f aca="false">IF(IFERROR(INDEX(tsk_Name,(ROW()-ROW(MSPTasks[[#Headers],[ID]])))="",TRUE()),"",INDEX(tsk_FcStart,(ROW()-ROW(MSPTasks[[#Headers],[ID]]))))</f>
        <v/>
      </c>
      <c r="H63" s="78" t="str">
        <f aca="false">IF(IFERROR(INDEX(tsk_Name,(ROW()-ROW(MSPTasks[[#Headers],[ID]])))="",TRUE()),"",INDEX(tsk_FcFinish,(ROW()-ROW(MSPTasks[[#Headers],[ID]]))))</f>
        <v/>
      </c>
      <c r="I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78" t="str">
        <f aca="false">IF(IFERROR(INDEX(tsk_Name,(ROW()-ROW(MSPTasks[[#Headers],[ID]])))="",TRUE()),"",INDEX(tsk_PlanStart,(ROW()-ROW(MSPTasks[[#Headers],[ID]]))))</f>
        <v/>
      </c>
      <c r="P63" s="78" t="str">
        <f aca="false">IF(IFERROR(INDEX(tsk_Name,(ROW()-ROW(MSPTasks[[#Headers],[ID]])))="",TRUE()),"",INDEX(tsk_PlanFinish,(ROW()-ROW(MSPTasks[[#Headers],[ID]]))))</f>
        <v/>
      </c>
      <c r="Q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78" t="str">
        <f aca="false">IF(IFERROR(INDEX(tsk_Name,(ROW()-ROW(MSPTasks[[#Headers],[ID]])))="",TRUE()),"",INDEX(tsk_FcStart,(ROW()-ROW(MSPTasks[[#Headers],[ID]]))))</f>
        <v/>
      </c>
      <c r="H64" s="78" t="str">
        <f aca="false">IF(IFERROR(INDEX(tsk_Name,(ROW()-ROW(MSPTasks[[#Headers],[ID]])))="",TRUE()),"",INDEX(tsk_FcFinish,(ROW()-ROW(MSPTasks[[#Headers],[ID]]))))</f>
        <v/>
      </c>
      <c r="I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78" t="str">
        <f aca="false">IF(IFERROR(INDEX(tsk_Name,(ROW()-ROW(MSPTasks[[#Headers],[ID]])))="",TRUE()),"",INDEX(tsk_PlanStart,(ROW()-ROW(MSPTasks[[#Headers],[ID]]))))</f>
        <v/>
      </c>
      <c r="P64" s="78" t="str">
        <f aca="false">IF(IFERROR(INDEX(tsk_Name,(ROW()-ROW(MSPTasks[[#Headers],[ID]])))="",TRUE()),"",INDEX(tsk_PlanFinish,(ROW()-ROW(MSPTasks[[#Headers],[ID]]))))</f>
        <v/>
      </c>
      <c r="Q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78" t="str">
        <f aca="false">IF(IFERROR(INDEX(tsk_Name,(ROW()-ROW(MSPTasks[[#Headers],[ID]])))="",TRUE()),"",INDEX(tsk_FcStart,(ROW()-ROW(MSPTasks[[#Headers],[ID]]))))</f>
        <v/>
      </c>
      <c r="H65" s="78" t="str">
        <f aca="false">IF(IFERROR(INDEX(tsk_Name,(ROW()-ROW(MSPTasks[[#Headers],[ID]])))="",TRUE()),"",INDEX(tsk_FcFinish,(ROW()-ROW(MSPTasks[[#Headers],[ID]]))))</f>
        <v/>
      </c>
      <c r="I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78" t="str">
        <f aca="false">IF(IFERROR(INDEX(tsk_Name,(ROW()-ROW(MSPTasks[[#Headers],[ID]])))="",TRUE()),"",INDEX(tsk_PlanStart,(ROW()-ROW(MSPTasks[[#Headers],[ID]]))))</f>
        <v/>
      </c>
      <c r="P65" s="78" t="str">
        <f aca="false">IF(IFERROR(INDEX(tsk_Name,(ROW()-ROW(MSPTasks[[#Headers],[ID]])))="",TRUE()),"",INDEX(tsk_PlanFinish,(ROW()-ROW(MSPTasks[[#Headers],[ID]]))))</f>
        <v/>
      </c>
      <c r="Q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78" t="str">
        <f aca="false">IF(IFERROR(INDEX(tsk_Name,(ROW()-ROW(MSPTasks[[#Headers],[ID]])))="",TRUE()),"",INDEX(tsk_FcStart,(ROW()-ROW(MSPTasks[[#Headers],[ID]]))))</f>
        <v/>
      </c>
      <c r="H66" s="78" t="str">
        <f aca="false">IF(IFERROR(INDEX(tsk_Name,(ROW()-ROW(MSPTasks[[#Headers],[ID]])))="",TRUE()),"",INDEX(tsk_FcFinish,(ROW()-ROW(MSPTasks[[#Headers],[ID]]))))</f>
        <v/>
      </c>
      <c r="I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78" t="str">
        <f aca="false">IF(IFERROR(INDEX(tsk_Name,(ROW()-ROW(MSPTasks[[#Headers],[ID]])))="",TRUE()),"",INDEX(tsk_PlanStart,(ROW()-ROW(MSPTasks[[#Headers],[ID]]))))</f>
        <v/>
      </c>
      <c r="P66" s="78" t="str">
        <f aca="false">IF(IFERROR(INDEX(tsk_Name,(ROW()-ROW(MSPTasks[[#Headers],[ID]])))="",TRUE()),"",INDEX(tsk_PlanFinish,(ROW()-ROW(MSPTasks[[#Headers],[ID]]))))</f>
        <v/>
      </c>
      <c r="Q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78" t="str">
        <f aca="false">IF(IFERROR(INDEX(tsk_Name,(ROW()-ROW(MSPTasks[[#Headers],[ID]])))="",TRUE()),"",INDEX(tsk_FcStart,(ROW()-ROW(MSPTasks[[#Headers],[ID]]))))</f>
        <v/>
      </c>
      <c r="H67" s="78" t="str">
        <f aca="false">IF(IFERROR(INDEX(tsk_Name,(ROW()-ROW(MSPTasks[[#Headers],[ID]])))="",TRUE()),"",INDEX(tsk_FcFinish,(ROW()-ROW(MSPTasks[[#Headers],[ID]]))))</f>
        <v/>
      </c>
      <c r="I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78" t="str">
        <f aca="false">IF(IFERROR(INDEX(tsk_Name,(ROW()-ROW(MSPTasks[[#Headers],[ID]])))="",TRUE()),"",INDEX(tsk_PlanStart,(ROW()-ROW(MSPTasks[[#Headers],[ID]]))))</f>
        <v/>
      </c>
      <c r="P67" s="78" t="str">
        <f aca="false">IF(IFERROR(INDEX(tsk_Name,(ROW()-ROW(MSPTasks[[#Headers],[ID]])))="",TRUE()),"",INDEX(tsk_PlanFinish,(ROW()-ROW(MSPTasks[[#Headers],[ID]]))))</f>
        <v/>
      </c>
      <c r="Q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78" t="str">
        <f aca="false">IF(IFERROR(INDEX(tsk_Name,(ROW()-ROW(MSPTasks[[#Headers],[ID]])))="",TRUE()),"",INDEX(tsk_FcStart,(ROW()-ROW(MSPTasks[[#Headers],[ID]]))))</f>
        <v/>
      </c>
      <c r="H68" s="78" t="str">
        <f aca="false">IF(IFERROR(INDEX(tsk_Name,(ROW()-ROW(MSPTasks[[#Headers],[ID]])))="",TRUE()),"",INDEX(tsk_FcFinish,(ROW()-ROW(MSPTasks[[#Headers],[ID]]))))</f>
        <v/>
      </c>
      <c r="I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78" t="str">
        <f aca="false">IF(IFERROR(INDEX(tsk_Name,(ROW()-ROW(MSPTasks[[#Headers],[ID]])))="",TRUE()),"",INDEX(tsk_PlanStart,(ROW()-ROW(MSPTasks[[#Headers],[ID]]))))</f>
        <v/>
      </c>
      <c r="P68" s="78" t="str">
        <f aca="false">IF(IFERROR(INDEX(tsk_Name,(ROW()-ROW(MSPTasks[[#Headers],[ID]])))="",TRUE()),"",INDEX(tsk_PlanFinish,(ROW()-ROW(MSPTasks[[#Headers],[ID]]))))</f>
        <v/>
      </c>
      <c r="Q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78" t="str">
        <f aca="false">IF(IFERROR(INDEX(tsk_Name,(ROW()-ROW(MSPTasks[[#Headers],[ID]])))="",TRUE()),"",INDEX(tsk_FcStart,(ROW()-ROW(MSPTasks[[#Headers],[ID]]))))</f>
        <v/>
      </c>
      <c r="H69" s="78" t="str">
        <f aca="false">IF(IFERROR(INDEX(tsk_Name,(ROW()-ROW(MSPTasks[[#Headers],[ID]])))="",TRUE()),"",INDEX(tsk_FcFinish,(ROW()-ROW(MSPTasks[[#Headers],[ID]]))))</f>
        <v/>
      </c>
      <c r="I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78" t="str">
        <f aca="false">IF(IFERROR(INDEX(tsk_Name,(ROW()-ROW(MSPTasks[[#Headers],[ID]])))="",TRUE()),"",INDEX(tsk_PlanStart,(ROW()-ROW(MSPTasks[[#Headers],[ID]]))))</f>
        <v/>
      </c>
      <c r="P69" s="78" t="str">
        <f aca="false">IF(IFERROR(INDEX(tsk_Name,(ROW()-ROW(MSPTasks[[#Headers],[ID]])))="",TRUE()),"",INDEX(tsk_PlanFinish,(ROW()-ROW(MSPTasks[[#Headers],[ID]]))))</f>
        <v/>
      </c>
      <c r="Q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78" t="str">
        <f aca="false">IF(IFERROR(INDEX(tsk_Name,(ROW()-ROW(MSPTasks[[#Headers],[ID]])))="",TRUE()),"",INDEX(tsk_FcStart,(ROW()-ROW(MSPTasks[[#Headers],[ID]]))))</f>
        <v/>
      </c>
      <c r="H70" s="78" t="str">
        <f aca="false">IF(IFERROR(INDEX(tsk_Name,(ROW()-ROW(MSPTasks[[#Headers],[ID]])))="",TRUE()),"",INDEX(tsk_FcFinish,(ROW()-ROW(MSPTasks[[#Headers],[ID]]))))</f>
        <v/>
      </c>
      <c r="I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78" t="str">
        <f aca="false">IF(IFERROR(INDEX(tsk_Name,(ROW()-ROW(MSPTasks[[#Headers],[ID]])))="",TRUE()),"",INDEX(tsk_PlanStart,(ROW()-ROW(MSPTasks[[#Headers],[ID]]))))</f>
        <v/>
      </c>
      <c r="P70" s="78" t="str">
        <f aca="false">IF(IFERROR(INDEX(tsk_Name,(ROW()-ROW(MSPTasks[[#Headers],[ID]])))="",TRUE()),"",INDEX(tsk_PlanFinish,(ROW()-ROW(MSPTasks[[#Headers],[ID]]))))</f>
        <v/>
      </c>
      <c r="Q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78" t="str">
        <f aca="false">IF(IFERROR(INDEX(tsk_Name,(ROW()-ROW(MSPTasks[[#Headers],[ID]])))="",TRUE()),"",INDEX(tsk_FcStart,(ROW()-ROW(MSPTasks[[#Headers],[ID]]))))</f>
        <v/>
      </c>
      <c r="H71" s="78" t="str">
        <f aca="false">IF(IFERROR(INDEX(tsk_Name,(ROW()-ROW(MSPTasks[[#Headers],[ID]])))="",TRUE()),"",INDEX(tsk_FcFinish,(ROW()-ROW(MSPTasks[[#Headers],[ID]]))))</f>
        <v/>
      </c>
      <c r="I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78" t="str">
        <f aca="false">IF(IFERROR(INDEX(tsk_Name,(ROW()-ROW(MSPTasks[[#Headers],[ID]])))="",TRUE()),"",INDEX(tsk_PlanStart,(ROW()-ROW(MSPTasks[[#Headers],[ID]]))))</f>
        <v/>
      </c>
      <c r="P71" s="78" t="str">
        <f aca="false">IF(IFERROR(INDEX(tsk_Name,(ROW()-ROW(MSPTasks[[#Headers],[ID]])))="",TRUE()),"",INDEX(tsk_PlanFinish,(ROW()-ROW(MSPTasks[[#Headers],[ID]]))))</f>
        <v/>
      </c>
      <c r="Q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78" t="str">
        <f aca="false">IF(IFERROR(INDEX(tsk_Name,(ROW()-ROW(MSPTasks[[#Headers],[ID]])))="",TRUE()),"",INDEX(tsk_FcStart,(ROW()-ROW(MSPTasks[[#Headers],[ID]]))))</f>
        <v/>
      </c>
      <c r="H72" s="78" t="str">
        <f aca="false">IF(IFERROR(INDEX(tsk_Name,(ROW()-ROW(MSPTasks[[#Headers],[ID]])))="",TRUE()),"",INDEX(tsk_FcFinish,(ROW()-ROW(MSPTasks[[#Headers],[ID]]))))</f>
        <v/>
      </c>
      <c r="I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78" t="str">
        <f aca="false">IF(IFERROR(INDEX(tsk_Name,(ROW()-ROW(MSPTasks[[#Headers],[ID]])))="",TRUE()),"",INDEX(tsk_PlanStart,(ROW()-ROW(MSPTasks[[#Headers],[ID]]))))</f>
        <v/>
      </c>
      <c r="P72" s="78" t="str">
        <f aca="false">IF(IFERROR(INDEX(tsk_Name,(ROW()-ROW(MSPTasks[[#Headers],[ID]])))="",TRUE()),"",INDEX(tsk_PlanFinish,(ROW()-ROW(MSPTasks[[#Headers],[ID]]))))</f>
        <v/>
      </c>
      <c r="Q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78" t="str">
        <f aca="false">IF(IFERROR(INDEX(tsk_Name,(ROW()-ROW(MSPTasks[[#Headers],[ID]])))="",TRUE()),"",INDEX(tsk_FcStart,(ROW()-ROW(MSPTasks[[#Headers],[ID]]))))</f>
        <v/>
      </c>
      <c r="H73" s="78" t="str">
        <f aca="false">IF(IFERROR(INDEX(tsk_Name,(ROW()-ROW(MSPTasks[[#Headers],[ID]])))="",TRUE()),"",INDEX(tsk_FcFinish,(ROW()-ROW(MSPTasks[[#Headers],[ID]]))))</f>
        <v/>
      </c>
      <c r="I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78" t="str">
        <f aca="false">IF(IFERROR(INDEX(tsk_Name,(ROW()-ROW(MSPTasks[[#Headers],[ID]])))="",TRUE()),"",INDEX(tsk_PlanStart,(ROW()-ROW(MSPTasks[[#Headers],[ID]]))))</f>
        <v/>
      </c>
      <c r="P73" s="78" t="str">
        <f aca="false">IF(IFERROR(INDEX(tsk_Name,(ROW()-ROW(MSPTasks[[#Headers],[ID]])))="",TRUE()),"",INDEX(tsk_PlanFinish,(ROW()-ROW(MSPTasks[[#Headers],[ID]]))))</f>
        <v/>
      </c>
      <c r="Q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78" t="str">
        <f aca="false">IF(IFERROR(INDEX(tsk_Name,(ROW()-ROW(MSPTasks[[#Headers],[ID]])))="",TRUE()),"",INDEX(tsk_FcStart,(ROW()-ROW(MSPTasks[[#Headers],[ID]]))))</f>
        <v/>
      </c>
      <c r="H74" s="78" t="str">
        <f aca="false">IF(IFERROR(INDEX(tsk_Name,(ROW()-ROW(MSPTasks[[#Headers],[ID]])))="",TRUE()),"",INDEX(tsk_FcFinish,(ROW()-ROW(MSPTasks[[#Headers],[ID]]))))</f>
        <v/>
      </c>
      <c r="I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78" t="str">
        <f aca="false">IF(IFERROR(INDEX(tsk_Name,(ROW()-ROW(MSPTasks[[#Headers],[ID]])))="",TRUE()),"",INDEX(tsk_PlanStart,(ROW()-ROW(MSPTasks[[#Headers],[ID]]))))</f>
        <v/>
      </c>
      <c r="P74" s="78" t="str">
        <f aca="false">IF(IFERROR(INDEX(tsk_Name,(ROW()-ROW(MSPTasks[[#Headers],[ID]])))="",TRUE()),"",INDEX(tsk_PlanFinish,(ROW()-ROW(MSPTasks[[#Headers],[ID]]))))</f>
        <v/>
      </c>
      <c r="Q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78" t="str">
        <f aca="false">IF(IFERROR(INDEX(tsk_Name,(ROW()-ROW(MSPTasks[[#Headers],[ID]])))="",TRUE()),"",INDEX(tsk_FcStart,(ROW()-ROW(MSPTasks[[#Headers],[ID]]))))</f>
        <v/>
      </c>
      <c r="H75" s="78" t="str">
        <f aca="false">IF(IFERROR(INDEX(tsk_Name,(ROW()-ROW(MSPTasks[[#Headers],[ID]])))="",TRUE()),"",INDEX(tsk_FcFinish,(ROW()-ROW(MSPTasks[[#Headers],[ID]]))))</f>
        <v/>
      </c>
      <c r="I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78" t="str">
        <f aca="false">IF(IFERROR(INDEX(tsk_Name,(ROW()-ROW(MSPTasks[[#Headers],[ID]])))="",TRUE()),"",INDEX(tsk_PlanStart,(ROW()-ROW(MSPTasks[[#Headers],[ID]]))))</f>
        <v/>
      </c>
      <c r="P75" s="78" t="str">
        <f aca="false">IF(IFERROR(INDEX(tsk_Name,(ROW()-ROW(MSPTasks[[#Headers],[ID]])))="",TRUE()),"",INDEX(tsk_PlanFinish,(ROW()-ROW(MSPTasks[[#Headers],[ID]]))))</f>
        <v/>
      </c>
      <c r="Q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78" t="str">
        <f aca="false">IF(IFERROR(INDEX(tsk_Name,(ROW()-ROW(MSPTasks[[#Headers],[ID]])))="",TRUE()),"",INDEX(tsk_FcStart,(ROW()-ROW(MSPTasks[[#Headers],[ID]]))))</f>
        <v/>
      </c>
      <c r="H76" s="78" t="str">
        <f aca="false">IF(IFERROR(INDEX(tsk_Name,(ROW()-ROW(MSPTasks[[#Headers],[ID]])))="",TRUE()),"",INDEX(tsk_FcFinish,(ROW()-ROW(MSPTasks[[#Headers],[ID]]))))</f>
        <v/>
      </c>
      <c r="I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78" t="str">
        <f aca="false">IF(IFERROR(INDEX(tsk_Name,(ROW()-ROW(MSPTasks[[#Headers],[ID]])))="",TRUE()),"",INDEX(tsk_PlanStart,(ROW()-ROW(MSPTasks[[#Headers],[ID]]))))</f>
        <v/>
      </c>
      <c r="P76" s="78" t="str">
        <f aca="false">IF(IFERROR(INDEX(tsk_Name,(ROW()-ROW(MSPTasks[[#Headers],[ID]])))="",TRUE()),"",INDEX(tsk_PlanFinish,(ROW()-ROW(MSPTasks[[#Headers],[ID]]))))</f>
        <v/>
      </c>
      <c r="Q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78" t="str">
        <f aca="false">IF(IFERROR(INDEX(tsk_Name,(ROW()-ROW(MSPTasks[[#Headers],[ID]])))="",TRUE()),"",INDEX(tsk_FcStart,(ROW()-ROW(MSPTasks[[#Headers],[ID]]))))</f>
        <v/>
      </c>
      <c r="H77" s="78" t="str">
        <f aca="false">IF(IFERROR(INDEX(tsk_Name,(ROW()-ROW(MSPTasks[[#Headers],[ID]])))="",TRUE()),"",INDEX(tsk_FcFinish,(ROW()-ROW(MSPTasks[[#Headers],[ID]]))))</f>
        <v/>
      </c>
      <c r="I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78" t="str">
        <f aca="false">IF(IFERROR(INDEX(tsk_Name,(ROW()-ROW(MSPTasks[[#Headers],[ID]])))="",TRUE()),"",INDEX(tsk_PlanStart,(ROW()-ROW(MSPTasks[[#Headers],[ID]]))))</f>
        <v/>
      </c>
      <c r="P77" s="78" t="str">
        <f aca="false">IF(IFERROR(INDEX(tsk_Name,(ROW()-ROW(MSPTasks[[#Headers],[ID]])))="",TRUE()),"",INDEX(tsk_PlanFinish,(ROW()-ROW(MSPTasks[[#Headers],[ID]]))))</f>
        <v/>
      </c>
      <c r="Q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78" t="str">
        <f aca="false">IF(IFERROR(INDEX(tsk_Name,(ROW()-ROW(MSPTasks[[#Headers],[ID]])))="",TRUE()),"",INDEX(tsk_FcStart,(ROW()-ROW(MSPTasks[[#Headers],[ID]]))))</f>
        <v/>
      </c>
      <c r="H78" s="78" t="str">
        <f aca="false">IF(IFERROR(INDEX(tsk_Name,(ROW()-ROW(MSPTasks[[#Headers],[ID]])))="",TRUE()),"",INDEX(tsk_FcFinish,(ROW()-ROW(MSPTasks[[#Headers],[ID]]))))</f>
        <v/>
      </c>
      <c r="I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78" t="str">
        <f aca="false">IF(IFERROR(INDEX(tsk_Name,(ROW()-ROW(MSPTasks[[#Headers],[ID]])))="",TRUE()),"",INDEX(tsk_PlanStart,(ROW()-ROW(MSPTasks[[#Headers],[ID]]))))</f>
        <v/>
      </c>
      <c r="P78" s="78" t="str">
        <f aca="false">IF(IFERROR(INDEX(tsk_Name,(ROW()-ROW(MSPTasks[[#Headers],[ID]])))="",TRUE()),"",INDEX(tsk_PlanFinish,(ROW()-ROW(MSPTasks[[#Headers],[ID]]))))</f>
        <v/>
      </c>
      <c r="Q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78" t="str">
        <f aca="false">IF(IFERROR(INDEX(tsk_Name,(ROW()-ROW(MSPTasks[[#Headers],[ID]])))="",TRUE()),"",INDEX(tsk_FcStart,(ROW()-ROW(MSPTasks[[#Headers],[ID]]))))</f>
        <v/>
      </c>
      <c r="H79" s="78" t="str">
        <f aca="false">IF(IFERROR(INDEX(tsk_Name,(ROW()-ROW(MSPTasks[[#Headers],[ID]])))="",TRUE()),"",INDEX(tsk_FcFinish,(ROW()-ROW(MSPTasks[[#Headers],[ID]]))))</f>
        <v/>
      </c>
      <c r="I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78" t="str">
        <f aca="false">IF(IFERROR(INDEX(tsk_Name,(ROW()-ROW(MSPTasks[[#Headers],[ID]])))="",TRUE()),"",INDEX(tsk_PlanStart,(ROW()-ROW(MSPTasks[[#Headers],[ID]]))))</f>
        <v/>
      </c>
      <c r="P79" s="78" t="str">
        <f aca="false">IF(IFERROR(INDEX(tsk_Name,(ROW()-ROW(MSPTasks[[#Headers],[ID]])))="",TRUE()),"",INDEX(tsk_PlanFinish,(ROW()-ROW(MSPTasks[[#Headers],[ID]]))))</f>
        <v/>
      </c>
      <c r="Q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78" t="str">
        <f aca="false">IF(IFERROR(INDEX(tsk_Name,(ROW()-ROW(MSPTasks[[#Headers],[ID]])))="",TRUE()),"",INDEX(tsk_FcStart,(ROW()-ROW(MSPTasks[[#Headers],[ID]]))))</f>
        <v/>
      </c>
      <c r="H80" s="78" t="str">
        <f aca="false">IF(IFERROR(INDEX(tsk_Name,(ROW()-ROW(MSPTasks[[#Headers],[ID]])))="",TRUE()),"",INDEX(tsk_FcFinish,(ROW()-ROW(MSPTasks[[#Headers],[ID]]))))</f>
        <v/>
      </c>
      <c r="I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78" t="str">
        <f aca="false">IF(IFERROR(INDEX(tsk_Name,(ROW()-ROW(MSPTasks[[#Headers],[ID]])))="",TRUE()),"",INDEX(tsk_PlanStart,(ROW()-ROW(MSPTasks[[#Headers],[ID]]))))</f>
        <v/>
      </c>
      <c r="P80" s="78" t="str">
        <f aca="false">IF(IFERROR(INDEX(tsk_Name,(ROW()-ROW(MSPTasks[[#Headers],[ID]])))="",TRUE()),"",INDEX(tsk_PlanFinish,(ROW()-ROW(MSPTasks[[#Headers],[ID]]))))</f>
        <v/>
      </c>
      <c r="Q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78" t="str">
        <f aca="false">IF(IFERROR(INDEX(tsk_Name,(ROW()-ROW(MSPTasks[[#Headers],[ID]])))="",TRUE()),"",INDEX(tsk_FcStart,(ROW()-ROW(MSPTasks[[#Headers],[ID]]))))</f>
        <v/>
      </c>
      <c r="H81" s="78" t="str">
        <f aca="false">IF(IFERROR(INDEX(tsk_Name,(ROW()-ROW(MSPTasks[[#Headers],[ID]])))="",TRUE()),"",INDEX(tsk_FcFinish,(ROW()-ROW(MSPTasks[[#Headers],[ID]]))))</f>
        <v/>
      </c>
      <c r="I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78" t="str">
        <f aca="false">IF(IFERROR(INDEX(tsk_Name,(ROW()-ROW(MSPTasks[[#Headers],[ID]])))="",TRUE()),"",INDEX(tsk_PlanStart,(ROW()-ROW(MSPTasks[[#Headers],[ID]]))))</f>
        <v/>
      </c>
      <c r="P81" s="78" t="str">
        <f aca="false">IF(IFERROR(INDEX(tsk_Name,(ROW()-ROW(MSPTasks[[#Headers],[ID]])))="",TRUE()),"",INDEX(tsk_PlanFinish,(ROW()-ROW(MSPTasks[[#Headers],[ID]]))))</f>
        <v/>
      </c>
      <c r="Q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78" t="str">
        <f aca="false">IF(IFERROR(INDEX(tsk_Name,(ROW()-ROW(MSPTasks[[#Headers],[ID]])))="",TRUE()),"",INDEX(tsk_FcStart,(ROW()-ROW(MSPTasks[[#Headers],[ID]]))))</f>
        <v/>
      </c>
      <c r="H82" s="78" t="str">
        <f aca="false">IF(IFERROR(INDEX(tsk_Name,(ROW()-ROW(MSPTasks[[#Headers],[ID]])))="",TRUE()),"",INDEX(tsk_FcFinish,(ROW()-ROW(MSPTasks[[#Headers],[ID]]))))</f>
        <v/>
      </c>
      <c r="I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78" t="str">
        <f aca="false">IF(IFERROR(INDEX(tsk_Name,(ROW()-ROW(MSPTasks[[#Headers],[ID]])))="",TRUE()),"",INDEX(tsk_PlanStart,(ROW()-ROW(MSPTasks[[#Headers],[ID]]))))</f>
        <v/>
      </c>
      <c r="P82" s="78" t="str">
        <f aca="false">IF(IFERROR(INDEX(tsk_Name,(ROW()-ROW(MSPTasks[[#Headers],[ID]])))="",TRUE()),"",INDEX(tsk_PlanFinish,(ROW()-ROW(MSPTasks[[#Headers],[ID]]))))</f>
        <v/>
      </c>
      <c r="Q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78" t="str">
        <f aca="false">IF(IFERROR(INDEX(tsk_Name,(ROW()-ROW(MSPTasks[[#Headers],[ID]])))="",TRUE()),"",INDEX(tsk_FcStart,(ROW()-ROW(MSPTasks[[#Headers],[ID]]))))</f>
        <v/>
      </c>
      <c r="H83" s="78" t="str">
        <f aca="false">IF(IFERROR(INDEX(tsk_Name,(ROW()-ROW(MSPTasks[[#Headers],[ID]])))="",TRUE()),"",INDEX(tsk_FcFinish,(ROW()-ROW(MSPTasks[[#Headers],[ID]]))))</f>
        <v/>
      </c>
      <c r="I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78" t="str">
        <f aca="false">IF(IFERROR(INDEX(tsk_Name,(ROW()-ROW(MSPTasks[[#Headers],[ID]])))="",TRUE()),"",INDEX(tsk_PlanStart,(ROW()-ROW(MSPTasks[[#Headers],[ID]]))))</f>
        <v/>
      </c>
      <c r="P83" s="78" t="str">
        <f aca="false">IF(IFERROR(INDEX(tsk_Name,(ROW()-ROW(MSPTasks[[#Headers],[ID]])))="",TRUE()),"",INDEX(tsk_PlanFinish,(ROW()-ROW(MSPTasks[[#Headers],[ID]]))))</f>
        <v/>
      </c>
      <c r="Q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78" t="str">
        <f aca="false">IF(IFERROR(INDEX(tsk_Name,(ROW()-ROW(MSPTasks[[#Headers],[ID]])))="",TRUE()),"",INDEX(tsk_FcStart,(ROW()-ROW(MSPTasks[[#Headers],[ID]]))))</f>
        <v/>
      </c>
      <c r="H84" s="78" t="str">
        <f aca="false">IF(IFERROR(INDEX(tsk_Name,(ROW()-ROW(MSPTasks[[#Headers],[ID]])))="",TRUE()),"",INDEX(tsk_FcFinish,(ROW()-ROW(MSPTasks[[#Headers],[ID]]))))</f>
        <v/>
      </c>
      <c r="I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78" t="str">
        <f aca="false">IF(IFERROR(INDEX(tsk_Name,(ROW()-ROW(MSPTasks[[#Headers],[ID]])))="",TRUE()),"",INDEX(tsk_PlanStart,(ROW()-ROW(MSPTasks[[#Headers],[ID]]))))</f>
        <v/>
      </c>
      <c r="P84" s="78" t="str">
        <f aca="false">IF(IFERROR(INDEX(tsk_Name,(ROW()-ROW(MSPTasks[[#Headers],[ID]])))="",TRUE()),"",INDEX(tsk_PlanFinish,(ROW()-ROW(MSPTasks[[#Headers],[ID]]))))</f>
        <v/>
      </c>
      <c r="Q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78" t="str">
        <f aca="false">IF(IFERROR(INDEX(tsk_Name,(ROW()-ROW(MSPTasks[[#Headers],[ID]])))="",TRUE()),"",INDEX(tsk_FcStart,(ROW()-ROW(MSPTasks[[#Headers],[ID]]))))</f>
        <v/>
      </c>
      <c r="H85" s="78" t="str">
        <f aca="false">IF(IFERROR(INDEX(tsk_Name,(ROW()-ROW(MSPTasks[[#Headers],[ID]])))="",TRUE()),"",INDEX(tsk_FcFinish,(ROW()-ROW(MSPTasks[[#Headers],[ID]]))))</f>
        <v/>
      </c>
      <c r="I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78" t="str">
        <f aca="false">IF(IFERROR(INDEX(tsk_Name,(ROW()-ROW(MSPTasks[[#Headers],[ID]])))="",TRUE()),"",INDEX(tsk_PlanStart,(ROW()-ROW(MSPTasks[[#Headers],[ID]]))))</f>
        <v/>
      </c>
      <c r="P85" s="78" t="str">
        <f aca="false">IF(IFERROR(INDEX(tsk_Name,(ROW()-ROW(MSPTasks[[#Headers],[ID]])))="",TRUE()),"",INDEX(tsk_PlanFinish,(ROW()-ROW(MSPTasks[[#Headers],[ID]]))))</f>
        <v/>
      </c>
      <c r="Q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78" t="str">
        <f aca="false">IF(IFERROR(INDEX(tsk_Name,(ROW()-ROW(MSPTasks[[#Headers],[ID]])))="",TRUE()),"",INDEX(tsk_FcStart,(ROW()-ROW(MSPTasks[[#Headers],[ID]]))))</f>
        <v/>
      </c>
      <c r="H86" s="78" t="str">
        <f aca="false">IF(IFERROR(INDEX(tsk_Name,(ROW()-ROW(MSPTasks[[#Headers],[ID]])))="",TRUE()),"",INDEX(tsk_FcFinish,(ROW()-ROW(MSPTasks[[#Headers],[ID]]))))</f>
        <v/>
      </c>
      <c r="I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78" t="str">
        <f aca="false">IF(IFERROR(INDEX(tsk_Name,(ROW()-ROW(MSPTasks[[#Headers],[ID]])))="",TRUE()),"",INDEX(tsk_PlanStart,(ROW()-ROW(MSPTasks[[#Headers],[ID]]))))</f>
        <v/>
      </c>
      <c r="P86" s="78" t="str">
        <f aca="false">IF(IFERROR(INDEX(tsk_Name,(ROW()-ROW(MSPTasks[[#Headers],[ID]])))="",TRUE()),"",INDEX(tsk_PlanFinish,(ROW()-ROW(MSPTasks[[#Headers],[ID]]))))</f>
        <v/>
      </c>
      <c r="Q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78" t="str">
        <f aca="false">IF(IFERROR(INDEX(tsk_Name,(ROW()-ROW(MSPTasks[[#Headers],[ID]])))="",TRUE()),"",INDEX(tsk_FcStart,(ROW()-ROW(MSPTasks[[#Headers],[ID]]))))</f>
        <v/>
      </c>
      <c r="H87" s="78" t="str">
        <f aca="false">IF(IFERROR(INDEX(tsk_Name,(ROW()-ROW(MSPTasks[[#Headers],[ID]])))="",TRUE()),"",INDEX(tsk_FcFinish,(ROW()-ROW(MSPTasks[[#Headers],[ID]]))))</f>
        <v/>
      </c>
      <c r="I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78" t="str">
        <f aca="false">IF(IFERROR(INDEX(tsk_Name,(ROW()-ROW(MSPTasks[[#Headers],[ID]])))="",TRUE()),"",INDEX(tsk_PlanStart,(ROW()-ROW(MSPTasks[[#Headers],[ID]]))))</f>
        <v/>
      </c>
      <c r="P87" s="78" t="str">
        <f aca="false">IF(IFERROR(INDEX(tsk_Name,(ROW()-ROW(MSPTasks[[#Headers],[ID]])))="",TRUE()),"",INDEX(tsk_PlanFinish,(ROW()-ROW(MSPTasks[[#Headers],[ID]]))))</f>
        <v/>
      </c>
      <c r="Q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78" t="str">
        <f aca="false">IF(IFERROR(INDEX(tsk_Name,(ROW()-ROW(MSPTasks[[#Headers],[ID]])))="",TRUE()),"",INDEX(tsk_FcStart,(ROW()-ROW(MSPTasks[[#Headers],[ID]]))))</f>
        <v/>
      </c>
      <c r="H88" s="78" t="str">
        <f aca="false">IF(IFERROR(INDEX(tsk_Name,(ROW()-ROW(MSPTasks[[#Headers],[ID]])))="",TRUE()),"",INDEX(tsk_FcFinish,(ROW()-ROW(MSPTasks[[#Headers],[ID]]))))</f>
        <v/>
      </c>
      <c r="I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78" t="str">
        <f aca="false">IF(IFERROR(INDEX(tsk_Name,(ROW()-ROW(MSPTasks[[#Headers],[ID]])))="",TRUE()),"",INDEX(tsk_PlanStart,(ROW()-ROW(MSPTasks[[#Headers],[ID]]))))</f>
        <v/>
      </c>
      <c r="P88" s="78" t="str">
        <f aca="false">IF(IFERROR(INDEX(tsk_Name,(ROW()-ROW(MSPTasks[[#Headers],[ID]])))="",TRUE()),"",INDEX(tsk_PlanFinish,(ROW()-ROW(MSPTasks[[#Headers],[ID]]))))</f>
        <v/>
      </c>
      <c r="Q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78" t="str">
        <f aca="false">IF(IFERROR(INDEX(tsk_Name,(ROW()-ROW(MSPTasks[[#Headers],[ID]])))="",TRUE()),"",INDEX(tsk_FcStart,(ROW()-ROW(MSPTasks[[#Headers],[ID]]))))</f>
        <v/>
      </c>
      <c r="H89" s="78" t="str">
        <f aca="false">IF(IFERROR(INDEX(tsk_Name,(ROW()-ROW(MSPTasks[[#Headers],[ID]])))="",TRUE()),"",INDEX(tsk_FcFinish,(ROW()-ROW(MSPTasks[[#Headers],[ID]]))))</f>
        <v/>
      </c>
      <c r="I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78" t="str">
        <f aca="false">IF(IFERROR(INDEX(tsk_Name,(ROW()-ROW(MSPTasks[[#Headers],[ID]])))="",TRUE()),"",INDEX(tsk_PlanStart,(ROW()-ROW(MSPTasks[[#Headers],[ID]]))))</f>
        <v/>
      </c>
      <c r="P89" s="78" t="str">
        <f aca="false">IF(IFERROR(INDEX(tsk_Name,(ROW()-ROW(MSPTasks[[#Headers],[ID]])))="",TRUE()),"",INDEX(tsk_PlanFinish,(ROW()-ROW(MSPTasks[[#Headers],[ID]]))))</f>
        <v/>
      </c>
      <c r="Q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78" t="str">
        <f aca="false">IF(IFERROR(INDEX(tsk_Name,(ROW()-ROW(MSPTasks[[#Headers],[ID]])))="",TRUE()),"",INDEX(tsk_FcStart,(ROW()-ROW(MSPTasks[[#Headers],[ID]]))))</f>
        <v/>
      </c>
      <c r="H90" s="78" t="str">
        <f aca="false">IF(IFERROR(INDEX(tsk_Name,(ROW()-ROW(MSPTasks[[#Headers],[ID]])))="",TRUE()),"",INDEX(tsk_FcFinish,(ROW()-ROW(MSPTasks[[#Headers],[ID]]))))</f>
        <v/>
      </c>
      <c r="I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78" t="str">
        <f aca="false">IF(IFERROR(INDEX(tsk_Name,(ROW()-ROW(MSPTasks[[#Headers],[ID]])))="",TRUE()),"",INDEX(tsk_PlanStart,(ROW()-ROW(MSPTasks[[#Headers],[ID]]))))</f>
        <v/>
      </c>
      <c r="P90" s="78" t="str">
        <f aca="false">IF(IFERROR(INDEX(tsk_Name,(ROW()-ROW(MSPTasks[[#Headers],[ID]])))="",TRUE()),"",INDEX(tsk_PlanFinish,(ROW()-ROW(MSPTasks[[#Headers],[ID]]))))</f>
        <v/>
      </c>
      <c r="Q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78" t="str">
        <f aca="false">IF(IFERROR(INDEX(tsk_Name,(ROW()-ROW(MSPTasks[[#Headers],[ID]])))="",TRUE()),"",INDEX(tsk_FcStart,(ROW()-ROW(MSPTasks[[#Headers],[ID]]))))</f>
        <v/>
      </c>
      <c r="H91" s="78" t="str">
        <f aca="false">IF(IFERROR(INDEX(tsk_Name,(ROW()-ROW(MSPTasks[[#Headers],[ID]])))="",TRUE()),"",INDEX(tsk_FcFinish,(ROW()-ROW(MSPTasks[[#Headers],[ID]]))))</f>
        <v/>
      </c>
      <c r="I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78" t="str">
        <f aca="false">IF(IFERROR(INDEX(tsk_Name,(ROW()-ROW(MSPTasks[[#Headers],[ID]])))="",TRUE()),"",INDEX(tsk_PlanStart,(ROW()-ROW(MSPTasks[[#Headers],[ID]]))))</f>
        <v/>
      </c>
      <c r="P91" s="78" t="str">
        <f aca="false">IF(IFERROR(INDEX(tsk_Name,(ROW()-ROW(MSPTasks[[#Headers],[ID]])))="",TRUE()),"",INDEX(tsk_PlanFinish,(ROW()-ROW(MSPTasks[[#Headers],[ID]]))))</f>
        <v/>
      </c>
      <c r="Q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78" t="str">
        <f aca="false">IF(IFERROR(INDEX(tsk_Name,(ROW()-ROW(MSPTasks[[#Headers],[ID]])))="",TRUE()),"",INDEX(tsk_FcStart,(ROW()-ROW(MSPTasks[[#Headers],[ID]]))))</f>
        <v/>
      </c>
      <c r="H92" s="78" t="str">
        <f aca="false">IF(IFERROR(INDEX(tsk_Name,(ROW()-ROW(MSPTasks[[#Headers],[ID]])))="",TRUE()),"",INDEX(tsk_FcFinish,(ROW()-ROW(MSPTasks[[#Headers],[ID]]))))</f>
        <v/>
      </c>
      <c r="I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78" t="str">
        <f aca="false">IF(IFERROR(INDEX(tsk_Name,(ROW()-ROW(MSPTasks[[#Headers],[ID]])))="",TRUE()),"",INDEX(tsk_PlanStart,(ROW()-ROW(MSPTasks[[#Headers],[ID]]))))</f>
        <v/>
      </c>
      <c r="P92" s="78" t="str">
        <f aca="false">IF(IFERROR(INDEX(tsk_Name,(ROW()-ROW(MSPTasks[[#Headers],[ID]])))="",TRUE()),"",INDEX(tsk_PlanFinish,(ROW()-ROW(MSPTasks[[#Headers],[ID]]))))</f>
        <v/>
      </c>
      <c r="Q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78" t="str">
        <f aca="false">IF(IFERROR(INDEX(tsk_Name,(ROW()-ROW(MSPTasks[[#Headers],[ID]])))="",TRUE()),"",INDEX(tsk_FcStart,(ROW()-ROW(MSPTasks[[#Headers],[ID]]))))</f>
        <v/>
      </c>
      <c r="H93" s="78" t="str">
        <f aca="false">IF(IFERROR(INDEX(tsk_Name,(ROW()-ROW(MSPTasks[[#Headers],[ID]])))="",TRUE()),"",INDEX(tsk_FcFinish,(ROW()-ROW(MSPTasks[[#Headers],[ID]]))))</f>
        <v/>
      </c>
      <c r="I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78" t="str">
        <f aca="false">IF(IFERROR(INDEX(tsk_Name,(ROW()-ROW(MSPTasks[[#Headers],[ID]])))="",TRUE()),"",INDEX(tsk_PlanStart,(ROW()-ROW(MSPTasks[[#Headers],[ID]]))))</f>
        <v/>
      </c>
      <c r="P93" s="78" t="str">
        <f aca="false">IF(IFERROR(INDEX(tsk_Name,(ROW()-ROW(MSPTasks[[#Headers],[ID]])))="",TRUE()),"",INDEX(tsk_PlanFinish,(ROW()-ROW(MSPTasks[[#Headers],[ID]]))))</f>
        <v/>
      </c>
      <c r="Q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78" t="str">
        <f aca="false">IF(IFERROR(INDEX(tsk_Name,(ROW()-ROW(MSPTasks[[#Headers],[ID]])))="",TRUE()),"",INDEX(tsk_FcStart,(ROW()-ROW(MSPTasks[[#Headers],[ID]]))))</f>
        <v/>
      </c>
      <c r="H94" s="78" t="str">
        <f aca="false">IF(IFERROR(INDEX(tsk_Name,(ROW()-ROW(MSPTasks[[#Headers],[ID]])))="",TRUE()),"",INDEX(tsk_FcFinish,(ROW()-ROW(MSPTasks[[#Headers],[ID]]))))</f>
        <v/>
      </c>
      <c r="I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78" t="str">
        <f aca="false">IF(IFERROR(INDEX(tsk_Name,(ROW()-ROW(MSPTasks[[#Headers],[ID]])))="",TRUE()),"",INDEX(tsk_PlanStart,(ROW()-ROW(MSPTasks[[#Headers],[ID]]))))</f>
        <v/>
      </c>
      <c r="P94" s="78" t="str">
        <f aca="false">IF(IFERROR(INDEX(tsk_Name,(ROW()-ROW(MSPTasks[[#Headers],[ID]])))="",TRUE()),"",INDEX(tsk_PlanFinish,(ROW()-ROW(MSPTasks[[#Headers],[ID]]))))</f>
        <v/>
      </c>
      <c r="Q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78" t="str">
        <f aca="false">IF(IFERROR(INDEX(tsk_Name,(ROW()-ROW(MSPTasks[[#Headers],[ID]])))="",TRUE()),"",INDEX(tsk_FcStart,(ROW()-ROW(MSPTasks[[#Headers],[ID]]))))</f>
        <v/>
      </c>
      <c r="H95" s="78" t="str">
        <f aca="false">IF(IFERROR(INDEX(tsk_Name,(ROW()-ROW(MSPTasks[[#Headers],[ID]])))="",TRUE()),"",INDEX(tsk_FcFinish,(ROW()-ROW(MSPTasks[[#Headers],[ID]]))))</f>
        <v/>
      </c>
      <c r="I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78" t="str">
        <f aca="false">IF(IFERROR(INDEX(tsk_Name,(ROW()-ROW(MSPTasks[[#Headers],[ID]])))="",TRUE()),"",INDEX(tsk_PlanStart,(ROW()-ROW(MSPTasks[[#Headers],[ID]]))))</f>
        <v/>
      </c>
      <c r="P95" s="78" t="str">
        <f aca="false">IF(IFERROR(INDEX(tsk_Name,(ROW()-ROW(MSPTasks[[#Headers],[ID]])))="",TRUE()),"",INDEX(tsk_PlanFinish,(ROW()-ROW(MSPTasks[[#Headers],[ID]]))))</f>
        <v/>
      </c>
      <c r="Q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78" t="str">
        <f aca="false">IF(IFERROR(INDEX(tsk_Name,(ROW()-ROW(MSPTasks[[#Headers],[ID]])))="",TRUE()),"",INDEX(tsk_FcStart,(ROW()-ROW(MSPTasks[[#Headers],[ID]]))))</f>
        <v/>
      </c>
      <c r="H96" s="78" t="str">
        <f aca="false">IF(IFERROR(INDEX(tsk_Name,(ROW()-ROW(MSPTasks[[#Headers],[ID]])))="",TRUE()),"",INDEX(tsk_FcFinish,(ROW()-ROW(MSPTasks[[#Headers],[ID]]))))</f>
        <v/>
      </c>
      <c r="I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78" t="str">
        <f aca="false">IF(IFERROR(INDEX(tsk_Name,(ROW()-ROW(MSPTasks[[#Headers],[ID]])))="",TRUE()),"",INDEX(tsk_PlanStart,(ROW()-ROW(MSPTasks[[#Headers],[ID]]))))</f>
        <v/>
      </c>
      <c r="P96" s="78" t="str">
        <f aca="false">IF(IFERROR(INDEX(tsk_Name,(ROW()-ROW(MSPTasks[[#Headers],[ID]])))="",TRUE()),"",INDEX(tsk_PlanFinish,(ROW()-ROW(MSPTasks[[#Headers],[ID]]))))</f>
        <v/>
      </c>
      <c r="Q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78" t="str">
        <f aca="false">IF(IFERROR(INDEX(tsk_Name,(ROW()-ROW(MSPTasks[[#Headers],[ID]])))="",TRUE()),"",INDEX(tsk_FcStart,(ROW()-ROW(MSPTasks[[#Headers],[ID]]))))</f>
        <v/>
      </c>
      <c r="H97" s="78" t="str">
        <f aca="false">IF(IFERROR(INDEX(tsk_Name,(ROW()-ROW(MSPTasks[[#Headers],[ID]])))="",TRUE()),"",INDEX(tsk_FcFinish,(ROW()-ROW(MSPTasks[[#Headers],[ID]]))))</f>
        <v/>
      </c>
      <c r="I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78" t="str">
        <f aca="false">IF(IFERROR(INDEX(tsk_Name,(ROW()-ROW(MSPTasks[[#Headers],[ID]])))="",TRUE()),"",INDEX(tsk_PlanStart,(ROW()-ROW(MSPTasks[[#Headers],[ID]]))))</f>
        <v/>
      </c>
      <c r="P97" s="78" t="str">
        <f aca="false">IF(IFERROR(INDEX(tsk_Name,(ROW()-ROW(MSPTasks[[#Headers],[ID]])))="",TRUE()),"",INDEX(tsk_PlanFinish,(ROW()-ROW(MSPTasks[[#Headers],[ID]]))))</f>
        <v/>
      </c>
      <c r="Q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78" t="str">
        <f aca="false">IF(IFERROR(INDEX(tsk_Name,(ROW()-ROW(MSPTasks[[#Headers],[ID]])))="",TRUE()),"",INDEX(tsk_FcStart,(ROW()-ROW(MSPTasks[[#Headers],[ID]]))))</f>
        <v/>
      </c>
      <c r="H98" s="78" t="str">
        <f aca="false">IF(IFERROR(INDEX(tsk_Name,(ROW()-ROW(MSPTasks[[#Headers],[ID]])))="",TRUE()),"",INDEX(tsk_FcFinish,(ROW()-ROW(MSPTasks[[#Headers],[ID]]))))</f>
        <v/>
      </c>
      <c r="I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78" t="str">
        <f aca="false">IF(IFERROR(INDEX(tsk_Name,(ROW()-ROW(MSPTasks[[#Headers],[ID]])))="",TRUE()),"",INDEX(tsk_PlanStart,(ROW()-ROW(MSPTasks[[#Headers],[ID]]))))</f>
        <v/>
      </c>
      <c r="P98" s="78" t="str">
        <f aca="false">IF(IFERROR(INDEX(tsk_Name,(ROW()-ROW(MSPTasks[[#Headers],[ID]])))="",TRUE()),"",INDEX(tsk_PlanFinish,(ROW()-ROW(MSPTasks[[#Headers],[ID]]))))</f>
        <v/>
      </c>
      <c r="Q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78" t="str">
        <f aca="false">IF(IFERROR(INDEX(tsk_Name,(ROW()-ROW(MSPTasks[[#Headers],[ID]])))="",TRUE()),"",INDEX(tsk_FcStart,(ROW()-ROW(MSPTasks[[#Headers],[ID]]))))</f>
        <v/>
      </c>
      <c r="H99" s="78" t="str">
        <f aca="false">IF(IFERROR(INDEX(tsk_Name,(ROW()-ROW(MSPTasks[[#Headers],[ID]])))="",TRUE()),"",INDEX(tsk_FcFinish,(ROW()-ROW(MSPTasks[[#Headers],[ID]]))))</f>
        <v/>
      </c>
      <c r="I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78" t="str">
        <f aca="false">IF(IFERROR(INDEX(tsk_Name,(ROW()-ROW(MSPTasks[[#Headers],[ID]])))="",TRUE()),"",INDEX(tsk_PlanStart,(ROW()-ROW(MSPTasks[[#Headers],[ID]]))))</f>
        <v/>
      </c>
      <c r="P99" s="78" t="str">
        <f aca="false">IF(IFERROR(INDEX(tsk_Name,(ROW()-ROW(MSPTasks[[#Headers],[ID]])))="",TRUE()),"",INDEX(tsk_PlanFinish,(ROW()-ROW(MSPTasks[[#Headers],[ID]]))))</f>
        <v/>
      </c>
      <c r="Q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78" t="str">
        <f aca="false">IF(IFERROR(INDEX(tsk_Name,(ROW()-ROW(MSPTasks[[#Headers],[ID]])))="",TRUE()),"",INDEX(tsk_FcStart,(ROW()-ROW(MSPTasks[[#Headers],[ID]]))))</f>
        <v/>
      </c>
      <c r="H100" s="78" t="str">
        <f aca="false">IF(IFERROR(INDEX(tsk_Name,(ROW()-ROW(MSPTasks[[#Headers],[ID]])))="",TRUE()),"",INDEX(tsk_FcFinish,(ROW()-ROW(MSPTasks[[#Headers],[ID]]))))</f>
        <v/>
      </c>
      <c r="I1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78" t="str">
        <f aca="false">IF(IFERROR(INDEX(tsk_Name,(ROW()-ROW(MSPTasks[[#Headers],[ID]])))="",TRUE()),"",INDEX(tsk_PlanStart,(ROW()-ROW(MSPTasks[[#Headers],[ID]]))))</f>
        <v/>
      </c>
      <c r="P100" s="78" t="str">
        <f aca="false">IF(IFERROR(INDEX(tsk_Name,(ROW()-ROW(MSPTasks[[#Headers],[ID]])))="",TRUE()),"",INDEX(tsk_PlanFinish,(ROW()-ROW(MSPTasks[[#Headers],[ID]]))))</f>
        <v/>
      </c>
      <c r="Q1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78" t="str">
        <f aca="false">IF(IFERROR(INDEX(tsk_Name,(ROW()-ROW(MSPTasks[[#Headers],[ID]])))="",TRUE()),"",INDEX(tsk_FcStart,(ROW()-ROW(MSPTasks[[#Headers],[ID]]))))</f>
        <v/>
      </c>
      <c r="H101" s="78" t="str">
        <f aca="false">IF(IFERROR(INDEX(tsk_Name,(ROW()-ROW(MSPTasks[[#Headers],[ID]])))="",TRUE()),"",INDEX(tsk_FcFinish,(ROW()-ROW(MSPTasks[[#Headers],[ID]]))))</f>
        <v/>
      </c>
      <c r="I1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78" t="str">
        <f aca="false">IF(IFERROR(INDEX(tsk_Name,(ROW()-ROW(MSPTasks[[#Headers],[ID]])))="",TRUE()),"",INDEX(tsk_PlanStart,(ROW()-ROW(MSPTasks[[#Headers],[ID]]))))</f>
        <v/>
      </c>
      <c r="P101" s="78" t="str">
        <f aca="false">IF(IFERROR(INDEX(tsk_Name,(ROW()-ROW(MSPTasks[[#Headers],[ID]])))="",TRUE()),"",INDEX(tsk_PlanFinish,(ROW()-ROW(MSPTasks[[#Headers],[ID]]))))</f>
        <v/>
      </c>
      <c r="Q1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78" t="str">
        <f aca="false">IF(IFERROR(INDEX(tsk_Name,(ROW()-ROW(MSPTasks[[#Headers],[ID]])))="",TRUE()),"",INDEX(tsk_FcStart,(ROW()-ROW(MSPTasks[[#Headers],[ID]]))))</f>
        <v/>
      </c>
      <c r="H102" s="78" t="str">
        <f aca="false">IF(IFERROR(INDEX(tsk_Name,(ROW()-ROW(MSPTasks[[#Headers],[ID]])))="",TRUE()),"",INDEX(tsk_FcFinish,(ROW()-ROW(MSPTasks[[#Headers],[ID]]))))</f>
        <v/>
      </c>
      <c r="I10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78" t="str">
        <f aca="false">IF(IFERROR(INDEX(tsk_Name,(ROW()-ROW(MSPTasks[[#Headers],[ID]])))="",TRUE()),"",INDEX(tsk_PlanStart,(ROW()-ROW(MSPTasks[[#Headers],[ID]]))))</f>
        <v/>
      </c>
      <c r="P102" s="78" t="str">
        <f aca="false">IF(IFERROR(INDEX(tsk_Name,(ROW()-ROW(MSPTasks[[#Headers],[ID]])))="",TRUE()),"",INDEX(tsk_PlanFinish,(ROW()-ROW(MSPTasks[[#Headers],[ID]]))))</f>
        <v/>
      </c>
      <c r="Q10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78" t="str">
        <f aca="false">IF(IFERROR(INDEX(tsk_Name,(ROW()-ROW(MSPTasks[[#Headers],[ID]])))="",TRUE()),"",INDEX(tsk_FcStart,(ROW()-ROW(MSPTasks[[#Headers],[ID]]))))</f>
        <v/>
      </c>
      <c r="H103" s="78" t="str">
        <f aca="false">IF(IFERROR(INDEX(tsk_Name,(ROW()-ROW(MSPTasks[[#Headers],[ID]])))="",TRUE()),"",INDEX(tsk_FcFinish,(ROW()-ROW(MSPTasks[[#Headers],[ID]]))))</f>
        <v/>
      </c>
      <c r="I10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78" t="str">
        <f aca="false">IF(IFERROR(INDEX(tsk_Name,(ROW()-ROW(MSPTasks[[#Headers],[ID]])))="",TRUE()),"",INDEX(tsk_PlanStart,(ROW()-ROW(MSPTasks[[#Headers],[ID]]))))</f>
        <v/>
      </c>
      <c r="P103" s="78" t="str">
        <f aca="false">IF(IFERROR(INDEX(tsk_Name,(ROW()-ROW(MSPTasks[[#Headers],[ID]])))="",TRUE()),"",INDEX(tsk_PlanFinish,(ROW()-ROW(MSPTasks[[#Headers],[ID]]))))</f>
        <v/>
      </c>
      <c r="Q10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78" t="str">
        <f aca="false">IF(IFERROR(INDEX(tsk_Name,(ROW()-ROW(MSPTasks[[#Headers],[ID]])))="",TRUE()),"",INDEX(tsk_FcStart,(ROW()-ROW(MSPTasks[[#Headers],[ID]]))))</f>
        <v/>
      </c>
      <c r="H104" s="78" t="str">
        <f aca="false">IF(IFERROR(INDEX(tsk_Name,(ROW()-ROW(MSPTasks[[#Headers],[ID]])))="",TRUE()),"",INDEX(tsk_FcFinish,(ROW()-ROW(MSPTasks[[#Headers],[ID]]))))</f>
        <v/>
      </c>
      <c r="I10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78" t="str">
        <f aca="false">IF(IFERROR(INDEX(tsk_Name,(ROW()-ROW(MSPTasks[[#Headers],[ID]])))="",TRUE()),"",INDEX(tsk_PlanStart,(ROW()-ROW(MSPTasks[[#Headers],[ID]]))))</f>
        <v/>
      </c>
      <c r="P104" s="78" t="str">
        <f aca="false">IF(IFERROR(INDEX(tsk_Name,(ROW()-ROW(MSPTasks[[#Headers],[ID]])))="",TRUE()),"",INDEX(tsk_PlanFinish,(ROW()-ROW(MSPTasks[[#Headers],[ID]]))))</f>
        <v/>
      </c>
      <c r="Q10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78" t="str">
        <f aca="false">IF(IFERROR(INDEX(tsk_Name,(ROW()-ROW(MSPTasks[[#Headers],[ID]])))="",TRUE()),"",INDEX(tsk_FcStart,(ROW()-ROW(MSPTasks[[#Headers],[ID]]))))</f>
        <v/>
      </c>
      <c r="H105" s="78" t="str">
        <f aca="false">IF(IFERROR(INDEX(tsk_Name,(ROW()-ROW(MSPTasks[[#Headers],[ID]])))="",TRUE()),"",INDEX(tsk_FcFinish,(ROW()-ROW(MSPTasks[[#Headers],[ID]]))))</f>
        <v/>
      </c>
      <c r="I10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78" t="str">
        <f aca="false">IF(IFERROR(INDEX(tsk_Name,(ROW()-ROW(MSPTasks[[#Headers],[ID]])))="",TRUE()),"",INDEX(tsk_PlanStart,(ROW()-ROW(MSPTasks[[#Headers],[ID]]))))</f>
        <v/>
      </c>
      <c r="P105" s="78" t="str">
        <f aca="false">IF(IFERROR(INDEX(tsk_Name,(ROW()-ROW(MSPTasks[[#Headers],[ID]])))="",TRUE()),"",INDEX(tsk_PlanFinish,(ROW()-ROW(MSPTasks[[#Headers],[ID]]))))</f>
        <v/>
      </c>
      <c r="Q10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78" t="str">
        <f aca="false">IF(IFERROR(INDEX(tsk_Name,(ROW()-ROW(MSPTasks[[#Headers],[ID]])))="",TRUE()),"",INDEX(tsk_FcStart,(ROW()-ROW(MSPTasks[[#Headers],[ID]]))))</f>
        <v/>
      </c>
      <c r="H106" s="78" t="str">
        <f aca="false">IF(IFERROR(INDEX(tsk_Name,(ROW()-ROW(MSPTasks[[#Headers],[ID]])))="",TRUE()),"",INDEX(tsk_FcFinish,(ROW()-ROW(MSPTasks[[#Headers],[ID]]))))</f>
        <v/>
      </c>
      <c r="I10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78" t="str">
        <f aca="false">IF(IFERROR(INDEX(tsk_Name,(ROW()-ROW(MSPTasks[[#Headers],[ID]])))="",TRUE()),"",INDEX(tsk_PlanStart,(ROW()-ROW(MSPTasks[[#Headers],[ID]]))))</f>
        <v/>
      </c>
      <c r="P106" s="78" t="str">
        <f aca="false">IF(IFERROR(INDEX(tsk_Name,(ROW()-ROW(MSPTasks[[#Headers],[ID]])))="",TRUE()),"",INDEX(tsk_PlanFinish,(ROW()-ROW(MSPTasks[[#Headers],[ID]]))))</f>
        <v/>
      </c>
      <c r="Q10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78" t="str">
        <f aca="false">IF(IFERROR(INDEX(tsk_Name,(ROW()-ROW(MSPTasks[[#Headers],[ID]])))="",TRUE()),"",INDEX(tsk_FcStart,(ROW()-ROW(MSPTasks[[#Headers],[ID]]))))</f>
        <v/>
      </c>
      <c r="H107" s="78" t="str">
        <f aca="false">IF(IFERROR(INDEX(tsk_Name,(ROW()-ROW(MSPTasks[[#Headers],[ID]])))="",TRUE()),"",INDEX(tsk_FcFinish,(ROW()-ROW(MSPTasks[[#Headers],[ID]]))))</f>
        <v/>
      </c>
      <c r="I10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78" t="str">
        <f aca="false">IF(IFERROR(INDEX(tsk_Name,(ROW()-ROW(MSPTasks[[#Headers],[ID]])))="",TRUE()),"",INDEX(tsk_PlanStart,(ROW()-ROW(MSPTasks[[#Headers],[ID]]))))</f>
        <v/>
      </c>
      <c r="P107" s="78" t="str">
        <f aca="false">IF(IFERROR(INDEX(tsk_Name,(ROW()-ROW(MSPTasks[[#Headers],[ID]])))="",TRUE()),"",INDEX(tsk_PlanFinish,(ROW()-ROW(MSPTasks[[#Headers],[ID]]))))</f>
        <v/>
      </c>
      <c r="Q10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78" t="str">
        <f aca="false">IF(IFERROR(INDEX(tsk_Name,(ROW()-ROW(MSPTasks[[#Headers],[ID]])))="",TRUE()),"",INDEX(tsk_FcStart,(ROW()-ROW(MSPTasks[[#Headers],[ID]]))))</f>
        <v/>
      </c>
      <c r="H108" s="78" t="str">
        <f aca="false">IF(IFERROR(INDEX(tsk_Name,(ROW()-ROW(MSPTasks[[#Headers],[ID]])))="",TRUE()),"",INDEX(tsk_FcFinish,(ROW()-ROW(MSPTasks[[#Headers],[ID]]))))</f>
        <v/>
      </c>
      <c r="I10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78" t="str">
        <f aca="false">IF(IFERROR(INDEX(tsk_Name,(ROW()-ROW(MSPTasks[[#Headers],[ID]])))="",TRUE()),"",INDEX(tsk_PlanStart,(ROW()-ROW(MSPTasks[[#Headers],[ID]]))))</f>
        <v/>
      </c>
      <c r="P108" s="78" t="str">
        <f aca="false">IF(IFERROR(INDEX(tsk_Name,(ROW()-ROW(MSPTasks[[#Headers],[ID]])))="",TRUE()),"",INDEX(tsk_PlanFinish,(ROW()-ROW(MSPTasks[[#Headers],[ID]]))))</f>
        <v/>
      </c>
      <c r="Q10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78" t="str">
        <f aca="false">IF(IFERROR(INDEX(tsk_Name,(ROW()-ROW(MSPTasks[[#Headers],[ID]])))="",TRUE()),"",INDEX(tsk_FcStart,(ROW()-ROW(MSPTasks[[#Headers],[ID]]))))</f>
        <v/>
      </c>
      <c r="H109" s="78" t="str">
        <f aca="false">IF(IFERROR(INDEX(tsk_Name,(ROW()-ROW(MSPTasks[[#Headers],[ID]])))="",TRUE()),"",INDEX(tsk_FcFinish,(ROW()-ROW(MSPTasks[[#Headers],[ID]]))))</f>
        <v/>
      </c>
      <c r="I10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78" t="str">
        <f aca="false">IF(IFERROR(INDEX(tsk_Name,(ROW()-ROW(MSPTasks[[#Headers],[ID]])))="",TRUE()),"",INDEX(tsk_PlanStart,(ROW()-ROW(MSPTasks[[#Headers],[ID]]))))</f>
        <v/>
      </c>
      <c r="P109" s="78" t="str">
        <f aca="false">IF(IFERROR(INDEX(tsk_Name,(ROW()-ROW(MSPTasks[[#Headers],[ID]])))="",TRUE()),"",INDEX(tsk_PlanFinish,(ROW()-ROW(MSPTasks[[#Headers],[ID]]))))</f>
        <v/>
      </c>
      <c r="Q10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78" t="str">
        <f aca="false">IF(IFERROR(INDEX(tsk_Name,(ROW()-ROW(MSPTasks[[#Headers],[ID]])))="",TRUE()),"",INDEX(tsk_FcStart,(ROW()-ROW(MSPTasks[[#Headers],[ID]]))))</f>
        <v/>
      </c>
      <c r="H110" s="78" t="str">
        <f aca="false">IF(IFERROR(INDEX(tsk_Name,(ROW()-ROW(MSPTasks[[#Headers],[ID]])))="",TRUE()),"",INDEX(tsk_FcFinish,(ROW()-ROW(MSPTasks[[#Headers],[ID]]))))</f>
        <v/>
      </c>
      <c r="I11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78" t="str">
        <f aca="false">IF(IFERROR(INDEX(tsk_Name,(ROW()-ROW(MSPTasks[[#Headers],[ID]])))="",TRUE()),"",INDEX(tsk_PlanStart,(ROW()-ROW(MSPTasks[[#Headers],[ID]]))))</f>
        <v/>
      </c>
      <c r="P110" s="78" t="str">
        <f aca="false">IF(IFERROR(INDEX(tsk_Name,(ROW()-ROW(MSPTasks[[#Headers],[ID]])))="",TRUE()),"",INDEX(tsk_PlanFinish,(ROW()-ROW(MSPTasks[[#Headers],[ID]]))))</f>
        <v/>
      </c>
      <c r="Q1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78" t="str">
        <f aca="false">IF(IFERROR(INDEX(tsk_Name,(ROW()-ROW(MSPTasks[[#Headers],[ID]])))="",TRUE()),"",INDEX(tsk_FcStart,(ROW()-ROW(MSPTasks[[#Headers],[ID]]))))</f>
        <v/>
      </c>
      <c r="H111" s="78" t="str">
        <f aca="false">IF(IFERROR(INDEX(tsk_Name,(ROW()-ROW(MSPTasks[[#Headers],[ID]])))="",TRUE()),"",INDEX(tsk_FcFinish,(ROW()-ROW(MSPTasks[[#Headers],[ID]]))))</f>
        <v/>
      </c>
      <c r="I1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78" t="str">
        <f aca="false">IF(IFERROR(INDEX(tsk_Name,(ROW()-ROW(MSPTasks[[#Headers],[ID]])))="",TRUE()),"",INDEX(tsk_PlanStart,(ROW()-ROW(MSPTasks[[#Headers],[ID]]))))</f>
        <v/>
      </c>
      <c r="P111" s="78" t="str">
        <f aca="false">IF(IFERROR(INDEX(tsk_Name,(ROW()-ROW(MSPTasks[[#Headers],[ID]])))="",TRUE()),"",INDEX(tsk_PlanFinish,(ROW()-ROW(MSPTasks[[#Headers],[ID]]))))</f>
        <v/>
      </c>
      <c r="Q1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78" t="str">
        <f aca="false">IF(IFERROR(INDEX(tsk_Name,(ROW()-ROW(MSPTasks[[#Headers],[ID]])))="",TRUE()),"",INDEX(tsk_FcStart,(ROW()-ROW(MSPTasks[[#Headers],[ID]]))))</f>
        <v/>
      </c>
      <c r="H112" s="78" t="str">
        <f aca="false">IF(IFERROR(INDEX(tsk_Name,(ROW()-ROW(MSPTasks[[#Headers],[ID]])))="",TRUE()),"",INDEX(tsk_FcFinish,(ROW()-ROW(MSPTasks[[#Headers],[ID]]))))</f>
        <v/>
      </c>
      <c r="I1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78" t="str">
        <f aca="false">IF(IFERROR(INDEX(tsk_Name,(ROW()-ROW(MSPTasks[[#Headers],[ID]])))="",TRUE()),"",INDEX(tsk_PlanStart,(ROW()-ROW(MSPTasks[[#Headers],[ID]]))))</f>
        <v/>
      </c>
      <c r="P112" s="78" t="str">
        <f aca="false">IF(IFERROR(INDEX(tsk_Name,(ROW()-ROW(MSPTasks[[#Headers],[ID]])))="",TRUE()),"",INDEX(tsk_PlanFinish,(ROW()-ROW(MSPTasks[[#Headers],[ID]]))))</f>
        <v/>
      </c>
      <c r="Q1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78" t="str">
        <f aca="false">IF(IFERROR(INDEX(tsk_Name,(ROW()-ROW(MSPTasks[[#Headers],[ID]])))="",TRUE()),"",INDEX(tsk_FcStart,(ROW()-ROW(MSPTasks[[#Headers],[ID]]))))</f>
        <v/>
      </c>
      <c r="H113" s="78" t="str">
        <f aca="false">IF(IFERROR(INDEX(tsk_Name,(ROW()-ROW(MSPTasks[[#Headers],[ID]])))="",TRUE()),"",INDEX(tsk_FcFinish,(ROW()-ROW(MSPTasks[[#Headers],[ID]]))))</f>
        <v/>
      </c>
      <c r="I11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78" t="str">
        <f aca="false">IF(IFERROR(INDEX(tsk_Name,(ROW()-ROW(MSPTasks[[#Headers],[ID]])))="",TRUE()),"",INDEX(tsk_PlanStart,(ROW()-ROW(MSPTasks[[#Headers],[ID]]))))</f>
        <v/>
      </c>
      <c r="P113" s="78" t="str">
        <f aca="false">IF(IFERROR(INDEX(tsk_Name,(ROW()-ROW(MSPTasks[[#Headers],[ID]])))="",TRUE()),"",INDEX(tsk_PlanFinish,(ROW()-ROW(MSPTasks[[#Headers],[ID]]))))</f>
        <v/>
      </c>
      <c r="Q1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78" t="str">
        <f aca="false">IF(IFERROR(INDEX(tsk_Name,(ROW()-ROW(MSPTasks[[#Headers],[ID]])))="",TRUE()),"",INDEX(tsk_FcStart,(ROW()-ROW(MSPTasks[[#Headers],[ID]]))))</f>
        <v/>
      </c>
      <c r="H114" s="78" t="str">
        <f aca="false">IF(IFERROR(INDEX(tsk_Name,(ROW()-ROW(MSPTasks[[#Headers],[ID]])))="",TRUE()),"",INDEX(tsk_FcFinish,(ROW()-ROW(MSPTasks[[#Headers],[ID]]))))</f>
        <v/>
      </c>
      <c r="I11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78" t="str">
        <f aca="false">IF(IFERROR(INDEX(tsk_Name,(ROW()-ROW(MSPTasks[[#Headers],[ID]])))="",TRUE()),"",INDEX(tsk_PlanStart,(ROW()-ROW(MSPTasks[[#Headers],[ID]]))))</f>
        <v/>
      </c>
      <c r="P114" s="78" t="str">
        <f aca="false">IF(IFERROR(INDEX(tsk_Name,(ROW()-ROW(MSPTasks[[#Headers],[ID]])))="",TRUE()),"",INDEX(tsk_PlanFinish,(ROW()-ROW(MSPTasks[[#Headers],[ID]]))))</f>
        <v/>
      </c>
      <c r="Q1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78" t="str">
        <f aca="false">IF(IFERROR(INDEX(tsk_Name,(ROW()-ROW(MSPTasks[[#Headers],[ID]])))="",TRUE()),"",INDEX(tsk_FcStart,(ROW()-ROW(MSPTasks[[#Headers],[ID]]))))</f>
        <v/>
      </c>
      <c r="H115" s="78" t="str">
        <f aca="false">IF(IFERROR(INDEX(tsk_Name,(ROW()-ROW(MSPTasks[[#Headers],[ID]])))="",TRUE()),"",INDEX(tsk_FcFinish,(ROW()-ROW(MSPTasks[[#Headers],[ID]]))))</f>
        <v/>
      </c>
      <c r="I11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78" t="str">
        <f aca="false">IF(IFERROR(INDEX(tsk_Name,(ROW()-ROW(MSPTasks[[#Headers],[ID]])))="",TRUE()),"",INDEX(tsk_PlanStart,(ROW()-ROW(MSPTasks[[#Headers],[ID]]))))</f>
        <v/>
      </c>
      <c r="P115" s="78" t="str">
        <f aca="false">IF(IFERROR(INDEX(tsk_Name,(ROW()-ROW(MSPTasks[[#Headers],[ID]])))="",TRUE()),"",INDEX(tsk_PlanFinish,(ROW()-ROW(MSPTasks[[#Headers],[ID]]))))</f>
        <v/>
      </c>
      <c r="Q1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78" t="str">
        <f aca="false">IF(IFERROR(INDEX(tsk_Name,(ROW()-ROW(MSPTasks[[#Headers],[ID]])))="",TRUE()),"",INDEX(tsk_FcStart,(ROW()-ROW(MSPTasks[[#Headers],[ID]]))))</f>
        <v/>
      </c>
      <c r="H116" s="78" t="str">
        <f aca="false">IF(IFERROR(INDEX(tsk_Name,(ROW()-ROW(MSPTasks[[#Headers],[ID]])))="",TRUE()),"",INDEX(tsk_FcFinish,(ROW()-ROW(MSPTasks[[#Headers],[ID]]))))</f>
        <v/>
      </c>
      <c r="I1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78" t="str">
        <f aca="false">IF(IFERROR(INDEX(tsk_Name,(ROW()-ROW(MSPTasks[[#Headers],[ID]])))="",TRUE()),"",INDEX(tsk_PlanStart,(ROW()-ROW(MSPTasks[[#Headers],[ID]]))))</f>
        <v/>
      </c>
      <c r="P116" s="78" t="str">
        <f aca="false">IF(IFERROR(INDEX(tsk_Name,(ROW()-ROW(MSPTasks[[#Headers],[ID]])))="",TRUE()),"",INDEX(tsk_PlanFinish,(ROW()-ROW(MSPTasks[[#Headers],[ID]]))))</f>
        <v/>
      </c>
      <c r="Q1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78" t="str">
        <f aca="false">IF(IFERROR(INDEX(tsk_Name,(ROW()-ROW(MSPTasks[[#Headers],[ID]])))="",TRUE()),"",INDEX(tsk_FcStart,(ROW()-ROW(MSPTasks[[#Headers],[ID]]))))</f>
        <v/>
      </c>
      <c r="H117" s="78" t="str">
        <f aca="false">IF(IFERROR(INDEX(tsk_Name,(ROW()-ROW(MSPTasks[[#Headers],[ID]])))="",TRUE()),"",INDEX(tsk_FcFinish,(ROW()-ROW(MSPTasks[[#Headers],[ID]]))))</f>
        <v/>
      </c>
      <c r="I11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78" t="str">
        <f aca="false">IF(IFERROR(INDEX(tsk_Name,(ROW()-ROW(MSPTasks[[#Headers],[ID]])))="",TRUE()),"",INDEX(tsk_PlanStart,(ROW()-ROW(MSPTasks[[#Headers],[ID]]))))</f>
        <v/>
      </c>
      <c r="P117" s="78" t="str">
        <f aca="false">IF(IFERROR(INDEX(tsk_Name,(ROW()-ROW(MSPTasks[[#Headers],[ID]])))="",TRUE()),"",INDEX(tsk_PlanFinish,(ROW()-ROW(MSPTasks[[#Headers],[ID]]))))</f>
        <v/>
      </c>
      <c r="Q1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78" t="str">
        <f aca="false">IF(IFERROR(INDEX(tsk_Name,(ROW()-ROW(MSPTasks[[#Headers],[ID]])))="",TRUE()),"",INDEX(tsk_FcStart,(ROW()-ROW(MSPTasks[[#Headers],[ID]]))))</f>
        <v/>
      </c>
      <c r="H118" s="78" t="str">
        <f aca="false">IF(IFERROR(INDEX(tsk_Name,(ROW()-ROW(MSPTasks[[#Headers],[ID]])))="",TRUE()),"",INDEX(tsk_FcFinish,(ROW()-ROW(MSPTasks[[#Headers],[ID]]))))</f>
        <v/>
      </c>
      <c r="I11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78" t="str">
        <f aca="false">IF(IFERROR(INDEX(tsk_Name,(ROW()-ROW(MSPTasks[[#Headers],[ID]])))="",TRUE()),"",INDEX(tsk_PlanStart,(ROW()-ROW(MSPTasks[[#Headers],[ID]]))))</f>
        <v/>
      </c>
      <c r="P118" s="78" t="str">
        <f aca="false">IF(IFERROR(INDEX(tsk_Name,(ROW()-ROW(MSPTasks[[#Headers],[ID]])))="",TRUE()),"",INDEX(tsk_PlanFinish,(ROW()-ROW(MSPTasks[[#Headers],[ID]]))))</f>
        <v/>
      </c>
      <c r="Q1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78" t="str">
        <f aca="false">IF(IFERROR(INDEX(tsk_Name,(ROW()-ROW(MSPTasks[[#Headers],[ID]])))="",TRUE()),"",INDEX(tsk_FcStart,(ROW()-ROW(MSPTasks[[#Headers],[ID]]))))</f>
        <v/>
      </c>
      <c r="H119" s="78" t="str">
        <f aca="false">IF(IFERROR(INDEX(tsk_Name,(ROW()-ROW(MSPTasks[[#Headers],[ID]])))="",TRUE()),"",INDEX(tsk_FcFinish,(ROW()-ROW(MSPTasks[[#Headers],[ID]]))))</f>
        <v/>
      </c>
      <c r="I11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78" t="str">
        <f aca="false">IF(IFERROR(INDEX(tsk_Name,(ROW()-ROW(MSPTasks[[#Headers],[ID]])))="",TRUE()),"",INDEX(tsk_PlanStart,(ROW()-ROW(MSPTasks[[#Headers],[ID]]))))</f>
        <v/>
      </c>
      <c r="P119" s="78" t="str">
        <f aca="false">IF(IFERROR(INDEX(tsk_Name,(ROW()-ROW(MSPTasks[[#Headers],[ID]])))="",TRUE()),"",INDEX(tsk_PlanFinish,(ROW()-ROW(MSPTasks[[#Headers],[ID]]))))</f>
        <v/>
      </c>
      <c r="Q1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78" t="str">
        <f aca="false">IF(IFERROR(INDEX(tsk_Name,(ROW()-ROW(MSPTasks[[#Headers],[ID]])))="",TRUE()),"",INDEX(tsk_FcStart,(ROW()-ROW(MSPTasks[[#Headers],[ID]]))))</f>
        <v/>
      </c>
      <c r="H120" s="78" t="str">
        <f aca="false">IF(IFERROR(INDEX(tsk_Name,(ROW()-ROW(MSPTasks[[#Headers],[ID]])))="",TRUE()),"",INDEX(tsk_FcFinish,(ROW()-ROW(MSPTasks[[#Headers],[ID]]))))</f>
        <v/>
      </c>
      <c r="I12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78" t="str">
        <f aca="false">IF(IFERROR(INDEX(tsk_Name,(ROW()-ROW(MSPTasks[[#Headers],[ID]])))="",TRUE()),"",INDEX(tsk_PlanStart,(ROW()-ROW(MSPTasks[[#Headers],[ID]]))))</f>
        <v/>
      </c>
      <c r="P120" s="78" t="str">
        <f aca="false">IF(IFERROR(INDEX(tsk_Name,(ROW()-ROW(MSPTasks[[#Headers],[ID]])))="",TRUE()),"",INDEX(tsk_PlanFinish,(ROW()-ROW(MSPTasks[[#Headers],[ID]]))))</f>
        <v/>
      </c>
      <c r="Q1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78" t="str">
        <f aca="false">IF(IFERROR(INDEX(tsk_Name,(ROW()-ROW(MSPTasks[[#Headers],[ID]])))="",TRUE()),"",INDEX(tsk_FcStart,(ROW()-ROW(MSPTasks[[#Headers],[ID]]))))</f>
        <v/>
      </c>
      <c r="H121" s="78" t="str">
        <f aca="false">IF(IFERROR(INDEX(tsk_Name,(ROW()-ROW(MSPTasks[[#Headers],[ID]])))="",TRUE()),"",INDEX(tsk_FcFinish,(ROW()-ROW(MSPTasks[[#Headers],[ID]]))))</f>
        <v/>
      </c>
      <c r="I1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78" t="str">
        <f aca="false">IF(IFERROR(INDEX(tsk_Name,(ROW()-ROW(MSPTasks[[#Headers],[ID]])))="",TRUE()),"",INDEX(tsk_PlanStart,(ROW()-ROW(MSPTasks[[#Headers],[ID]]))))</f>
        <v/>
      </c>
      <c r="P121" s="78" t="str">
        <f aca="false">IF(IFERROR(INDEX(tsk_Name,(ROW()-ROW(MSPTasks[[#Headers],[ID]])))="",TRUE()),"",INDEX(tsk_PlanFinish,(ROW()-ROW(MSPTasks[[#Headers],[ID]]))))</f>
        <v/>
      </c>
      <c r="Q1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78" t="str">
        <f aca="false">IF(IFERROR(INDEX(tsk_Name,(ROW()-ROW(MSPTasks[[#Headers],[ID]])))="",TRUE()),"",INDEX(tsk_FcStart,(ROW()-ROW(MSPTasks[[#Headers],[ID]]))))</f>
        <v/>
      </c>
      <c r="H122" s="78" t="str">
        <f aca="false">IF(IFERROR(INDEX(tsk_Name,(ROW()-ROW(MSPTasks[[#Headers],[ID]])))="",TRUE()),"",INDEX(tsk_FcFinish,(ROW()-ROW(MSPTasks[[#Headers],[ID]]))))</f>
        <v/>
      </c>
      <c r="I12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78" t="str">
        <f aca="false">IF(IFERROR(INDEX(tsk_Name,(ROW()-ROW(MSPTasks[[#Headers],[ID]])))="",TRUE()),"",INDEX(tsk_PlanStart,(ROW()-ROW(MSPTasks[[#Headers],[ID]]))))</f>
        <v/>
      </c>
      <c r="P122" s="78" t="str">
        <f aca="false">IF(IFERROR(INDEX(tsk_Name,(ROW()-ROW(MSPTasks[[#Headers],[ID]])))="",TRUE()),"",INDEX(tsk_PlanFinish,(ROW()-ROW(MSPTasks[[#Headers],[ID]]))))</f>
        <v/>
      </c>
      <c r="Q1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78" t="str">
        <f aca="false">IF(IFERROR(INDEX(tsk_Name,(ROW()-ROW(MSPTasks[[#Headers],[ID]])))="",TRUE()),"",INDEX(tsk_FcStart,(ROW()-ROW(MSPTasks[[#Headers],[ID]]))))</f>
        <v/>
      </c>
      <c r="H123" s="78" t="str">
        <f aca="false">IF(IFERROR(INDEX(tsk_Name,(ROW()-ROW(MSPTasks[[#Headers],[ID]])))="",TRUE()),"",INDEX(tsk_FcFinish,(ROW()-ROW(MSPTasks[[#Headers],[ID]]))))</f>
        <v/>
      </c>
      <c r="I12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78" t="str">
        <f aca="false">IF(IFERROR(INDEX(tsk_Name,(ROW()-ROW(MSPTasks[[#Headers],[ID]])))="",TRUE()),"",INDEX(tsk_PlanStart,(ROW()-ROW(MSPTasks[[#Headers],[ID]]))))</f>
        <v/>
      </c>
      <c r="P123" s="78" t="str">
        <f aca="false">IF(IFERROR(INDEX(tsk_Name,(ROW()-ROW(MSPTasks[[#Headers],[ID]])))="",TRUE()),"",INDEX(tsk_PlanFinish,(ROW()-ROW(MSPTasks[[#Headers],[ID]]))))</f>
        <v/>
      </c>
      <c r="Q1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78" t="str">
        <f aca="false">IF(IFERROR(INDEX(tsk_Name,(ROW()-ROW(MSPTasks[[#Headers],[ID]])))="",TRUE()),"",INDEX(tsk_FcStart,(ROW()-ROW(MSPTasks[[#Headers],[ID]]))))</f>
        <v/>
      </c>
      <c r="H124" s="78" t="str">
        <f aca="false">IF(IFERROR(INDEX(tsk_Name,(ROW()-ROW(MSPTasks[[#Headers],[ID]])))="",TRUE()),"",INDEX(tsk_FcFinish,(ROW()-ROW(MSPTasks[[#Headers],[ID]]))))</f>
        <v/>
      </c>
      <c r="I12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78" t="str">
        <f aca="false">IF(IFERROR(INDEX(tsk_Name,(ROW()-ROW(MSPTasks[[#Headers],[ID]])))="",TRUE()),"",INDEX(tsk_PlanStart,(ROW()-ROW(MSPTasks[[#Headers],[ID]]))))</f>
        <v/>
      </c>
      <c r="P124" s="78" t="str">
        <f aca="false">IF(IFERROR(INDEX(tsk_Name,(ROW()-ROW(MSPTasks[[#Headers],[ID]])))="",TRUE()),"",INDEX(tsk_PlanFinish,(ROW()-ROW(MSPTasks[[#Headers],[ID]]))))</f>
        <v/>
      </c>
      <c r="Q1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78" t="str">
        <f aca="false">IF(IFERROR(INDEX(tsk_Name,(ROW()-ROW(MSPTasks[[#Headers],[ID]])))="",TRUE()),"",INDEX(tsk_FcStart,(ROW()-ROW(MSPTasks[[#Headers],[ID]]))))</f>
        <v/>
      </c>
      <c r="H125" s="78" t="str">
        <f aca="false">IF(IFERROR(INDEX(tsk_Name,(ROW()-ROW(MSPTasks[[#Headers],[ID]])))="",TRUE()),"",INDEX(tsk_FcFinish,(ROW()-ROW(MSPTasks[[#Headers],[ID]]))))</f>
        <v/>
      </c>
      <c r="I12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78" t="str">
        <f aca="false">IF(IFERROR(INDEX(tsk_Name,(ROW()-ROW(MSPTasks[[#Headers],[ID]])))="",TRUE()),"",INDEX(tsk_PlanStart,(ROW()-ROW(MSPTasks[[#Headers],[ID]]))))</f>
        <v/>
      </c>
      <c r="P125" s="78" t="str">
        <f aca="false">IF(IFERROR(INDEX(tsk_Name,(ROW()-ROW(MSPTasks[[#Headers],[ID]])))="",TRUE()),"",INDEX(tsk_PlanFinish,(ROW()-ROW(MSPTasks[[#Headers],[ID]]))))</f>
        <v/>
      </c>
      <c r="Q1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78" t="str">
        <f aca="false">IF(IFERROR(INDEX(tsk_Name,(ROW()-ROW(MSPTasks[[#Headers],[ID]])))="",TRUE()),"",INDEX(tsk_FcStart,(ROW()-ROW(MSPTasks[[#Headers],[ID]]))))</f>
        <v/>
      </c>
      <c r="H126" s="78" t="str">
        <f aca="false">IF(IFERROR(INDEX(tsk_Name,(ROW()-ROW(MSPTasks[[#Headers],[ID]])))="",TRUE()),"",INDEX(tsk_FcFinish,(ROW()-ROW(MSPTasks[[#Headers],[ID]]))))</f>
        <v/>
      </c>
      <c r="I12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78" t="str">
        <f aca="false">IF(IFERROR(INDEX(tsk_Name,(ROW()-ROW(MSPTasks[[#Headers],[ID]])))="",TRUE()),"",INDEX(tsk_PlanStart,(ROW()-ROW(MSPTasks[[#Headers],[ID]]))))</f>
        <v/>
      </c>
      <c r="P126" s="78" t="str">
        <f aca="false">IF(IFERROR(INDEX(tsk_Name,(ROW()-ROW(MSPTasks[[#Headers],[ID]])))="",TRUE()),"",INDEX(tsk_PlanFinish,(ROW()-ROW(MSPTasks[[#Headers],[ID]]))))</f>
        <v/>
      </c>
      <c r="Q1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78" t="str">
        <f aca="false">IF(IFERROR(INDEX(tsk_Name,(ROW()-ROW(MSPTasks[[#Headers],[ID]])))="",TRUE()),"",INDEX(tsk_FcStart,(ROW()-ROW(MSPTasks[[#Headers],[ID]]))))</f>
        <v/>
      </c>
      <c r="H127" s="78" t="str">
        <f aca="false">IF(IFERROR(INDEX(tsk_Name,(ROW()-ROW(MSPTasks[[#Headers],[ID]])))="",TRUE()),"",INDEX(tsk_FcFinish,(ROW()-ROW(MSPTasks[[#Headers],[ID]]))))</f>
        <v/>
      </c>
      <c r="I12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78" t="str">
        <f aca="false">IF(IFERROR(INDEX(tsk_Name,(ROW()-ROW(MSPTasks[[#Headers],[ID]])))="",TRUE()),"",INDEX(tsk_PlanStart,(ROW()-ROW(MSPTasks[[#Headers],[ID]]))))</f>
        <v/>
      </c>
      <c r="P127" s="78" t="str">
        <f aca="false">IF(IFERROR(INDEX(tsk_Name,(ROW()-ROW(MSPTasks[[#Headers],[ID]])))="",TRUE()),"",INDEX(tsk_PlanFinish,(ROW()-ROW(MSPTasks[[#Headers],[ID]]))))</f>
        <v/>
      </c>
      <c r="Q1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78" t="str">
        <f aca="false">IF(IFERROR(INDEX(tsk_Name,(ROW()-ROW(MSPTasks[[#Headers],[ID]])))="",TRUE()),"",INDEX(tsk_FcStart,(ROW()-ROW(MSPTasks[[#Headers],[ID]]))))</f>
        <v/>
      </c>
      <c r="H128" s="78" t="str">
        <f aca="false">IF(IFERROR(INDEX(tsk_Name,(ROW()-ROW(MSPTasks[[#Headers],[ID]])))="",TRUE()),"",INDEX(tsk_FcFinish,(ROW()-ROW(MSPTasks[[#Headers],[ID]]))))</f>
        <v/>
      </c>
      <c r="I1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78" t="str">
        <f aca="false">IF(IFERROR(INDEX(tsk_Name,(ROW()-ROW(MSPTasks[[#Headers],[ID]])))="",TRUE()),"",INDEX(tsk_PlanStart,(ROW()-ROW(MSPTasks[[#Headers],[ID]]))))</f>
        <v/>
      </c>
      <c r="P128" s="78" t="str">
        <f aca="false">IF(IFERROR(INDEX(tsk_Name,(ROW()-ROW(MSPTasks[[#Headers],[ID]])))="",TRUE()),"",INDEX(tsk_PlanFinish,(ROW()-ROW(MSPTasks[[#Headers],[ID]]))))</f>
        <v/>
      </c>
      <c r="Q1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78" t="str">
        <f aca="false">IF(IFERROR(INDEX(tsk_Name,(ROW()-ROW(MSPTasks[[#Headers],[ID]])))="",TRUE()),"",INDEX(tsk_FcStart,(ROW()-ROW(MSPTasks[[#Headers],[ID]]))))</f>
        <v/>
      </c>
      <c r="H129" s="78" t="str">
        <f aca="false">IF(IFERROR(INDEX(tsk_Name,(ROW()-ROW(MSPTasks[[#Headers],[ID]])))="",TRUE()),"",INDEX(tsk_FcFinish,(ROW()-ROW(MSPTasks[[#Headers],[ID]]))))</f>
        <v/>
      </c>
      <c r="I1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78" t="str">
        <f aca="false">IF(IFERROR(INDEX(tsk_Name,(ROW()-ROW(MSPTasks[[#Headers],[ID]])))="",TRUE()),"",INDEX(tsk_PlanStart,(ROW()-ROW(MSPTasks[[#Headers],[ID]]))))</f>
        <v/>
      </c>
      <c r="P129" s="78" t="str">
        <f aca="false">IF(IFERROR(INDEX(tsk_Name,(ROW()-ROW(MSPTasks[[#Headers],[ID]])))="",TRUE()),"",INDEX(tsk_PlanFinish,(ROW()-ROW(MSPTasks[[#Headers],[ID]]))))</f>
        <v/>
      </c>
      <c r="Q1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78" t="str">
        <f aca="false">IF(IFERROR(INDEX(tsk_Name,(ROW()-ROW(MSPTasks[[#Headers],[ID]])))="",TRUE()),"",INDEX(tsk_FcStart,(ROW()-ROW(MSPTasks[[#Headers],[ID]]))))</f>
        <v/>
      </c>
      <c r="H130" s="78" t="str">
        <f aca="false">IF(IFERROR(INDEX(tsk_Name,(ROW()-ROW(MSPTasks[[#Headers],[ID]])))="",TRUE()),"",INDEX(tsk_FcFinish,(ROW()-ROW(MSPTasks[[#Headers],[ID]]))))</f>
        <v/>
      </c>
      <c r="I13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78" t="str">
        <f aca="false">IF(IFERROR(INDEX(tsk_Name,(ROW()-ROW(MSPTasks[[#Headers],[ID]])))="",TRUE()),"",INDEX(tsk_PlanStart,(ROW()-ROW(MSPTasks[[#Headers],[ID]]))))</f>
        <v/>
      </c>
      <c r="P130" s="78" t="str">
        <f aca="false">IF(IFERROR(INDEX(tsk_Name,(ROW()-ROW(MSPTasks[[#Headers],[ID]])))="",TRUE()),"",INDEX(tsk_PlanFinish,(ROW()-ROW(MSPTasks[[#Headers],[ID]]))))</f>
        <v/>
      </c>
      <c r="Q1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78" t="str">
        <f aca="false">IF(IFERROR(INDEX(tsk_Name,(ROW()-ROW(MSPTasks[[#Headers],[ID]])))="",TRUE()),"",INDEX(tsk_FcStart,(ROW()-ROW(MSPTasks[[#Headers],[ID]]))))</f>
        <v/>
      </c>
      <c r="H131" s="78" t="str">
        <f aca="false">IF(IFERROR(INDEX(tsk_Name,(ROW()-ROW(MSPTasks[[#Headers],[ID]])))="",TRUE()),"",INDEX(tsk_FcFinish,(ROW()-ROW(MSPTasks[[#Headers],[ID]]))))</f>
        <v/>
      </c>
      <c r="I13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78" t="str">
        <f aca="false">IF(IFERROR(INDEX(tsk_Name,(ROW()-ROW(MSPTasks[[#Headers],[ID]])))="",TRUE()),"",INDEX(tsk_PlanStart,(ROW()-ROW(MSPTasks[[#Headers],[ID]]))))</f>
        <v/>
      </c>
      <c r="P131" s="78" t="str">
        <f aca="false">IF(IFERROR(INDEX(tsk_Name,(ROW()-ROW(MSPTasks[[#Headers],[ID]])))="",TRUE()),"",INDEX(tsk_PlanFinish,(ROW()-ROW(MSPTasks[[#Headers],[ID]]))))</f>
        <v/>
      </c>
      <c r="Q1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78" t="str">
        <f aca="false">IF(IFERROR(INDEX(tsk_Name,(ROW()-ROW(MSPTasks[[#Headers],[ID]])))="",TRUE()),"",INDEX(tsk_FcStart,(ROW()-ROW(MSPTasks[[#Headers],[ID]]))))</f>
        <v/>
      </c>
      <c r="H132" s="78" t="str">
        <f aca="false">IF(IFERROR(INDEX(tsk_Name,(ROW()-ROW(MSPTasks[[#Headers],[ID]])))="",TRUE()),"",INDEX(tsk_FcFinish,(ROW()-ROW(MSPTasks[[#Headers],[ID]]))))</f>
        <v/>
      </c>
      <c r="I1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78" t="str">
        <f aca="false">IF(IFERROR(INDEX(tsk_Name,(ROW()-ROW(MSPTasks[[#Headers],[ID]])))="",TRUE()),"",INDEX(tsk_PlanStart,(ROW()-ROW(MSPTasks[[#Headers],[ID]]))))</f>
        <v/>
      </c>
      <c r="P132" s="78" t="str">
        <f aca="false">IF(IFERROR(INDEX(tsk_Name,(ROW()-ROW(MSPTasks[[#Headers],[ID]])))="",TRUE()),"",INDEX(tsk_PlanFinish,(ROW()-ROW(MSPTasks[[#Headers],[ID]]))))</f>
        <v/>
      </c>
      <c r="Q1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78" t="str">
        <f aca="false">IF(IFERROR(INDEX(tsk_Name,(ROW()-ROW(MSPTasks[[#Headers],[ID]])))="",TRUE()),"",INDEX(tsk_FcStart,(ROW()-ROW(MSPTasks[[#Headers],[ID]]))))</f>
        <v/>
      </c>
      <c r="H133" s="78" t="str">
        <f aca="false">IF(IFERROR(INDEX(tsk_Name,(ROW()-ROW(MSPTasks[[#Headers],[ID]])))="",TRUE()),"",INDEX(tsk_FcFinish,(ROW()-ROW(MSPTasks[[#Headers],[ID]]))))</f>
        <v/>
      </c>
      <c r="I1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78" t="str">
        <f aca="false">IF(IFERROR(INDEX(tsk_Name,(ROW()-ROW(MSPTasks[[#Headers],[ID]])))="",TRUE()),"",INDEX(tsk_PlanStart,(ROW()-ROW(MSPTasks[[#Headers],[ID]]))))</f>
        <v/>
      </c>
      <c r="P133" s="78" t="str">
        <f aca="false">IF(IFERROR(INDEX(tsk_Name,(ROW()-ROW(MSPTasks[[#Headers],[ID]])))="",TRUE()),"",INDEX(tsk_PlanFinish,(ROW()-ROW(MSPTasks[[#Headers],[ID]]))))</f>
        <v/>
      </c>
      <c r="Q1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78" t="str">
        <f aca="false">IF(IFERROR(INDEX(tsk_Name,(ROW()-ROW(MSPTasks[[#Headers],[ID]])))="",TRUE()),"",INDEX(tsk_FcStart,(ROW()-ROW(MSPTasks[[#Headers],[ID]]))))</f>
        <v/>
      </c>
      <c r="H134" s="78" t="str">
        <f aca="false">IF(IFERROR(INDEX(tsk_Name,(ROW()-ROW(MSPTasks[[#Headers],[ID]])))="",TRUE()),"",INDEX(tsk_FcFinish,(ROW()-ROW(MSPTasks[[#Headers],[ID]]))))</f>
        <v/>
      </c>
      <c r="I1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78" t="str">
        <f aca="false">IF(IFERROR(INDEX(tsk_Name,(ROW()-ROW(MSPTasks[[#Headers],[ID]])))="",TRUE()),"",INDEX(tsk_PlanStart,(ROW()-ROW(MSPTasks[[#Headers],[ID]]))))</f>
        <v/>
      </c>
      <c r="P134" s="78" t="str">
        <f aca="false">IF(IFERROR(INDEX(tsk_Name,(ROW()-ROW(MSPTasks[[#Headers],[ID]])))="",TRUE()),"",INDEX(tsk_PlanFinish,(ROW()-ROW(MSPTasks[[#Headers],[ID]]))))</f>
        <v/>
      </c>
      <c r="Q1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78" t="str">
        <f aca="false">IF(IFERROR(INDEX(tsk_Name,(ROW()-ROW(MSPTasks[[#Headers],[ID]])))="",TRUE()),"",INDEX(tsk_FcStart,(ROW()-ROW(MSPTasks[[#Headers],[ID]]))))</f>
        <v/>
      </c>
      <c r="H135" s="78" t="str">
        <f aca="false">IF(IFERROR(INDEX(tsk_Name,(ROW()-ROW(MSPTasks[[#Headers],[ID]])))="",TRUE()),"",INDEX(tsk_FcFinish,(ROW()-ROW(MSPTasks[[#Headers],[ID]]))))</f>
        <v/>
      </c>
      <c r="I1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78" t="str">
        <f aca="false">IF(IFERROR(INDEX(tsk_Name,(ROW()-ROW(MSPTasks[[#Headers],[ID]])))="",TRUE()),"",INDEX(tsk_PlanStart,(ROW()-ROW(MSPTasks[[#Headers],[ID]]))))</f>
        <v/>
      </c>
      <c r="P135" s="78" t="str">
        <f aca="false">IF(IFERROR(INDEX(tsk_Name,(ROW()-ROW(MSPTasks[[#Headers],[ID]])))="",TRUE()),"",INDEX(tsk_PlanFinish,(ROW()-ROW(MSPTasks[[#Headers],[ID]]))))</f>
        <v/>
      </c>
      <c r="Q1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78" t="str">
        <f aca="false">IF(IFERROR(INDEX(tsk_Name,(ROW()-ROW(MSPTasks[[#Headers],[ID]])))="",TRUE()),"",INDEX(tsk_FcStart,(ROW()-ROW(MSPTasks[[#Headers],[ID]]))))</f>
        <v/>
      </c>
      <c r="H136" s="78" t="str">
        <f aca="false">IF(IFERROR(INDEX(tsk_Name,(ROW()-ROW(MSPTasks[[#Headers],[ID]])))="",TRUE()),"",INDEX(tsk_FcFinish,(ROW()-ROW(MSPTasks[[#Headers],[ID]]))))</f>
        <v/>
      </c>
      <c r="I1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78" t="str">
        <f aca="false">IF(IFERROR(INDEX(tsk_Name,(ROW()-ROW(MSPTasks[[#Headers],[ID]])))="",TRUE()),"",INDEX(tsk_PlanStart,(ROW()-ROW(MSPTasks[[#Headers],[ID]]))))</f>
        <v/>
      </c>
      <c r="P136" s="78" t="str">
        <f aca="false">IF(IFERROR(INDEX(tsk_Name,(ROW()-ROW(MSPTasks[[#Headers],[ID]])))="",TRUE()),"",INDEX(tsk_PlanFinish,(ROW()-ROW(MSPTasks[[#Headers],[ID]]))))</f>
        <v/>
      </c>
      <c r="Q1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78" t="str">
        <f aca="false">IF(IFERROR(INDEX(tsk_Name,(ROW()-ROW(MSPTasks[[#Headers],[ID]])))="",TRUE()),"",INDEX(tsk_FcStart,(ROW()-ROW(MSPTasks[[#Headers],[ID]]))))</f>
        <v/>
      </c>
      <c r="H137" s="78" t="str">
        <f aca="false">IF(IFERROR(INDEX(tsk_Name,(ROW()-ROW(MSPTasks[[#Headers],[ID]])))="",TRUE()),"",INDEX(tsk_FcFinish,(ROW()-ROW(MSPTasks[[#Headers],[ID]]))))</f>
        <v/>
      </c>
      <c r="I1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78" t="str">
        <f aca="false">IF(IFERROR(INDEX(tsk_Name,(ROW()-ROW(MSPTasks[[#Headers],[ID]])))="",TRUE()),"",INDEX(tsk_PlanStart,(ROW()-ROW(MSPTasks[[#Headers],[ID]]))))</f>
        <v/>
      </c>
      <c r="P137" s="78" t="str">
        <f aca="false">IF(IFERROR(INDEX(tsk_Name,(ROW()-ROW(MSPTasks[[#Headers],[ID]])))="",TRUE()),"",INDEX(tsk_PlanFinish,(ROW()-ROW(MSPTasks[[#Headers],[ID]]))))</f>
        <v/>
      </c>
      <c r="Q1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78" t="str">
        <f aca="false">IF(IFERROR(INDEX(tsk_Name,(ROW()-ROW(MSPTasks[[#Headers],[ID]])))="",TRUE()),"",INDEX(tsk_FcStart,(ROW()-ROW(MSPTasks[[#Headers],[ID]]))))</f>
        <v/>
      </c>
      <c r="H138" s="78" t="str">
        <f aca="false">IF(IFERROR(INDEX(tsk_Name,(ROW()-ROW(MSPTasks[[#Headers],[ID]])))="",TRUE()),"",INDEX(tsk_FcFinish,(ROW()-ROW(MSPTasks[[#Headers],[ID]]))))</f>
        <v/>
      </c>
      <c r="I1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78" t="str">
        <f aca="false">IF(IFERROR(INDEX(tsk_Name,(ROW()-ROW(MSPTasks[[#Headers],[ID]])))="",TRUE()),"",INDEX(tsk_PlanStart,(ROW()-ROW(MSPTasks[[#Headers],[ID]]))))</f>
        <v/>
      </c>
      <c r="P138" s="78" t="str">
        <f aca="false">IF(IFERROR(INDEX(tsk_Name,(ROW()-ROW(MSPTasks[[#Headers],[ID]])))="",TRUE()),"",INDEX(tsk_PlanFinish,(ROW()-ROW(MSPTasks[[#Headers],[ID]]))))</f>
        <v/>
      </c>
      <c r="Q1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78" t="str">
        <f aca="false">IF(IFERROR(INDEX(tsk_Name,(ROW()-ROW(MSPTasks[[#Headers],[ID]])))="",TRUE()),"",INDEX(tsk_FcStart,(ROW()-ROW(MSPTasks[[#Headers],[ID]]))))</f>
        <v/>
      </c>
      <c r="H139" s="78" t="str">
        <f aca="false">IF(IFERROR(INDEX(tsk_Name,(ROW()-ROW(MSPTasks[[#Headers],[ID]])))="",TRUE()),"",INDEX(tsk_FcFinish,(ROW()-ROW(MSPTasks[[#Headers],[ID]]))))</f>
        <v/>
      </c>
      <c r="I1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78" t="str">
        <f aca="false">IF(IFERROR(INDEX(tsk_Name,(ROW()-ROW(MSPTasks[[#Headers],[ID]])))="",TRUE()),"",INDEX(tsk_PlanStart,(ROW()-ROW(MSPTasks[[#Headers],[ID]]))))</f>
        <v/>
      </c>
      <c r="P139" s="78" t="str">
        <f aca="false">IF(IFERROR(INDEX(tsk_Name,(ROW()-ROW(MSPTasks[[#Headers],[ID]])))="",TRUE()),"",INDEX(tsk_PlanFinish,(ROW()-ROW(MSPTasks[[#Headers],[ID]]))))</f>
        <v/>
      </c>
      <c r="Q1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78" t="str">
        <f aca="false">IF(IFERROR(INDEX(tsk_Name,(ROW()-ROW(MSPTasks[[#Headers],[ID]])))="",TRUE()),"",INDEX(tsk_FcStart,(ROW()-ROW(MSPTasks[[#Headers],[ID]]))))</f>
        <v/>
      </c>
      <c r="H140" s="78" t="str">
        <f aca="false">IF(IFERROR(INDEX(tsk_Name,(ROW()-ROW(MSPTasks[[#Headers],[ID]])))="",TRUE()),"",INDEX(tsk_FcFinish,(ROW()-ROW(MSPTasks[[#Headers],[ID]]))))</f>
        <v/>
      </c>
      <c r="I1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78" t="str">
        <f aca="false">IF(IFERROR(INDEX(tsk_Name,(ROW()-ROW(MSPTasks[[#Headers],[ID]])))="",TRUE()),"",INDEX(tsk_PlanStart,(ROW()-ROW(MSPTasks[[#Headers],[ID]]))))</f>
        <v/>
      </c>
      <c r="P140" s="78" t="str">
        <f aca="false">IF(IFERROR(INDEX(tsk_Name,(ROW()-ROW(MSPTasks[[#Headers],[ID]])))="",TRUE()),"",INDEX(tsk_PlanFinish,(ROW()-ROW(MSPTasks[[#Headers],[ID]]))))</f>
        <v/>
      </c>
      <c r="Q1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78" t="str">
        <f aca="false">IF(IFERROR(INDEX(tsk_Name,(ROW()-ROW(MSPTasks[[#Headers],[ID]])))="",TRUE()),"",INDEX(tsk_FcStart,(ROW()-ROW(MSPTasks[[#Headers],[ID]]))))</f>
        <v/>
      </c>
      <c r="H141" s="78" t="str">
        <f aca="false">IF(IFERROR(INDEX(tsk_Name,(ROW()-ROW(MSPTasks[[#Headers],[ID]])))="",TRUE()),"",INDEX(tsk_FcFinish,(ROW()-ROW(MSPTasks[[#Headers],[ID]]))))</f>
        <v/>
      </c>
      <c r="I1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78" t="str">
        <f aca="false">IF(IFERROR(INDEX(tsk_Name,(ROW()-ROW(MSPTasks[[#Headers],[ID]])))="",TRUE()),"",INDEX(tsk_PlanStart,(ROW()-ROW(MSPTasks[[#Headers],[ID]]))))</f>
        <v/>
      </c>
      <c r="P141" s="78" t="str">
        <f aca="false">IF(IFERROR(INDEX(tsk_Name,(ROW()-ROW(MSPTasks[[#Headers],[ID]])))="",TRUE()),"",INDEX(tsk_PlanFinish,(ROW()-ROW(MSPTasks[[#Headers],[ID]]))))</f>
        <v/>
      </c>
      <c r="Q1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78" t="str">
        <f aca="false">IF(IFERROR(INDEX(tsk_Name,(ROW()-ROW(MSPTasks[[#Headers],[ID]])))="",TRUE()),"",INDEX(tsk_FcStart,(ROW()-ROW(MSPTasks[[#Headers],[ID]]))))</f>
        <v/>
      </c>
      <c r="H142" s="78" t="str">
        <f aca="false">IF(IFERROR(INDEX(tsk_Name,(ROW()-ROW(MSPTasks[[#Headers],[ID]])))="",TRUE()),"",INDEX(tsk_FcFinish,(ROW()-ROW(MSPTasks[[#Headers],[ID]]))))</f>
        <v/>
      </c>
      <c r="I1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78" t="str">
        <f aca="false">IF(IFERROR(INDEX(tsk_Name,(ROW()-ROW(MSPTasks[[#Headers],[ID]])))="",TRUE()),"",INDEX(tsk_PlanStart,(ROW()-ROW(MSPTasks[[#Headers],[ID]]))))</f>
        <v/>
      </c>
      <c r="P142" s="78" t="str">
        <f aca="false">IF(IFERROR(INDEX(tsk_Name,(ROW()-ROW(MSPTasks[[#Headers],[ID]])))="",TRUE()),"",INDEX(tsk_PlanFinish,(ROW()-ROW(MSPTasks[[#Headers],[ID]]))))</f>
        <v/>
      </c>
      <c r="Q1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78" t="str">
        <f aca="false">IF(IFERROR(INDEX(tsk_Name,(ROW()-ROW(MSPTasks[[#Headers],[ID]])))="",TRUE()),"",INDEX(tsk_FcStart,(ROW()-ROW(MSPTasks[[#Headers],[ID]]))))</f>
        <v/>
      </c>
      <c r="H143" s="78" t="str">
        <f aca="false">IF(IFERROR(INDEX(tsk_Name,(ROW()-ROW(MSPTasks[[#Headers],[ID]])))="",TRUE()),"",INDEX(tsk_FcFinish,(ROW()-ROW(MSPTasks[[#Headers],[ID]]))))</f>
        <v/>
      </c>
      <c r="I1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78" t="str">
        <f aca="false">IF(IFERROR(INDEX(tsk_Name,(ROW()-ROW(MSPTasks[[#Headers],[ID]])))="",TRUE()),"",INDEX(tsk_PlanStart,(ROW()-ROW(MSPTasks[[#Headers],[ID]]))))</f>
        <v/>
      </c>
      <c r="P143" s="78" t="str">
        <f aca="false">IF(IFERROR(INDEX(tsk_Name,(ROW()-ROW(MSPTasks[[#Headers],[ID]])))="",TRUE()),"",INDEX(tsk_PlanFinish,(ROW()-ROW(MSPTasks[[#Headers],[ID]]))))</f>
        <v/>
      </c>
      <c r="Q1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78" t="str">
        <f aca="false">IF(IFERROR(INDEX(tsk_Name,(ROW()-ROW(MSPTasks[[#Headers],[ID]])))="",TRUE()),"",INDEX(tsk_FcStart,(ROW()-ROW(MSPTasks[[#Headers],[ID]]))))</f>
        <v/>
      </c>
      <c r="H144" s="78" t="str">
        <f aca="false">IF(IFERROR(INDEX(tsk_Name,(ROW()-ROW(MSPTasks[[#Headers],[ID]])))="",TRUE()),"",INDEX(tsk_FcFinish,(ROW()-ROW(MSPTasks[[#Headers],[ID]]))))</f>
        <v/>
      </c>
      <c r="I1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78" t="str">
        <f aca="false">IF(IFERROR(INDEX(tsk_Name,(ROW()-ROW(MSPTasks[[#Headers],[ID]])))="",TRUE()),"",INDEX(tsk_PlanStart,(ROW()-ROW(MSPTasks[[#Headers],[ID]]))))</f>
        <v/>
      </c>
      <c r="P144" s="78" t="str">
        <f aca="false">IF(IFERROR(INDEX(tsk_Name,(ROW()-ROW(MSPTasks[[#Headers],[ID]])))="",TRUE()),"",INDEX(tsk_PlanFinish,(ROW()-ROW(MSPTasks[[#Headers],[ID]]))))</f>
        <v/>
      </c>
      <c r="Q1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78" t="str">
        <f aca="false">IF(IFERROR(INDEX(tsk_Name,(ROW()-ROW(MSPTasks[[#Headers],[ID]])))="",TRUE()),"",INDEX(tsk_FcStart,(ROW()-ROW(MSPTasks[[#Headers],[ID]]))))</f>
        <v/>
      </c>
      <c r="H145" s="78" t="str">
        <f aca="false">IF(IFERROR(INDEX(tsk_Name,(ROW()-ROW(MSPTasks[[#Headers],[ID]])))="",TRUE()),"",INDEX(tsk_FcFinish,(ROW()-ROW(MSPTasks[[#Headers],[ID]]))))</f>
        <v/>
      </c>
      <c r="I1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78" t="str">
        <f aca="false">IF(IFERROR(INDEX(tsk_Name,(ROW()-ROW(MSPTasks[[#Headers],[ID]])))="",TRUE()),"",INDEX(tsk_PlanStart,(ROW()-ROW(MSPTasks[[#Headers],[ID]]))))</f>
        <v/>
      </c>
      <c r="P145" s="78" t="str">
        <f aca="false">IF(IFERROR(INDEX(tsk_Name,(ROW()-ROW(MSPTasks[[#Headers],[ID]])))="",TRUE()),"",INDEX(tsk_PlanFinish,(ROW()-ROW(MSPTasks[[#Headers],[ID]]))))</f>
        <v/>
      </c>
      <c r="Q1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78" t="str">
        <f aca="false">IF(IFERROR(INDEX(tsk_Name,(ROW()-ROW(MSPTasks[[#Headers],[ID]])))="",TRUE()),"",INDEX(tsk_FcStart,(ROW()-ROW(MSPTasks[[#Headers],[ID]]))))</f>
        <v/>
      </c>
      <c r="H146" s="78" t="str">
        <f aca="false">IF(IFERROR(INDEX(tsk_Name,(ROW()-ROW(MSPTasks[[#Headers],[ID]])))="",TRUE()),"",INDEX(tsk_FcFinish,(ROW()-ROW(MSPTasks[[#Headers],[ID]]))))</f>
        <v/>
      </c>
      <c r="I1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78" t="str">
        <f aca="false">IF(IFERROR(INDEX(tsk_Name,(ROW()-ROW(MSPTasks[[#Headers],[ID]])))="",TRUE()),"",INDEX(tsk_PlanStart,(ROW()-ROW(MSPTasks[[#Headers],[ID]]))))</f>
        <v/>
      </c>
      <c r="P146" s="78" t="str">
        <f aca="false">IF(IFERROR(INDEX(tsk_Name,(ROW()-ROW(MSPTasks[[#Headers],[ID]])))="",TRUE()),"",INDEX(tsk_PlanFinish,(ROW()-ROW(MSPTasks[[#Headers],[ID]]))))</f>
        <v/>
      </c>
      <c r="Q1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78" t="str">
        <f aca="false">IF(IFERROR(INDEX(tsk_Name,(ROW()-ROW(MSPTasks[[#Headers],[ID]])))="",TRUE()),"",INDEX(tsk_FcStart,(ROW()-ROW(MSPTasks[[#Headers],[ID]]))))</f>
        <v/>
      </c>
      <c r="H147" s="78" t="str">
        <f aca="false">IF(IFERROR(INDEX(tsk_Name,(ROW()-ROW(MSPTasks[[#Headers],[ID]])))="",TRUE()),"",INDEX(tsk_FcFinish,(ROW()-ROW(MSPTasks[[#Headers],[ID]]))))</f>
        <v/>
      </c>
      <c r="I1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78" t="str">
        <f aca="false">IF(IFERROR(INDEX(tsk_Name,(ROW()-ROW(MSPTasks[[#Headers],[ID]])))="",TRUE()),"",INDEX(tsk_PlanStart,(ROW()-ROW(MSPTasks[[#Headers],[ID]]))))</f>
        <v/>
      </c>
      <c r="P147" s="78" t="str">
        <f aca="false">IF(IFERROR(INDEX(tsk_Name,(ROW()-ROW(MSPTasks[[#Headers],[ID]])))="",TRUE()),"",INDEX(tsk_PlanFinish,(ROW()-ROW(MSPTasks[[#Headers],[ID]]))))</f>
        <v/>
      </c>
      <c r="Q1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78" t="str">
        <f aca="false">IF(IFERROR(INDEX(tsk_Name,(ROW()-ROW(MSPTasks[[#Headers],[ID]])))="",TRUE()),"",INDEX(tsk_FcStart,(ROW()-ROW(MSPTasks[[#Headers],[ID]]))))</f>
        <v/>
      </c>
      <c r="H148" s="78" t="str">
        <f aca="false">IF(IFERROR(INDEX(tsk_Name,(ROW()-ROW(MSPTasks[[#Headers],[ID]])))="",TRUE()),"",INDEX(tsk_FcFinish,(ROW()-ROW(MSPTasks[[#Headers],[ID]]))))</f>
        <v/>
      </c>
      <c r="I1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78" t="str">
        <f aca="false">IF(IFERROR(INDEX(tsk_Name,(ROW()-ROW(MSPTasks[[#Headers],[ID]])))="",TRUE()),"",INDEX(tsk_PlanStart,(ROW()-ROW(MSPTasks[[#Headers],[ID]]))))</f>
        <v/>
      </c>
      <c r="P148" s="78" t="str">
        <f aca="false">IF(IFERROR(INDEX(tsk_Name,(ROW()-ROW(MSPTasks[[#Headers],[ID]])))="",TRUE()),"",INDEX(tsk_PlanFinish,(ROW()-ROW(MSPTasks[[#Headers],[ID]]))))</f>
        <v/>
      </c>
      <c r="Q1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78" t="str">
        <f aca="false">IF(IFERROR(INDEX(tsk_Name,(ROW()-ROW(MSPTasks[[#Headers],[ID]])))="",TRUE()),"",INDEX(tsk_FcStart,(ROW()-ROW(MSPTasks[[#Headers],[ID]]))))</f>
        <v/>
      </c>
      <c r="H149" s="78" t="str">
        <f aca="false">IF(IFERROR(INDEX(tsk_Name,(ROW()-ROW(MSPTasks[[#Headers],[ID]])))="",TRUE()),"",INDEX(tsk_FcFinish,(ROW()-ROW(MSPTasks[[#Headers],[ID]]))))</f>
        <v/>
      </c>
      <c r="I1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78" t="str">
        <f aca="false">IF(IFERROR(INDEX(tsk_Name,(ROW()-ROW(MSPTasks[[#Headers],[ID]])))="",TRUE()),"",INDEX(tsk_PlanStart,(ROW()-ROW(MSPTasks[[#Headers],[ID]]))))</f>
        <v/>
      </c>
      <c r="P149" s="78" t="str">
        <f aca="false">IF(IFERROR(INDEX(tsk_Name,(ROW()-ROW(MSPTasks[[#Headers],[ID]])))="",TRUE()),"",INDEX(tsk_PlanFinish,(ROW()-ROW(MSPTasks[[#Headers],[ID]]))))</f>
        <v/>
      </c>
      <c r="Q1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78" t="str">
        <f aca="false">IF(IFERROR(INDEX(tsk_Name,(ROW()-ROW(MSPTasks[[#Headers],[ID]])))="",TRUE()),"",INDEX(tsk_FcStart,(ROW()-ROW(MSPTasks[[#Headers],[ID]]))))</f>
        <v/>
      </c>
      <c r="H150" s="78" t="str">
        <f aca="false">IF(IFERROR(INDEX(tsk_Name,(ROW()-ROW(MSPTasks[[#Headers],[ID]])))="",TRUE()),"",INDEX(tsk_FcFinish,(ROW()-ROW(MSPTasks[[#Headers],[ID]]))))</f>
        <v/>
      </c>
      <c r="I1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78" t="str">
        <f aca="false">IF(IFERROR(INDEX(tsk_Name,(ROW()-ROW(MSPTasks[[#Headers],[ID]])))="",TRUE()),"",INDEX(tsk_PlanStart,(ROW()-ROW(MSPTasks[[#Headers],[ID]]))))</f>
        <v/>
      </c>
      <c r="P150" s="78" t="str">
        <f aca="false">IF(IFERROR(INDEX(tsk_Name,(ROW()-ROW(MSPTasks[[#Headers],[ID]])))="",TRUE()),"",INDEX(tsk_PlanFinish,(ROW()-ROW(MSPTasks[[#Headers],[ID]]))))</f>
        <v/>
      </c>
      <c r="Q1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78" t="str">
        <f aca="false">IF(IFERROR(INDEX(tsk_Name,(ROW()-ROW(MSPTasks[[#Headers],[ID]])))="",TRUE()),"",INDEX(tsk_FcStart,(ROW()-ROW(MSPTasks[[#Headers],[ID]]))))</f>
        <v/>
      </c>
      <c r="H151" s="78" t="str">
        <f aca="false">IF(IFERROR(INDEX(tsk_Name,(ROW()-ROW(MSPTasks[[#Headers],[ID]])))="",TRUE()),"",INDEX(tsk_FcFinish,(ROW()-ROW(MSPTasks[[#Headers],[ID]]))))</f>
        <v/>
      </c>
      <c r="I1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78" t="str">
        <f aca="false">IF(IFERROR(INDEX(tsk_Name,(ROW()-ROW(MSPTasks[[#Headers],[ID]])))="",TRUE()),"",INDEX(tsk_PlanStart,(ROW()-ROW(MSPTasks[[#Headers],[ID]]))))</f>
        <v/>
      </c>
      <c r="P151" s="78" t="str">
        <f aca="false">IF(IFERROR(INDEX(tsk_Name,(ROW()-ROW(MSPTasks[[#Headers],[ID]])))="",TRUE()),"",INDEX(tsk_PlanFinish,(ROW()-ROW(MSPTasks[[#Headers],[ID]]))))</f>
        <v/>
      </c>
      <c r="Q1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78" t="str">
        <f aca="false">IF(IFERROR(INDEX(tsk_Name,(ROW()-ROW(MSPTasks[[#Headers],[ID]])))="",TRUE()),"",INDEX(tsk_FcStart,(ROW()-ROW(MSPTasks[[#Headers],[ID]]))))</f>
        <v/>
      </c>
      <c r="H152" s="78" t="str">
        <f aca="false">IF(IFERROR(INDEX(tsk_Name,(ROW()-ROW(MSPTasks[[#Headers],[ID]])))="",TRUE()),"",INDEX(tsk_FcFinish,(ROW()-ROW(MSPTasks[[#Headers],[ID]]))))</f>
        <v/>
      </c>
      <c r="I1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78" t="str">
        <f aca="false">IF(IFERROR(INDEX(tsk_Name,(ROW()-ROW(MSPTasks[[#Headers],[ID]])))="",TRUE()),"",INDEX(tsk_PlanStart,(ROW()-ROW(MSPTasks[[#Headers],[ID]]))))</f>
        <v/>
      </c>
      <c r="P152" s="78" t="str">
        <f aca="false">IF(IFERROR(INDEX(tsk_Name,(ROW()-ROW(MSPTasks[[#Headers],[ID]])))="",TRUE()),"",INDEX(tsk_PlanFinish,(ROW()-ROW(MSPTasks[[#Headers],[ID]]))))</f>
        <v/>
      </c>
      <c r="Q1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78" t="str">
        <f aca="false">IF(IFERROR(INDEX(tsk_Name,(ROW()-ROW(MSPTasks[[#Headers],[ID]])))="",TRUE()),"",INDEX(tsk_FcStart,(ROW()-ROW(MSPTasks[[#Headers],[ID]]))))</f>
        <v/>
      </c>
      <c r="H153" s="78" t="str">
        <f aca="false">IF(IFERROR(INDEX(tsk_Name,(ROW()-ROW(MSPTasks[[#Headers],[ID]])))="",TRUE()),"",INDEX(tsk_FcFinish,(ROW()-ROW(MSPTasks[[#Headers],[ID]]))))</f>
        <v/>
      </c>
      <c r="I1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78" t="str">
        <f aca="false">IF(IFERROR(INDEX(tsk_Name,(ROW()-ROW(MSPTasks[[#Headers],[ID]])))="",TRUE()),"",INDEX(tsk_PlanStart,(ROW()-ROW(MSPTasks[[#Headers],[ID]]))))</f>
        <v/>
      </c>
      <c r="P153" s="78" t="str">
        <f aca="false">IF(IFERROR(INDEX(tsk_Name,(ROW()-ROW(MSPTasks[[#Headers],[ID]])))="",TRUE()),"",INDEX(tsk_PlanFinish,(ROW()-ROW(MSPTasks[[#Headers],[ID]]))))</f>
        <v/>
      </c>
      <c r="Q1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78" t="str">
        <f aca="false">IF(IFERROR(INDEX(tsk_Name,(ROW()-ROW(MSPTasks[[#Headers],[ID]])))="",TRUE()),"",INDEX(tsk_FcStart,(ROW()-ROW(MSPTasks[[#Headers],[ID]]))))</f>
        <v/>
      </c>
      <c r="H154" s="78" t="str">
        <f aca="false">IF(IFERROR(INDEX(tsk_Name,(ROW()-ROW(MSPTasks[[#Headers],[ID]])))="",TRUE()),"",INDEX(tsk_FcFinish,(ROW()-ROW(MSPTasks[[#Headers],[ID]]))))</f>
        <v/>
      </c>
      <c r="I1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78" t="str">
        <f aca="false">IF(IFERROR(INDEX(tsk_Name,(ROW()-ROW(MSPTasks[[#Headers],[ID]])))="",TRUE()),"",INDEX(tsk_PlanStart,(ROW()-ROW(MSPTasks[[#Headers],[ID]]))))</f>
        <v/>
      </c>
      <c r="P154" s="78" t="str">
        <f aca="false">IF(IFERROR(INDEX(tsk_Name,(ROW()-ROW(MSPTasks[[#Headers],[ID]])))="",TRUE()),"",INDEX(tsk_PlanFinish,(ROW()-ROW(MSPTasks[[#Headers],[ID]]))))</f>
        <v/>
      </c>
      <c r="Q1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78" t="str">
        <f aca="false">IF(IFERROR(INDEX(tsk_Name,(ROW()-ROW(MSPTasks[[#Headers],[ID]])))="",TRUE()),"",INDEX(tsk_FcStart,(ROW()-ROW(MSPTasks[[#Headers],[ID]]))))</f>
        <v/>
      </c>
      <c r="H155" s="78" t="str">
        <f aca="false">IF(IFERROR(INDEX(tsk_Name,(ROW()-ROW(MSPTasks[[#Headers],[ID]])))="",TRUE()),"",INDEX(tsk_FcFinish,(ROW()-ROW(MSPTasks[[#Headers],[ID]]))))</f>
        <v/>
      </c>
      <c r="I1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78" t="str">
        <f aca="false">IF(IFERROR(INDEX(tsk_Name,(ROW()-ROW(MSPTasks[[#Headers],[ID]])))="",TRUE()),"",INDEX(tsk_PlanStart,(ROW()-ROW(MSPTasks[[#Headers],[ID]]))))</f>
        <v/>
      </c>
      <c r="P155" s="78" t="str">
        <f aca="false">IF(IFERROR(INDEX(tsk_Name,(ROW()-ROW(MSPTasks[[#Headers],[ID]])))="",TRUE()),"",INDEX(tsk_PlanFinish,(ROW()-ROW(MSPTasks[[#Headers],[ID]]))))</f>
        <v/>
      </c>
      <c r="Q1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78" t="str">
        <f aca="false">IF(IFERROR(INDEX(tsk_Name,(ROW()-ROW(MSPTasks[[#Headers],[ID]])))="",TRUE()),"",INDEX(tsk_FcStart,(ROW()-ROW(MSPTasks[[#Headers],[ID]]))))</f>
        <v/>
      </c>
      <c r="H156" s="78" t="str">
        <f aca="false">IF(IFERROR(INDEX(tsk_Name,(ROW()-ROW(MSPTasks[[#Headers],[ID]])))="",TRUE()),"",INDEX(tsk_FcFinish,(ROW()-ROW(MSPTasks[[#Headers],[ID]]))))</f>
        <v/>
      </c>
      <c r="I1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78" t="str">
        <f aca="false">IF(IFERROR(INDEX(tsk_Name,(ROW()-ROW(MSPTasks[[#Headers],[ID]])))="",TRUE()),"",INDEX(tsk_PlanStart,(ROW()-ROW(MSPTasks[[#Headers],[ID]]))))</f>
        <v/>
      </c>
      <c r="P156" s="78" t="str">
        <f aca="false">IF(IFERROR(INDEX(tsk_Name,(ROW()-ROW(MSPTasks[[#Headers],[ID]])))="",TRUE()),"",INDEX(tsk_PlanFinish,(ROW()-ROW(MSPTasks[[#Headers],[ID]]))))</f>
        <v/>
      </c>
      <c r="Q1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78" t="str">
        <f aca="false">IF(IFERROR(INDEX(tsk_Name,(ROW()-ROW(MSPTasks[[#Headers],[ID]])))="",TRUE()),"",INDEX(tsk_FcStart,(ROW()-ROW(MSPTasks[[#Headers],[ID]]))))</f>
        <v/>
      </c>
      <c r="H157" s="78" t="str">
        <f aca="false">IF(IFERROR(INDEX(tsk_Name,(ROW()-ROW(MSPTasks[[#Headers],[ID]])))="",TRUE()),"",INDEX(tsk_FcFinish,(ROW()-ROW(MSPTasks[[#Headers],[ID]]))))</f>
        <v/>
      </c>
      <c r="I1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78" t="str">
        <f aca="false">IF(IFERROR(INDEX(tsk_Name,(ROW()-ROW(MSPTasks[[#Headers],[ID]])))="",TRUE()),"",INDEX(tsk_PlanStart,(ROW()-ROW(MSPTasks[[#Headers],[ID]]))))</f>
        <v/>
      </c>
      <c r="P157" s="78" t="str">
        <f aca="false">IF(IFERROR(INDEX(tsk_Name,(ROW()-ROW(MSPTasks[[#Headers],[ID]])))="",TRUE()),"",INDEX(tsk_PlanFinish,(ROW()-ROW(MSPTasks[[#Headers],[ID]]))))</f>
        <v/>
      </c>
      <c r="Q1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78" t="str">
        <f aca="false">IF(IFERROR(INDEX(tsk_Name,(ROW()-ROW(MSPTasks[[#Headers],[ID]])))="",TRUE()),"",INDEX(tsk_FcStart,(ROW()-ROW(MSPTasks[[#Headers],[ID]]))))</f>
        <v/>
      </c>
      <c r="H158" s="78" t="str">
        <f aca="false">IF(IFERROR(INDEX(tsk_Name,(ROW()-ROW(MSPTasks[[#Headers],[ID]])))="",TRUE()),"",INDEX(tsk_FcFinish,(ROW()-ROW(MSPTasks[[#Headers],[ID]]))))</f>
        <v/>
      </c>
      <c r="I1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78" t="str">
        <f aca="false">IF(IFERROR(INDEX(tsk_Name,(ROW()-ROW(MSPTasks[[#Headers],[ID]])))="",TRUE()),"",INDEX(tsk_PlanStart,(ROW()-ROW(MSPTasks[[#Headers],[ID]]))))</f>
        <v/>
      </c>
      <c r="P158" s="78" t="str">
        <f aca="false">IF(IFERROR(INDEX(tsk_Name,(ROW()-ROW(MSPTasks[[#Headers],[ID]])))="",TRUE()),"",INDEX(tsk_PlanFinish,(ROW()-ROW(MSPTasks[[#Headers],[ID]]))))</f>
        <v/>
      </c>
      <c r="Q1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78" t="str">
        <f aca="false">IF(IFERROR(INDEX(tsk_Name,(ROW()-ROW(MSPTasks[[#Headers],[ID]])))="",TRUE()),"",INDEX(tsk_FcStart,(ROW()-ROW(MSPTasks[[#Headers],[ID]]))))</f>
        <v/>
      </c>
      <c r="H159" s="78" t="str">
        <f aca="false">IF(IFERROR(INDEX(tsk_Name,(ROW()-ROW(MSPTasks[[#Headers],[ID]])))="",TRUE()),"",INDEX(tsk_FcFinish,(ROW()-ROW(MSPTasks[[#Headers],[ID]]))))</f>
        <v/>
      </c>
      <c r="I1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78" t="str">
        <f aca="false">IF(IFERROR(INDEX(tsk_Name,(ROW()-ROW(MSPTasks[[#Headers],[ID]])))="",TRUE()),"",INDEX(tsk_PlanStart,(ROW()-ROW(MSPTasks[[#Headers],[ID]]))))</f>
        <v/>
      </c>
      <c r="P159" s="78" t="str">
        <f aca="false">IF(IFERROR(INDEX(tsk_Name,(ROW()-ROW(MSPTasks[[#Headers],[ID]])))="",TRUE()),"",INDEX(tsk_PlanFinish,(ROW()-ROW(MSPTasks[[#Headers],[ID]]))))</f>
        <v/>
      </c>
      <c r="Q1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78" t="str">
        <f aca="false">IF(IFERROR(INDEX(tsk_Name,(ROW()-ROW(MSPTasks[[#Headers],[ID]])))="",TRUE()),"",INDEX(tsk_FcStart,(ROW()-ROW(MSPTasks[[#Headers],[ID]]))))</f>
        <v/>
      </c>
      <c r="H160" s="78" t="str">
        <f aca="false">IF(IFERROR(INDEX(tsk_Name,(ROW()-ROW(MSPTasks[[#Headers],[ID]])))="",TRUE()),"",INDEX(tsk_FcFinish,(ROW()-ROW(MSPTasks[[#Headers],[ID]]))))</f>
        <v/>
      </c>
      <c r="I1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78" t="str">
        <f aca="false">IF(IFERROR(INDEX(tsk_Name,(ROW()-ROW(MSPTasks[[#Headers],[ID]])))="",TRUE()),"",INDEX(tsk_PlanStart,(ROW()-ROW(MSPTasks[[#Headers],[ID]]))))</f>
        <v/>
      </c>
      <c r="P160" s="78" t="str">
        <f aca="false">IF(IFERROR(INDEX(tsk_Name,(ROW()-ROW(MSPTasks[[#Headers],[ID]])))="",TRUE()),"",INDEX(tsk_PlanFinish,(ROW()-ROW(MSPTasks[[#Headers],[ID]]))))</f>
        <v/>
      </c>
      <c r="Q1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78" t="str">
        <f aca="false">IF(IFERROR(INDEX(tsk_Name,(ROW()-ROW(MSPTasks[[#Headers],[ID]])))="",TRUE()),"",INDEX(tsk_FcStart,(ROW()-ROW(MSPTasks[[#Headers],[ID]]))))</f>
        <v/>
      </c>
      <c r="H161" s="78" t="str">
        <f aca="false">IF(IFERROR(INDEX(tsk_Name,(ROW()-ROW(MSPTasks[[#Headers],[ID]])))="",TRUE()),"",INDEX(tsk_FcFinish,(ROW()-ROW(MSPTasks[[#Headers],[ID]]))))</f>
        <v/>
      </c>
      <c r="I1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78" t="str">
        <f aca="false">IF(IFERROR(INDEX(tsk_Name,(ROW()-ROW(MSPTasks[[#Headers],[ID]])))="",TRUE()),"",INDEX(tsk_PlanStart,(ROW()-ROW(MSPTasks[[#Headers],[ID]]))))</f>
        <v/>
      </c>
      <c r="P161" s="78" t="str">
        <f aca="false">IF(IFERROR(INDEX(tsk_Name,(ROW()-ROW(MSPTasks[[#Headers],[ID]])))="",TRUE()),"",INDEX(tsk_PlanFinish,(ROW()-ROW(MSPTasks[[#Headers],[ID]]))))</f>
        <v/>
      </c>
      <c r="Q1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78" t="str">
        <f aca="false">IF(IFERROR(INDEX(tsk_Name,(ROW()-ROW(MSPTasks[[#Headers],[ID]])))="",TRUE()),"",INDEX(tsk_FcStart,(ROW()-ROW(MSPTasks[[#Headers],[ID]]))))</f>
        <v/>
      </c>
      <c r="H162" s="78" t="str">
        <f aca="false">IF(IFERROR(INDEX(tsk_Name,(ROW()-ROW(MSPTasks[[#Headers],[ID]])))="",TRUE()),"",INDEX(tsk_FcFinish,(ROW()-ROW(MSPTasks[[#Headers],[ID]]))))</f>
        <v/>
      </c>
      <c r="I1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78" t="str">
        <f aca="false">IF(IFERROR(INDEX(tsk_Name,(ROW()-ROW(MSPTasks[[#Headers],[ID]])))="",TRUE()),"",INDEX(tsk_PlanStart,(ROW()-ROW(MSPTasks[[#Headers],[ID]]))))</f>
        <v/>
      </c>
      <c r="P162" s="78" t="str">
        <f aca="false">IF(IFERROR(INDEX(tsk_Name,(ROW()-ROW(MSPTasks[[#Headers],[ID]])))="",TRUE()),"",INDEX(tsk_PlanFinish,(ROW()-ROW(MSPTasks[[#Headers],[ID]]))))</f>
        <v/>
      </c>
      <c r="Q1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78" t="str">
        <f aca="false">IF(IFERROR(INDEX(tsk_Name,(ROW()-ROW(MSPTasks[[#Headers],[ID]])))="",TRUE()),"",INDEX(tsk_FcStart,(ROW()-ROW(MSPTasks[[#Headers],[ID]]))))</f>
        <v/>
      </c>
      <c r="H163" s="78" t="str">
        <f aca="false">IF(IFERROR(INDEX(tsk_Name,(ROW()-ROW(MSPTasks[[#Headers],[ID]])))="",TRUE()),"",INDEX(tsk_FcFinish,(ROW()-ROW(MSPTasks[[#Headers],[ID]]))))</f>
        <v/>
      </c>
      <c r="I1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78" t="str">
        <f aca="false">IF(IFERROR(INDEX(tsk_Name,(ROW()-ROW(MSPTasks[[#Headers],[ID]])))="",TRUE()),"",INDEX(tsk_PlanStart,(ROW()-ROW(MSPTasks[[#Headers],[ID]]))))</f>
        <v/>
      </c>
      <c r="P163" s="78" t="str">
        <f aca="false">IF(IFERROR(INDEX(tsk_Name,(ROW()-ROW(MSPTasks[[#Headers],[ID]])))="",TRUE()),"",INDEX(tsk_PlanFinish,(ROW()-ROW(MSPTasks[[#Headers],[ID]]))))</f>
        <v/>
      </c>
      <c r="Q1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78" t="str">
        <f aca="false">IF(IFERROR(INDEX(tsk_Name,(ROW()-ROW(MSPTasks[[#Headers],[ID]])))="",TRUE()),"",INDEX(tsk_FcStart,(ROW()-ROW(MSPTasks[[#Headers],[ID]]))))</f>
        <v/>
      </c>
      <c r="H164" s="78" t="str">
        <f aca="false">IF(IFERROR(INDEX(tsk_Name,(ROW()-ROW(MSPTasks[[#Headers],[ID]])))="",TRUE()),"",INDEX(tsk_FcFinish,(ROW()-ROW(MSPTasks[[#Headers],[ID]]))))</f>
        <v/>
      </c>
      <c r="I1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78" t="str">
        <f aca="false">IF(IFERROR(INDEX(tsk_Name,(ROW()-ROW(MSPTasks[[#Headers],[ID]])))="",TRUE()),"",INDEX(tsk_PlanStart,(ROW()-ROW(MSPTasks[[#Headers],[ID]]))))</f>
        <v/>
      </c>
      <c r="P164" s="78" t="str">
        <f aca="false">IF(IFERROR(INDEX(tsk_Name,(ROW()-ROW(MSPTasks[[#Headers],[ID]])))="",TRUE()),"",INDEX(tsk_PlanFinish,(ROW()-ROW(MSPTasks[[#Headers],[ID]]))))</f>
        <v/>
      </c>
      <c r="Q1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78" t="str">
        <f aca="false">IF(IFERROR(INDEX(tsk_Name,(ROW()-ROW(MSPTasks[[#Headers],[ID]])))="",TRUE()),"",INDEX(tsk_FcStart,(ROW()-ROW(MSPTasks[[#Headers],[ID]]))))</f>
        <v/>
      </c>
      <c r="H165" s="78" t="str">
        <f aca="false">IF(IFERROR(INDEX(tsk_Name,(ROW()-ROW(MSPTasks[[#Headers],[ID]])))="",TRUE()),"",INDEX(tsk_FcFinish,(ROW()-ROW(MSPTasks[[#Headers],[ID]]))))</f>
        <v/>
      </c>
      <c r="I1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78" t="str">
        <f aca="false">IF(IFERROR(INDEX(tsk_Name,(ROW()-ROW(MSPTasks[[#Headers],[ID]])))="",TRUE()),"",INDEX(tsk_PlanStart,(ROW()-ROW(MSPTasks[[#Headers],[ID]]))))</f>
        <v/>
      </c>
      <c r="P165" s="78" t="str">
        <f aca="false">IF(IFERROR(INDEX(tsk_Name,(ROW()-ROW(MSPTasks[[#Headers],[ID]])))="",TRUE()),"",INDEX(tsk_PlanFinish,(ROW()-ROW(MSPTasks[[#Headers],[ID]]))))</f>
        <v/>
      </c>
      <c r="Q1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78" t="str">
        <f aca="false">IF(IFERROR(INDEX(tsk_Name,(ROW()-ROW(MSPTasks[[#Headers],[ID]])))="",TRUE()),"",INDEX(tsk_FcStart,(ROW()-ROW(MSPTasks[[#Headers],[ID]]))))</f>
        <v/>
      </c>
      <c r="H166" s="78" t="str">
        <f aca="false">IF(IFERROR(INDEX(tsk_Name,(ROW()-ROW(MSPTasks[[#Headers],[ID]])))="",TRUE()),"",INDEX(tsk_FcFinish,(ROW()-ROW(MSPTasks[[#Headers],[ID]]))))</f>
        <v/>
      </c>
      <c r="I1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78" t="str">
        <f aca="false">IF(IFERROR(INDEX(tsk_Name,(ROW()-ROW(MSPTasks[[#Headers],[ID]])))="",TRUE()),"",INDEX(tsk_PlanStart,(ROW()-ROW(MSPTasks[[#Headers],[ID]]))))</f>
        <v/>
      </c>
      <c r="P166" s="78" t="str">
        <f aca="false">IF(IFERROR(INDEX(tsk_Name,(ROW()-ROW(MSPTasks[[#Headers],[ID]])))="",TRUE()),"",INDEX(tsk_PlanFinish,(ROW()-ROW(MSPTasks[[#Headers],[ID]]))))</f>
        <v/>
      </c>
      <c r="Q1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78" t="str">
        <f aca="false">IF(IFERROR(INDEX(tsk_Name,(ROW()-ROW(MSPTasks[[#Headers],[ID]])))="",TRUE()),"",INDEX(tsk_FcStart,(ROW()-ROW(MSPTasks[[#Headers],[ID]]))))</f>
        <v/>
      </c>
      <c r="H167" s="78" t="str">
        <f aca="false">IF(IFERROR(INDEX(tsk_Name,(ROW()-ROW(MSPTasks[[#Headers],[ID]])))="",TRUE()),"",INDEX(tsk_FcFinish,(ROW()-ROW(MSPTasks[[#Headers],[ID]]))))</f>
        <v/>
      </c>
      <c r="I1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78" t="str">
        <f aca="false">IF(IFERROR(INDEX(tsk_Name,(ROW()-ROW(MSPTasks[[#Headers],[ID]])))="",TRUE()),"",INDEX(tsk_PlanStart,(ROW()-ROW(MSPTasks[[#Headers],[ID]]))))</f>
        <v/>
      </c>
      <c r="P167" s="78" t="str">
        <f aca="false">IF(IFERROR(INDEX(tsk_Name,(ROW()-ROW(MSPTasks[[#Headers],[ID]])))="",TRUE()),"",INDEX(tsk_PlanFinish,(ROW()-ROW(MSPTasks[[#Headers],[ID]]))))</f>
        <v/>
      </c>
      <c r="Q1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78" t="str">
        <f aca="false">IF(IFERROR(INDEX(tsk_Name,(ROW()-ROW(MSPTasks[[#Headers],[ID]])))="",TRUE()),"",INDEX(tsk_FcStart,(ROW()-ROW(MSPTasks[[#Headers],[ID]]))))</f>
        <v/>
      </c>
      <c r="H168" s="78" t="str">
        <f aca="false">IF(IFERROR(INDEX(tsk_Name,(ROW()-ROW(MSPTasks[[#Headers],[ID]])))="",TRUE()),"",INDEX(tsk_FcFinish,(ROW()-ROW(MSPTasks[[#Headers],[ID]]))))</f>
        <v/>
      </c>
      <c r="I1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78" t="str">
        <f aca="false">IF(IFERROR(INDEX(tsk_Name,(ROW()-ROW(MSPTasks[[#Headers],[ID]])))="",TRUE()),"",INDEX(tsk_PlanStart,(ROW()-ROW(MSPTasks[[#Headers],[ID]]))))</f>
        <v/>
      </c>
      <c r="P168" s="78" t="str">
        <f aca="false">IF(IFERROR(INDEX(tsk_Name,(ROW()-ROW(MSPTasks[[#Headers],[ID]])))="",TRUE()),"",INDEX(tsk_PlanFinish,(ROW()-ROW(MSPTasks[[#Headers],[ID]]))))</f>
        <v/>
      </c>
      <c r="Q1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78" t="str">
        <f aca="false">IF(IFERROR(INDEX(tsk_Name,(ROW()-ROW(MSPTasks[[#Headers],[ID]])))="",TRUE()),"",INDEX(tsk_FcStart,(ROW()-ROW(MSPTasks[[#Headers],[ID]]))))</f>
        <v/>
      </c>
      <c r="H169" s="78" t="str">
        <f aca="false">IF(IFERROR(INDEX(tsk_Name,(ROW()-ROW(MSPTasks[[#Headers],[ID]])))="",TRUE()),"",INDEX(tsk_FcFinish,(ROW()-ROW(MSPTasks[[#Headers],[ID]]))))</f>
        <v/>
      </c>
      <c r="I1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78" t="str">
        <f aca="false">IF(IFERROR(INDEX(tsk_Name,(ROW()-ROW(MSPTasks[[#Headers],[ID]])))="",TRUE()),"",INDEX(tsk_PlanStart,(ROW()-ROW(MSPTasks[[#Headers],[ID]]))))</f>
        <v/>
      </c>
      <c r="P169" s="78" t="str">
        <f aca="false">IF(IFERROR(INDEX(tsk_Name,(ROW()-ROW(MSPTasks[[#Headers],[ID]])))="",TRUE()),"",INDEX(tsk_PlanFinish,(ROW()-ROW(MSPTasks[[#Headers],[ID]]))))</f>
        <v/>
      </c>
      <c r="Q1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78" t="str">
        <f aca="false">IF(IFERROR(INDEX(tsk_Name,(ROW()-ROW(MSPTasks[[#Headers],[ID]])))="",TRUE()),"",INDEX(tsk_FcStart,(ROW()-ROW(MSPTasks[[#Headers],[ID]]))))</f>
        <v/>
      </c>
      <c r="H170" s="78" t="str">
        <f aca="false">IF(IFERROR(INDEX(tsk_Name,(ROW()-ROW(MSPTasks[[#Headers],[ID]])))="",TRUE()),"",INDEX(tsk_FcFinish,(ROW()-ROW(MSPTasks[[#Headers],[ID]]))))</f>
        <v/>
      </c>
      <c r="I1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78" t="str">
        <f aca="false">IF(IFERROR(INDEX(tsk_Name,(ROW()-ROW(MSPTasks[[#Headers],[ID]])))="",TRUE()),"",INDEX(tsk_PlanStart,(ROW()-ROW(MSPTasks[[#Headers],[ID]]))))</f>
        <v/>
      </c>
      <c r="P170" s="78" t="str">
        <f aca="false">IF(IFERROR(INDEX(tsk_Name,(ROW()-ROW(MSPTasks[[#Headers],[ID]])))="",TRUE()),"",INDEX(tsk_PlanFinish,(ROW()-ROW(MSPTasks[[#Headers],[ID]]))))</f>
        <v/>
      </c>
      <c r="Q1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78" t="str">
        <f aca="false">IF(IFERROR(INDEX(tsk_Name,(ROW()-ROW(MSPTasks[[#Headers],[ID]])))="",TRUE()),"",INDEX(tsk_FcStart,(ROW()-ROW(MSPTasks[[#Headers],[ID]]))))</f>
        <v/>
      </c>
      <c r="H171" s="78" t="str">
        <f aca="false">IF(IFERROR(INDEX(tsk_Name,(ROW()-ROW(MSPTasks[[#Headers],[ID]])))="",TRUE()),"",INDEX(tsk_FcFinish,(ROW()-ROW(MSPTasks[[#Headers],[ID]]))))</f>
        <v/>
      </c>
      <c r="I1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78" t="str">
        <f aca="false">IF(IFERROR(INDEX(tsk_Name,(ROW()-ROW(MSPTasks[[#Headers],[ID]])))="",TRUE()),"",INDEX(tsk_PlanStart,(ROW()-ROW(MSPTasks[[#Headers],[ID]]))))</f>
        <v/>
      </c>
      <c r="P171" s="78" t="str">
        <f aca="false">IF(IFERROR(INDEX(tsk_Name,(ROW()-ROW(MSPTasks[[#Headers],[ID]])))="",TRUE()),"",INDEX(tsk_PlanFinish,(ROW()-ROW(MSPTasks[[#Headers],[ID]]))))</f>
        <v/>
      </c>
      <c r="Q1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78" t="str">
        <f aca="false">IF(IFERROR(INDEX(tsk_Name,(ROW()-ROW(MSPTasks[[#Headers],[ID]])))="",TRUE()),"",INDEX(tsk_FcStart,(ROW()-ROW(MSPTasks[[#Headers],[ID]]))))</f>
        <v/>
      </c>
      <c r="H172" s="78" t="str">
        <f aca="false">IF(IFERROR(INDEX(tsk_Name,(ROW()-ROW(MSPTasks[[#Headers],[ID]])))="",TRUE()),"",INDEX(tsk_FcFinish,(ROW()-ROW(MSPTasks[[#Headers],[ID]]))))</f>
        <v/>
      </c>
      <c r="I1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78" t="str">
        <f aca="false">IF(IFERROR(INDEX(tsk_Name,(ROW()-ROW(MSPTasks[[#Headers],[ID]])))="",TRUE()),"",INDEX(tsk_PlanStart,(ROW()-ROW(MSPTasks[[#Headers],[ID]]))))</f>
        <v/>
      </c>
      <c r="P172" s="78" t="str">
        <f aca="false">IF(IFERROR(INDEX(tsk_Name,(ROW()-ROW(MSPTasks[[#Headers],[ID]])))="",TRUE()),"",INDEX(tsk_PlanFinish,(ROW()-ROW(MSPTasks[[#Headers],[ID]]))))</f>
        <v/>
      </c>
      <c r="Q1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78" t="str">
        <f aca="false">IF(IFERROR(INDEX(tsk_Name,(ROW()-ROW(MSPTasks[[#Headers],[ID]])))="",TRUE()),"",INDEX(tsk_FcStart,(ROW()-ROW(MSPTasks[[#Headers],[ID]]))))</f>
        <v/>
      </c>
      <c r="H173" s="78" t="str">
        <f aca="false">IF(IFERROR(INDEX(tsk_Name,(ROW()-ROW(MSPTasks[[#Headers],[ID]])))="",TRUE()),"",INDEX(tsk_FcFinish,(ROW()-ROW(MSPTasks[[#Headers],[ID]]))))</f>
        <v/>
      </c>
      <c r="I1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78" t="str">
        <f aca="false">IF(IFERROR(INDEX(tsk_Name,(ROW()-ROW(MSPTasks[[#Headers],[ID]])))="",TRUE()),"",INDEX(tsk_PlanStart,(ROW()-ROW(MSPTasks[[#Headers],[ID]]))))</f>
        <v/>
      </c>
      <c r="P173" s="78" t="str">
        <f aca="false">IF(IFERROR(INDEX(tsk_Name,(ROW()-ROW(MSPTasks[[#Headers],[ID]])))="",TRUE()),"",INDEX(tsk_PlanFinish,(ROW()-ROW(MSPTasks[[#Headers],[ID]]))))</f>
        <v/>
      </c>
      <c r="Q1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78" t="str">
        <f aca="false">IF(IFERROR(INDEX(tsk_Name,(ROW()-ROW(MSPTasks[[#Headers],[ID]])))="",TRUE()),"",INDEX(tsk_FcStart,(ROW()-ROW(MSPTasks[[#Headers],[ID]]))))</f>
        <v/>
      </c>
      <c r="H174" s="78" t="str">
        <f aca="false">IF(IFERROR(INDEX(tsk_Name,(ROW()-ROW(MSPTasks[[#Headers],[ID]])))="",TRUE()),"",INDEX(tsk_FcFinish,(ROW()-ROW(MSPTasks[[#Headers],[ID]]))))</f>
        <v/>
      </c>
      <c r="I1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78" t="str">
        <f aca="false">IF(IFERROR(INDEX(tsk_Name,(ROW()-ROW(MSPTasks[[#Headers],[ID]])))="",TRUE()),"",INDEX(tsk_PlanStart,(ROW()-ROW(MSPTasks[[#Headers],[ID]]))))</f>
        <v/>
      </c>
      <c r="P174" s="78" t="str">
        <f aca="false">IF(IFERROR(INDEX(tsk_Name,(ROW()-ROW(MSPTasks[[#Headers],[ID]])))="",TRUE()),"",INDEX(tsk_PlanFinish,(ROW()-ROW(MSPTasks[[#Headers],[ID]]))))</f>
        <v/>
      </c>
      <c r="Q1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78" t="str">
        <f aca="false">IF(IFERROR(INDEX(tsk_Name,(ROW()-ROW(MSPTasks[[#Headers],[ID]])))="",TRUE()),"",INDEX(tsk_FcStart,(ROW()-ROW(MSPTasks[[#Headers],[ID]]))))</f>
        <v/>
      </c>
      <c r="H175" s="78" t="str">
        <f aca="false">IF(IFERROR(INDEX(tsk_Name,(ROW()-ROW(MSPTasks[[#Headers],[ID]])))="",TRUE()),"",INDEX(tsk_FcFinish,(ROW()-ROW(MSPTasks[[#Headers],[ID]]))))</f>
        <v/>
      </c>
      <c r="I1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78" t="str">
        <f aca="false">IF(IFERROR(INDEX(tsk_Name,(ROW()-ROW(MSPTasks[[#Headers],[ID]])))="",TRUE()),"",INDEX(tsk_PlanStart,(ROW()-ROW(MSPTasks[[#Headers],[ID]]))))</f>
        <v/>
      </c>
      <c r="P175" s="78" t="str">
        <f aca="false">IF(IFERROR(INDEX(tsk_Name,(ROW()-ROW(MSPTasks[[#Headers],[ID]])))="",TRUE()),"",INDEX(tsk_PlanFinish,(ROW()-ROW(MSPTasks[[#Headers],[ID]]))))</f>
        <v/>
      </c>
      <c r="Q1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78" t="str">
        <f aca="false">IF(IFERROR(INDEX(tsk_Name,(ROW()-ROW(MSPTasks[[#Headers],[ID]])))="",TRUE()),"",INDEX(tsk_FcStart,(ROW()-ROW(MSPTasks[[#Headers],[ID]]))))</f>
        <v/>
      </c>
      <c r="H176" s="78" t="str">
        <f aca="false">IF(IFERROR(INDEX(tsk_Name,(ROW()-ROW(MSPTasks[[#Headers],[ID]])))="",TRUE()),"",INDEX(tsk_FcFinish,(ROW()-ROW(MSPTasks[[#Headers],[ID]]))))</f>
        <v/>
      </c>
      <c r="I1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78" t="str">
        <f aca="false">IF(IFERROR(INDEX(tsk_Name,(ROW()-ROW(MSPTasks[[#Headers],[ID]])))="",TRUE()),"",INDEX(tsk_PlanStart,(ROW()-ROW(MSPTasks[[#Headers],[ID]]))))</f>
        <v/>
      </c>
      <c r="P176" s="78" t="str">
        <f aca="false">IF(IFERROR(INDEX(tsk_Name,(ROW()-ROW(MSPTasks[[#Headers],[ID]])))="",TRUE()),"",INDEX(tsk_PlanFinish,(ROW()-ROW(MSPTasks[[#Headers],[ID]]))))</f>
        <v/>
      </c>
      <c r="Q1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78" t="str">
        <f aca="false">IF(IFERROR(INDEX(tsk_Name,(ROW()-ROW(MSPTasks[[#Headers],[ID]])))="",TRUE()),"",INDEX(tsk_FcStart,(ROW()-ROW(MSPTasks[[#Headers],[ID]]))))</f>
        <v/>
      </c>
      <c r="H177" s="78" t="str">
        <f aca="false">IF(IFERROR(INDEX(tsk_Name,(ROW()-ROW(MSPTasks[[#Headers],[ID]])))="",TRUE()),"",INDEX(tsk_FcFinish,(ROW()-ROW(MSPTasks[[#Headers],[ID]]))))</f>
        <v/>
      </c>
      <c r="I1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78" t="str">
        <f aca="false">IF(IFERROR(INDEX(tsk_Name,(ROW()-ROW(MSPTasks[[#Headers],[ID]])))="",TRUE()),"",INDEX(tsk_PlanStart,(ROW()-ROW(MSPTasks[[#Headers],[ID]]))))</f>
        <v/>
      </c>
      <c r="P177" s="78" t="str">
        <f aca="false">IF(IFERROR(INDEX(tsk_Name,(ROW()-ROW(MSPTasks[[#Headers],[ID]])))="",TRUE()),"",INDEX(tsk_PlanFinish,(ROW()-ROW(MSPTasks[[#Headers],[ID]]))))</f>
        <v/>
      </c>
      <c r="Q1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78" t="str">
        <f aca="false">IF(IFERROR(INDEX(tsk_Name,(ROW()-ROW(MSPTasks[[#Headers],[ID]])))="",TRUE()),"",INDEX(tsk_FcStart,(ROW()-ROW(MSPTasks[[#Headers],[ID]]))))</f>
        <v/>
      </c>
      <c r="H178" s="78" t="str">
        <f aca="false">IF(IFERROR(INDEX(tsk_Name,(ROW()-ROW(MSPTasks[[#Headers],[ID]])))="",TRUE()),"",INDEX(tsk_FcFinish,(ROW()-ROW(MSPTasks[[#Headers],[ID]]))))</f>
        <v/>
      </c>
      <c r="I1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78" t="str">
        <f aca="false">IF(IFERROR(INDEX(tsk_Name,(ROW()-ROW(MSPTasks[[#Headers],[ID]])))="",TRUE()),"",INDEX(tsk_PlanStart,(ROW()-ROW(MSPTasks[[#Headers],[ID]]))))</f>
        <v/>
      </c>
      <c r="P178" s="78" t="str">
        <f aca="false">IF(IFERROR(INDEX(tsk_Name,(ROW()-ROW(MSPTasks[[#Headers],[ID]])))="",TRUE()),"",INDEX(tsk_PlanFinish,(ROW()-ROW(MSPTasks[[#Headers],[ID]]))))</f>
        <v/>
      </c>
      <c r="Q1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78" t="str">
        <f aca="false">IF(IFERROR(INDEX(tsk_Name,(ROW()-ROW(MSPTasks[[#Headers],[ID]])))="",TRUE()),"",INDEX(tsk_FcStart,(ROW()-ROW(MSPTasks[[#Headers],[ID]]))))</f>
        <v/>
      </c>
      <c r="H179" s="78" t="str">
        <f aca="false">IF(IFERROR(INDEX(tsk_Name,(ROW()-ROW(MSPTasks[[#Headers],[ID]])))="",TRUE()),"",INDEX(tsk_FcFinish,(ROW()-ROW(MSPTasks[[#Headers],[ID]]))))</f>
        <v/>
      </c>
      <c r="I1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78" t="str">
        <f aca="false">IF(IFERROR(INDEX(tsk_Name,(ROW()-ROW(MSPTasks[[#Headers],[ID]])))="",TRUE()),"",INDEX(tsk_PlanStart,(ROW()-ROW(MSPTasks[[#Headers],[ID]]))))</f>
        <v/>
      </c>
      <c r="P179" s="78" t="str">
        <f aca="false">IF(IFERROR(INDEX(tsk_Name,(ROW()-ROW(MSPTasks[[#Headers],[ID]])))="",TRUE()),"",INDEX(tsk_PlanFinish,(ROW()-ROW(MSPTasks[[#Headers],[ID]]))))</f>
        <v/>
      </c>
      <c r="Q1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78" t="str">
        <f aca="false">IF(IFERROR(INDEX(tsk_Name,(ROW()-ROW(MSPTasks[[#Headers],[ID]])))="",TRUE()),"",INDEX(tsk_FcStart,(ROW()-ROW(MSPTasks[[#Headers],[ID]]))))</f>
        <v/>
      </c>
      <c r="H180" s="78" t="str">
        <f aca="false">IF(IFERROR(INDEX(tsk_Name,(ROW()-ROW(MSPTasks[[#Headers],[ID]])))="",TRUE()),"",INDEX(tsk_FcFinish,(ROW()-ROW(MSPTasks[[#Headers],[ID]]))))</f>
        <v/>
      </c>
      <c r="I1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78" t="str">
        <f aca="false">IF(IFERROR(INDEX(tsk_Name,(ROW()-ROW(MSPTasks[[#Headers],[ID]])))="",TRUE()),"",INDEX(tsk_PlanStart,(ROW()-ROW(MSPTasks[[#Headers],[ID]]))))</f>
        <v/>
      </c>
      <c r="P180" s="78" t="str">
        <f aca="false">IF(IFERROR(INDEX(tsk_Name,(ROW()-ROW(MSPTasks[[#Headers],[ID]])))="",TRUE()),"",INDEX(tsk_PlanFinish,(ROW()-ROW(MSPTasks[[#Headers],[ID]]))))</f>
        <v/>
      </c>
      <c r="Q1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78" t="str">
        <f aca="false">IF(IFERROR(INDEX(tsk_Name,(ROW()-ROW(MSPTasks[[#Headers],[ID]])))="",TRUE()),"",INDEX(tsk_FcStart,(ROW()-ROW(MSPTasks[[#Headers],[ID]]))))</f>
        <v/>
      </c>
      <c r="H181" s="78" t="str">
        <f aca="false">IF(IFERROR(INDEX(tsk_Name,(ROW()-ROW(MSPTasks[[#Headers],[ID]])))="",TRUE()),"",INDEX(tsk_FcFinish,(ROW()-ROW(MSPTasks[[#Headers],[ID]]))))</f>
        <v/>
      </c>
      <c r="I1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78" t="str">
        <f aca="false">IF(IFERROR(INDEX(tsk_Name,(ROW()-ROW(MSPTasks[[#Headers],[ID]])))="",TRUE()),"",INDEX(tsk_PlanStart,(ROW()-ROW(MSPTasks[[#Headers],[ID]]))))</f>
        <v/>
      </c>
      <c r="P181" s="78" t="str">
        <f aca="false">IF(IFERROR(INDEX(tsk_Name,(ROW()-ROW(MSPTasks[[#Headers],[ID]])))="",TRUE()),"",INDEX(tsk_PlanFinish,(ROW()-ROW(MSPTasks[[#Headers],[ID]]))))</f>
        <v/>
      </c>
      <c r="Q1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78" t="str">
        <f aca="false">IF(IFERROR(INDEX(tsk_Name,(ROW()-ROW(MSPTasks[[#Headers],[ID]])))="",TRUE()),"",INDEX(tsk_FcStart,(ROW()-ROW(MSPTasks[[#Headers],[ID]]))))</f>
        <v/>
      </c>
      <c r="H182" s="78" t="str">
        <f aca="false">IF(IFERROR(INDEX(tsk_Name,(ROW()-ROW(MSPTasks[[#Headers],[ID]])))="",TRUE()),"",INDEX(tsk_FcFinish,(ROW()-ROW(MSPTasks[[#Headers],[ID]]))))</f>
        <v/>
      </c>
      <c r="I1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78" t="str">
        <f aca="false">IF(IFERROR(INDEX(tsk_Name,(ROW()-ROW(MSPTasks[[#Headers],[ID]])))="",TRUE()),"",INDEX(tsk_PlanStart,(ROW()-ROW(MSPTasks[[#Headers],[ID]]))))</f>
        <v/>
      </c>
      <c r="P182" s="78" t="str">
        <f aca="false">IF(IFERROR(INDEX(tsk_Name,(ROW()-ROW(MSPTasks[[#Headers],[ID]])))="",TRUE()),"",INDEX(tsk_PlanFinish,(ROW()-ROW(MSPTasks[[#Headers],[ID]]))))</f>
        <v/>
      </c>
      <c r="Q1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78" t="str">
        <f aca="false">IF(IFERROR(INDEX(tsk_Name,(ROW()-ROW(MSPTasks[[#Headers],[ID]])))="",TRUE()),"",INDEX(tsk_FcStart,(ROW()-ROW(MSPTasks[[#Headers],[ID]]))))</f>
        <v/>
      </c>
      <c r="H183" s="78" t="str">
        <f aca="false">IF(IFERROR(INDEX(tsk_Name,(ROW()-ROW(MSPTasks[[#Headers],[ID]])))="",TRUE()),"",INDEX(tsk_FcFinish,(ROW()-ROW(MSPTasks[[#Headers],[ID]]))))</f>
        <v/>
      </c>
      <c r="I1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78" t="str">
        <f aca="false">IF(IFERROR(INDEX(tsk_Name,(ROW()-ROW(MSPTasks[[#Headers],[ID]])))="",TRUE()),"",INDEX(tsk_PlanStart,(ROW()-ROW(MSPTasks[[#Headers],[ID]]))))</f>
        <v/>
      </c>
      <c r="P183" s="78" t="str">
        <f aca="false">IF(IFERROR(INDEX(tsk_Name,(ROW()-ROW(MSPTasks[[#Headers],[ID]])))="",TRUE()),"",INDEX(tsk_PlanFinish,(ROW()-ROW(MSPTasks[[#Headers],[ID]]))))</f>
        <v/>
      </c>
      <c r="Q1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78" t="str">
        <f aca="false">IF(IFERROR(INDEX(tsk_Name,(ROW()-ROW(MSPTasks[[#Headers],[ID]])))="",TRUE()),"",INDEX(tsk_FcStart,(ROW()-ROW(MSPTasks[[#Headers],[ID]]))))</f>
        <v/>
      </c>
      <c r="H184" s="78" t="str">
        <f aca="false">IF(IFERROR(INDEX(tsk_Name,(ROW()-ROW(MSPTasks[[#Headers],[ID]])))="",TRUE()),"",INDEX(tsk_FcFinish,(ROW()-ROW(MSPTasks[[#Headers],[ID]]))))</f>
        <v/>
      </c>
      <c r="I1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78" t="str">
        <f aca="false">IF(IFERROR(INDEX(tsk_Name,(ROW()-ROW(MSPTasks[[#Headers],[ID]])))="",TRUE()),"",INDEX(tsk_PlanStart,(ROW()-ROW(MSPTasks[[#Headers],[ID]]))))</f>
        <v/>
      </c>
      <c r="P184" s="78" t="str">
        <f aca="false">IF(IFERROR(INDEX(tsk_Name,(ROW()-ROW(MSPTasks[[#Headers],[ID]])))="",TRUE()),"",INDEX(tsk_PlanFinish,(ROW()-ROW(MSPTasks[[#Headers],[ID]]))))</f>
        <v/>
      </c>
      <c r="Q1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78" t="str">
        <f aca="false">IF(IFERROR(INDEX(tsk_Name,(ROW()-ROW(MSPTasks[[#Headers],[ID]])))="",TRUE()),"",INDEX(tsk_FcStart,(ROW()-ROW(MSPTasks[[#Headers],[ID]]))))</f>
        <v/>
      </c>
      <c r="H185" s="78" t="str">
        <f aca="false">IF(IFERROR(INDEX(tsk_Name,(ROW()-ROW(MSPTasks[[#Headers],[ID]])))="",TRUE()),"",INDEX(tsk_FcFinish,(ROW()-ROW(MSPTasks[[#Headers],[ID]]))))</f>
        <v/>
      </c>
      <c r="I1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78" t="str">
        <f aca="false">IF(IFERROR(INDEX(tsk_Name,(ROW()-ROW(MSPTasks[[#Headers],[ID]])))="",TRUE()),"",INDEX(tsk_PlanStart,(ROW()-ROW(MSPTasks[[#Headers],[ID]]))))</f>
        <v/>
      </c>
      <c r="P185" s="78" t="str">
        <f aca="false">IF(IFERROR(INDEX(tsk_Name,(ROW()-ROW(MSPTasks[[#Headers],[ID]])))="",TRUE()),"",INDEX(tsk_PlanFinish,(ROW()-ROW(MSPTasks[[#Headers],[ID]]))))</f>
        <v/>
      </c>
      <c r="Q1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78" t="str">
        <f aca="false">IF(IFERROR(INDEX(tsk_Name,(ROW()-ROW(MSPTasks[[#Headers],[ID]])))="",TRUE()),"",INDEX(tsk_FcStart,(ROW()-ROW(MSPTasks[[#Headers],[ID]]))))</f>
        <v/>
      </c>
      <c r="H186" s="78" t="str">
        <f aca="false">IF(IFERROR(INDEX(tsk_Name,(ROW()-ROW(MSPTasks[[#Headers],[ID]])))="",TRUE()),"",INDEX(tsk_FcFinish,(ROW()-ROW(MSPTasks[[#Headers],[ID]]))))</f>
        <v/>
      </c>
      <c r="I1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78" t="str">
        <f aca="false">IF(IFERROR(INDEX(tsk_Name,(ROW()-ROW(MSPTasks[[#Headers],[ID]])))="",TRUE()),"",INDEX(tsk_PlanStart,(ROW()-ROW(MSPTasks[[#Headers],[ID]]))))</f>
        <v/>
      </c>
      <c r="P186" s="78" t="str">
        <f aca="false">IF(IFERROR(INDEX(tsk_Name,(ROW()-ROW(MSPTasks[[#Headers],[ID]])))="",TRUE()),"",INDEX(tsk_PlanFinish,(ROW()-ROW(MSPTasks[[#Headers],[ID]]))))</f>
        <v/>
      </c>
      <c r="Q1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78" t="str">
        <f aca="false">IF(IFERROR(INDEX(tsk_Name,(ROW()-ROW(MSPTasks[[#Headers],[ID]])))="",TRUE()),"",INDEX(tsk_FcStart,(ROW()-ROW(MSPTasks[[#Headers],[ID]]))))</f>
        <v/>
      </c>
      <c r="H187" s="78" t="str">
        <f aca="false">IF(IFERROR(INDEX(tsk_Name,(ROW()-ROW(MSPTasks[[#Headers],[ID]])))="",TRUE()),"",INDEX(tsk_FcFinish,(ROW()-ROW(MSPTasks[[#Headers],[ID]]))))</f>
        <v/>
      </c>
      <c r="I1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78" t="str">
        <f aca="false">IF(IFERROR(INDEX(tsk_Name,(ROW()-ROW(MSPTasks[[#Headers],[ID]])))="",TRUE()),"",INDEX(tsk_PlanStart,(ROW()-ROW(MSPTasks[[#Headers],[ID]]))))</f>
        <v/>
      </c>
      <c r="P187" s="78" t="str">
        <f aca="false">IF(IFERROR(INDEX(tsk_Name,(ROW()-ROW(MSPTasks[[#Headers],[ID]])))="",TRUE()),"",INDEX(tsk_PlanFinish,(ROW()-ROW(MSPTasks[[#Headers],[ID]]))))</f>
        <v/>
      </c>
      <c r="Q1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78" t="str">
        <f aca="false">IF(IFERROR(INDEX(tsk_Name,(ROW()-ROW(MSPTasks[[#Headers],[ID]])))="",TRUE()),"",INDEX(tsk_FcStart,(ROW()-ROW(MSPTasks[[#Headers],[ID]]))))</f>
        <v/>
      </c>
      <c r="H188" s="78" t="str">
        <f aca="false">IF(IFERROR(INDEX(tsk_Name,(ROW()-ROW(MSPTasks[[#Headers],[ID]])))="",TRUE()),"",INDEX(tsk_FcFinish,(ROW()-ROW(MSPTasks[[#Headers],[ID]]))))</f>
        <v/>
      </c>
      <c r="I1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78" t="str">
        <f aca="false">IF(IFERROR(INDEX(tsk_Name,(ROW()-ROW(MSPTasks[[#Headers],[ID]])))="",TRUE()),"",INDEX(tsk_PlanStart,(ROW()-ROW(MSPTasks[[#Headers],[ID]]))))</f>
        <v/>
      </c>
      <c r="P188" s="78" t="str">
        <f aca="false">IF(IFERROR(INDEX(tsk_Name,(ROW()-ROW(MSPTasks[[#Headers],[ID]])))="",TRUE()),"",INDEX(tsk_PlanFinish,(ROW()-ROW(MSPTasks[[#Headers],[ID]]))))</f>
        <v/>
      </c>
      <c r="Q1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78" t="str">
        <f aca="false">IF(IFERROR(INDEX(tsk_Name,(ROW()-ROW(MSPTasks[[#Headers],[ID]])))="",TRUE()),"",INDEX(tsk_FcStart,(ROW()-ROW(MSPTasks[[#Headers],[ID]]))))</f>
        <v/>
      </c>
      <c r="H189" s="78" t="str">
        <f aca="false">IF(IFERROR(INDEX(tsk_Name,(ROW()-ROW(MSPTasks[[#Headers],[ID]])))="",TRUE()),"",INDEX(tsk_FcFinish,(ROW()-ROW(MSPTasks[[#Headers],[ID]]))))</f>
        <v/>
      </c>
      <c r="I1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78" t="str">
        <f aca="false">IF(IFERROR(INDEX(tsk_Name,(ROW()-ROW(MSPTasks[[#Headers],[ID]])))="",TRUE()),"",INDEX(tsk_PlanStart,(ROW()-ROW(MSPTasks[[#Headers],[ID]]))))</f>
        <v/>
      </c>
      <c r="P189" s="78" t="str">
        <f aca="false">IF(IFERROR(INDEX(tsk_Name,(ROW()-ROW(MSPTasks[[#Headers],[ID]])))="",TRUE()),"",INDEX(tsk_PlanFinish,(ROW()-ROW(MSPTasks[[#Headers],[ID]]))))</f>
        <v/>
      </c>
      <c r="Q1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78" t="str">
        <f aca="false">IF(IFERROR(INDEX(tsk_Name,(ROW()-ROW(MSPTasks[[#Headers],[ID]])))="",TRUE()),"",INDEX(tsk_FcStart,(ROW()-ROW(MSPTasks[[#Headers],[ID]]))))</f>
        <v/>
      </c>
      <c r="H190" s="78" t="str">
        <f aca="false">IF(IFERROR(INDEX(tsk_Name,(ROW()-ROW(MSPTasks[[#Headers],[ID]])))="",TRUE()),"",INDEX(tsk_FcFinish,(ROW()-ROW(MSPTasks[[#Headers],[ID]]))))</f>
        <v/>
      </c>
      <c r="I1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78" t="str">
        <f aca="false">IF(IFERROR(INDEX(tsk_Name,(ROW()-ROW(MSPTasks[[#Headers],[ID]])))="",TRUE()),"",INDEX(tsk_PlanStart,(ROW()-ROW(MSPTasks[[#Headers],[ID]]))))</f>
        <v/>
      </c>
      <c r="P190" s="78" t="str">
        <f aca="false">IF(IFERROR(INDEX(tsk_Name,(ROW()-ROW(MSPTasks[[#Headers],[ID]])))="",TRUE()),"",INDEX(tsk_PlanFinish,(ROW()-ROW(MSPTasks[[#Headers],[ID]]))))</f>
        <v/>
      </c>
      <c r="Q1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78" t="str">
        <f aca="false">IF(IFERROR(INDEX(tsk_Name,(ROW()-ROW(MSPTasks[[#Headers],[ID]])))="",TRUE()),"",INDEX(tsk_FcStart,(ROW()-ROW(MSPTasks[[#Headers],[ID]]))))</f>
        <v/>
      </c>
      <c r="H191" s="78" t="str">
        <f aca="false">IF(IFERROR(INDEX(tsk_Name,(ROW()-ROW(MSPTasks[[#Headers],[ID]])))="",TRUE()),"",INDEX(tsk_FcFinish,(ROW()-ROW(MSPTasks[[#Headers],[ID]]))))</f>
        <v/>
      </c>
      <c r="I1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78" t="str">
        <f aca="false">IF(IFERROR(INDEX(tsk_Name,(ROW()-ROW(MSPTasks[[#Headers],[ID]])))="",TRUE()),"",INDEX(tsk_PlanStart,(ROW()-ROW(MSPTasks[[#Headers],[ID]]))))</f>
        <v/>
      </c>
      <c r="P191" s="78" t="str">
        <f aca="false">IF(IFERROR(INDEX(tsk_Name,(ROW()-ROW(MSPTasks[[#Headers],[ID]])))="",TRUE()),"",INDEX(tsk_PlanFinish,(ROW()-ROW(MSPTasks[[#Headers],[ID]]))))</f>
        <v/>
      </c>
      <c r="Q1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78" t="str">
        <f aca="false">IF(IFERROR(INDEX(tsk_Name,(ROW()-ROW(MSPTasks[[#Headers],[ID]])))="",TRUE()),"",INDEX(tsk_FcStart,(ROW()-ROW(MSPTasks[[#Headers],[ID]]))))</f>
        <v/>
      </c>
      <c r="H192" s="78" t="str">
        <f aca="false">IF(IFERROR(INDEX(tsk_Name,(ROW()-ROW(MSPTasks[[#Headers],[ID]])))="",TRUE()),"",INDEX(tsk_FcFinish,(ROW()-ROW(MSPTasks[[#Headers],[ID]]))))</f>
        <v/>
      </c>
      <c r="I1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78" t="str">
        <f aca="false">IF(IFERROR(INDEX(tsk_Name,(ROW()-ROW(MSPTasks[[#Headers],[ID]])))="",TRUE()),"",INDEX(tsk_PlanStart,(ROW()-ROW(MSPTasks[[#Headers],[ID]]))))</f>
        <v/>
      </c>
      <c r="P192" s="78" t="str">
        <f aca="false">IF(IFERROR(INDEX(tsk_Name,(ROW()-ROW(MSPTasks[[#Headers],[ID]])))="",TRUE()),"",INDEX(tsk_PlanFinish,(ROW()-ROW(MSPTasks[[#Headers],[ID]]))))</f>
        <v/>
      </c>
      <c r="Q1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2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2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78" t="str">
        <f aca="false">IF(IFERROR(INDEX(tsk_Name,(ROW()-ROW(MSPTasks[[#Headers],[ID]])))="",TRUE()),"",INDEX(tsk_FcStart,(ROW()-ROW(MSPTasks[[#Headers],[ID]]))))</f>
        <v/>
      </c>
      <c r="H193" s="78" t="str">
        <f aca="false">IF(IFERROR(INDEX(tsk_Name,(ROW()-ROW(MSPTasks[[#Headers],[ID]])))="",TRUE()),"",INDEX(tsk_FcFinish,(ROW()-ROW(MSPTasks[[#Headers],[ID]]))))</f>
        <v/>
      </c>
      <c r="I1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78" t="str">
        <f aca="false">IF(IFERROR(INDEX(tsk_Name,(ROW()-ROW(MSPTasks[[#Headers],[ID]])))="",TRUE()),"",INDEX(tsk_PlanStart,(ROW()-ROW(MSPTasks[[#Headers],[ID]]))))</f>
        <v/>
      </c>
      <c r="P193" s="78" t="str">
        <f aca="false">IF(IFERROR(INDEX(tsk_Name,(ROW()-ROW(MSPTasks[[#Headers],[ID]])))="",TRUE()),"",INDEX(tsk_PlanFinish,(ROW()-ROW(MSPTasks[[#Headers],[ID]]))))</f>
        <v/>
      </c>
      <c r="Q1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3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3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78" t="str">
        <f aca="false">IF(IFERROR(INDEX(tsk_Name,(ROW()-ROW(MSPTasks[[#Headers],[ID]])))="",TRUE()),"",INDEX(tsk_FcStart,(ROW()-ROW(MSPTasks[[#Headers],[ID]]))))</f>
        <v/>
      </c>
      <c r="H194" s="78" t="str">
        <f aca="false">IF(IFERROR(INDEX(tsk_Name,(ROW()-ROW(MSPTasks[[#Headers],[ID]])))="",TRUE()),"",INDEX(tsk_FcFinish,(ROW()-ROW(MSPTasks[[#Headers],[ID]]))))</f>
        <v/>
      </c>
      <c r="I1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78" t="str">
        <f aca="false">IF(IFERROR(INDEX(tsk_Name,(ROW()-ROW(MSPTasks[[#Headers],[ID]])))="",TRUE()),"",INDEX(tsk_PlanStart,(ROW()-ROW(MSPTasks[[#Headers],[ID]]))))</f>
        <v/>
      </c>
      <c r="P194" s="78" t="str">
        <f aca="false">IF(IFERROR(INDEX(tsk_Name,(ROW()-ROW(MSPTasks[[#Headers],[ID]])))="",TRUE()),"",INDEX(tsk_PlanFinish,(ROW()-ROW(MSPTasks[[#Headers],[ID]]))))</f>
        <v/>
      </c>
      <c r="Q1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4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4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78" t="str">
        <f aca="false">IF(IFERROR(INDEX(tsk_Name,(ROW()-ROW(MSPTasks[[#Headers],[ID]])))="",TRUE()),"",INDEX(tsk_FcStart,(ROW()-ROW(MSPTasks[[#Headers],[ID]]))))</f>
        <v/>
      </c>
      <c r="H195" s="78" t="str">
        <f aca="false">IF(IFERROR(INDEX(tsk_Name,(ROW()-ROW(MSPTasks[[#Headers],[ID]])))="",TRUE()),"",INDEX(tsk_FcFinish,(ROW()-ROW(MSPTasks[[#Headers],[ID]]))))</f>
        <v/>
      </c>
      <c r="I1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78" t="str">
        <f aca="false">IF(IFERROR(INDEX(tsk_Name,(ROW()-ROW(MSPTasks[[#Headers],[ID]])))="",TRUE()),"",INDEX(tsk_PlanStart,(ROW()-ROW(MSPTasks[[#Headers],[ID]]))))</f>
        <v/>
      </c>
      <c r="P195" s="78" t="str">
        <f aca="false">IF(IFERROR(INDEX(tsk_Name,(ROW()-ROW(MSPTasks[[#Headers],[ID]])))="",TRUE()),"",INDEX(tsk_PlanFinish,(ROW()-ROW(MSPTasks[[#Headers],[ID]]))))</f>
        <v/>
      </c>
      <c r="Q1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5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5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78" t="str">
        <f aca="false">IF(IFERROR(INDEX(tsk_Name,(ROW()-ROW(MSPTasks[[#Headers],[ID]])))="",TRUE()),"",INDEX(tsk_FcStart,(ROW()-ROW(MSPTasks[[#Headers],[ID]]))))</f>
        <v/>
      </c>
      <c r="H196" s="78" t="str">
        <f aca="false">IF(IFERROR(INDEX(tsk_Name,(ROW()-ROW(MSPTasks[[#Headers],[ID]])))="",TRUE()),"",INDEX(tsk_FcFinish,(ROW()-ROW(MSPTasks[[#Headers],[ID]]))))</f>
        <v/>
      </c>
      <c r="I1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78" t="str">
        <f aca="false">IF(IFERROR(INDEX(tsk_Name,(ROW()-ROW(MSPTasks[[#Headers],[ID]])))="",TRUE()),"",INDEX(tsk_PlanStart,(ROW()-ROW(MSPTasks[[#Headers],[ID]]))))</f>
        <v/>
      </c>
      <c r="P196" s="78" t="str">
        <f aca="false">IF(IFERROR(INDEX(tsk_Name,(ROW()-ROW(MSPTasks[[#Headers],[ID]])))="",TRUE()),"",INDEX(tsk_PlanFinish,(ROW()-ROW(MSPTasks[[#Headers],[ID]]))))</f>
        <v/>
      </c>
      <c r="Q1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6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6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78" t="str">
        <f aca="false">IF(IFERROR(INDEX(tsk_Name,(ROW()-ROW(MSPTasks[[#Headers],[ID]])))="",TRUE()),"",INDEX(tsk_FcStart,(ROW()-ROW(MSPTasks[[#Headers],[ID]]))))</f>
        <v/>
      </c>
      <c r="H197" s="78" t="str">
        <f aca="false">IF(IFERROR(INDEX(tsk_Name,(ROW()-ROW(MSPTasks[[#Headers],[ID]])))="",TRUE()),"",INDEX(tsk_FcFinish,(ROW()-ROW(MSPTasks[[#Headers],[ID]]))))</f>
        <v/>
      </c>
      <c r="I1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78" t="str">
        <f aca="false">IF(IFERROR(INDEX(tsk_Name,(ROW()-ROW(MSPTasks[[#Headers],[ID]])))="",TRUE()),"",INDEX(tsk_PlanStart,(ROW()-ROW(MSPTasks[[#Headers],[ID]]))))</f>
        <v/>
      </c>
      <c r="P197" s="78" t="str">
        <f aca="false">IF(IFERROR(INDEX(tsk_Name,(ROW()-ROW(MSPTasks[[#Headers],[ID]])))="",TRUE()),"",INDEX(tsk_PlanFinish,(ROW()-ROW(MSPTasks[[#Headers],[ID]]))))</f>
        <v/>
      </c>
      <c r="Q1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7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7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78" t="str">
        <f aca="false">IF(IFERROR(INDEX(tsk_Name,(ROW()-ROW(MSPTasks[[#Headers],[ID]])))="",TRUE()),"",INDEX(tsk_FcStart,(ROW()-ROW(MSPTasks[[#Headers],[ID]]))))</f>
        <v/>
      </c>
      <c r="H198" s="78" t="str">
        <f aca="false">IF(IFERROR(INDEX(tsk_Name,(ROW()-ROW(MSPTasks[[#Headers],[ID]])))="",TRUE()),"",INDEX(tsk_FcFinish,(ROW()-ROW(MSPTasks[[#Headers],[ID]]))))</f>
        <v/>
      </c>
      <c r="I1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78" t="str">
        <f aca="false">IF(IFERROR(INDEX(tsk_Name,(ROW()-ROW(MSPTasks[[#Headers],[ID]])))="",TRUE()),"",INDEX(tsk_PlanStart,(ROW()-ROW(MSPTasks[[#Headers],[ID]]))))</f>
        <v/>
      </c>
      <c r="P198" s="78" t="str">
        <f aca="false">IF(IFERROR(INDEX(tsk_Name,(ROW()-ROW(MSPTasks[[#Headers],[ID]])))="",TRUE()),"",INDEX(tsk_PlanFinish,(ROW()-ROW(MSPTasks[[#Headers],[ID]]))))</f>
        <v/>
      </c>
      <c r="Q1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8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8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78" t="str">
        <f aca="false">IF(IFERROR(INDEX(tsk_Name,(ROW()-ROW(MSPTasks[[#Headers],[ID]])))="",TRUE()),"",INDEX(tsk_FcStart,(ROW()-ROW(MSPTasks[[#Headers],[ID]]))))</f>
        <v/>
      </c>
      <c r="H199" s="78" t="str">
        <f aca="false">IF(IFERROR(INDEX(tsk_Name,(ROW()-ROW(MSPTasks[[#Headers],[ID]])))="",TRUE()),"",INDEX(tsk_FcFinish,(ROW()-ROW(MSPTasks[[#Headers],[ID]]))))</f>
        <v/>
      </c>
      <c r="I1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78" t="str">
        <f aca="false">IF(IFERROR(INDEX(tsk_Name,(ROW()-ROW(MSPTasks[[#Headers],[ID]])))="",TRUE()),"",INDEX(tsk_PlanStart,(ROW()-ROW(MSPTasks[[#Headers],[ID]]))))</f>
        <v/>
      </c>
      <c r="P199" s="78" t="str">
        <f aca="false">IF(IFERROR(INDEX(tsk_Name,(ROW()-ROW(MSPTasks[[#Headers],[ID]])))="",TRUE()),"",INDEX(tsk_PlanFinish,(ROW()-ROW(MSPTasks[[#Headers],[ID]]))))</f>
        <v/>
      </c>
      <c r="Q1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9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9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78" t="str">
        <f aca="false">IF(IFERROR(INDEX(tsk_Name,(ROW()-ROW(MSPTasks[[#Headers],[ID]])))="",TRUE()),"",INDEX(tsk_FcStart,(ROW()-ROW(MSPTasks[[#Headers],[ID]]))))</f>
        <v/>
      </c>
      <c r="H200" s="78" t="str">
        <f aca="false">IF(IFERROR(INDEX(tsk_Name,(ROW()-ROW(MSPTasks[[#Headers],[ID]])))="",TRUE()),"",INDEX(tsk_FcFinish,(ROW()-ROW(MSPTasks[[#Headers],[ID]]))))</f>
        <v/>
      </c>
      <c r="I2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78" t="str">
        <f aca="false">IF(IFERROR(INDEX(tsk_Name,(ROW()-ROW(MSPTasks[[#Headers],[ID]])))="",TRUE()),"",INDEX(tsk_PlanStart,(ROW()-ROW(MSPTasks[[#Headers],[ID]]))))</f>
        <v/>
      </c>
      <c r="P200" s="78" t="str">
        <f aca="false">IF(IFERROR(INDEX(tsk_Name,(ROW()-ROW(MSPTasks[[#Headers],[ID]])))="",TRUE()),"",INDEX(tsk_PlanFinish,(ROW()-ROW(MSPTasks[[#Headers],[ID]]))))</f>
        <v/>
      </c>
      <c r="Q2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0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0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78" t="str">
        <f aca="false">IF(IFERROR(INDEX(tsk_Name,(ROW()-ROW(MSPTasks[[#Headers],[ID]])))="",TRUE()),"",INDEX(tsk_FcStart,(ROW()-ROW(MSPTasks[[#Headers],[ID]]))))</f>
        <v/>
      </c>
      <c r="H201" s="78" t="str">
        <f aca="false">IF(IFERROR(INDEX(tsk_Name,(ROW()-ROW(MSPTasks[[#Headers],[ID]])))="",TRUE()),"",INDEX(tsk_FcFinish,(ROW()-ROW(MSPTasks[[#Headers],[ID]]))))</f>
        <v/>
      </c>
      <c r="I2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78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78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78" t="str">
        <f aca="false">IF(IFERROR(INDEX(tsk_Name,(ROW()-ROW(MSPTasks[[#Headers],[ID]])))="",TRUE()),"",INDEX(tsk_PlanStart,(ROW()-ROW(MSPTasks[[#Headers],[ID]]))))</f>
        <v/>
      </c>
      <c r="P201" s="78" t="str">
        <f aca="false">IF(IFERROR(INDEX(tsk_Name,(ROW()-ROW(MSPTasks[[#Headers],[ID]])))="",TRUE()),"",INDEX(tsk_PlanFinish,(ROW()-ROW(MSPTasks[[#Headers],[ID]]))))</f>
        <v/>
      </c>
      <c r="Q2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1" s="78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1" s="78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331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339</v>
      </c>
      <c r="G1" s="9" t="s">
        <v>340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/>
      </c>
      <c r="B2" s="23" t="str">
        <f aca="false">IF(IFERROR(INDEX(res_Name,(ROW()-ROW(MSPResources[[#Headers],[Name]])))="",TRUE()),"",INDEX(res_Initials,(ROW()-ROW(MSPResources[[#Headers],[Name]])))&amp;"")</f>
        <v/>
      </c>
      <c r="C2" s="23" t="str">
        <f aca="false">IF(IFERROR(INDEX(res_Name,(ROW()-ROW(MSPResources[[#Headers],[Name]])))="",TRUE()),"",INDEX(res_Group,(ROW()-ROW(MSPResources[[#Headers],[Name]])))&amp;"")</f>
        <v/>
      </c>
      <c r="D2" s="23" t="str">
        <f aca="false">IF(IFERROR(INDEX(res_Name,(ROW()-ROW(MSPResources[[#Headers],[Name]])))="",TRUE()),"",INDEX(res_Type,(ROW()-ROW(MSPResources[[#Headers],[Name]])))&amp;"")</f>
        <v/>
      </c>
      <c r="E2" s="23" t="str">
        <f aca="false">IF(IFERROR(INDEX(res_Name,(ROW()-ROW(MSPResources[[#Headers],[Name]])))="",TRUE()),"",ROUND(INDEX(res_MaxUnits,(ROW()-ROW(MSPResources[[#Headers],[Name]])))*100,0)&amp;"%")</f>
        <v/>
      </c>
      <c r="F2" s="23" t="str">
        <f aca="false">IF(IFERROR(INDEX(res_Name,(ROW()-ROW(MSPResources[[#Headers],[Name]])))="",TRUE()),"",INDEX(res_Rate,(ROW()-ROW(MSPResources[[#Headers],[Name]])))&amp;"/h")</f>
        <v/>
      </c>
      <c r="G2" s="23" t="str">
        <f aca="false">IF(IFERROR(INDEX(res_Name,(ROW()-ROW(MSPResources[[#Headers],[Name]])))="",TRUE()),"",INDEX(res_Email,(ROW()-ROW(MSPResources[[#Headers],[Name]])))&amp;"")</f>
        <v/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/>
      </c>
      <c r="B3" s="23" t="str">
        <f aca="false">IF(IFERROR(INDEX(res_Name,(ROW()-ROW(MSPResources[[#Headers],[Name]])))="",TRUE()),"",INDEX(res_Initials,(ROW()-ROW(MSPResources[[#Headers],[Name]])))&amp;"")</f>
        <v/>
      </c>
      <c r="C3" s="23" t="str">
        <f aca="false">IF(IFERROR(INDEX(res_Name,(ROW()-ROW(MSPResources[[#Headers],[Name]])))="",TRUE()),"",INDEX(res_Group,(ROW()-ROW(MSPResources[[#Headers],[Name]])))&amp;"")</f>
        <v/>
      </c>
      <c r="D3" s="23" t="str">
        <f aca="false">IF(IFERROR(INDEX(res_Name,(ROW()-ROW(MSPResources[[#Headers],[Name]])))="",TRUE()),"",INDEX(res_Type,(ROW()-ROW(MSPResources[[#Headers],[Name]])))&amp;"")</f>
        <v/>
      </c>
      <c r="E3" s="23" t="str">
        <f aca="false">IF(IFERROR(INDEX(res_Name,(ROW()-ROW(MSPResources[[#Headers],[Name]])))="",TRUE()),"",ROUND(INDEX(res_MaxUnits,(ROW()-ROW(MSPResources[[#Headers],[Name]])))*100,0)&amp;"%")</f>
        <v/>
      </c>
      <c r="F3" s="23" t="str">
        <f aca="false">IF(IFERROR(INDEX(res_Name,(ROW()-ROW(MSPResources[[#Headers],[Name]])))="",TRUE()),"",INDEX(res_Rate,(ROW()-ROW(MSPResources[[#Headers],[Name]])))&amp;"/h")</f>
        <v/>
      </c>
      <c r="G3" s="23" t="str">
        <f aca="false">IF(IFERROR(INDEX(res_Name,(ROW()-ROW(MSPResources[[#Headers],[Name]])))="",TRUE()),"",INDEX(res_Email,(ROW()-ROW(MSPResources[[#Headers],[Name]])))&amp;"")</f>
        <v/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/>
      </c>
      <c r="B4" s="23" t="str">
        <f aca="false">IF(IFERROR(INDEX(res_Name,(ROW()-ROW(MSPResources[[#Headers],[Name]])))="",TRUE()),"",INDEX(res_Initials,(ROW()-ROW(MSPResources[[#Headers],[Name]])))&amp;"")</f>
        <v/>
      </c>
      <c r="C4" s="23" t="str">
        <f aca="false">IF(IFERROR(INDEX(res_Name,(ROW()-ROW(MSPResources[[#Headers],[Name]])))="",TRUE()),"",INDEX(res_Group,(ROW()-ROW(MSPResources[[#Headers],[Name]])))&amp;"")</f>
        <v/>
      </c>
      <c r="D4" s="23" t="str">
        <f aca="false">IF(IFERROR(INDEX(res_Name,(ROW()-ROW(MSPResources[[#Headers],[Name]])))="",TRUE()),"",INDEX(res_Type,(ROW()-ROW(MSPResources[[#Headers],[Name]])))&amp;"")</f>
        <v/>
      </c>
      <c r="E4" s="23" t="str">
        <f aca="false">IF(IFERROR(INDEX(res_Name,(ROW()-ROW(MSPResources[[#Headers],[Name]])))="",TRUE()),"",ROUND(INDEX(res_MaxUnits,(ROW()-ROW(MSPResources[[#Headers],[Name]])))*100,0)&amp;"%")</f>
        <v/>
      </c>
      <c r="F4" s="23" t="str">
        <f aca="false">IF(IFERROR(INDEX(res_Name,(ROW()-ROW(MSPResources[[#Headers],[Name]])))="",TRUE()),"",INDEX(res_Rate,(ROW()-ROW(MSPResources[[#Headers],[Name]])))&amp;"/h")</f>
        <v/>
      </c>
      <c r="G4" s="23" t="str">
        <f aca="false">IF(IFERROR(INDEX(res_Name,(ROW()-ROW(MSPResources[[#Headers],[Name]])))="",TRUE()),"",INDEX(res_Email,(ROW()-ROW(MSPResources[[#Headers],[Name]])))&amp;"")</f>
        <v/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/>
      </c>
      <c r="B5" s="23" t="str">
        <f aca="false">IF(IFERROR(INDEX(res_Name,(ROW()-ROW(MSPResources[[#Headers],[Name]])))="",TRUE()),"",INDEX(res_Initials,(ROW()-ROW(MSPResources[[#Headers],[Name]])))&amp;"")</f>
        <v/>
      </c>
      <c r="C5" s="23" t="str">
        <f aca="false">IF(IFERROR(INDEX(res_Name,(ROW()-ROW(MSPResources[[#Headers],[Name]])))="",TRUE()),"",INDEX(res_Group,(ROW()-ROW(MSPResources[[#Headers],[Name]])))&amp;"")</f>
        <v/>
      </c>
      <c r="D5" s="23" t="str">
        <f aca="false">IF(IFERROR(INDEX(res_Name,(ROW()-ROW(MSPResources[[#Headers],[Name]])))="",TRUE()),"",INDEX(res_Type,(ROW()-ROW(MSPResources[[#Headers],[Name]])))&amp;"")</f>
        <v/>
      </c>
      <c r="E5" s="23" t="str">
        <f aca="false">IF(IFERROR(INDEX(res_Name,(ROW()-ROW(MSPResources[[#Headers],[Name]])))="",TRUE()),"",ROUND(INDEX(res_MaxUnits,(ROW()-ROW(MSPResources[[#Headers],[Name]])))*100,0)&amp;"%")</f>
        <v/>
      </c>
      <c r="F5" s="23" t="str">
        <f aca="false">IF(IFERROR(INDEX(res_Name,(ROW()-ROW(MSPResources[[#Headers],[Name]])))="",TRUE()),"",INDEX(res_Rate,(ROW()-ROW(MSPResources[[#Headers],[Name]])))&amp;"/h")</f>
        <v/>
      </c>
      <c r="G5" s="23" t="str">
        <f aca="false">IF(IFERROR(INDEX(res_Name,(ROW()-ROW(MSPResources[[#Headers],[Name]])))="",TRUE()),"",INDEX(res_Email,(ROW()-ROW(MSPResources[[#Headers],[Name]])))&amp;"")</f>
        <v/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/>
      </c>
      <c r="B6" s="23" t="str">
        <f aca="false">IF(IFERROR(INDEX(res_Name,(ROW()-ROW(MSPResources[[#Headers],[Name]])))="",TRUE()),"",INDEX(res_Initials,(ROW()-ROW(MSPResources[[#Headers],[Name]])))&amp;"")</f>
        <v/>
      </c>
      <c r="C6" s="23" t="str">
        <f aca="false">IF(IFERROR(INDEX(res_Name,(ROW()-ROW(MSPResources[[#Headers],[Name]])))="",TRUE()),"",INDEX(res_Group,(ROW()-ROW(MSPResources[[#Headers],[Name]])))&amp;"")</f>
        <v/>
      </c>
      <c r="D6" s="23" t="str">
        <f aca="false">IF(IFERROR(INDEX(res_Name,(ROW()-ROW(MSPResources[[#Headers],[Name]])))="",TRUE()),"",INDEX(res_Type,(ROW()-ROW(MSPResources[[#Headers],[Name]])))&amp;"")</f>
        <v/>
      </c>
      <c r="E6" s="23" t="str">
        <f aca="false">IF(IFERROR(INDEX(res_Name,(ROW()-ROW(MSPResources[[#Headers],[Name]])))="",TRUE()),"",ROUND(INDEX(res_MaxUnits,(ROW()-ROW(MSPResources[[#Headers],[Name]])))*100,0)&amp;"%")</f>
        <v/>
      </c>
      <c r="F6" s="23" t="str">
        <f aca="false">IF(IFERROR(INDEX(res_Name,(ROW()-ROW(MSPResources[[#Headers],[Name]])))="",TRUE()),"",INDEX(res_Rate,(ROW()-ROW(MSPResources[[#Headers],[Name]])))&amp;"/h")</f>
        <v/>
      </c>
      <c r="G6" s="23" t="str">
        <f aca="false">IF(IFERROR(INDEX(res_Name,(ROW()-ROW(MSPResources[[#Headers],[Name]])))="",TRUE()),"",INDEX(res_Email,(ROW()-ROW(MSPResources[[#Headers],[Name]])))&amp;"")</f>
        <v/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/>
      </c>
      <c r="B7" s="23" t="str">
        <f aca="false">IF(IFERROR(INDEX(res_Name,(ROW()-ROW(MSPResources[[#Headers],[Name]])))="",TRUE()),"",INDEX(res_Initials,(ROW()-ROW(MSPResources[[#Headers],[Name]])))&amp;"")</f>
        <v/>
      </c>
      <c r="C7" s="23" t="str">
        <f aca="false">IF(IFERROR(INDEX(res_Name,(ROW()-ROW(MSPResources[[#Headers],[Name]])))="",TRUE()),"",INDEX(res_Group,(ROW()-ROW(MSPResources[[#Headers],[Name]])))&amp;"")</f>
        <v/>
      </c>
      <c r="D7" s="23" t="str">
        <f aca="false">IF(IFERROR(INDEX(res_Name,(ROW()-ROW(MSPResources[[#Headers],[Name]])))="",TRUE()),"",INDEX(res_Type,(ROW()-ROW(MSPResources[[#Headers],[Name]])))&amp;"")</f>
        <v/>
      </c>
      <c r="E7" s="23" t="str">
        <f aca="false">IF(IFERROR(INDEX(res_Name,(ROW()-ROW(MSPResources[[#Headers],[Name]])))="",TRUE()),"",ROUND(INDEX(res_MaxUnits,(ROW()-ROW(MSPResources[[#Headers],[Name]])))*100,0)&amp;"%")</f>
        <v/>
      </c>
      <c r="F7" s="23" t="str">
        <f aca="false">IF(IFERROR(INDEX(res_Name,(ROW()-ROW(MSPResources[[#Headers],[Name]])))="",TRUE()),"",INDEX(res_Rate,(ROW()-ROW(MSPResources[[#Headers],[Name]])))&amp;"/h")</f>
        <v/>
      </c>
      <c r="G7" s="23" t="str">
        <f aca="false">IF(IFERROR(INDEX(res_Name,(ROW()-ROW(MSPResources[[#Headers],[Name]])))="",TRUE()),"",INDEX(res_Email,(ROW()-ROW(MSPResources[[#Headers],[Name]])))&amp;"")</f>
        <v/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/>
      </c>
      <c r="B8" s="23" t="str">
        <f aca="false">IF(IFERROR(INDEX(res_Name,(ROW()-ROW(MSPResources[[#Headers],[Name]])))="",TRUE()),"",INDEX(res_Initials,(ROW()-ROW(MSPResources[[#Headers],[Name]])))&amp;"")</f>
        <v/>
      </c>
      <c r="C8" s="23" t="str">
        <f aca="false">IF(IFERROR(INDEX(res_Name,(ROW()-ROW(MSPResources[[#Headers],[Name]])))="",TRUE()),"",INDEX(res_Group,(ROW()-ROW(MSPResources[[#Headers],[Name]])))&amp;"")</f>
        <v/>
      </c>
      <c r="D8" s="23" t="str">
        <f aca="false">IF(IFERROR(INDEX(res_Name,(ROW()-ROW(MSPResources[[#Headers],[Name]])))="",TRUE()),"",INDEX(res_Type,(ROW()-ROW(MSPResources[[#Headers],[Name]])))&amp;"")</f>
        <v/>
      </c>
      <c r="E8" s="23" t="str">
        <f aca="false">IF(IFERROR(INDEX(res_Name,(ROW()-ROW(MSPResources[[#Headers],[Name]])))="",TRUE()),"",ROUND(INDEX(res_MaxUnits,(ROW()-ROW(MSPResources[[#Headers],[Name]])))*100,0)&amp;"%")</f>
        <v/>
      </c>
      <c r="F8" s="23" t="str">
        <f aca="false">IF(IFERROR(INDEX(res_Name,(ROW()-ROW(MSPResources[[#Headers],[Name]])))="",TRUE()),"",INDEX(res_Rate,(ROW()-ROW(MSPResources[[#Headers],[Name]])))&amp;"/h")</f>
        <v/>
      </c>
      <c r="G8" s="23" t="str">
        <f aca="false">IF(IFERROR(INDEX(res_Name,(ROW()-ROW(MSPResources[[#Headers],[Name]])))="",TRUE()),"",INDEX(res_Email,(ROW()-ROW(MSPResources[[#Headers],[Name]])))&amp;"")</f>
        <v/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341</v>
      </c>
      <c r="C1" s="36" t="s">
        <v>333</v>
      </c>
      <c r="E1" s="36" t="s">
        <v>342</v>
      </c>
      <c r="G1" s="36" t="s">
        <v>343</v>
      </c>
      <c r="I1" s="36" t="s">
        <v>344</v>
      </c>
    </row>
    <row r="2" customFormat="false" ht="15" hidden="false" customHeight="false" outlineLevel="0" collapsed="false">
      <c r="A2" s="40" t="s">
        <v>345</v>
      </c>
      <c r="C2" s="40" t="s">
        <v>346</v>
      </c>
      <c r="E2" s="40" t="s">
        <v>121</v>
      </c>
      <c r="G2" s="40" t="s">
        <v>223</v>
      </c>
      <c r="I2" s="40" t="n">
        <v>1</v>
      </c>
    </row>
    <row r="3" customFormat="false" ht="15" hidden="false" customHeight="false" outlineLevel="0" collapsed="false">
      <c r="A3" s="40" t="s">
        <v>347</v>
      </c>
      <c r="C3" s="40" t="s">
        <v>348</v>
      </c>
      <c r="E3" s="40" t="s">
        <v>142</v>
      </c>
      <c r="G3" s="40" t="s">
        <v>349</v>
      </c>
      <c r="I3" s="40" t="n">
        <v>7</v>
      </c>
    </row>
    <row r="4" customFormat="false" ht="15" hidden="false" customHeight="false" outlineLevel="0" collapsed="false">
      <c r="A4" s="40" t="s">
        <v>350</v>
      </c>
      <c r="G4" s="40" t="s">
        <v>224</v>
      </c>
    </row>
    <row r="5" customFormat="false" ht="15" hidden="false" customHeight="false" outlineLevel="0" collapsed="false">
      <c r="A5" s="40" t="s">
        <v>351</v>
      </c>
    </row>
    <row r="7" customFormat="false" ht="15" hidden="false" customHeight="false" outlineLevel="0" collapsed="false">
      <c r="A7" s="8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2026-10-26T10:42:13Z</dcterms:created>
  <dc:creator>openpyxl</dc:creator>
  <dc:description/>
  <dc:language>en-US</dc:language>
  <cp:lastModifiedBy/>
  <dcterms:modified xsi:type="dcterms:W3CDTF">2026-10-26T10:42:14Z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