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6.xml" ContentType="application/vnd.openxmlformats-officedocument.spreadsheetml.comments+xml"/>
  <Override PartName="/xl/tables/table9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4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15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13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Instructions" sheetId="1" state="visible" r:id="rId3"/>
    <sheet name="Dashboard" sheetId="2" state="visible" r:id="rId4"/>
    <sheet name="Settings" sheetId="3" state="visible" r:id="rId5"/>
    <sheet name="Tasks" sheetId="4" state="visible" r:id="rId6"/>
    <sheet name="Gantt" sheetId="5" state="visible" r:id="rId7"/>
    <sheet name="Resources" sheetId="6" state="visible" r:id="rId8"/>
    <sheet name="Sprints" sheetId="7" state="visible" r:id="rId9"/>
    <sheet name="Holidays" sheetId="8" state="visible" r:id="rId10"/>
    <sheet name="MSP_Tasks" sheetId="9" state="visible" r:id="rId11"/>
    <sheet name="MSP_Resources" sheetId="10" state="visible" r:id="rId12"/>
    <sheet name="Lists" sheetId="11" state="visible" r:id="rId13"/>
  </sheets>
  <definedNames>
    <definedName function="false" hidden="false" name="DefaultUnits" vbProcedure="false">Settings!$C$14</definedName>
    <definedName function="false" hidden="false" name="GanttPeriod" vbProcedure="false">Settings!$C$24</definedName>
    <definedName function="false" hidden="false" name="GanttStart" vbProcedure="false">Settings!$C$23</definedName>
    <definedName function="false" hidden="false" name="gantt_Origin" vbProcedure="false">Gantt!$U$5</definedName>
    <definedName function="false" hidden="false" name="Holidays" vbProcedure="false">HolidayTable[Date]</definedName>
    <definedName function="false" hidden="false" name="HoursPerDay" vbProcedure="false">Settings!$C$13</definedName>
    <definedName function="false" hidden="false" name="load_Grid" vbProcedure="false">Sprints!$D$36:$AC$60</definedName>
    <definedName function="false" hidden="false" name="load_Origin" vbProcedure="false">Sprints!$B$34</definedName>
    <definedName function="false" hidden="false" name="L_DepType" vbProcedure="false">ListDepType[Link Type]</definedName>
    <definedName function="false" hidden="false" name="L_Mode" vbProcedure="false">ListMode[Task Mode]</definedName>
    <definedName function="false" hidden="false" name="L_Period" vbProcedure="false">ListPeriod[Gantt Days per Column]</definedName>
    <definedName function="false" hidden="false" name="L_ResType" vbProcedure="false">ListResType[Resource Type]</definedName>
    <definedName function="false" hidden="false" name="L_YesNo" vbProcedure="false">ListYesNo[Yes / No]</definedName>
    <definedName function="false" hidden="false" name="NextFreeUID" vbProcedure="false">Settings!$C$30</definedName>
    <definedName function="false" hidden="false" name="ProjectManager" vbProcedure="false">Settings!$C$6</definedName>
    <definedName function="false" hidden="false" name="ProjectName" vbProcedure="false">Settings!$C$5</definedName>
    <definedName function="false" hidden="false" name="ProjectStart" vbProcedure="false">Settings!$C$8</definedName>
    <definedName function="false" hidden="false" name="ProjectStartDate" vbProcedure="false">Settings!$C$7</definedName>
    <definedName function="false" hidden="false" name="RescheduleAfterStatus" vbProcedure="false">Settings!$C$12</definedName>
    <definedName function="false" hidden="false" name="res_Email" vbProcedure="false">ResourceTable[Email]</definedName>
    <definedName function="false" hidden="false" name="res_Group" vbProcedure="false">ResourceTable[Group]</definedName>
    <definedName function="false" hidden="false" name="res_Initials" vbProcedure="false">ResourceTable[Initials]</definedName>
    <definedName function="false" hidden="false" name="res_MaxUnits" vbProcedure="false">ResourceTable[Max Units]</definedName>
    <definedName function="false" hidden="false" name="res_Name" vbProcedure="false">ResourceTable[Resource Name]</definedName>
    <definedName function="false" hidden="false" name="res_Rate" vbProcedure="false">ResourceTable[Std Rate]</definedName>
    <definedName function="false" hidden="false" name="res_Type" vbProcedure="false">ResourceTable[Type]</definedName>
    <definedName function="false" hidden="false" name="Sprint1Start" vbProcedure="false">Settings!$C$25</definedName>
    <definedName function="false" hidden="false" name="SprintCount" vbProcedure="false">Settings!$C$27</definedName>
    <definedName function="false" hidden="false" name="SprintLastEnd" vbProcedure="false">Settings!$C$29</definedName>
    <definedName function="false" hidden="false" name="SprintLength" vbProcedure="false">Settings!$C$26</definedName>
    <definedName function="false" hidden="false" name="SprintPrefix" vbProcedure="false">Settings!$C$28</definedName>
    <definedName function="false" hidden="false" name="spr_Capacity" vbProcedure="false">SprintTable[Capacity]</definedName>
    <definedName function="false" hidden="false" name="spr_End" vbProcedure="false">SprintTable[End]</definedName>
    <definedName function="false" hidden="false" name="spr_Name" vbProcedure="false">SprintTable[Sprint]</definedName>
    <definedName function="false" hidden="false" name="spr_Start" vbProcedure="false">SprintTable[Start]</definedName>
    <definedName function="false" hidden="false" name="spr_Work" vbProcedure="false">SprintTable[Planned Work]</definedName>
    <definedName function="false" hidden="false" name="spr_WorkDays" vbProcedure="false">SprintTable[Working Days]</definedName>
    <definedName function="false" hidden="false" name="StatusDate" vbProcedure="false">Settings!$C$10</definedName>
    <definedName function="false" hidden="false" name="StatusDateInput" vbProcedure="false">Settings!$C$9</definedName>
    <definedName function="false" hidden="false" name="StatusWorkday" vbProcedure="false">Settings!$C$11</definedName>
    <definedName function="false" hidden="false" name="tsk_ActFinish" vbProcedure="false">Tasks[Actual Finish]</definedName>
    <definedName function="false" hidden="false" name="tsk_ActStart" vbProcedure="false">Tasks[Actual Start]</definedName>
    <definedName function="false" hidden="false" name="tsk_BaseCost" vbProcedure="false">Tasks[Baseline Cost]</definedName>
    <definedName function="false" hidden="false" name="tsk_BaseDuration" vbProcedure="false">Tasks[Baseline Duration]</definedName>
    <definedName function="false" hidden="false" name="tsk_BaseFinish" vbProcedure="false">Tasks[Baseline Finish]</definedName>
    <definedName function="false" hidden="false" name="tsk_BaseStart" vbProcedure="false">Tasks[Baseline Start]</definedName>
    <definedName function="false" hidden="false" name="tsk_BaseWork" vbProcedure="false">Tasks[Baseline Work]</definedName>
    <definedName function="false" hidden="false" name="tsk_CalcFinish" vbProcedure="false">Tasks[_CalcFinish]</definedName>
    <definedName function="false" hidden="false" name="tsk_CalcStart" vbProcedure="false">Tasks[_CalcStart]</definedName>
    <definedName function="false" hidden="false" name="tsk_Constraint" vbProcedure="false">Tasks[Start No Earlier Than]</definedName>
    <definedName function="false" hidden="false" name="tsk_Cost" vbProcedure="false">Tasks[Cost]</definedName>
    <definedName function="false" hidden="false" name="tsk_CostVariance" vbProcedure="false">Tasks[Cost Var]</definedName>
    <definedName function="false" hidden="false" name="tsk_Deadline" vbProcedure="false">Tasks[Deadline]</definedName>
    <definedName function="false" hidden="false" name="tsk_DeadlineCheck" vbProcedure="false">Tasks[Deadline Check]</definedName>
    <definedName function="false" hidden="false" name="tsk_Duration" vbProcedure="false">Tasks[Duration]</definedName>
    <definedName function="false" hidden="false" name="tsk_DurationVariance" vbProcedure="false">Tasks[Duration Var]</definedName>
    <definedName function="false" hidden="false" name="tsk_FcFinish" vbProcedure="false">Tasks[Forecast Finish]</definedName>
    <definedName function="false" hidden="false" name="tsk_FcStart" vbProcedure="false">Tasks[Forecast Start]</definedName>
    <definedName function="false" hidden="false" name="tsk_FinishWD" vbProcedure="false">Tasks[_FinishWorkday]</definedName>
    <definedName function="false" hidden="false" name="tsk_ID" vbProcedure="false">Tasks[ID]</definedName>
    <definedName function="false" hidden="false" name="tsk_IsLeaf" vbProcedure="false">Tasks[_IsLeaf]</definedName>
    <definedName function="false" hidden="false" name="tsk_IsSummary" vbProcedure="false">Tasks[_IsSummary]</definedName>
    <definedName function="false" hidden="false" name="tsk_LeafWork" vbProcedure="false">Tasks[_LeafWork]</definedName>
    <definedName function="false" hidden="false" name="tsk_Level" vbProcedure="false">Tasks[_Level]</definedName>
    <definedName function="false" hidden="false" name="tsk_LinkCheck" vbProcedure="false">Tasks[Link Check]</definedName>
    <definedName function="false" hidden="false" name="tsk_MilestoneKey" vbProcedure="false">Tasks[_MilestoneKey]</definedName>
    <definedName function="false" hidden="false" name="tsk_Mode" vbProcedure="false">Tasks[Mode]</definedName>
    <definedName function="false" hidden="false" name="tsk_Name" vbProcedure="false">Tasks[Task Name]</definedName>
    <definedName function="false" hidden="false" name="tsk_Notes" vbProcedure="false">Tasks[Notes]</definedName>
    <definedName function="false" hidden="false" name="tsk_PctInput" vbProcedure="false">Tasks[% Complete]</definedName>
    <definedName function="false" hidden="false" name="tsk_PlanFinish" vbProcedure="false">Tasks[Planned Finish]</definedName>
    <definedName function="false" hidden="false" name="tsk_PlanStart" vbProcedure="false">Tasks[Planned Start]</definedName>
    <definedName function="false" hidden="false" name="tsk_Predecessors" vbProcedure="false">Tasks[Predecessors]</definedName>
    <definedName function="false" hidden="false" name="tsk_Progress" vbProcedure="false">Tasks[Progress]</definedName>
    <definedName function="false" hidden="false" name="tsk_Resource" vbProcedure="false">Tasks[Resource]</definedName>
    <definedName function="false" hidden="false" name="tsk_SourceDuration" vbProcedure="false">Tasks[BL Source Duration]</definedName>
    <definedName function="false" hidden="false" name="tsk_Sprint" vbProcedure="false">Tasks[Sprint]</definedName>
    <definedName function="false" hidden="false" name="tsk_StartVariance" vbProcedure="false">Tasks[Start Var]</definedName>
    <definedName function="false" hidden="false" name="tsk_StartWD" vbProcedure="false">Tasks[_StartWorkday]</definedName>
    <definedName function="false" hidden="false" name="tsk_Status" vbProcedure="false">Tasks[Status]</definedName>
    <definedName function="false" hidden="false" name="tsk_UID" vbProcedure="false">Tasks[UID]</definedName>
    <definedName function="false" hidden="false" name="tsk_UIDPredecessors" vbProcedure="false">Tasks[_UIDPredecessors]</definedName>
    <definedName function="false" hidden="false" name="tsk_Units" vbProcedure="false">Tasks[Units]</definedName>
    <definedName function="false" hidden="false" name="tsk_Variance" vbProcedure="false">Tasks[Finish Var]</definedName>
    <definedName function="false" hidden="false" name="tsk_WBS" vbProcedure="false">Tasks[WBS]</definedName>
    <definedName function="false" hidden="false" name="tsk_Work" vbProcedure="false">Tasks[Work]</definedName>
    <definedName function="false" hidden="false" name="tsk_WorkBeforeStart" vbProcedure="false">Tasks[_WorkBeforeStart]</definedName>
    <definedName function="false" hidden="false" name="tsk_WorkPerWD" vbProcedure="false">Tasks[_WorkPerWorkday]</definedName>
    <definedName function="false" hidden="false" name="tsk_WorkVariance" vbProcedure="false">Tasks[Work Var]</definedName>
    <definedName function="false" hidden="false" name="tsk_WtDone" vbProcedure="false">Tasks[_WeightDone]</definedName>
    <definedName function="false" hidden="false" name="tsk_WtDur" vbProcedure="false">Tasks[_WeightDur]</definedName>
    <definedName function="false" hidden="false" name="util_Origin" vbProcedure="false">Sprints!$B$64</definedName>
    <definedName function="false" hidden="false" name="WorkFri" vbProcedure="false">Settings!$C$19</definedName>
    <definedName function="false" hidden="false" name="WorkMon" vbProcedure="false">Settings!$C$15</definedName>
    <definedName function="false" hidden="false" name="WorkSat" vbProcedure="false">Settings!$C$20</definedName>
    <definedName function="false" hidden="false" name="WorkSun" vbProcedure="false">Settings!$C$21</definedName>
    <definedName function="false" hidden="false" name="WorkThu" vbProcedure="false">Settings!$C$18</definedName>
    <definedName function="false" hidden="false" name="WorkTue" vbProcedure="false">Settings!$C$16</definedName>
    <definedName function="false" hidden="false" name="WorkWed" vbProcedure="false">Settings!$C$17</definedName>
    <definedName function="false" hidden="false" name="WorkWeek" vbProcedure="false">Settings!$C$22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Position in the list; renumbers when rows move (like MS Project).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Permanent number that predecessors refer to. Each task needs a different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Outline number, generated from Level.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Outline level: 1 = phase, 2 = task, 3 = sub-task ... (at most 1 more than the row above).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Auto = scheduled from predecessors. Manual = pinned to Start No Earlier Than.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Working days. 0 = milestone.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UID of the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UID of a second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Auto tasks start no earlier than this. Manual tasks start exactly on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Optional deadline; Deadline Check flags a forecast finish after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Baseline Start if a baseline is set, otherwise calculated from durations and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Q5" authorId="0">
      <text>
        <r>
          <rPr>
            <sz val="10"/>
            <rFont val="Arial"/>
            <family val="2"/>
          </rPr>
          <t xml:space="preserve">Baseline Finish if a baseline is set, otherwise calculated.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T5" authorId="0">
      <text>
        <r>
          <rPr>
            <sz val="10"/>
            <rFont val="Arial"/>
            <family val="2"/>
          </rPr>
          <t xml:space="preserve">Current schedule: actuals where entered, otherwise recalculated from predecessors.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U5" authorId="0">
      <text>
        <r>
          <rPr>
            <sz val="10"/>
            <rFont val="Arial"/>
            <family val="2"/>
          </rPr>
          <t xml:space="preserve">Current schedule finish.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V5" authorId="0">
      <text>
        <r>
          <rPr>
            <sz val="10"/>
            <rFont val="Arial"/>
            <family val="2"/>
          </rPr>
          <t xml:space="preserve">Forecast Start minus Planned Start,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W5" authorId="0">
      <text>
        <r>
          <rPr>
            <sz val="10"/>
            <rFont val="Arial"/>
            <family val="2"/>
          </rPr>
          <t xml:space="preserve">Forecast Finish minus Planned Finish,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Y5" authorId="0">
      <text>
        <r>
          <rPr>
            <sz val="10"/>
            <rFont val="Arial"/>
            <family val="2"/>
          </rPr>
          <t xml:space="preserve">Explains predecessor links that are ignored.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Z5" authorId="0">
      <text>
        <r>
          <rPr>
            <sz val="10"/>
            <rFont val="Arial"/>
            <family val="2"/>
          </rPr>
          <t xml:space="preserve">Enter 0-100%. An Actual Finish counts as 100%.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A5" authorId="0">
      <text>
        <r>
          <rPr>
            <sz val="10"/>
            <rFont val="Arial"/>
            <family val="2"/>
          </rPr>
          <t xml:space="preserve">% Complete, rolled up to summaries (duration-weighted).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D5" authorId="0">
      <text>
        <r>
          <rPr>
            <sz val="10"/>
            <rFont val="Arial"/>
            <family val="2"/>
          </rPr>
          <t xml:space="preserve">Share of the resource's time (blank = DefaultUnits).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E5" authorId="0">
      <text>
        <r>
          <rPr>
            <sz val="10"/>
            <rFont val="Arial"/>
            <family val="2"/>
          </rPr>
          <t xml:space="preserve">Hours = Duration x HoursPerDay x Units.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G5" authorId="0">
      <text>
        <r>
          <rPr>
            <sz val="10"/>
            <rFont val="Arial"/>
            <family val="2"/>
          </rPr>
          <t xml:space="preserve">Sprint containing the forecast start.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H5" authorId="0">
      <text>
        <r>
          <rPr>
            <sz val="10"/>
            <rFont val="Arial"/>
            <family val="2"/>
          </rPr>
          <t xml:space="preserve">Predecessors in MS Project notation, by ID.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J5" authorId="0">
      <text>
        <r>
          <rPr>
            <sz val="10"/>
            <rFont val="Arial"/>
            <family val="2"/>
          </rPr>
          <t xml:space="preserve">Copy the 5 BL Source columns, then Paste Special &gt; Values onto the 5 Baseline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AO5" authorId="0">
      <text>
        <r>
          <rPr>
            <sz val="10"/>
            <rFont val="Arial"/>
            <family val="2"/>
          </rPr>
          <t xml:space="preserve">Frozen plan. Filled by pasting values from the BL Source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T5" authorId="0">
      <text>
        <r>
          <rPr>
            <sz val="10"/>
            <rFont val="Arial"/>
            <family val="2"/>
          </rPr>
          <t xml:space="preserve">Duration minus Baseline Duration (working days).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U5" authorId="0">
      <text>
        <r>
          <rPr>
            <sz val="10"/>
            <rFont val="Arial"/>
            <family val="2"/>
          </rPr>
          <t xml:space="preserve">Work minus Baseline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V5" authorId="0">
      <text>
        <r>
          <rPr>
            <sz val="10"/>
            <rFont val="Arial"/>
            <family val="2"/>
          </rPr>
          <t xml:space="preserve">Cost minus Baseline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Work, Material or Cost (MS Project resource types).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Availability: 100% = full time.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Standard rate per hour.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Detail tasks assigned to this resource.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Assigned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Assigned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Hours of task work falling in the sprint.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Sum of Work resources' Max Units x HoursPerDay x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<sst xmlns="http://schemas.openxmlformats.org/spreadsheetml/2006/main" count="550" uniqueCount="410">
  <si>
    <t xml:space="preserve">Project Planner - MS Project-compatible Excel template</t>
  </si>
  <si>
    <t xml:space="preserve">HOW IT WORKS</t>
  </si>
  <si>
    <t xml:space="preserve">1. Settings</t>
  </si>
  <si>
    <t xml:space="preserve">Set project start and status date (both typed dates; Ctrl+; enters today), working week (Mon-Sun Yes/No), hours/day, Gantt scale and sprint calendar. Add holidays on 'Holidays'. Update the status date whenever you report progress.</t>
  </si>
  <si>
    <t xml:space="preserve">2. Resources</t>
  </si>
  <si>
    <t xml:space="preserve">List people/roles with Max Units and hourly rate. They appear in the Resource dropdown on Tasks and in sprint capacity.</t>
  </si>
  <si>
    <t xml:space="preserve">3. Tasks</t>
  </si>
  <si>
    <t xml:space="preserve">One row per task. Enter Level (1 = phase/summary, 2 = task, 3 = sub-task...), Task Name, Duration in working days (0 = milestone), and up to two predecessors by UID with link type (FS, SS, FF, SF) and lag in days (negative = lead). A row becomes a SUMMARY automatically when the rows beneath it have a higher level; its dates, work, cost and progress roll up. Optional Deadline: Deadline Check shows 'Late by Nd'. Hover over a column header for what it means.</t>
  </si>
  <si>
    <t xml:space="preserve">4. Set the baseline</t>
  </si>
  <si>
    <t xml:space="preserve">When the plan is agreed: on Tasks, select the 5 'BL Source' columns (all task rows), Copy, then select the first 'Baseline Start' cell and Paste Special &gt; Values. Planned Start/Finish now stay frozen (like MS Project's Baseline) and the variance columns compare against it. To re-baseline, repeat; to clear it, delete the 5 Baseline columns' contents.</t>
  </si>
  <si>
    <t xml:space="preserve">5. Track progress</t>
  </si>
  <si>
    <t xml:space="preserve">Enter Actual Start, Actual Finish and % Complete. Forecast Start/Finish then use actuals and push every dependent task. Start / Finish / Duration / Work / Cost Var and Status flag slippage.</t>
  </si>
  <si>
    <t xml:space="preserve">6. Gantt</t>
  </si>
  <si>
    <t xml:space="preserve">Read-only view: dark outline = planned dates, green = done, blue = remaining on track, orange = remaining but late vs plan, dark grey = summary, purple = milestone, red cell = deadline, red border = status date. Change GanttStart / GanttPeriod (1 = days, 7 = weeks) on Settings to scroll or zoom.</t>
  </si>
  <si>
    <t xml:space="preserve">7. Sprints</t>
  </si>
  <si>
    <t xml:space="preserve">Sprint calendar from Settings. Each task is tagged with the sprint its forecast start falls in. Work hours are prorated across sprints per resource, compared against capacity (Max Units x Hours/day x working days); over-allocations turn red.</t>
  </si>
  <si>
    <t xml:space="preserve">8. Dashboard</t>
  </si>
  <si>
    <t xml:space="preserve">KPIs (including baseline, missed deadlines, link problems), status counts, upcoming milestones and sprint load vs capacity.</t>
  </si>
  <si>
    <t xml:space="preserve">CELL COLOURS</t>
  </si>
  <si>
    <t xml:space="preserve">Blue text</t>
  </si>
  <si>
    <t xml:space="preserve">Input - type here.</t>
  </si>
  <si>
    <t xml:space="preserve">Black text on grey</t>
  </si>
  <si>
    <t xml:space="preserve">Formula - do not overwrite. Summary rows grey-out inputs that are ignored.</t>
  </si>
  <si>
    <t xml:space="preserve">Dark blue header</t>
  </si>
  <si>
    <t xml:space="preserve">Input column.  Dark grey header = calculated.  Light grey header = helper column (hidden, grouped).</t>
  </si>
  <si>
    <t xml:space="preserve">RULES (same as MS Project)</t>
  </si>
  <si>
    <t xml:space="preserve">ID and UID</t>
  </si>
  <si>
    <t xml:space="preserve">ID = position of the task (renumbers when rows move, like MS Project). UID = permanent number that predecessors refer to, so links survive inserting, deleting and moving rows. A duplicate or missing UID turns red.</t>
  </si>
  <si>
    <t xml:space="preserve">Inserting tasks</t>
  </si>
  <si>
    <t xml:space="preserve">Tasks is an Excel Table: right-click a row &gt; Insert &gt; Table Rows Above (or type in the row under the table). Every formula fills in automatically. Set the new task's UID to Settings &gt; NextFreeUID (also shown at the top of Tasks).</t>
  </si>
  <si>
    <t xml:space="preserve">Outline levels</t>
  </si>
  <si>
    <t xml:space="preserve">Each row's Level may be at most 1 higher than the row above. A '?' in WBS (red) means a level jump.</t>
  </si>
  <si>
    <t xml:space="preserve">Predecessors</t>
  </si>
  <si>
    <t xml:space="preserve">Enter the predecessor's UID. A predecessor must be a detail task listed ABOVE its successor (order tasks roughly by date). Links that break this, or point to an empty row or a missing UID, are ignored and explained in the Link Check column (red). Summary rows ignore Duration / Predecessors / Actuals - they roll up. The rule keeps the schedule and the critical path consistent and rules out circular references.</t>
  </si>
  <si>
    <t xml:space="preserve">Mode</t>
  </si>
  <si>
    <t xml:space="preserve">Auto = scheduled from predecessors, project start and 'Start No Earlier Than'. Manual = pinned to the date in 'Start No Earlier Than'.</t>
  </si>
  <si>
    <t xml:space="preserve">Rescheduling</t>
  </si>
  <si>
    <t xml:space="preserve">Settings &gt; RescheduleAfterStatus = Yes moves incomplete work to after the status date (like MS Project 'Update Project'), so late tasks push successors.</t>
  </si>
  <si>
    <t xml:space="preserve">Capacity</t>
  </si>
  <si>
    <t xml:space="preserve">Tables grow when you add rows: Tasks starts with 200 rows, Resources 50, Sprints 26, Holidays 100. The Gantt and MSP_Tasks sheets show the first 200 tasks (the Gantt says so when there are more).</t>
  </si>
  <si>
    <t xml:space="preserve">Speed</t>
  </si>
  <si>
    <t xml:space="preserve">An edit recalculates in well under a second for typical plans (about 0.05 s for 200 tasks). Each change to the build is timed in CI; see docs/ARCHITECTURE.md in the repository. Keep the status date typed (not =TODAY()), which would recalculate everything after every edit.</t>
  </si>
  <si>
    <t xml:space="preserve">MOVING TO MICROSOFT PROJECT</t>
  </si>
  <si>
    <t xml:space="preserve">One-time setting</t>
  </si>
  <si>
    <t xml:space="preserve">MS Project &gt; File &gt; Options &gt; Trust Center &gt; Trust Center Settings &gt; Legacy Formats &gt; 'Allow loading files with legacy or non-default file formats'.</t>
  </si>
  <si>
    <t xml:space="preserve">Import</t>
  </si>
  <si>
    <t xml:space="preserve">In MS Project: File &gt; Open &gt; choose this .xlsx &gt; Import Wizard &gt; New map &gt; 'As a new project' &gt; tick Tasks (and Resources) &gt; Tasks source worksheet = MSP_Tasks, Resources = MSP_Resources. Column headers already use MS Project field names, so the wizard maps them automatically. Map 'Predecessors' (by ID) for a new project; 'Unique ID' and 'Unique ID Predecessors' are for merging into an existing one.</t>
  </si>
  <si>
    <t xml:space="preserve">Tip: Start/Finish</t>
  </si>
  <si>
    <t xml:space="preserve">For auto-scheduled tasks map Duration + Predecessors (+ Constraint Type/Date) and set Start/Finish to '(not mapped)' - importing Start/Finish makes MS Project add fixed 'Start No Earlier Than' constraints. Map Baseline Start/Finish to keep the plan, and Actual Start/Finish/% Complete for progress.</t>
  </si>
  <si>
    <t xml:space="preserve">Rows</t>
  </si>
  <si>
    <t xml:space="preserve">Blank MSP_Tasks rows import as blank tasks - delete them in MS Project, or filter the table to non-blank names and copy those rows to a new sheet before importing.</t>
  </si>
  <si>
    <t xml:space="preserve">From MS Project to Excel</t>
  </si>
  <si>
    <t xml:space="preserve">MS Project &gt; File &gt; Save As &gt; Excel Workbook, then paste Name / Outline Level / Duration / Predecessors etc. into the Tasks input columns (split '3FS+2d' into UID, Type, Lag).</t>
  </si>
  <si>
    <t xml:space="preserve">NAMES AND TABLES (Formulas &gt; Name Manager)</t>
  </si>
  <si>
    <t xml:space="preserve">Tables</t>
  </si>
  <si>
    <t xml:space="preserve">Tasks, ResourceTable, SprintTable, HolidayTable, GanttView, MSPTasks, MSPResources, KPIs, StatusSummary, NextMilestones and the List* dropdown tables. Inside a table, formulas read [@Column] (this row).</t>
  </si>
  <si>
    <t xml:space="preserve">Settings</t>
  </si>
  <si>
    <t xml:space="preserve">ProjectStart, StatusDate, StatusWorkday, WorkWeek, Holidays, HoursPerDay, DefaultUnits, RescheduleAfterStatus, GanttStart, GanttPeriod, Sprint1Start, SprintLength, SprintCount, SprintPrefix, SprintLastEnd, NextFreeUID</t>
  </si>
  <si>
    <t xml:space="preserve">Task columns</t>
  </si>
  <si>
    <t xml:space="preserve">tsk_ID, tsk_UID, tsk_WBS, tsk_Name, tsk_Duration, tsk_PlanStart, tsk_FcFinish, tsk_Status, tsk_Resource, tsk_Work, tsk_Cost ... each is Tasks[Column], so it grows with the table. Other sheets read Tasks only through these names.</t>
  </si>
  <si>
    <t xml:space="preserve">Resources / Sprints</t>
  </si>
  <si>
    <t xml:space="preserve">res_Name, res_MaxUnits, res_Rate, ...  spr_Name, spr_Start, spr_End, spr_WorkDays, spr_Capacity, spr_Work</t>
  </si>
  <si>
    <t xml:space="preserve">Key formulas</t>
  </si>
  <si>
    <t xml:space="preserve">Calculated start = WORKDAY.INTL(MAX(ProjectStart, [@Start No Earlier Than], predecessor drivers) - 1, 1, WorkWeek, Holidays).  Predecessor driver (FS) = WORKDAY.INTL(OFFSET(Tasks[[#Headers],[_LeafCalcFinish]], [@_Pred1Pos], 0), 1 + Lag, WorkWeek, Holidays).  Planned Start = Baseline Start if set, else calculated.  Summary start = MIN(INDEX(Tasks[_LeafCalcStart], [@_Row]+1):INDEX(Tasks[_LeafCalcStart], [@_Row]+[@_Descendants])), where _Descendants = COUNTIF(Tasks[WBS], [@WBS] &amp; ".*").</t>
  </si>
  <si>
    <t xml:space="preserve">Key indicator</t>
  </si>
  <si>
    <t xml:space="preserve">Value</t>
  </si>
  <si>
    <t xml:space="preserve">Status</t>
  </si>
  <si>
    <t xml:space="preserve">Count</t>
  </si>
  <si>
    <t xml:space="preserve">Planned start</t>
  </si>
  <si>
    <t xml:space="preserve">Complete</t>
  </si>
  <si>
    <t xml:space="preserve">Planned finish</t>
  </si>
  <si>
    <t xml:space="preserve">In Progress</t>
  </si>
  <si>
    <t xml:space="preserve">Forecast finish</t>
  </si>
  <si>
    <t xml:space="preserve">Behind</t>
  </si>
  <si>
    <t xml:space="preserve">Finish variance (work days)</t>
  </si>
  <si>
    <t xml:space="preserve">Late Start</t>
  </si>
  <si>
    <t xml:space="preserve">Overall progress (duration-weighted)</t>
  </si>
  <si>
    <t xml:space="preserve">Not Started</t>
  </si>
  <si>
    <t xml:space="preserve">Planned progress by status date</t>
  </si>
  <si>
    <t xml:space="preserve">Detail tasks</t>
  </si>
  <si>
    <t xml:space="preserve">Milestones</t>
  </si>
  <si>
    <t xml:space="preserve">Total work (hrs)</t>
  </si>
  <si>
    <t xml:space="preserve">Total cost</t>
  </si>
  <si>
    <t xml:space="preserve">Current sprint</t>
  </si>
  <si>
    <t xml:space="preserve">Baseline</t>
  </si>
  <si>
    <t xml:space="preserve">Missed deadlines</t>
  </si>
  <si>
    <t xml:space="preserve">Link problems (see Tasks &gt; Link Check)</t>
  </si>
  <si>
    <t xml:space="preserve">Next milestones (forecast)</t>
  </si>
  <si>
    <t xml:space="preserve">Forecast date</t>
  </si>
  <si>
    <t xml:space="preserve">Project Settings</t>
  </si>
  <si>
    <t xml:space="preserve">Blue = edit me. Grey = calculated. Column D shows the defined name every formula uses for that setting.</t>
  </si>
  <si>
    <t xml:space="preserve">Setting</t>
  </si>
  <si>
    <t xml:space="preserve">Named range</t>
  </si>
  <si>
    <t xml:space="preserve">Notes</t>
  </si>
  <si>
    <t xml:space="preserve">Project name</t>
  </si>
  <si>
    <t xml:space="preserve">Customer Portal Implementation</t>
  </si>
  <si>
    <t xml:space="preserve">ProjectName</t>
  </si>
  <si>
    <t xml:space="preserve">Shown on every sheet title.</t>
  </si>
  <si>
    <t xml:space="preserve">Project manager</t>
  </si>
  <si>
    <t xml:space="preserve">Priya Sharma</t>
  </si>
  <si>
    <t xml:space="preserve">ProjectManager</t>
  </si>
  <si>
    <t xml:space="preserve">Project start date</t>
  </si>
  <si>
    <t xml:space="preserve">ProjectStartDate</t>
  </si>
  <si>
    <t xml:space="preserve">Required. Tasks without predecessors start here (moved to the next working day if needed).</t>
  </si>
  <si>
    <t xml:space="preserve">Project start (in use)</t>
  </si>
  <si>
    <t xml:space="preserve">ProjectStart</t>
  </si>
  <si>
    <t xml:space="preserve">Copy of the date above (dates show as 1900 until it is entered).</t>
  </si>
  <si>
    <t xml:space="preserve">Status date</t>
  </si>
  <si>
    <t xml:space="preserve">StatusDateInput</t>
  </si>
  <si>
    <t xml:space="preserve">The date progress is reported as of. Type it, or press Ctrl+; for today. It is a typed date rather than TODAY() on purpose: TODAY() would make Excel recalculate the whole schedule after every edit.</t>
  </si>
  <si>
    <t xml:space="preserve">Status date (in use)</t>
  </si>
  <si>
    <t xml:space="preserve">StatusDate</t>
  </si>
  <si>
    <t xml:space="preserve">The project start until a status date is entered. Drives Status, the red status-date line on the Gantt and rescheduling of late work.</t>
  </si>
  <si>
    <t xml:space="preserve">First working day on/after status date</t>
  </si>
  <si>
    <t xml:space="preserve">StatusWorkday</t>
  </si>
  <si>
    <t xml:space="preserve">Reschedule incomplete work after status date?</t>
  </si>
  <si>
    <t xml:space="preserve">Yes</t>
  </si>
  <si>
    <t xml:space="preserve">RescheduleAfterStatus</t>
  </si>
  <si>
    <t xml:space="preserve">Yes = like MS Project 'move incomplete parts after status date': unstarted tasks can't start before the status date and in-progress tasks finish their remaining duration after it, pushing all successors.</t>
  </si>
  <si>
    <t xml:space="preserve">Working hours per day</t>
  </si>
  <si>
    <t xml:space="preserve">HoursPerDay</t>
  </si>
  <si>
    <t xml:space="preserve">Work (hrs) = Duration x Hours/day x Units.</t>
  </si>
  <si>
    <t xml:space="preserve">Default assignment units</t>
  </si>
  <si>
    <t xml:space="preserve">DefaultUnits</t>
  </si>
  <si>
    <t xml:space="preserve">Used when a task has a resource but Units is blank. 100% = full time.</t>
  </si>
  <si>
    <t xml:space="preserve">Monday is a working day</t>
  </si>
  <si>
    <t xml:space="preserve">WorkMon</t>
  </si>
  <si>
    <t xml:space="preserve">Working-week calendar (Yes/No). Feeds every WORKDAY / NETWORKDAYS formula.</t>
  </si>
  <si>
    <t xml:space="preserve">Tuesday is a working day</t>
  </si>
  <si>
    <t xml:space="preserve">WorkTue</t>
  </si>
  <si>
    <t xml:space="preserve">Wednesday is a working day</t>
  </si>
  <si>
    <t xml:space="preserve">WorkWed</t>
  </si>
  <si>
    <t xml:space="preserve">Thursday is a working day</t>
  </si>
  <si>
    <t xml:space="preserve">WorkThu</t>
  </si>
  <si>
    <t xml:space="preserve">Friday is a working day</t>
  </si>
  <si>
    <t xml:space="preserve">WorkFri</t>
  </si>
  <si>
    <t xml:space="preserve">Saturday is a working day</t>
  </si>
  <si>
    <t xml:space="preserve">No</t>
  </si>
  <si>
    <t xml:space="preserve">WorkSat</t>
  </si>
  <si>
    <t xml:space="preserve">Sunday is a working day</t>
  </si>
  <si>
    <t xml:space="preserve">WorkSun</t>
  </si>
  <si>
    <t xml:space="preserve">Weekend mask (calculated)</t>
  </si>
  <si>
    <t xml:space="preserve">WorkWeek</t>
  </si>
  <si>
    <t xml:space="preserve">7-character Mon..Sun string used by WORKDAY.INTL (1 = non-working).</t>
  </si>
  <si>
    <t xml:space="preserve">Gantt timeline start</t>
  </si>
  <si>
    <t xml:space="preserve">GanttStart</t>
  </si>
  <si>
    <t xml:space="preserve">Defaults to the Monday of the project start week. Overwrite with any date to scroll the timeline.</t>
  </si>
  <si>
    <t xml:space="preserve">Gantt days per column</t>
  </si>
  <si>
    <t xml:space="preserve">GanttPeriod</t>
  </si>
  <si>
    <t xml:space="preserve">1 = daily timeline, 7 = weekly timeline.</t>
  </si>
  <si>
    <t xml:space="preserve">Sprint 1 start date</t>
  </si>
  <si>
    <t xml:space="preserve">Sprint1Start</t>
  </si>
  <si>
    <t xml:space="preserve">Defaults to the project start. Overwrite to align with your sprint calendar.</t>
  </si>
  <si>
    <t xml:space="preserve">Sprint length (calendar days)</t>
  </si>
  <si>
    <t xml:space="preserve">SprintLength</t>
  </si>
  <si>
    <t xml:space="preserve">14 = two-week sprints.</t>
  </si>
  <si>
    <t xml:space="preserve">Number of sprints</t>
  </si>
  <si>
    <t xml:space="preserve">SprintCount</t>
  </si>
  <si>
    <t xml:space="preserve">Up to the number of rows in the Sprints table (26; add rows to the table for more). Tasks outside the sprint range are labelled 'Backlog'.</t>
  </si>
  <si>
    <t xml:space="preserve">Sprint name prefix</t>
  </si>
  <si>
    <t xml:space="preserve">Sprint </t>
  </si>
  <si>
    <t xml:space="preserve">SprintPrefix</t>
  </si>
  <si>
    <t xml:space="preserve">Sprint names = prefix &amp; number.</t>
  </si>
  <si>
    <t xml:space="preserve">Last sprint end (calculated)</t>
  </si>
  <si>
    <t xml:space="preserve">SprintLastEnd</t>
  </si>
  <si>
    <t xml:space="preserve">Next free task UID (calculated)</t>
  </si>
  <si>
    <t xml:space="preserve">NextFreeUID</t>
  </si>
  <si>
    <t xml:space="preserve">Give a newly inserted task row this UID (see Instructions &gt; Inserting tasks).</t>
  </si>
  <si>
    <t xml:space="preserve">Type in BLUE columns only. Level = outline level (1 = phase, 2 = task, 3 = sub-task). Predecessors refer to the UID column. Planned = Baseline once set, otherwise calculated from Duration + Predecessors. Forecast also uses Actuals, so slips ripple to every successor. Insert rows inside the table: formulas fill in automatically.</t>
  </si>
  <si>
    <t xml:space="preserve">IDENTITY</t>
  </si>
  <si>
    <t xml:space="preserve">SCHEDULING INPUTS</t>
  </si>
  <si>
    <t xml:space="preserve">PLAN / ACTUAL / FORECAST</t>
  </si>
  <si>
    <t xml:space="preserve">CHECKS</t>
  </si>
  <si>
    <t xml:space="preserve">PROGRESS</t>
  </si>
  <si>
    <t xml:space="preserve">RESOURCES &amp; SPRINT</t>
  </si>
  <si>
    <t xml:space="preserve">SET BASELINE: copy these 5 columns, then Paste Special &gt; Values onto the 5 Baseline columns</t>
  </si>
  <si>
    <t xml:space="preserve">VARIANCE vs BASELINE</t>
  </si>
  <si>
    <t xml:space="preserve">HELPER COLUMNS (hidden - click + above to show)</t>
  </si>
  <si>
    <t xml:space="preserve">ID</t>
  </si>
  <si>
    <t xml:space="preserve">UID</t>
  </si>
  <si>
    <t xml:space="preserve">WBS</t>
  </si>
  <si>
    <t xml:space="preserve">Level</t>
  </si>
  <si>
    <t xml:space="preserve">Task Name</t>
  </si>
  <si>
    <t xml:space="preserve">Duration</t>
  </si>
  <si>
    <t xml:space="preserve">Pred1 UID</t>
  </si>
  <si>
    <t xml:space="preserve">Pred1 Type</t>
  </si>
  <si>
    <t xml:space="preserve">Pred1 Lag</t>
  </si>
  <si>
    <t xml:space="preserve">Pred2 UID</t>
  </si>
  <si>
    <t xml:space="preserve">Pred2 Type</t>
  </si>
  <si>
    <t xml:space="preserve">Pred2 Lag</t>
  </si>
  <si>
    <t xml:space="preserve">Start No Earlier Than</t>
  </si>
  <si>
    <t xml:space="preserve">Deadline</t>
  </si>
  <si>
    <t xml:space="preserve">Planned Start</t>
  </si>
  <si>
    <t xml:space="preserve">Planned Finish</t>
  </si>
  <si>
    <t xml:space="preserve">Actual Start</t>
  </si>
  <si>
    <t xml:space="preserve">Actual Finish</t>
  </si>
  <si>
    <t xml:space="preserve">Forecast Start</t>
  </si>
  <si>
    <t xml:space="preserve">Forecast Finish</t>
  </si>
  <si>
    <t xml:space="preserve">Start Var</t>
  </si>
  <si>
    <t xml:space="preserve">Finish Var</t>
  </si>
  <si>
    <t xml:space="preserve">Deadline Check</t>
  </si>
  <si>
    <t xml:space="preserve">Link Check</t>
  </si>
  <si>
    <t xml:space="preserve">% Complete</t>
  </si>
  <si>
    <t xml:space="preserve">Progress</t>
  </si>
  <si>
    <t xml:space="preserve">Resource</t>
  </si>
  <si>
    <t xml:space="preserve">Units</t>
  </si>
  <si>
    <t xml:space="preserve">Work</t>
  </si>
  <si>
    <t xml:space="preserve">Cost</t>
  </si>
  <si>
    <t xml:space="preserve">Sprint</t>
  </si>
  <si>
    <t xml:space="preserve">BL Source Start</t>
  </si>
  <si>
    <t xml:space="preserve">BL Source Finish</t>
  </si>
  <si>
    <t xml:space="preserve">BL Source Duration</t>
  </si>
  <si>
    <t xml:space="preserve">BL Source Work</t>
  </si>
  <si>
    <t xml:space="preserve">BL Source Cost</t>
  </si>
  <si>
    <t xml:space="preserve">Baseline Start</t>
  </si>
  <si>
    <t xml:space="preserve">Baseline Finish</t>
  </si>
  <si>
    <t xml:space="preserve">Baseline Duration</t>
  </si>
  <si>
    <t xml:space="preserve">Baseline Work</t>
  </si>
  <si>
    <t xml:space="preserve">Baseline Cost</t>
  </si>
  <si>
    <t xml:space="preserve">Duration Var</t>
  </si>
  <si>
    <t xml:space="preserve">Work Var</t>
  </si>
  <si>
    <t xml:space="preserve">Cost Var</t>
  </si>
  <si>
    <t xml:space="preserve">_Level</t>
  </si>
  <si>
    <t xml:space="preserve">_Row</t>
  </si>
  <si>
    <t xml:space="preserve">_ParentRow</t>
  </si>
  <si>
    <t xml:space="preserve">_NextLevel</t>
  </si>
  <si>
    <t xml:space="preserve">_IsSummary</t>
  </si>
  <si>
    <t xml:space="preserve">_Descendants</t>
  </si>
  <si>
    <t xml:space="preserve">_IsLeaf</t>
  </si>
  <si>
    <t xml:space="preserve">_Pred1Pos</t>
  </si>
  <si>
    <t xml:space="preserve">_Pred2Pos</t>
  </si>
  <si>
    <t xml:space="preserve">_LeafCalcStart</t>
  </si>
  <si>
    <t xml:space="preserve">_LeafCalcFinish</t>
  </si>
  <si>
    <t xml:space="preserve">_LeafFcstStart</t>
  </si>
  <si>
    <t xml:space="preserve">_LeafFcstFinish</t>
  </si>
  <si>
    <t xml:space="preserve">_LeafProgress</t>
  </si>
  <si>
    <t xml:space="preserve">_LeafWork</t>
  </si>
  <si>
    <t xml:space="preserve">_LeafCost</t>
  </si>
  <si>
    <t xml:space="preserve">_CalcStart</t>
  </si>
  <si>
    <t xml:space="preserve">_CalcFinish</t>
  </si>
  <si>
    <t xml:space="preserve">_Pred1Problem</t>
  </si>
  <si>
    <t xml:space="preserve">_Pred2Problem</t>
  </si>
  <si>
    <t xml:space="preserve">_Pred1PlanDriver</t>
  </si>
  <si>
    <t xml:space="preserve">_Pred2PlanDriver</t>
  </si>
  <si>
    <t xml:space="preserve">_Pred1FcstDriver</t>
  </si>
  <si>
    <t xml:space="preserve">_Pred2FcstDriver</t>
  </si>
  <si>
    <t xml:space="preserve">_StartWorkday</t>
  </si>
  <si>
    <t xml:space="preserve">_FinishWorkday</t>
  </si>
  <si>
    <t xml:space="preserve">_WorkPerWorkday</t>
  </si>
  <si>
    <t xml:space="preserve">_WorkBeforeStart</t>
  </si>
  <si>
    <t xml:space="preserve">_WeightDur</t>
  </si>
  <si>
    <t xml:space="preserve">_WeightDone</t>
  </si>
  <si>
    <t xml:space="preserve">_Pred1IDText</t>
  </si>
  <si>
    <t xml:space="preserve">_Pred2IDText</t>
  </si>
  <si>
    <t xml:space="preserve">_Pred1UIDText</t>
  </si>
  <si>
    <t xml:space="preserve">_Pred2UIDText</t>
  </si>
  <si>
    <t xml:space="preserve">_UIDPredecessors</t>
  </si>
  <si>
    <t xml:space="preserve">_MilestoneKey</t>
  </si>
  <si>
    <t xml:space="preserve">Initiation</t>
  </si>
  <si>
    <t xml:space="preserve">Auto</t>
  </si>
  <si>
    <t xml:space="preserve">Phase 1 - summary rows roll up dates, work, cost and progress automatically.</t>
  </si>
  <si>
    <t xml:space="preserve">Project charter &amp; scope statement</t>
  </si>
  <si>
    <t xml:space="preserve">Took 1 extra day for sponsor sign-off.</t>
  </si>
  <si>
    <t xml:space="preserve">Stakeholder kickoff workshop</t>
  </si>
  <si>
    <t xml:space="preserve">FS</t>
  </si>
  <si>
    <t xml:space="preserve">Morgan Patel</t>
  </si>
  <si>
    <t xml:space="preserve">Kickoff complete</t>
  </si>
  <si>
    <t xml:space="preserve">Milestone (Duration 0).</t>
  </si>
  <si>
    <t xml:space="preserve">Requirements &amp; Design</t>
  </si>
  <si>
    <t xml:space="preserve">Requirements gathering</t>
  </si>
  <si>
    <t xml:space="preserve">Solution architecture</t>
  </si>
  <si>
    <t xml:space="preserve">SS</t>
  </si>
  <si>
    <t xml:space="preserve">Alex Chen</t>
  </si>
  <si>
    <t xml:space="preserve">Start-to-Start + 3 day lag example.</t>
  </si>
  <si>
    <t xml:space="preserve">UX wireframes &amp; prototype</t>
  </si>
  <si>
    <t xml:space="preserve">Casey Kim</t>
  </si>
  <si>
    <t xml:space="preserve">Design sign-off</t>
  </si>
  <si>
    <t xml:space="preserve">Two predecessors - waits for the later one.</t>
  </si>
  <si>
    <t xml:space="preserve">Build</t>
  </si>
  <si>
    <t xml:space="preserve">Backend</t>
  </si>
  <si>
    <t xml:space="preserve">Level-2 summary with sub-tasks.</t>
  </si>
  <si>
    <t xml:space="preserve">Data model &amp; database setup</t>
  </si>
  <si>
    <t xml:space="preserve">Jordan Lee</t>
  </si>
  <si>
    <t xml:space="preserve">Core API endpoints</t>
  </si>
  <si>
    <t xml:space="preserve">In progress - enter % Complete; forecast finish adjusts.</t>
  </si>
  <si>
    <t xml:space="preserve">Payment gateway integration</t>
  </si>
  <si>
    <t xml:space="preserve">Frontend</t>
  </si>
  <si>
    <t xml:space="preserve">UI component library</t>
  </si>
  <si>
    <t xml:space="preserve">Sam Rivera</t>
  </si>
  <si>
    <t xml:space="preserve">Feature screens</t>
  </si>
  <si>
    <t xml:space="preserve">Accessibility review</t>
  </si>
  <si>
    <t xml:space="preserve">FF</t>
  </si>
  <si>
    <t xml:space="preserve">Finish-to-Finish + 1 day; 50% units.</t>
  </si>
  <si>
    <t xml:space="preserve">Build complete</t>
  </si>
  <si>
    <t xml:space="preserve">Milestone with a deadline of 06-Nov (see Deadline Check).</t>
  </si>
  <si>
    <t xml:space="preserve">Test &amp; Release</t>
  </si>
  <si>
    <t xml:space="preserve">System integration testing</t>
  </si>
  <si>
    <t xml:space="preserve">Taylor Morgan</t>
  </si>
  <si>
    <t xml:space="preserve">User acceptance testing</t>
  </si>
  <si>
    <t xml:space="preserve">Start No Earlier Than 07-Dec (client availability).</t>
  </si>
  <si>
    <t xml:space="preserve">Training &amp; user guides</t>
  </si>
  <si>
    <t xml:space="preserve">Go-live readiness review</t>
  </si>
  <si>
    <t xml:space="preserve">Go-live</t>
  </si>
  <si>
    <t xml:space="preserve">Milestone with a deadline of 18-Dec.</t>
  </si>
  <si>
    <t xml:space="preserve">Hypercare support</t>
  </si>
  <si>
    <t xml:space="preserve">Project Close</t>
  </si>
  <si>
    <t xml:space="preserve">Steering committee update</t>
  </si>
  <si>
    <t xml:space="preserve">Manual</t>
  </si>
  <si>
    <t xml:space="preserve">Manual mode example: fixed on the date in the Start No Earlier Than column.</t>
  </si>
  <si>
    <t xml:space="preserve">Lessons learned</t>
  </si>
  <si>
    <t xml:space="preserve">Project closed</t>
  </si>
  <si>
    <t xml:space="preserve">Milestone</t>
  </si>
  <si>
    <t xml:space="preserve">Planned (outline)</t>
  </si>
  <si>
    <t xml:space="preserve">Done (% complete)</t>
  </si>
  <si>
    <t xml:space="preserve">Remaining - on track</t>
  </si>
  <si>
    <t xml:space="preserve">Remaining - late vs plan</t>
  </si>
  <si>
    <t xml:space="preserve">Summary (forecast)</t>
  </si>
  <si>
    <t xml:space="preserve">Milestone (forecast)</t>
  </si>
  <si>
    <t xml:space="preserve">Non-working day</t>
  </si>
  <si>
    <t xml:space="preserve">Timeline: conditional formatting only (no formulas), so it costs no recalculation.</t>
  </si>
  <si>
    <t xml:space="preserve">Task</t>
  </si>
  <si>
    <t xml:space="preserve">Dur</t>
  </si>
  <si>
    <t xml:space="preserve">%</t>
  </si>
  <si>
    <t xml:space="preserve">_IsMilestone</t>
  </si>
  <si>
    <t xml:space="preserve">_DoneFrom</t>
  </si>
  <si>
    <t xml:space="preserve">_DoneTo</t>
  </si>
  <si>
    <t xml:space="preserve">_RemFrom</t>
  </si>
  <si>
    <t xml:space="preserve">_RemTo</t>
  </si>
  <si>
    <t xml:space="preserve">_Late</t>
  </si>
  <si>
    <t xml:space="preserve">_Deadline</t>
  </si>
  <si>
    <t xml:space="preserve">Resource Sheet</t>
  </si>
  <si>
    <t xml:space="preserve">Like MS Project's Resource Sheet. Names here feed the Resource dropdown on Tasks. Add rows to the table for more people.</t>
  </si>
  <si>
    <t xml:space="preserve">Resource Name</t>
  </si>
  <si>
    <t xml:space="preserve">Initials</t>
  </si>
  <si>
    <t xml:space="preserve">Group</t>
  </si>
  <si>
    <t xml:space="preserve">Type</t>
  </si>
  <si>
    <t xml:space="preserve">Max Units</t>
  </si>
  <si>
    <t xml:space="preserve">Std Rate</t>
  </si>
  <si>
    <t xml:space="preserve">Email</t>
  </si>
  <si>
    <t xml:space="preserve">Tasks</t>
  </si>
  <si>
    <t xml:space="preserve">PS</t>
  </si>
  <si>
    <t xml:space="preserve">Project Manager</t>
  </si>
  <si>
    <t xml:space="preserve">priya@example.com</t>
  </si>
  <si>
    <t xml:space="preserve">MP</t>
  </si>
  <si>
    <t xml:space="preserve">Business Analyst</t>
  </si>
  <si>
    <t xml:space="preserve">morgan@example.com</t>
  </si>
  <si>
    <t xml:space="preserve">AC</t>
  </si>
  <si>
    <t xml:space="preserve">Solution Architect</t>
  </si>
  <si>
    <t xml:space="preserve">alex@example.com</t>
  </si>
  <si>
    <t xml:space="preserve">CK</t>
  </si>
  <si>
    <t xml:space="preserve">UX Designer</t>
  </si>
  <si>
    <t xml:space="preserve">casey@example.com</t>
  </si>
  <si>
    <t xml:space="preserve">JL</t>
  </si>
  <si>
    <t xml:space="preserve">Backend Developer</t>
  </si>
  <si>
    <t xml:space="preserve">jordan@example.com</t>
  </si>
  <si>
    <t xml:space="preserve">SR</t>
  </si>
  <si>
    <t xml:space="preserve">Frontend Developer</t>
  </si>
  <si>
    <t xml:space="preserve">sam@example.com</t>
  </si>
  <si>
    <t xml:space="preserve">TM</t>
  </si>
  <si>
    <t xml:space="preserve">QA Engineer</t>
  </si>
  <si>
    <t xml:space="preserve">taylor@example.com</t>
  </si>
  <si>
    <t xml:space="preserve">Sprint calendar from Settings (Sprint1Start, SprintLength, SprintCount); add rows to the table for more sprints. Each task's work is spread evenly over its forecast working days, then summed per sprint.</t>
  </si>
  <si>
    <t xml:space="preserve">Start</t>
  </si>
  <si>
    <t xml:space="preserve">End</t>
  </si>
  <si>
    <t xml:space="preserve">Working Days</t>
  </si>
  <si>
    <t xml:space="preserve">Goal</t>
  </si>
  <si>
    <t xml:space="preserve">Tasks Starting</t>
  </si>
  <si>
    <t xml:space="preserve">Planned Work</t>
  </si>
  <si>
    <t xml:space="preserve">Utilisation</t>
  </si>
  <si>
    <t xml:space="preserve">Charter &amp; kickoff</t>
  </si>
  <si>
    <t xml:space="preserve">Requirements</t>
  </si>
  <si>
    <t xml:space="preserve">Design &amp; architecture</t>
  </si>
  <si>
    <t xml:space="preserve">Foundations: DB + components</t>
  </si>
  <si>
    <t xml:space="preserve">Core APIs + screens</t>
  </si>
  <si>
    <t xml:space="preserve">Payments + screens</t>
  </si>
  <si>
    <t xml:space="preserve">Feature complete</t>
  </si>
  <si>
    <t xml:space="preserve">System testing</t>
  </si>
  <si>
    <t xml:space="preserve">UAT</t>
  </si>
  <si>
    <t xml:space="preserve">Release &amp; hypercare</t>
  </si>
  <si>
    <t xml:space="preserve">Hypercare</t>
  </si>
  <si>
    <t xml:space="preserve">Close-out</t>
  </si>
  <si>
    <t xml:space="preserve">Resource load by sprint (hours)  -  red = over capacity (Max Units x HoursPerDay x working days)</t>
  </si>
  <si>
    <t xml:space="preserve">Sprint start</t>
  </si>
  <si>
    <t xml:space="preserve">Resource utilisation by sprint (%)</t>
  </si>
  <si>
    <t xml:space="preserve">Holidays &amp; Non-Working Days</t>
  </si>
  <si>
    <t xml:space="preserve">Every date in this table is skipped by all scheduling formulas (named range: Holidays). Add rows to the table as needed.</t>
  </si>
  <si>
    <t xml:space="preserve">Date</t>
  </si>
  <si>
    <t xml:space="preserve">Description</t>
  </si>
  <si>
    <t xml:space="preserve">Christmas Eve (example - replace with your calendar)</t>
  </si>
  <si>
    <t xml:space="preserve">Christmas Day (example)</t>
  </si>
  <si>
    <t xml:space="preserve">New Year's Eve (example)</t>
  </si>
  <si>
    <t xml:space="preserve">New Year's Day (example)</t>
  </si>
  <si>
    <t xml:space="preserve">Unique ID</t>
  </si>
  <si>
    <t xml:space="preserve">Name</t>
  </si>
  <si>
    <t xml:space="preserve">Outline Level</t>
  </si>
  <si>
    <t xml:space="preserve">Task Mode</t>
  </si>
  <si>
    <t xml:space="preserve">Finish</t>
  </si>
  <si>
    <t xml:space="preserve">Unique ID Predecessors</t>
  </si>
  <si>
    <t xml:space="preserve">Resource Names</t>
  </si>
  <si>
    <t xml:space="preserve">Constraint Type</t>
  </si>
  <si>
    <t xml:space="preserve">Constraint Date</t>
  </si>
  <si>
    <t xml:space="preserve">Standard Rate</t>
  </si>
  <si>
    <t xml:space="preserve">Email Address</t>
  </si>
  <si>
    <t xml:space="preserve">Link Type</t>
  </si>
  <si>
    <t xml:space="preserve">Yes / No</t>
  </si>
  <si>
    <t xml:space="preserve">Resource Type</t>
  </si>
  <si>
    <t xml:space="preserve">Gantt Days per Column</t>
  </si>
  <si>
    <t xml:space="preserve">Material</t>
  </si>
  <si>
    <t xml:space="preserve">SF</t>
  </si>
  <si>
    <t xml:space="preserve">Dropdown sources. Add a value by typing it in the row under a list: the table and its named range grow.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</si>
</sst>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ddd\ dd\-mmm\-yy"/>
    <numFmt numFmtId="166" formatCode="\+0;\-0;0"/>
    <numFmt numFmtId="167" formatCode="0%"/>
    <numFmt numFmtId="168" formatCode="0"/>
    <numFmt numFmtId="169" formatCode="#,##0"/>
    <numFmt numFmtId="170" formatCode="#,##0.00"/>
    <numFmt numFmtId="171" formatCode="@"/>
    <numFmt numFmtId="172" formatCode="0.0"/>
    <numFmt numFmtId="173" formatCode="General"/>
    <numFmt numFmtId="174" formatCode="#,##0.0"/>
    <numFmt numFmtId="175" formatCode="mm/dd/yy"/>
    <numFmt numFmtId="176" formatCode="d"/>
    <numFmt numFmtId="177" formatCode="dd\-mmm\-yy"/>
    <numFmt numFmtId="178" formatCode="dd\-mmm;;\-"/>
    <numFmt numFmtId="179" formatCode="dd\-mmm"/>
    <numFmt numFmtId="180" formatCode="#,##0;;\-"/>
    <numFmt numFmtId="181" formatCode="0%;;\-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4E78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404040"/>
      <name val="Arial"/>
      <family val="0"/>
      <charset val="1"/>
    </font>
    <font>
      <sz val="10"/>
      <name val="Arial"/>
      <family val="2"/>
    </font>
    <font>
      <sz val="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8"/>
      <color rgb="FF40404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i val="true"/>
      <sz val="9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2F2F2"/>
        <bgColor rgb="FFEDEDED"/>
      </patternFill>
    </fill>
    <fill>
      <patternFill patternType="solid">
        <fgColor rgb="FF595959"/>
        <bgColor rgb="FF404040"/>
      </patternFill>
    </fill>
    <fill>
      <patternFill patternType="solid">
        <fgColor rgb="FFA6A6A6"/>
        <bgColor rgb="FF878787"/>
      </patternFill>
    </fill>
    <fill>
      <patternFill patternType="solid">
        <fgColor rgb="FF70AD47"/>
        <bgColor rgb="FF548235"/>
      </patternFill>
    </fill>
    <fill>
      <patternFill patternType="solid">
        <fgColor rgb="FF9DC3E6"/>
        <bgColor rgb="FFA6A6A6"/>
      </patternFill>
    </fill>
    <fill>
      <patternFill patternType="solid">
        <fgColor rgb="FFF4B183"/>
        <bgColor rgb="FFFFC7CE"/>
      </patternFill>
    </fill>
    <fill>
      <patternFill patternType="solid">
        <fgColor rgb="FF404040"/>
        <bgColor rgb="FF1F3864"/>
      </patternFill>
    </fill>
    <fill>
      <patternFill patternType="solid">
        <fgColor rgb="FF7030A0"/>
        <bgColor rgb="FF800080"/>
      </patternFill>
    </fill>
    <fill>
      <patternFill patternType="solid">
        <fgColor rgb="FFC00000"/>
        <bgColor rgb="FF9C0006"/>
      </patternFill>
    </fill>
    <fill>
      <patternFill patternType="solid">
        <fgColor rgb="FFEDEDED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1F3864"/>
      </top>
      <bottom style="thin">
        <color rgb="FF1F3864"/>
      </bottom>
      <diagonal/>
    </border>
    <border diagonalUp="false" diagonalDown="false">
      <left style="medium">
        <color rgb="FFFF000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2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2">
    <dxf>
      <fill>
        <patternFill patternType="solid">
          <fgColor rgb="FF59595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2F75B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b val="1"/>
        <color rgb="FFC00000"/>
      </font>
      <fill>
        <patternFill>
          <bgColor rgb="FFFFC7CE"/>
        </patternFill>
      </fill>
    </dxf>
    <dxf>
      <font>
        <b val="1"/>
        <color rgb="FF548235"/>
      </font>
    </dxf>
    <dxf>
      <fill>
        <patternFill>
          <bgColor rgb="FFFFFF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b val="1"/>
      </font>
      <fill>
        <patternFill>
          <bgColor rgb="FFDDEBF7"/>
        </patternFill>
      </fill>
    </dxf>
    <dxf>
      <font>
        <b val="1"/>
        <i val="1"/>
        <color rgb="FFA6A6A6"/>
      </font>
    </dxf>
    <dxf>
      <font>
        <b val="1"/>
        <color rgb="FF2F75B5"/>
      </font>
    </dxf>
    <dxf>
      <font>
        <b val="1"/>
        <color rgb="FFC00000"/>
      </font>
    </dxf>
    <dxf>
      <font>
        <b val="1"/>
        <color rgb="FFC55A11"/>
      </font>
    </dxf>
    <dxf>
      <font>
        <b val="1"/>
        <color rgb="FF7F7F7F"/>
      </font>
    </dxf>
    <dxf>
      <font>
        <i val="1"/>
        <color rgb="FF7030A0"/>
      </font>
    </dxf>
    <dxf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404040"/>
        </patternFill>
      </fill>
    </dxf>
    <dxf>
      <fill>
        <patternFill>
          <bgColor rgb="FF7030A0"/>
        </patternFill>
      </fill>
    </dxf>
    <dxf>
      <fill>
        <patternFill>
          <bgColor rgb="FF70AD47"/>
        </patternFill>
      </fill>
    </dxf>
    <dxf>
      <fill>
        <patternFill>
          <bgColor rgb="FFF4B183"/>
        </patternFill>
      </fill>
    </dxf>
    <dxf>
      <fill>
        <patternFill>
          <bgColor rgb="FF9DC3E6"/>
        </patternFill>
      </fill>
    </dxf>
    <dxf>
      <border diagonalUp="false" diagonalDown="false">
        <left/>
        <right/>
        <top style="thin">
          <color rgb="FF1F3864"/>
        </top>
        <bottom style="thin">
          <color rgb="FF1F3864"/>
        </bottom>
        <diagonal/>
      </border>
    </dxf>
    <dxf>
      <border diagonalUp="false" diagonalDown="false">
        <left style="thin">
          <color rgb="FFFF0000"/>
        </left>
        <right style="thin">
          <color rgb="FFFF0000"/>
        </right>
        <top/>
        <bottom/>
        <diagonal/>
      </border>
    </dxf>
    <dxf>
      <fill>
        <patternFill>
          <bgColor rgb="FFEDEDED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D9D9D9"/>
      </font>
    </dxf>
    <dxf>
      <font>
        <b val="1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A6A6A6"/>
      <rgbColor rgb="FF7F7F7F"/>
      <rgbColor rgb="FF9999FF"/>
      <rgbColor rgb="FF7030A0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EDEDED"/>
      <rgbColor rgb="FFF9F9F9"/>
      <rgbColor rgb="FF9DC3E6"/>
      <rgbColor rgb="FFF4B183"/>
      <rgbColor rgb="FFCC99FF"/>
      <rgbColor rgb="FFFFC7CE"/>
      <rgbColor rgb="FF2F75B5"/>
      <rgbColor rgb="FF33CCCC"/>
      <rgbColor rgb="FF70AD47"/>
      <rgbColor rgb="FFFFCC00"/>
      <rgbColor rgb="FFBF8F00"/>
      <rgbColor rgb="FFC55A11"/>
      <rgbColor rgb="FF595959"/>
      <rgbColor rgb="FF878787"/>
      <rgbColor rgb="FF1F3864"/>
      <rgbColor rgb="FF4F81BD"/>
      <rgbColor rgb="FF003300"/>
      <rgbColor rgb="FF333300"/>
      <rgbColor rgb="FF993300"/>
      <rgbColor rgb="FFC0504D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Detail tasks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Dashboard!F4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Dashboard!$E$5:$E$9</c:f>
              <c:strCache>
                <c:ptCount val="5"/>
                <c:pt idx="0">
                  <c:v>Complete</c:v>
                </c:pt>
                <c:pt idx="1">
                  <c:v>In Progress</c:v>
                </c:pt>
                <c:pt idx="2">
                  <c:v>Behind</c:v>
                </c:pt>
                <c:pt idx="3">
                  <c:v>Late Start</c:v>
                </c:pt>
                <c:pt idx="4">
                  <c:v>Not Started</c:v>
                </c:pt>
              </c:strCache>
            </c:strRef>
          </c:cat>
          <c:val>
            <c:numRef>
              <c:f>Dashboard!$F$5:$F$9</c:f>
              <c:numCache>
                <c:formatCode>General</c:formatCode>
                <c:ptCount val="5"/>
                <c:pt idx="0">
                  <c:v>9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11</c:v>
                </c:pt>
              </c:numCache>
            </c:numRef>
          </c:val>
        </c:ser>
        <c:gapWidth val="150"/>
        <c:overlap val="0"/>
        <c:axId val="22512968"/>
        <c:axId val="90794270"/>
      </c:barChart>
      <c:catAx>
        <c:axId val="22512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94270"/>
        <c:crosses val="autoZero"/>
        <c:auto val="1"/>
        <c:lblAlgn val="ctr"/>
        <c:lblOffset val="100"/>
        <c:noMultiLvlLbl val="0"/>
      </c:catAx>
      <c:valAx>
        <c:axId val="907942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5129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Sprint planned work vs capacity (hrs)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Sprints!H5</c:f>
              <c:strCache>
                <c:ptCount val="1"/>
                <c:pt idx="0">
                  <c:v>Planned Work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Sprints!$H$6:$H$17</c:f>
              <c:numCache>
                <c:formatCode>#,##0.0</c:formatCode>
                <c:ptCount val="12"/>
                <c:pt idx="0">
                  <c:v>75.1111111111111</c:v>
                </c:pt>
                <c:pt idx="1">
                  <c:v>103.174603174603</c:v>
                </c:pt>
                <c:pt idx="2">
                  <c:v>115.047619047619</c:v>
                </c:pt>
                <c:pt idx="3">
                  <c:v>135.238095238095</c:v>
                </c:pt>
                <c:pt idx="4">
                  <c:v>127.428571428571</c:v>
                </c:pt>
                <c:pt idx="5">
                  <c:v>52</c:v>
                </c:pt>
                <c:pt idx="6">
                  <c:v>40</c:v>
                </c:pt>
                <c:pt idx="7">
                  <c:v>40</c:v>
                </c:pt>
                <c:pt idx="8">
                  <c:v>32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Sprints!I5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Sprints!$I$6:$I$17</c:f>
              <c:numCache>
                <c:formatCode>#,##0.0</c:formatCode>
                <c:ptCount val="12"/>
                <c:pt idx="0">
                  <c:v>480</c:v>
                </c:pt>
                <c:pt idx="1">
                  <c:v>480</c:v>
                </c:pt>
                <c:pt idx="2">
                  <c:v>480</c:v>
                </c:pt>
                <c:pt idx="3">
                  <c:v>480</c:v>
                </c:pt>
                <c:pt idx="4">
                  <c:v>480</c:v>
                </c:pt>
                <c:pt idx="5">
                  <c:v>480</c:v>
                </c:pt>
                <c:pt idx="6">
                  <c:v>480</c:v>
                </c:pt>
                <c:pt idx="7">
                  <c:v>384</c:v>
                </c:pt>
                <c:pt idx="8">
                  <c:v>384</c:v>
                </c:pt>
                <c:pt idx="9">
                  <c:v>480</c:v>
                </c:pt>
                <c:pt idx="10">
                  <c:v>480</c:v>
                </c:pt>
                <c:pt idx="11">
                  <c:v>480</c:v>
                </c:pt>
              </c:numCache>
            </c:numRef>
          </c:val>
        </c:ser>
        <c:gapWidth val="150"/>
        <c:overlap val="0"/>
        <c:axId val="63165992"/>
        <c:axId val="22896520"/>
      </c:barChart>
      <c:catAx>
        <c:axId val="63165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896520"/>
        <c:crosses val="autoZero"/>
        <c:auto val="1"/>
        <c:lblAlgn val="ctr"/>
        <c:lblOffset val="100"/>
        <c:noMultiLvlLbl val="0"/>
      </c:catAx>
      <c:valAx>
        <c:axId val="228965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1659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10</xdr:row>
      <xdr:rowOff>101160</xdr:rowOff>
    </xdr:from>
    <xdr:to>
      <xdr:col>10</xdr:col>
      <xdr:colOff>479160</xdr:colOff>
      <xdr:row>23</xdr:row>
      <xdr:rowOff>144000</xdr:rowOff>
    </xdr:to>
    <xdr:graphicFrame>
      <xdr:nvGraphicFramePr>
        <xdr:cNvPr id="0" name="Chart 1"/>
        <xdr:cNvGraphicFramePr/>
      </xdr:nvGraphicFramePr>
      <xdr:xfrm>
        <a:off x="4722480" y="20955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27</xdr:row>
      <xdr:rowOff>101160</xdr:rowOff>
    </xdr:from>
    <xdr:to>
      <xdr:col>8</xdr:col>
      <xdr:colOff>70920</xdr:colOff>
      <xdr:row>42</xdr:row>
      <xdr:rowOff>123120</xdr:rowOff>
    </xdr:to>
    <xdr:graphicFrame>
      <xdr:nvGraphicFramePr>
        <xdr:cNvPr id="1" name="Chart 2"/>
        <xdr:cNvGraphicFramePr/>
      </xdr:nvGraphicFramePr>
      <xdr:xfrm>
        <a:off x="211320" y="53341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anttView" displayName="GanttView" ref="A5:T205" headerRowCount="1">
  <tableColumns count="20">
    <tableColumn id="1" name="ID">
      <calculatedColumnFormula>IF(IFERROR(INDEX(tsk_Name,GanttView[[#This Row],[_Row]])="",TRUE()),"",INDEX(tsk_ID,GanttView[[#This Row],[_Row]]))</calculatedColumnFormula>
    </tableColumn>
    <tableColumn id="2" name="WBS">
      <calculatedColumnFormula>IF(IFERROR(INDEX(tsk_Name,GanttView[[#This Row],[_Row]])="",TRUE()),"",INDEX(tsk_WBS,GanttView[[#This Row],[_Row]]))</calculatedColumnFormula>
    </tableColumn>
    <tableColumn id="3" name="Task">
      <calculatedColumnFormula>IF(IFERROR(INDEX(tsk_Name,GanttView[[#This Row],[_Row]])="",TRUE()),"",REPT("    ",INDEX(tsk_Level,GanttView[[#This Row],[_Row]])-1)&amp;INDEX(tsk_Name,GanttView[[#This Row],[_Row]]))</calculatedColumnFormula>
    </tableColumn>
    <tableColumn id="4" name="Dur">
      <calculatedColumnFormula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calculatedColumnFormula>
    </tableColumn>
    <tableColumn id="5" name="Planned Start">
      <calculatedColumnFormula>IF(IFERROR(INDEX(tsk_Name,GanttView[[#This Row],[_Row]])="",TRUE()),"",INDEX(tsk_PlanStart,GanttView[[#This Row],[_Row]]))</calculatedColumnFormula>
    </tableColumn>
    <tableColumn id="6" name="Planned Finish">
      <calculatedColumnFormula>IF(IFERROR(INDEX(tsk_Name,GanttView[[#This Row],[_Row]])="",TRUE()),"",INDEX(tsk_PlanFinish,GanttView[[#This Row],[_Row]]))</calculatedColumnFormula>
    </tableColumn>
    <tableColumn id="7" name="Forecast Start">
      <calculatedColumnFormula>IF(IFERROR(INDEX(tsk_Name,GanttView[[#This Row],[_Row]])="",TRUE()),"",INDEX(tsk_FcStart,GanttView[[#This Row],[_Row]]))</calculatedColumnFormula>
    </tableColumn>
    <tableColumn id="8" name="Forecast Finish">
      <calculatedColumnFormula>IF(IFERROR(INDEX(tsk_Name,GanttView[[#This Row],[_Row]])="",TRUE()),"",INDEX(tsk_FcFinish,GanttView[[#This Row],[_Row]]))</calculatedColumnFormula>
    </tableColumn>
    <tableColumn id="9" name="%">
      <calculatedColumnFormula>IF(IFERROR(INDEX(tsk_Name,GanttView[[#This Row],[_Row]])="",TRUE()),"",INDEX(tsk_Progress,GanttView[[#This Row],[_Row]]))</calculatedColumnFormula>
    </tableColumn>
    <tableColumn id="10" name="Resource">
      <calculatedColumnFormula>IF(IFERROR(INDEX(tsk_Name,GanttView[[#This Row],[_Row]])="",TRUE()),"",INDEX(tsk_Resource,GanttView[[#This Row],[_Row]])&amp;"")</calculatedColumnFormula>
    </tableColumn>
    <tableColumn id="11" name="Status">
      <calculatedColumnFormula>IF(IFERROR(INDEX(tsk_Name,GanttView[[#This Row],[_Row]])="",TRUE()),"",INDEX(tsk_Status,GanttView[[#This Row],[_Row]]))</calculatedColumnFormula>
    </tableColumn>
    <tableColumn id="12" name="_Row">
      <calculatedColumnFormula>ROW()-ROW(GanttView[[#Headers],[ID]])</calculatedColumnFormula>
    </tableColumn>
    <tableColumn id="13" name="_IsSummary">
      <calculatedColumnFormula>IF(IFERROR(INDEX(tsk_Name,GanttView[[#This Row],[_Row]])="",TRUE()),FALSE(),INDEX(tsk_IsSummary,GanttView[[#This Row],[_Row]]))</calculatedColumnFormula>
    </tableColumn>
    <tableColumn id="14" name="_IsMilestone">
      <calculatedColumnFormula>IF(IFERROR(INDEX(tsk_Name,GanttView[[#This Row],[_Row]])="",TRUE()),FALSE(),AND(INDEX(tsk_IsLeaf,GanttView[[#This Row],[_Row]])=1,N(INDEX(tsk_Duration,GanttView[[#This Row],[_Row]]))=0))</calculatedColumnFormula>
    </tableColumn>
    <tableColumn id="15" name="_DoneFrom">
      <calculatedColumnFormula>IF(IFERROR(INDEX(tsk_Name,GanttView[[#This Row],[_Row]])="",TRUE()),0,IF(AND(INDEX(tsk_IsLeaf,GanttView[[#This Row],[_Row]])=1,NOT(GanttView[[#This Row],[_IsMilestone]]),N(GanttView[[#This Row],[%]])&gt;0),GanttView[[#This Row],[Forecast Start]],0))</calculatedColumnFormula>
    </tableColumn>
    <tableColumn id="16" name="_DoneTo">
      <calculatedColumnFormula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calculatedColumnFormula>
    </tableColumn>
    <tableColumn id="17" name="_RemFrom">
      <calculatedColumnFormula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calculatedColumnFormula>
    </tableColumn>
    <tableColumn id="18" name="_RemTo">
      <calculatedColumnFormula>IF(GanttView[[#This Row],[_RemFrom]]=0,0,GanttView[[#This Row],[Forecast Finish]])</calculatedColumnFormula>
    </tableColumn>
    <tableColumn id="19" name="_Late">
      <calculatedColumnFormula>IF(IFERROR(INDEX(tsk_Name,GanttView[[#This Row],[_Row]])="",TRUE()),FALSE(),N(INDEX(tsk_Variance,GanttView[[#This Row],[_Row]]))&gt;0)</calculatedColumnFormula>
    </tableColumn>
    <tableColumn id="20" name="_Deadline">
      <calculatedColumnFormula>IF(IFERROR(INDEX(tsk_Name,GanttView[[#This Row],[_Row]])="",TRUE()),0,N(INDEX(tsk_Deadline,GanttView[[#This Row],[_Row]])))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HolidayTable" displayName="HolidayTable" ref="B4:C104" headerRowCount="1">
  <autoFilter ref="B4:C104"/>
  <tableColumns count="2">
    <tableColumn id="1" name="Date"/>
    <tableColumn id="2" name="Description"/>
  </tableColumns>
  <tableStyleInfo name="TableStyleLight1" showRowStripes="0"/>
</table>
</file>

<file path=xl/tables/table3.xml><?xml version="1.0" encoding="utf-8"?>
<table xmlns="http://schemas.openxmlformats.org/spreadsheetml/2006/main" id="3" name="KPIs" displayName="KPIs" ref="B4:C18" headerRowCount="1">
  <tableColumns count="2">
    <tableColumn id="1" name="Key indicator"/>
    <tableColumn id="2" name="Value"/>
  </tableColumns>
  <tableStyleInfo name="TableStyleLight1" showRowStripes="0"/>
</table>
</file>

<file path=xl/tables/table4.xml><?xml version="1.0" encoding="utf-8"?>
<table xmlns="http://schemas.openxmlformats.org/spreadsheetml/2006/main" id="4" name="ListDepType" displayName="ListDepType" ref="A1:A5" headerRowCount="1">
  <tableColumns count="1">
    <tableColumn id="1" name="Link Type"/>
  </tableColumns>
  <tableStyleInfo name="TableStyleLight1" showRowStripes="0"/>
</table>
</file>

<file path=xl/tables/table5.xml><?xml version="1.0" encoding="utf-8"?>
<table xmlns="http://schemas.openxmlformats.org/spreadsheetml/2006/main" id="5" name="ListMode" displayName="ListMode" ref="C1:C3" headerRowCount="1">
  <tableColumns count="1">
    <tableColumn id="1" name="Task Mode"/>
  </tableColumns>
  <tableStyleInfo name="TableStyleLight1" showRowStripes="0"/>
</table>
</file>

<file path=xl/tables/table6.xml><?xml version="1.0" encoding="utf-8"?>
<table xmlns="http://schemas.openxmlformats.org/spreadsheetml/2006/main" id="6" name="ListPeriod" displayName="ListPeriod" ref="I1:I3" headerRowCount="1">
  <tableColumns count="1">
    <tableColumn id="1" name="Gantt Days per Column"/>
  </tableColumns>
  <tableStyleInfo name="TableStyleLight1" showRowStripes="0"/>
</table>
</file>

<file path=xl/tables/table7.xml><?xml version="1.0" encoding="utf-8"?>
<table xmlns="http://schemas.openxmlformats.org/spreadsheetml/2006/main" id="7" name="ListResType" displayName="ListResType" ref="G1:G4" headerRowCount="1">
  <tableColumns count="1">
    <tableColumn id="1" name="Resource Type"/>
  </tableColumns>
  <tableStyleInfo name="TableStyleLight1" showRowStripes="0"/>
</table>
</file>

<file path=xl/tables/table8.xml><?xml version="1.0" encoding="utf-8"?>
<table xmlns="http://schemas.openxmlformats.org/spreadsheetml/2006/main" id="8" name="ListYesNo" displayName="ListYesNo" ref="E1:E3" headerRowCount="1">
  <tableColumns count="1">
    <tableColumn id="1" name="Yes / No"/>
  </tableColumns>
  <tableStyleInfo name="TableStyleLight1" showRowStripes="0"/>
</table>
</file>

<file path=xl/tables/table9.xml><?xml version="1.0" encoding="utf-8"?>
<table xmlns="http://schemas.openxmlformats.org/spreadsheetml/2006/main" id="9" name="MSPResources" displayName="MSPResources" ref="A1:G51" headerRowCount="1">
  <autoFilter ref="A1:G51"/>
  <tableColumns count="7">
    <tableColumn id="1" name="Name">
      <calculatedColumnFormula>IF(IFERROR(INDEX(res_Name,(ROW()-ROW(MSPResources[[#Headers],[Name]])))="",TRUE()),"",INDEX(res_Name,(ROW()-ROW(MSPResources[[#Headers],[Name]])))&amp;"")</calculatedColumnFormula>
    </tableColumn>
    <tableColumn id="2" name="Initials">
      <calculatedColumnFormula>IF(IFERROR(INDEX(res_Name,(ROW()-ROW(MSPResources[[#Headers],[Name]])))="",TRUE()),"",INDEX(res_Initials,(ROW()-ROW(MSPResources[[#Headers],[Name]])))&amp;"")</calculatedColumnFormula>
    </tableColumn>
    <tableColumn id="3" name="Group">
      <calculatedColumnFormula>IF(IFERROR(INDEX(res_Name,(ROW()-ROW(MSPResources[[#Headers],[Name]])))="",TRUE()),"",INDEX(res_Group,(ROW()-ROW(MSPResources[[#Headers],[Name]])))&amp;"")</calculatedColumnFormula>
    </tableColumn>
    <tableColumn id="4" name="Type">
      <calculatedColumnFormula>IF(IFERROR(INDEX(res_Name,(ROW()-ROW(MSPResources[[#Headers],[Name]])))="",TRUE()),"",INDEX(res_Type,(ROW()-ROW(MSPResources[[#Headers],[Name]])))&amp;"")</calculatedColumnFormula>
    </tableColumn>
    <tableColumn id="5" name="Max Units">
      <calculatedColumnFormula>IF(IFERROR(INDEX(res_Name,(ROW()-ROW(MSPResources[[#Headers],[Name]])))="",TRUE()),"",ROUND(INDEX(res_MaxUnits,(ROW()-ROW(MSPResources[[#Headers],[Name]])))*100,0)&amp;"%")</calculatedColumnFormula>
    </tableColumn>
    <tableColumn id="6" name="Standard Rate">
      <calculatedColumnFormula>IF(IFERROR(INDEX(res_Name,(ROW()-ROW(MSPResources[[#Headers],[Name]])))="",TRUE()),"",INDEX(res_Rate,(ROW()-ROW(MSPResources[[#Headers],[Name]])))&amp;"/h")</calculatedColumnFormula>
    </tableColumn>
    <tableColumn id="7" name="Email Address">
      <calculatedColumnFormula>IF(IFERROR(INDEX(res_Name,(ROW()-ROW(MSPResources[[#Headers],[Name]])))="",TRUE()),"",INDEX(res_Email,(ROW()-ROW(MSPResources[[#Headers],[Name]])))&amp;"")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MSPTasks" displayName="MSPTasks" ref="A1:W201" headerRowCount="1">
  <autoFilter ref="A1:W201"/>
  <tableColumns count="23">
    <tableColumn id="1" name="ID">
      <calculatedColumnFormula>IF(IFERROR(INDEX(tsk_Name,(ROW()-ROW(MSPTasks[[#Headers],[ID]])))="",TRUE()),"",INDEX(tsk_ID,(ROW()-ROW(MSPTasks[[#Headers],[ID]]))))</calculatedColumnFormula>
    </tableColumn>
    <tableColumn id="2" name="Unique ID">
      <calculatedColumnFormula>IF(IFERROR(INDEX(tsk_Name,(ROW()-ROW(MSPTasks[[#Headers],[ID]])))="",TRUE()),"",INDEX(tsk_UID,(ROW()-ROW(MSPTasks[[#Headers],[ID]]))))</calculatedColumnFormula>
    </tableColumn>
    <tableColumn id="3" name="Name">
      <calculatedColumnFormula>IF(IFERROR(INDEX(tsk_Name,(ROW()-ROW(MSPTasks[[#Headers],[ID]])))="",TRUE()),"",INDEX(tsk_Name,(ROW()-ROW(MSPTasks[[#Headers],[ID]]))))</calculatedColumnFormula>
    </tableColumn>
    <tableColumn id="4" name="Outline Level">
      <calculatedColumnFormula>IF(IFERROR(INDEX(tsk_Name,(ROW()-ROW(MSPTasks[[#Headers],[ID]])))="",TRUE()),"",INDEX(tsk_Level,(ROW()-ROW(MSPTasks[[#Headers],[ID]]))))</calculatedColumnFormula>
    </tableColumn>
    <tableColumn id="5" name="Task Mode">
      <calculatedColumnFormula>IF(IFERROR(INDEX(tsk_Name,(ROW()-ROW(MSPTasks[[#Headers],[ID]])))="",TRUE()),"",IF(INDEX(tsk_Mode,(ROW()-ROW(MSPTasks[[#Headers],[ID]])))="Manual","Manually Scheduled","Auto Scheduled"))</calculatedColumnFormula>
    </tableColumn>
    <tableColumn id="6" name="Duration">
      <calculatedColumnFormula>IF(IFERROR(INDEX(tsk_Name,(ROW()-ROW(MSPTasks[[#Headers],[ID]])))="",TRUE()),"",IF(INDEX(tsk_IsSummary,(ROW()-ROW(MSPTasks[[#Headers],[ID]]))),"",N(INDEX(tsk_Duration,(ROW()-ROW(MSPTasks[[#Headers],[ID]]))))&amp;"d"))</calculatedColumnFormula>
    </tableColumn>
    <tableColumn id="7" name="Start">
      <calculatedColumnFormula>IF(IFERROR(INDEX(tsk_Name,(ROW()-ROW(MSPTasks[[#Headers],[ID]])))="",TRUE()),"",INDEX(tsk_FcStart,(ROW()-ROW(MSPTasks[[#Headers],[ID]]))))</calculatedColumnFormula>
    </tableColumn>
    <tableColumn id="8" name="Finish">
      <calculatedColumnFormula>IF(IFERROR(INDEX(tsk_Name,(ROW()-ROW(MSPTasks[[#Headers],[ID]])))="",TRUE()),"",INDEX(tsk_FcFinish,(ROW()-ROW(MSPTasks[[#Headers],[ID]]))))</calculatedColumnFormula>
    </tableColumn>
    <tableColumn id="9" name="Predecessors">
      <calculatedColumnFormula>IF(IFERROR(INDEX(tsk_Name,(ROW()-ROW(MSPTasks[[#Headers],[ID]])))="",TRUE()),"",IF(INDEX(tsk_IsSummary,(ROW()-ROW(MSPTasks[[#Headers],[ID]]))),"",INDEX(tsk_Predecessors,(ROW()-ROW(MSPTasks[[#Headers],[ID]])))))</calculatedColumnFormula>
    </tableColumn>
    <tableColumn id="10" name="Unique ID Predecessors">
      <calculatedColumnFormula>IF(IFERROR(INDEX(tsk_Name,(ROW()-ROW(MSPTasks[[#Headers],[ID]])))="",TRUE()),"",IF(INDEX(tsk_IsSummary,(ROW()-ROW(MSPTasks[[#Headers],[ID]]))),"",INDEX(tsk_UIDPredecessors,(ROW()-ROW(MSPTasks[[#Headers],[ID]])))))</calculatedColumnFormula>
    </tableColumn>
    <tableColumn id="11" name="Resource Names">
      <calculatedColumnFormula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calculatedColumnFormula>
    </tableColumn>
    <tableColumn id="12" name="% Complete">
      <calculatedColumnFormula>IF(IFERROR(INDEX(tsk_Name,(ROW()-ROW(MSPTasks[[#Headers],[ID]])))="",TRUE()),"",IF(INDEX(tsk_IsSummary,(ROW()-ROW(MSPTasks[[#Headers],[ID]]))),"",ROUND(INDEX(tsk_Progress,(ROW()-ROW(MSPTasks[[#Headers],[ID]])))*100,0)))</calculatedColumnFormula>
    </tableColumn>
    <tableColumn id="13" name="Actual Start">
      <calculatedColumnFormula>IF(IFERROR(INDEX(tsk_Name,(ROW()-ROW(MSPTasks[[#Headers],[ID]])))="",TRUE()),"",IF(N(INDEX(tsk_ActStart,(ROW()-ROW(MSPTasks[[#Headers],[ID]]))))=0,"",INDEX(tsk_ActStart,(ROW()-ROW(MSPTasks[[#Headers],[ID]])))))</calculatedColumnFormula>
    </tableColumn>
    <tableColumn id="14" name="Actual Finish">
      <calculatedColumnFormula>IF(IFERROR(INDEX(tsk_Name,(ROW()-ROW(MSPTasks[[#Headers],[ID]])))="",TRUE()),"",IF(N(INDEX(tsk_ActFinish,(ROW()-ROW(MSPTasks[[#Headers],[ID]]))))=0,"",INDEX(tsk_ActFinish,(ROW()-ROW(MSPTasks[[#Headers],[ID]])))))</calculatedColumnFormula>
    </tableColumn>
    <tableColumn id="15" name="Baseline Start">
      <calculatedColumnFormula>IF(IFERROR(INDEX(tsk_Name,(ROW()-ROW(MSPTasks[[#Headers],[ID]])))="",TRUE()),"",INDEX(tsk_PlanStart,(ROW()-ROW(MSPTasks[[#Headers],[ID]]))))</calculatedColumnFormula>
    </tableColumn>
    <tableColumn id="16" name="Baseline Finish">
      <calculatedColumnFormula>IF(IFERROR(INDEX(tsk_Name,(ROW()-ROW(MSPTasks[[#Headers],[ID]])))="",TRUE()),"",INDEX(tsk_PlanFinish,(ROW()-ROW(MSPTasks[[#Headers],[ID]]))))</calculatedColumnFormula>
    </tableColumn>
    <tableColumn id="17" name="Baseline Duration">
      <calculatedColumnFormula>IF(IFERROR(INDEX(tsk_Name,(ROW()-ROW(MSPTasks[[#Headers],[ID]])))="",TRUE()),"",IF(INDEX(tsk_BaseDuration,(ROW()-ROW(MSPTasks[[#Headers],[ID]])))="","",N(INDEX(tsk_BaseDuration,(ROW()-ROW(MSPTasks[[#Headers],[ID]]))))&amp;"d"))</calculatedColumnFormula>
    </tableColumn>
    <tableColumn id="18" name="Baseline Work">
      <calculatedColumnFormula>IF(IFERROR(INDEX(tsk_Name,(ROW()-ROW(MSPTasks[[#Headers],[ID]])))="",TRUE()),"",IF(INDEX(tsk_BaseWork,(ROW()-ROW(MSPTasks[[#Headers],[ID]])))="","",N(INDEX(tsk_BaseWork,(ROW()-ROW(MSPTasks[[#Headers],[ID]]))))&amp;"h"))</calculatedColumnFormula>
    </tableColumn>
    <tableColumn id="19" name="Baseline Cost">
      <calculatedColumnFormula>IF(IFERROR(INDEX(tsk_Name,(ROW()-ROW(MSPTasks[[#Headers],[ID]])))="",TRUE()),"",IF(INDEX(tsk_BaseCost,(ROW()-ROW(MSPTasks[[#Headers],[ID]])))="","",N(INDEX(tsk_BaseCost,(ROW()-ROW(MSPTasks[[#Headers],[ID]]))))))</calculatedColumnFormula>
    </tableColumn>
    <tableColumn id="20" name="Constraint Type">
      <calculatedColumnFormula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calculatedColumnFormula>
    </tableColumn>
    <tableColumn id="21" name="Constraint Date">
      <calculatedColumnFormula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calculatedColumnFormula>
    </tableColumn>
    <tableColumn id="22" name="Deadline">
      <calculatedColumnFormula>IF(IFERROR(INDEX(tsk_Name,(ROW()-ROW(MSPTasks[[#Headers],[ID]])))="",TRUE()),"",IF(N(INDEX(tsk_Deadline,(ROW()-ROW(MSPTasks[[#Headers],[ID]]))))=0,"",INDEX(tsk_Deadline,(ROW()-ROW(MSPTasks[[#Headers],[ID]])))))</calculatedColumnFormula>
    </tableColumn>
    <tableColumn id="23" name="Notes">
      <calculatedColumnFormula>IF(IFERROR(INDEX(tsk_Name,(ROW()-ROW(MSPTasks[[#Headers],[ID]])))="",TRUE()),"",INDEX(tsk_Notes,(ROW()-ROW(MSPTasks[[#Headers],[ID]])))&amp;"")</calculatedColumnFormula>
    </tableColumn>
  </tableColumns>
  <tableStyleInfo name="TableStyleLight1" showRowStripes="0"/>
</table>
</file>

<file path=xl/tables/table11.xml><?xml version="1.0" encoding="utf-8"?>
<table xmlns="http://schemas.openxmlformats.org/spreadsheetml/2006/main" id="11" name="NextMilestones" displayName="NextMilestones" ref="B21:C26" headerRowCount="1">
  <tableColumns count="2">
    <tableColumn id="1" name="Next milestones (forecast)">
      <calculatedColumnFormula>IFERROR(INDEX(tsk_Name,MATCH(SMALL(tsk_MilestoneKey,(ROW()-ROW(NextMilestones[[#Headers],[Next milestones (forecast)]]))),tsk_MilestoneKey,0)),"")</calculatedColumnFormula>
    </tableColumn>
    <tableColumn id="2" name="Forecast date">
      <calculatedColumnFormula>IFERROR(INDEX(tsk_FcFinish,MATCH(SMALL(tsk_MilestoneKey,(ROW()-ROW(NextMilestones[[#Headers],[Next milestones (forecast)]]))),tsk_MilestoneKey,0)),"")</calculatedColumnFormula>
    </tableColumn>
  </tableColumns>
  <tableStyleInfo name="TableStyleLight1" showRowStripes="0"/>
</table>
</file>

<file path=xl/tables/table12.xml><?xml version="1.0" encoding="utf-8"?>
<table xmlns="http://schemas.openxmlformats.org/spreadsheetml/2006/main" id="12" name="ResourceTable" displayName="ResourceTable" ref="B5:L55" headerRowCount="1">
  <autoFilter ref="B5:L55"/>
  <tableColumns count="11">
    <tableColumn id="1" name="Resource Name"/>
    <tableColumn id="2" name="Initials"/>
    <tableColumn id="3" name="Group"/>
    <tableColumn id="4" name="Type"/>
    <tableColumn id="5" name="Max Units"/>
    <tableColumn id="6" name="Std Rate"/>
    <tableColumn id="7" name="Email"/>
    <tableColumn id="8" name="Tasks">
      <calculatedColumnFormula>IF(ResourceTable[[#This Row],[Resource Name]]="","",COUNTIFS(tsk_Resource,ResourceTable[[#This Row],[Resource Name]],tsk_IsLeaf,1))</calculatedColumnFormula>
    </tableColumn>
    <tableColumn id="9" name="Work">
      <calculatedColumnFormula>IF(ResourceTable[[#This Row],[Resource Name]]="","",SUMIFS(tsk_Work,tsk_Resource,ResourceTable[[#This Row],[Resource Name]],tsk_IsLeaf,1))</calculatedColumnFormula>
    </tableColumn>
    <tableColumn id="10" name="Cost">
      <calculatedColumnFormula>IF(ResourceTable[[#This Row],[Resource Name]]="","",SUMIFS(tsk_Cost,tsk_Resource,ResourceTable[[#This Row],[Resource Name]],tsk_IsLeaf,1))</calculatedColumnFormula>
    </tableColumn>
    <tableColumn id="11" name="Notes"/>
  </tableColumns>
  <tableStyleInfo name="TableStyleLight1" showRowStripes="0"/>
</table>
</file>

<file path=xl/tables/table13.xml><?xml version="1.0" encoding="utf-8"?>
<table xmlns="http://schemas.openxmlformats.org/spreadsheetml/2006/main" id="13" name="SprintTable" displayName="SprintTable" ref="A5:K31" headerRowCount="1">
  <tableColumns count="11">
    <tableColumn id="1" name="No">
      <calculatedColumnFormula>ROW()-ROW(SprintTable[[#Headers],[No]])</calculatedColumnFormula>
    </tableColumn>
    <tableColumn id="2" name="Sprint">
      <calculatedColumnFormula>IF(SprintTable[[#This Row],[No]]&lt;=SprintCount,SprintPrefix&amp;SprintTable[[#This Row],[No]],"")</calculatedColumnFormula>
    </tableColumn>
    <tableColumn id="3" name="Start">
      <calculatedColumnFormula>Sprint1Start+(SprintTable[[#This Row],[No]]-1)*SprintLength</calculatedColumnFormula>
    </tableColumn>
    <tableColumn id="4" name="End">
      <calculatedColumnFormula>SprintTable[[#This Row],[Start]]+SprintLength-1</calculatedColumnFormula>
    </tableColumn>
    <tableColumn id="5" name="Working Days">
      <calculatedColumnFormula>NETWORKDAYS.INTL(SprintTable[[#This Row],[Start]],SprintTable[[#This Row],[End]],WorkWeek,Holidays)</calculatedColumnFormula>
    </tableColumn>
    <tableColumn id="6" name="Goal"/>
    <tableColumn id="7" name="Tasks Starting">
      <calculatedColumnFormula>IF(SprintTable[[#This Row],[Sprint]]="","",COUNTIF(tsk_Sprint,SprintTable[[#This Row],[Sprint]]))</calculatedColumnFormula>
    </tableColumn>
    <tableColumn id="8" name="Planned Work">
      <calculatedColumnFormula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calculatedColumnFormula>
    </tableColumn>
    <tableColumn id="9" name="Capacity">
      <calculatedColumnFormula>IF(SprintTable[[#This Row],[Sprint]]="","",SUMIFS(res_MaxUnits,res_Type,"Work")*HoursPerDay*SprintTable[[#This Row],[Working Days]])</calculatedColumnFormula>
    </tableColumn>
    <tableColumn id="10" name="Utilisation">
      <calculatedColumnFormula>IF(OR(SprintTable[[#This Row],[Sprint]]="",N(SprintTable[[#This Row],[Capacity]])=0),"",SprintTable[[#This Row],[Planned Work]]/SprintTable[[#This Row],[Capacity]])</calculatedColumnFormula>
    </tableColumn>
    <tableColumn id="11" name="Status">
      <calculatedColumnFormula>IF(SprintTable[[#This Row],[Sprint]]="","",IF(StatusDate&gt;SprintTable[[#This Row],[End]],"Closed",IF(StatusDate&gt;=SprintTable[[#This Row],[Start]],"Active","Future")))</calculatedColumnFormula>
    </tableColumn>
  </tableColumns>
  <tableStyleInfo name="TableStyleLight1" showRowStripes="0"/>
</table>
</file>

<file path=xl/tables/table14.xml><?xml version="1.0" encoding="utf-8"?>
<table xmlns="http://schemas.openxmlformats.org/spreadsheetml/2006/main" id="14" name="StatusSummary" displayName="StatusSummary" ref="E4:F9" headerRowCount="1">
  <tableColumns count="2">
    <tableColumn id="1" name="Status"/>
    <tableColumn id="2" name="Count">
      <calculatedColumnFormula>COUNTIFS(tsk_Status,StatusSummary[[#This Row],[Status]],tsk_IsLeaf,1)</calculatedColumnFormula>
    </tableColumn>
  </tableColumns>
  <tableStyleInfo name="TableStyleLight1" showRowStripes="0"/>
</table>
</file>

<file path=xl/tables/table15.xml><?xml version="1.0" encoding="utf-8"?>
<table xmlns="http://schemas.openxmlformats.org/spreadsheetml/2006/main" id="15" name="Tasks" displayName="Tasks" ref="A5:CF205" headerRowCount="1">
  <autoFilter ref="A5:CF205"/>
  <tableColumns count="84">
    <tableColumn id="1" name="ID">
      <calculatedColumnFormula>IF(Tasks[[#This Row],[Task Name]]="","",COUNTA(Tasks[[#Headers],[Task Name]]:Tasks[[#This Row],[Task Name]])-1)</calculatedColumnFormula>
    </tableColumn>
    <tableColumn id="2" name="UID"/>
    <tableColumn id="3" name="WBS">
      <calculatedColumnFormula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calculatedColumnFormula>
    </tableColumn>
    <tableColumn id="4" name="Level"/>
    <tableColumn id="5" name="Task Name"/>
    <tableColumn id="6" name="Mode"/>
    <tableColumn id="7" name="Duration"/>
    <tableColumn id="8" name="Pred1 UID"/>
    <tableColumn id="9" name="Pred1 Type"/>
    <tableColumn id="10" name="Pred1 Lag"/>
    <tableColumn id="11" name="Pred2 UID"/>
    <tableColumn id="12" name="Pred2 Type"/>
    <tableColumn id="13" name="Pred2 Lag"/>
    <tableColumn id="14" name="Start No Earlier Than"/>
    <tableColumn id="15" name="Deadline"/>
    <tableColumn id="16" name="Planned Start">
      <calculatedColumnFormula>IF(Tasks[[#This Row],[Task Name]]="","",IF(N(Tasks[[#This Row],[Baseline Start]])&gt;0,Tasks[[#This Row],[Baseline Start]],Tasks[[#This Row],[_CalcStart]]))</calculatedColumnFormula>
    </tableColumn>
    <tableColumn id="17" name="Planned Finish">
      <calculatedColumnFormula>IF(Tasks[[#This Row],[Task Name]]="","",IF(N(Tasks[[#This Row],[Baseline Finish]])&gt;0,Tasks[[#This Row],[Baseline Finish]],Tasks[[#This Row],[_CalcFinish]]))</calculatedColumnFormula>
    </tableColumn>
    <tableColumn id="18" name="Actual Start"/>
    <tableColumn id="19" name="Actual Finish"/>
    <tableColumn id="20" name="Forecast Start">
      <calculatedColumnFormula>IF(Tasks[[#This Row],[Task Name]]="","",IF(Tasks[[#This Row],[_IsSummary]],MIN(INDEX(Tasks[_LeafFcstStart],Tasks[[#This Row],[_Row]]+1):INDEX(Tasks[_LeafFcstStart],Tasks[[#This Row],[_Row]]+Tasks[[#This Row],[_Descendants]])),Tasks[[#This Row],[_LeafFcstStart]]))</calculatedColumnFormula>
    </tableColumn>
    <tableColumn id="21" name="Forecast Finish">
      <calculatedColumnFormula>IF(Tasks[[#This Row],[Task Name]]="","",IF(Tasks[[#This Row],[_IsSummary]],MAX(INDEX(Tasks[_LeafFcstFinish],Tasks[[#This Row],[_Row]]+1):INDEX(Tasks[_LeafFcstFinish],Tasks[[#This Row],[_Row]]+Tasks[[#This Row],[_Descendants]])),Tasks[[#This Row],[_LeafFcstFinish]]))</calculatedColumnFormula>
    </tableColumn>
    <tableColumn id="22" name="Start Var">
      <calculatedColumnFormula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calculatedColumnFormula>
    </tableColumn>
    <tableColumn id="23" name="Finish Var">
      <calculatedColumnFormula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calculatedColumnFormula>
    </tableColumn>
    <tableColumn id="24" name="Deadline Check">
      <calculatedColumnFormula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calculatedColumnFormula>
    </tableColumn>
    <tableColumn id="25" name="Link Check">
      <calculatedColumnFormula>IF(Tasks[[#This Row],[Task Name]]="","",TRIM(IF(Tasks[[#This Row],[_Pred1Problem]]&lt;&gt;"","Pred 1: "&amp;Tasks[[#This Row],[_Pred1Problem]]&amp;". ","")&amp;IF(Tasks[[#This Row],[_Pred2Problem]]&lt;&gt;"","Pred 2: "&amp;Tasks[[#This Row],[_Pred2Problem]]&amp;".","")))</calculatedColumnFormula>
    </tableColumn>
    <tableColumn id="26" name="% Complete"/>
    <tableColumn id="27" name="Progress">
      <calculatedColumnFormula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calculatedColumnFormula>
    </tableColumn>
    <tableColumn id="28" name="Status">
      <calculatedColumnFormula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calculatedColumnFormula>
    </tableColumn>
    <tableColumn id="29" name="Resource"/>
    <tableColumn id="30" name="Units"/>
    <tableColumn id="31" name="Work">
      <calculatedColumnFormula>IF(Tasks[[#This Row],[Task Name]]="","",IF(Tasks[[#This Row],[_IsSummary]],SUM(INDEX(Tasks[_LeafWork],Tasks[[#This Row],[_Row]]+1):INDEX(Tasks[_LeafWork],Tasks[[#This Row],[_Row]]+Tasks[[#This Row],[_Descendants]])),Tasks[[#This Row],[_LeafWork]]))</calculatedColumnFormula>
    </tableColumn>
    <tableColumn id="32" name="Cost">
      <calculatedColumnFormula>IF(Tasks[[#This Row],[Task Name]]="","",IF(Tasks[[#This Row],[_IsSummary]],SUM(INDEX(Tasks[_LeafCost],Tasks[[#This Row],[_Row]]+1):INDEX(Tasks[_LeafCost],Tasks[[#This Row],[_Row]]+Tasks[[#This Row],[_Descendants]])),Tasks[[#This Row],[_LeafCost]]))</calculatedColumnFormula>
    </tableColumn>
    <tableColumn id="33" name="Sprint">
      <calculatedColumnFormula>IF(OR(Tasks[[#This Row],[Task Name]]="",Tasks[[#This Row],[_IsSummary]]),"",IF(OR(Tasks[[#This Row],[Forecast Start]]&lt;Sprint1Start,Tasks[[#This Row],[Forecast Start]]&gt;SprintLastEnd),"Backlog",INDEX(spr_Name,MATCH(Tasks[[#This Row],[Forecast Start]],spr_Start,1))))</calculatedColumnFormula>
    </tableColumn>
    <tableColumn id="34" name="Predecessors">
      <calculatedColumnFormula>IF(Tasks[[#This Row],[Task Name]]="","",Tasks[[#This Row],[_Pred1IDText]]&amp;IF(AND(Tasks[[#This Row],[_Pred1IDText]]&lt;&gt;"",Tasks[[#This Row],[_Pred2IDText]]&lt;&gt;""),",","")&amp;Tasks[[#This Row],[_Pred2IDText]])</calculatedColumnFormula>
    </tableColumn>
    <tableColumn id="35" name="Notes"/>
    <tableColumn id="36" name="BL Source Start">
      <calculatedColumnFormula>IF(Tasks[[#This Row],[Task Name]]="","",Tasks[[#This Row],[Forecast Start]])</calculatedColumnFormula>
    </tableColumn>
    <tableColumn id="37" name="BL Source Finish">
      <calculatedColumnFormula>IF(Tasks[[#This Row],[Task Name]]="","",Tasks[[#This Row],[Forecast Finish]])</calculatedColumnFormula>
    </tableColumn>
    <tableColumn id="38" name="BL Source Duration">
      <calculatedColumnFormula>IF(Tasks[[#This Row],[Task Name]]="","",IF(Tasks[[#This Row],[_IsSummary]],NETWORKDAYS.INTL(Tasks[[#This Row],[Forecast Start]],Tasks[[#This Row],[Forecast Finish]],WorkWeek,Holidays),N(Tasks[[#This Row],[Duration]])))</calculatedColumnFormula>
    </tableColumn>
    <tableColumn id="39" name="BL Source Work">
      <calculatedColumnFormula>IF(Tasks[[#This Row],[Task Name]]="","",Tasks[[#This Row],[Work]])</calculatedColumnFormula>
    </tableColumn>
    <tableColumn id="40" name="BL Source Cost">
      <calculatedColumnFormula>IF(Tasks[[#This Row],[Task Name]]="","",Tasks[[#This Row],[Cost]])</calculatedColumnFormula>
    </tableColumn>
    <tableColumn id="41" name="Baseline Start"/>
    <tableColumn id="42" name="Baseline Finish"/>
    <tableColumn id="43" name="Baseline Duration"/>
    <tableColumn id="44" name="Baseline Work"/>
    <tableColumn id="45" name="Baseline Cost"/>
    <tableColumn id="46" name="Duration Var">
      <calculatedColumnFormula>IF(OR(Tasks[[#This Row],[Task Name]]="",Tasks[[#This Row],[Baseline Duration]]=""),"",Tasks[[#This Row],[BL Source Duration]]-N(Tasks[[#This Row],[Baseline Duration]]))</calculatedColumnFormula>
    </tableColumn>
    <tableColumn id="47" name="Work Var">
      <calculatedColumnFormula>IF(OR(Tasks[[#This Row],[Task Name]]="",Tasks[[#This Row],[Baseline Work]]=""),"",Tasks[[#This Row],[Work]]-N(Tasks[[#This Row],[Baseline Work]]))</calculatedColumnFormula>
    </tableColumn>
    <tableColumn id="48" name="Cost Var">
      <calculatedColumnFormula>IF(OR(Tasks[[#This Row],[Task Name]]="",Tasks[[#This Row],[Baseline Cost]]=""),"",Tasks[[#This Row],[Cost]]-N(Tasks[[#This Row],[Baseline Cost]]))</calculatedColumnFormula>
    </tableColumn>
    <tableColumn id="49" name="_Level">
      <calculatedColumnFormula>IF(Tasks[[#This Row],[Task Name]]="","",MAX(1,N(Tasks[[#This Row],[Level]])))</calculatedColumnFormula>
    </tableColumn>
    <tableColumn id="50" name="_Row">
      <calculatedColumnFormula>ROW()-ROW(Tasks[[#Headers],[ID]])</calculatedColumnFormula>
    </tableColumn>
    <tableColumn id="51" name="_ParentRow">
      <calculatedColumnFormula>IF(OR(Tasks[[#This Row],[Task Name]]="",Tasks[[#This Row],[_Level]]&lt;=1),0,IFERROR(LOOKUP(2,1/(Tasks[[#Headers],[_Level]]:Tasks[[#This Row],[_Level]]=Tasks[[#This Row],[_Level]]-1),ROW(Tasks[[#Headers],[_Level]]:Tasks[[#This Row],[_Level]])),0))</calculatedColumnFormula>
    </tableColumn>
    <tableColumn id="52" name="_NextLevel">
      <calculatedColumnFormula>IFERROR(N(INDEX(Tasks[_Level],Tasks[[#This Row],[_Row]]+1)),0)</calculatedColumnFormula>
    </tableColumn>
    <tableColumn id="53" name="_IsSummary">
      <calculatedColumnFormula>AND(Tasks[[#This Row],[Task Name]]&lt;&gt;"",Tasks[[#This Row],[_NextLevel]]&gt;Tasks[[#This Row],[_Level]])</calculatedColumnFormula>
    </tableColumn>
    <tableColumn id="54" name="_Descendants">
      <calculatedColumnFormula>IF(Tasks[[#This Row],[_IsSummary]],COUNTIF(Tasks[WBS],Tasks[[#This Row],[WBS]]&amp;".*"),0)</calculatedColumnFormula>
    </tableColumn>
    <tableColumn id="55" name="_IsLeaf">
      <calculatedColumnFormula>IF(AND(Tasks[[#This Row],[Task Name]]&lt;&gt;"",NOT(Tasks[[#This Row],[_IsSummary]])),1,0)</calculatedColumnFormula>
    </tableColumn>
    <tableColumn id="56" name="_Pred1Pos">
      <calculatedColumnFormula>IF(N(Tasks[[#This Row],[Pred1 UID]])=0,0,IFERROR(MATCH(Tasks[[#This Row],[Pred1 UID]],Tasks[UID],0),-1))</calculatedColumnFormula>
    </tableColumn>
    <tableColumn id="57" name="_Pred2Pos">
      <calculatedColumnFormula>IF(N(Tasks[[#This Row],[Pred2 UID]])=0,0,IFERROR(MATCH(Tasks[[#This Row],[Pred2 UID]],Tasks[UID],0),-1))</calculatedColumnFormula>
    </tableColumn>
    <tableColumn id="58" name="_LeafCalcStart">
      <calculatedColumnFormula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calculatedColumnFormula>
    </tableColumn>
    <tableColumn id="59" name="_LeafCalcFinish">
      <calculatedColumnFormula>IF(NOT(Tasks[[#This Row],[_IsLeaf]]=1),"",IF(N(Tasks[[#This Row],[Duration]])&lt;=0,Tasks[[#This Row],[_LeafCalcStart]],WORKDAY.INTL(Tasks[[#This Row],[_LeafCalcStart]],Tasks[[#This Row],[Duration]]-1,WorkWeek,Holidays)))</calculatedColumnFormula>
    </tableColumn>
    <tableColumn id="60" name="_LeafFcstStart">
      <calculatedColumnFormula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calculatedColumnFormula>
    </tableColumn>
    <tableColumn id="61" name="_LeafFcstFinish">
      <calculatedColumnFormula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calculatedColumnFormula>
    </tableColumn>
    <tableColumn id="62" name="_LeafProgress">
      <calculatedColumnFormula>IF(NOT(Tasks[[#This Row],[_IsLeaf]]=1),0,IF(N(Tasks[[#This Row],[Actual Finish]])&gt;0,1,MIN(1,N(Tasks[[#This Row],[% Complete]]))))</calculatedColumnFormula>
    </tableColumn>
    <tableColumn id="63" name="_LeafWork">
      <calculatedColumnFormula>IF(OR(NOT(Tasks[[#This Row],[_IsLeaf]]=1),Tasks[[#This Row],[Resource]]=""),0,N(Tasks[[#This Row],[Duration]])*HoursPerDay*IF(Tasks[[#This Row],[Units]]="",DefaultUnits,Tasks[[#This Row],[Units]]))</calculatedColumnFormula>
    </tableColumn>
    <tableColumn id="64" name="_LeafCost">
      <calculatedColumnFormula>IF(Tasks[[#This Row],[_LeafWork]]=0,0,Tasks[[#This Row],[_LeafWork]]*IFERROR(INDEX(res_Rate,MATCH(Tasks[[#This Row],[Resource]],res_Name,0)),0))</calculatedColumnFormula>
    </tableColumn>
    <tableColumn id="65" name="_CalcStart">
      <calculatedColumnFormula>IF(Tasks[[#This Row],[Task Name]]="","",IF(Tasks[[#This Row],[_IsSummary]],MIN(INDEX(Tasks[_LeafCalcStart],Tasks[[#This Row],[_Row]]+1):INDEX(Tasks[_LeafCalcStart],Tasks[[#This Row],[_Row]]+Tasks[[#This Row],[_Descendants]])),Tasks[[#This Row],[_LeafCalcStart]]))</calculatedColumnFormula>
    </tableColumn>
    <tableColumn id="66" name="_CalcFinish">
      <calculatedColumnFormula>IF(Tasks[[#This Row],[Task Name]]="","",IF(Tasks[[#This Row],[_IsSummary]],MAX(INDEX(Tasks[_LeafCalcFinish],Tasks[[#This Row],[_Row]]+1):INDEX(Tasks[_LeafCalcFinish],Tasks[[#This Row],[_Row]]+Tasks[[#This Row],[_Descendants]])),Tasks[[#This Row],[_LeafCalcFinish]]))</calculatedColumnFormula>
    </tableColumn>
    <tableColumn id="67" name="_Pred1Problem">
      <calculatedColumnFormula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calculatedColumnFormula>
    </tableColumn>
    <tableColumn id="68" name="_Pred2Problem">
      <calculatedColumnFormula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calculatedColumnFormula>
    </tableColumn>
    <tableColumn id="69" name="_Pred1Plan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calculatedColumnFormula>
    </tableColumn>
    <tableColumn id="70" name="_Pred2Plan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calculatedColumnFormula>
    </tableColumn>
    <tableColumn id="71" name="_Pred1Fcst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calculatedColumnFormula>
    </tableColumn>
    <tableColumn id="72" name="_Pred2Fcst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calculatedColumnFormula>
    </tableColumn>
    <tableColumn id="73" name="_StartWorkday">
      <calculatedColumnFormula>IF(AND(Tasks[[#This Row],[_IsLeaf]]=1,Tasks[[#This Row],[_LeafWork]]&gt;0),NETWORKDAYS.INTL(ProjectStart,Tasks[[#This Row],[_LeafFcstStart]],WorkWeek,Holidays),0)</calculatedColumnFormula>
    </tableColumn>
    <tableColumn id="74" name="_FinishWorkday">
      <calculatedColumnFormula>IF(AND(Tasks[[#This Row],[_IsLeaf]]=1,Tasks[[#This Row],[_LeafWork]]&gt;0),MAX(Tasks[[#This Row],[_StartWorkday]],NETWORKDAYS.INTL(ProjectStart,Tasks[[#This Row],[_LeafFcstFinish]],WorkWeek,Holidays)),0)</calculatedColumnFormula>
    </tableColumn>
    <tableColumn id="75" name="_WorkPerWorkday">
      <calculatedColumnFormula>IF(AND(Tasks[[#This Row],[_IsLeaf]]=1,Tasks[[#This Row],[_LeafWork]]&gt;0),Tasks[[#This Row],[_LeafWork]]/(Tasks[[#This Row],[_FinishWorkday]]-Tasks[[#This Row],[_StartWorkday]]+1),0)</calculatedColumnFormula>
    </tableColumn>
    <tableColumn id="76" name="_WorkBeforeStart">
      <calculatedColumnFormula>Tasks[[#This Row],[_WorkPerWorkday]]*(Tasks[[#This Row],[_StartWorkday]]-1)</calculatedColumnFormula>
    </tableColumn>
    <tableColumn id="77" name="_WeightDur">
      <calculatedColumnFormula>IF(Tasks[[#This Row],[_IsLeaf]]=1,MAX(N(Tasks[[#This Row],[Duration]]),0.1),0)</calculatedColumnFormula>
    </tableColumn>
    <tableColumn id="78" name="_WeightDone">
      <calculatedColumnFormula>Tasks[[#This Row],[_WeightDur]]*Tasks[[#This Row],[_LeafProgress]]</calculatedColumnFormula>
    </tableColumn>
    <tableColumn id="79" name="_Pred1IDText">
      <calculatedColumnFormula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80" name="_Pred2IDText">
      <calculatedColumnFormula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81" name="_Pred1UIDText">
      <calculatedColumnFormula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82" name="_Pred2UIDText">
      <calculatedColumnFormula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83" name="_UIDPredecessors">
      <calculatedColumnFormula>IF(Tasks[[#This Row],[Task Name]]="","",Tasks[[#This Row],[_Pred1UIDText]]&amp;IF(AND(Tasks[[#This Row],[_Pred1UIDText]]&lt;&gt;"",Tasks[[#This Row],[_Pred2UIDText]]&lt;&gt;""),",","")&amp;Tasks[[#This Row],[_Pred2UIDText]])</calculatedColumnFormula>
    </tableColumn>
    <tableColumn id="84" name="_MilestoneKey">
      <calculatedColumnFormula>IF(AND(Tasks[[#This Row],[_IsLeaf]]=1,N(Tasks[[#This Row],[Duration]])=0,Tasks[[#This Row],[_LeafProgress]]&lt;1),Tasks[[#This Row],[_LeafFcstFinish]]+Tasks[[#This Row],[_Row]]/100000,"")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<Relationship Id="rId3" Type="http://schemas.openxmlformats.org/officeDocument/2006/relationships/table" Target="../tables/table11.xml"/><Relationship Id="rId4" Type="http://schemas.openxmlformats.org/officeDocument/2006/relationships/table" Target="../tables/table1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4.xml"/><Relationship Id="rId2" Type="http://schemas.openxmlformats.org/officeDocument/2006/relationships/table" Target="../tables/table5.xml"/><Relationship Id="rId3" Type="http://schemas.openxmlformats.org/officeDocument/2006/relationships/table" Target="../tables/table6.xml"/><Relationship Id="rId4" Type="http://schemas.openxmlformats.org/officeDocument/2006/relationships/table" Target="../tables/table7.xml"/><Relationship Id="rId5" Type="http://schemas.openxmlformats.org/officeDocument/2006/relationships/table" Target="../tables/table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B1:C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22.05" hidden="false" customHeight="false" outlineLevel="0" collapsed="false">
      <c r="B1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23.85" hidden="false" customHeight="false" outlineLevel="0" collapsed="false">
      <c r="B5" s="4" t="s">
        <v>2</v>
      </c>
      <c r="C5" s="5" t="s">
        <v>3</v>
      </c>
    </row>
    <row r="6" customFormat="false" ht="15" hidden="false" customHeight="false" outlineLevel="0" collapsed="false">
      <c r="B6" s="4" t="s">
        <v>4</v>
      </c>
      <c r="C6" s="5" t="s">
        <v>5</v>
      </c>
    </row>
    <row r="7" customFormat="false" ht="46.25" hidden="false" customHeight="false" outlineLevel="0" collapsed="false">
      <c r="B7" s="4" t="s">
        <v>6</v>
      </c>
      <c r="C7" s="5" t="s">
        <v>7</v>
      </c>
    </row>
    <row r="8" customFormat="false" ht="35.05" hidden="false" customHeight="false" outlineLevel="0" collapsed="false">
      <c r="B8" s="4" t="s">
        <v>8</v>
      </c>
      <c r="C8" s="5" t="s">
        <v>9</v>
      </c>
    </row>
    <row r="9" customFormat="false" ht="23.85" hidden="false" customHeight="false" outlineLevel="0" collapsed="false">
      <c r="B9" s="4" t="s">
        <v>10</v>
      </c>
      <c r="C9" s="5" t="s">
        <v>11</v>
      </c>
    </row>
    <row r="10" customFormat="false" ht="35.05" hidden="false" customHeight="false" outlineLevel="0" collapsed="false">
      <c r="B10" s="4" t="s">
        <v>12</v>
      </c>
      <c r="C10" s="5" t="s">
        <v>13</v>
      </c>
    </row>
    <row r="11" customFormat="false" ht="23.85" hidden="false" customHeight="false" outlineLevel="0" collapsed="false">
      <c r="B11" s="4" t="s">
        <v>14</v>
      </c>
      <c r="C11" s="5" t="s">
        <v>15</v>
      </c>
    </row>
    <row r="12" customFormat="false" ht="15" hidden="false" customHeight="false" outlineLevel="0" collapsed="false">
      <c r="B12" s="4" t="s">
        <v>16</v>
      </c>
      <c r="C12" s="5" t="s">
        <v>17</v>
      </c>
    </row>
    <row r="14" customFormat="false" ht="15" hidden="false" customHeight="false" outlineLevel="0" collapsed="false">
      <c r="B14" s="2" t="s">
        <v>18</v>
      </c>
      <c r="C14" s="3"/>
    </row>
    <row r="15" customFormat="false" ht="15" hidden="false" customHeight="false" outlineLevel="0" collapsed="false">
      <c r="B15" s="4" t="s">
        <v>19</v>
      </c>
      <c r="C15" s="6" t="s">
        <v>20</v>
      </c>
    </row>
    <row r="16" customFormat="false" ht="15" hidden="false" customHeight="false" outlineLevel="0" collapsed="false">
      <c r="B16" s="4" t="s">
        <v>21</v>
      </c>
      <c r="C16" s="7" t="s">
        <v>22</v>
      </c>
    </row>
    <row r="17" customFormat="false" ht="15" hidden="false" customHeight="false" outlineLevel="0" collapsed="false">
      <c r="B17" s="4" t="s">
        <v>23</v>
      </c>
      <c r="C17" s="5" t="s">
        <v>24</v>
      </c>
    </row>
    <row r="19" customFormat="false" ht="15" hidden="false" customHeight="false" outlineLevel="0" collapsed="false">
      <c r="B19" s="2" t="s">
        <v>25</v>
      </c>
      <c r="C19" s="3"/>
    </row>
    <row r="20" customFormat="false" ht="23.85" hidden="false" customHeight="false" outlineLevel="0" collapsed="false">
      <c r="B20" s="4" t="s">
        <v>26</v>
      </c>
      <c r="C20" s="5" t="s">
        <v>27</v>
      </c>
    </row>
    <row r="21" customFormat="false" ht="23.85" hidden="false" customHeight="false" outlineLevel="0" collapsed="false">
      <c r="B21" s="4" t="s">
        <v>28</v>
      </c>
      <c r="C21" s="5" t="s">
        <v>29</v>
      </c>
    </row>
    <row r="22" customFormat="false" ht="15" hidden="false" customHeight="false" outlineLevel="0" collapsed="false">
      <c r="B22" s="4" t="s">
        <v>30</v>
      </c>
      <c r="C22" s="5" t="s">
        <v>31</v>
      </c>
    </row>
    <row r="23" customFormat="false" ht="46.25" hidden="false" customHeight="false" outlineLevel="0" collapsed="false">
      <c r="B23" s="4" t="s">
        <v>32</v>
      </c>
      <c r="C23" s="5" t="s">
        <v>33</v>
      </c>
    </row>
    <row r="24" customFormat="false" ht="15" hidden="false" customHeight="false" outlineLevel="0" collapsed="false">
      <c r="B24" s="4" t="s">
        <v>34</v>
      </c>
      <c r="C24" s="5" t="s">
        <v>35</v>
      </c>
    </row>
    <row r="25" customFormat="false" ht="23.85" hidden="false" customHeight="false" outlineLevel="0" collapsed="false">
      <c r="B25" s="4" t="s">
        <v>36</v>
      </c>
      <c r="C25" s="5" t="s">
        <v>37</v>
      </c>
    </row>
    <row r="26" customFormat="false" ht="23.85" hidden="false" customHeight="false" outlineLevel="0" collapsed="false">
      <c r="B26" s="4" t="s">
        <v>38</v>
      </c>
      <c r="C26" s="5" t="s">
        <v>39</v>
      </c>
    </row>
    <row r="27" customFormat="false" ht="35.05" hidden="false" customHeight="false" outlineLevel="0" collapsed="false">
      <c r="B27" s="4" t="s">
        <v>40</v>
      </c>
      <c r="C27" s="5" t="s">
        <v>41</v>
      </c>
    </row>
    <row r="29" customFormat="false" ht="15" hidden="false" customHeight="false" outlineLevel="0" collapsed="false">
      <c r="B29" s="2" t="s">
        <v>42</v>
      </c>
      <c r="C29" s="3"/>
    </row>
    <row r="30" customFormat="false" ht="23.85" hidden="false" customHeight="false" outlineLevel="0" collapsed="false">
      <c r="B30" s="4" t="s">
        <v>43</v>
      </c>
      <c r="C30" s="5" t="s">
        <v>44</v>
      </c>
    </row>
    <row r="31" customFormat="false" ht="46.25" hidden="false" customHeight="false" outlineLevel="0" collapsed="false">
      <c r="B31" s="4" t="s">
        <v>45</v>
      </c>
      <c r="C31" s="5" t="s">
        <v>46</v>
      </c>
    </row>
    <row r="32" customFormat="false" ht="35.05" hidden="false" customHeight="false" outlineLevel="0" collapsed="false">
      <c r="B32" s="4" t="s">
        <v>47</v>
      </c>
      <c r="C32" s="5" t="s">
        <v>48</v>
      </c>
    </row>
    <row r="33" customFormat="false" ht="23.85" hidden="false" customHeight="false" outlineLevel="0" collapsed="false">
      <c r="B33" s="4" t="s">
        <v>49</v>
      </c>
      <c r="C33" s="5" t="s">
        <v>50</v>
      </c>
    </row>
    <row r="34" customFormat="false" ht="23.85" hidden="false" customHeight="false" outlineLevel="0" collapsed="false">
      <c r="B34" s="4" t="s">
        <v>51</v>
      </c>
      <c r="C34" s="5" t="s">
        <v>52</v>
      </c>
    </row>
    <row r="36" customFormat="false" ht="15" hidden="false" customHeight="false" outlineLevel="0" collapsed="false">
      <c r="B36" s="2" t="s">
        <v>53</v>
      </c>
      <c r="C36" s="3"/>
    </row>
    <row r="37" customFormat="false" ht="23.85" hidden="false" customHeight="false" outlineLevel="0" collapsed="false">
      <c r="B37" s="4" t="s">
        <v>54</v>
      </c>
      <c r="C37" s="5" t="s">
        <v>55</v>
      </c>
    </row>
    <row r="38" customFormat="false" ht="23.85" hidden="false" customHeight="false" outlineLevel="0" collapsed="false">
      <c r="B38" s="4" t="s">
        <v>56</v>
      </c>
      <c r="C38" s="5" t="s">
        <v>57</v>
      </c>
    </row>
    <row r="39" customFormat="false" ht="23.85" hidden="false" customHeight="false" outlineLevel="0" collapsed="false">
      <c r="B39" s="4" t="s">
        <v>58</v>
      </c>
      <c r="C39" s="5" t="s">
        <v>59</v>
      </c>
    </row>
    <row r="40" customFormat="false" ht="15" hidden="false" customHeight="false" outlineLevel="0" collapsed="false">
      <c r="B40" s="4" t="s">
        <v>60</v>
      </c>
      <c r="C40" s="5" t="s">
        <v>61</v>
      </c>
    </row>
    <row r="41" customFormat="false" ht="46.25" hidden="false" customHeight="false" outlineLevel="0" collapsed="false">
      <c r="B41" s="4" t="s">
        <v>62</v>
      </c>
      <c r="C41" s="5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22.05" hidden="false" customHeight="false" outlineLevel="0" collapsed="false">
      <c r="A1" s="1" t="str">
        <f aca="false">ProjectName&amp;"  -  Dashboard"</f>
        <v>Customer Portal Implementation  -  Dashboard</v>
      </c>
    </row>
    <row r="2" customFormat="false" ht="15" hidden="false" customHeight="false" outlineLevel="0" collapsed="false">
      <c r="A2" s="8" t="str">
        <f aca="false">"Project manager: "&amp;ProjectManager&amp;"     Status date: "&amp;TEXT(StatusDate,"ddd dd-mmm-yyyy")</f>
        <v>Project manager: Priya Sharma     Status date: Sun 25-Oct-2026</v>
      </c>
    </row>
    <row r="4" customFormat="false" ht="15" hidden="false" customHeight="false" outlineLevel="0" collapsed="false">
      <c r="B4" s="9" t="s">
        <v>64</v>
      </c>
      <c r="C4" s="9" t="s">
        <v>65</v>
      </c>
      <c r="E4" s="9" t="s">
        <v>66</v>
      </c>
      <c r="F4" s="9" t="s">
        <v>67</v>
      </c>
    </row>
    <row r="5" customFormat="false" ht="15" hidden="false" customHeight="false" outlineLevel="0" collapsed="false">
      <c r="B5" s="10" t="s">
        <v>68</v>
      </c>
      <c r="C5" s="11" t="n">
        <f aca="false">MIN(tsk_PlanStart)</f>
        <v>46272</v>
      </c>
      <c r="E5" s="12" t="s">
        <v>69</v>
      </c>
      <c r="F5" s="10" t="n">
        <f aca="false">COUNTIFS(tsk_Status,StatusSummary[[#This Row],[Status]],tsk_IsLeaf,1)</f>
        <v>9</v>
      </c>
    </row>
    <row r="6" customFormat="false" ht="15" hidden="false" customHeight="false" outlineLevel="0" collapsed="false">
      <c r="B6" s="10" t="s">
        <v>70</v>
      </c>
      <c r="C6" s="11" t="n">
        <f aca="false">MAX(tsk_PlanFinish)</f>
        <v>46393</v>
      </c>
      <c r="E6" s="13" t="s">
        <v>71</v>
      </c>
      <c r="F6" s="10" t="n">
        <f aca="false">COUNTIFS(tsk_Status,StatusSummary[[#This Row],[Status]],tsk_IsLeaf,1)</f>
        <v>0</v>
      </c>
    </row>
    <row r="7" customFormat="false" ht="15" hidden="false" customHeight="false" outlineLevel="0" collapsed="false">
      <c r="B7" s="10" t="s">
        <v>72</v>
      </c>
      <c r="C7" s="11" t="n">
        <f aca="false">MAX(tsk_FcFinish)</f>
        <v>46393</v>
      </c>
      <c r="E7" s="14" t="s">
        <v>73</v>
      </c>
      <c r="F7" s="10" t="n">
        <f aca="false">COUNTIFS(tsk_Status,StatusSummary[[#This Row],[Status]],tsk_IsLeaf,1)</f>
        <v>2</v>
      </c>
    </row>
    <row r="8" customFormat="false" ht="15" hidden="false" customHeight="false" outlineLevel="0" collapsed="false">
      <c r="B8" s="10" t="s">
        <v>74</v>
      </c>
      <c r="C8" s="15" t="n">
        <f aca="false">IF(MAX(tsk_FcFinish)&gt;=MAX(tsk_PlanFinish),NETWORKDAYS.INTL(MAX(tsk_PlanFinish),MAX(tsk_FcFinish),WorkWeek,Holidays)-1,1-NETWORKDAYS.INTL(MAX(tsk_FcFinish),MAX(tsk_PlanFinish),WorkWeek,Holidays))</f>
        <v>0</v>
      </c>
      <c r="E8" s="16" t="s">
        <v>75</v>
      </c>
      <c r="F8" s="10" t="n">
        <f aca="false">COUNTIFS(tsk_Status,StatusSummary[[#This Row],[Status]],tsk_IsLeaf,1)</f>
        <v>1</v>
      </c>
    </row>
    <row r="9" customFormat="false" ht="15" hidden="false" customHeight="false" outlineLevel="0" collapsed="false">
      <c r="B9" s="10" t="s">
        <v>76</v>
      </c>
      <c r="C9" s="17" t="n">
        <f aca="false">IFERROR(SUM(tsk_WtDone)/SUM(tsk_WtDur),0)</f>
        <v>0.434170854271357</v>
      </c>
      <c r="E9" s="18" t="s">
        <v>77</v>
      </c>
      <c r="F9" s="10" t="n">
        <f aca="false">COUNTIFS(tsk_Status,StatusSummary[[#This Row],[Status]],tsk_IsLeaf,1)</f>
        <v>11</v>
      </c>
    </row>
    <row r="10" customFormat="false" ht="15" hidden="false" customHeight="false" outlineLevel="0" collapsed="false">
      <c r="B10" s="10" t="s">
        <v>78</v>
      </c>
      <c r="C10" s="17" t="n">
        <f aca="false">IFERROR(SUMPRODUCT(tsk_WtDur*(tsk_PlanFinish&lt;StatusDate))/SUM(tsk_WtDur),0)</f>
        <v>0.45427135678392</v>
      </c>
    </row>
    <row r="11" customFormat="false" ht="15" hidden="false" customHeight="false" outlineLevel="0" collapsed="false">
      <c r="B11" s="10" t="s">
        <v>79</v>
      </c>
      <c r="C11" s="19" t="n">
        <f aca="false">SUM(tsk_IsLeaf)</f>
        <v>23</v>
      </c>
    </row>
    <row r="12" customFormat="false" ht="15" hidden="false" customHeight="false" outlineLevel="0" collapsed="false">
      <c r="B12" s="10" t="s">
        <v>80</v>
      </c>
      <c r="C12" s="19" t="n">
        <f aca="false">SUMPRODUCT(tsk_IsLeaf*(tsk_Duration=0)*(tsk_Name&lt;&gt;""))</f>
        <v>5</v>
      </c>
    </row>
    <row r="13" customFormat="false" ht="15" hidden="false" customHeight="false" outlineLevel="0" collapsed="false">
      <c r="B13" s="10" t="s">
        <v>81</v>
      </c>
      <c r="C13" s="20" t="n">
        <f aca="false">SUMPRODUCT(tsk_Work,tsk_IsLeaf)</f>
        <v>720</v>
      </c>
    </row>
    <row r="14" customFormat="false" ht="15" hidden="false" customHeight="false" outlineLevel="0" collapsed="false">
      <c r="B14" s="10" t="s">
        <v>82</v>
      </c>
      <c r="C14" s="21" t="n">
        <f aca="false">SUMPRODUCT(tsk_Cost,tsk_IsLeaf)</f>
        <v>58040</v>
      </c>
    </row>
    <row r="15" customFormat="false" ht="15" hidden="false" customHeight="false" outlineLevel="0" collapsed="false">
      <c r="B15" s="10" t="s">
        <v>83</v>
      </c>
      <c r="C15" s="22" t="str">
        <f aca="false">IF(OR(StatusDate&lt;Sprint1Start,StatusDate&gt;SprintLastEnd),"(outside sprint range)",INDEX(spr_Name,MATCH(StatusDate,spr_Start,1)))</f>
        <v>Sprint 4</v>
      </c>
    </row>
    <row r="16" customFormat="false" ht="15" hidden="false" customHeight="false" outlineLevel="0" collapsed="false">
      <c r="B16" s="10" t="s">
        <v>84</v>
      </c>
      <c r="C16" s="22" t="str">
        <f aca="false">IF(COUNT(tsk_BaseStart)=0,"Not set (planned = calculated)","Set on "&amp;COUNT(tsk_BaseStart)&amp;" tasks")</f>
        <v>Not set (planned = calculated)</v>
      </c>
    </row>
    <row r="17" customFormat="false" ht="15" hidden="false" customHeight="false" outlineLevel="0" collapsed="false">
      <c r="B17" s="10" t="s">
        <v>85</v>
      </c>
      <c r="C17" s="19" t="n">
        <f aca="false">COUNTIF(tsk_DeadlineCheck,"Late*")</f>
        <v>1</v>
      </c>
    </row>
    <row r="18" customFormat="false" ht="15" hidden="false" customHeight="false" outlineLevel="0" collapsed="false">
      <c r="B18" s="10" t="s">
        <v>86</v>
      </c>
      <c r="C18" s="19" t="n">
        <f aca="false">COUNTIF(tsk_LinkCheck,"?*")</f>
        <v>0</v>
      </c>
    </row>
    <row r="21" customFormat="false" ht="15" hidden="false" customHeight="false" outlineLevel="0" collapsed="false">
      <c r="B21" s="9" t="s">
        <v>87</v>
      </c>
      <c r="C21" s="9" t="s">
        <v>88</v>
      </c>
    </row>
    <row r="22" customFormat="false" ht="15" hidden="false" customHeight="false" outlineLevel="0" collapsed="false">
      <c r="B22" s="23" t="str">
        <f aca="false">IFERROR(INDEX(tsk_Name,MATCH(SMALL(tsk_MilestoneKey,(ROW()-ROW(NextMilestones[[#Headers],[Next milestones (forecast)]]))),tsk_MilestoneKey,0)),"")</f>
        <v>Build complete</v>
      </c>
      <c r="C22" s="24" t="n">
        <f aca="false">IFERROR(INDEX(tsk_FcFinish,MATCH(SMALL(tsk_MilestoneKey,(ROW()-ROW(NextMilestones[[#Headers],[Next milestones (forecast)]]))),tsk_MilestoneKey,0)),"")</f>
        <v>46335</v>
      </c>
    </row>
    <row r="23" customFormat="false" ht="15" hidden="false" customHeight="false" outlineLevel="0" collapsed="false">
      <c r="B23" s="23" t="str">
        <f aca="false">IFERROR(INDEX(tsk_Name,MATCH(SMALL(tsk_MilestoneKey,(ROW()-ROW(NextMilestones[[#Headers],[Next milestones (forecast)]]))),tsk_MilestoneKey,0)),"")</f>
        <v>Go-live</v>
      </c>
      <c r="C23" s="24" t="n">
        <f aca="false">IFERROR(INDEX(tsk_FcFinish,MATCH(SMALL(tsk_MilestoneKey,(ROW()-ROW(NextMilestones[[#Headers],[Next milestones (forecast)]]))),tsk_MilestoneKey,0)),"")</f>
        <v>46371</v>
      </c>
    </row>
    <row r="24" customFormat="false" ht="15" hidden="false" customHeight="false" outlineLevel="0" collapsed="false">
      <c r="B24" s="23" t="str">
        <f aca="false">IFERROR(INDEX(tsk_Name,MATCH(SMALL(tsk_MilestoneKey,(ROW()-ROW(NextMilestones[[#Headers],[Next milestones (forecast)]]))),tsk_MilestoneKey,0)),"")</f>
        <v>Project closed</v>
      </c>
      <c r="C24" s="24" t="n">
        <f aca="false">IFERROR(INDEX(tsk_FcFinish,MATCH(SMALL(tsk_MilestoneKey,(ROW()-ROW(NextMilestones[[#Headers],[Next milestones (forecast)]]))),tsk_MilestoneKey,0)),"")</f>
        <v>46393</v>
      </c>
    </row>
    <row r="25" customFormat="false" ht="15" hidden="false" customHeight="false" outlineLevel="0" collapsed="false">
      <c r="B25" s="23" t="str">
        <f aca="false">IFERROR(INDEX(tsk_Name,MATCH(SMALL(tsk_MilestoneKey,(ROW()-ROW(NextMilestones[[#Headers],[Next milestones (forecast)]]))),tsk_MilestoneKey,0)),"")</f>
        <v/>
      </c>
      <c r="C25" s="24" t="str">
        <f aca="false">IFERROR(INDEX(tsk_FcFinish,MATCH(SMALL(tsk_MilestoneKey,(ROW()-ROW(NextMilestones[[#Headers],[Next milestones (forecast)]]))),tsk_MilestoneKey,0)),"")</f>
        <v/>
      </c>
    </row>
    <row r="26" customFormat="false" ht="15" hidden="false" customHeight="false" outlineLevel="0" collapsed="false">
      <c r="B26" s="23" t="str">
        <f aca="false">IFERROR(INDEX(tsk_Name,MATCH(SMALL(tsk_MilestoneKey,(ROW()-ROW(NextMilestones[[#Headers],[Next milestones (forecast)]]))),tsk_MilestoneKey,0)),"")</f>
        <v/>
      </c>
      <c r="C26" s="24" t="str">
        <f aca="false">IFERROR(INDEX(tsk_FcFinish,MATCH(SMALL(tsk_MilestoneKey,(ROW()-ROW(NextMilestones[[#Headers],[Next milestones (forecast)]]))),tsk_MilestoneKey,0)),"")</f>
        <v/>
      </c>
    </row>
  </sheetData>
  <conditionalFormatting sqref="C8">
    <cfRule type="expression" priority="2" aboveAverage="0" equalAverage="0" bottom="0" percent="0" rank="0" text="" dxfId="10">
      <formula>C8&gt;0</formula>
    </cfRule>
    <cfRule type="expression" priority="3" aboveAverage="0" equalAverage="0" bottom="0" percent="0" rank="0" text="" dxfId="11">
      <formula>C8&lt;=0</formula>
    </cfRule>
  </conditionalFormatting>
  <conditionalFormatting sqref="C17">
    <cfRule type="expression" priority="4" aboveAverage="0" equalAverage="0" bottom="0" percent="0" rank="0" text="" dxfId="10">
      <formula>C17&gt;0</formula>
    </cfRule>
    <cfRule type="expression" priority="5" aboveAverage="0" equalAverage="0" bottom="0" percent="0" rank="0" text="" dxfId="11">
      <formula>C17&lt;=0</formula>
    </cfRule>
  </conditionalFormatting>
  <conditionalFormatting sqref="C18">
    <cfRule type="expression" priority="6" aboveAverage="0" equalAverage="0" bottom="0" percent="0" rank="0" text="" dxfId="10">
      <formula>C18&gt;0</formula>
    </cfRule>
    <cfRule type="expression" priority="7" aboveAverage="0" equalAverage="0" bottom="0" percent="0" rank="0" text="" dxfId="11">
      <formula>C18&lt;=0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24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25" t="s">
        <v>89</v>
      </c>
    </row>
    <row r="2" customFormat="false" ht="15" hidden="false" customHeight="false" outlineLevel="0" collapsed="false">
      <c r="A2" s="8" t="s">
        <v>90</v>
      </c>
    </row>
    <row r="4" customFormat="false" ht="15" hidden="false" customHeight="false" outlineLevel="0" collapsed="false">
      <c r="B4" s="9" t="s">
        <v>91</v>
      </c>
      <c r="C4" s="9" t="s">
        <v>65</v>
      </c>
      <c r="D4" s="9" t="s">
        <v>92</v>
      </c>
      <c r="E4" s="9" t="s">
        <v>93</v>
      </c>
    </row>
    <row r="5" customFormat="false" ht="15" hidden="false" customHeight="false" outlineLevel="0" collapsed="false">
      <c r="B5" s="26" t="s">
        <v>94</v>
      </c>
      <c r="C5" s="27" t="s">
        <v>95</v>
      </c>
      <c r="D5" s="28" t="s">
        <v>96</v>
      </c>
      <c r="E5" s="8" t="s">
        <v>97</v>
      </c>
    </row>
    <row r="6" customFormat="false" ht="15" hidden="false" customHeight="false" outlineLevel="0" collapsed="false">
      <c r="B6" s="26" t="s">
        <v>98</v>
      </c>
      <c r="C6" s="27" t="s">
        <v>99</v>
      </c>
      <c r="D6" s="28" t="s">
        <v>100</v>
      </c>
      <c r="E6" s="8"/>
    </row>
    <row r="7" customFormat="false" ht="15" hidden="false" customHeight="false" outlineLevel="0" collapsed="false">
      <c r="B7" s="26" t="s">
        <v>101</v>
      </c>
      <c r="C7" s="29" t="n">
        <v>46272</v>
      </c>
      <c r="D7" s="28" t="s">
        <v>102</v>
      </c>
      <c r="E7" s="8" t="s">
        <v>103</v>
      </c>
    </row>
    <row r="8" customFormat="false" ht="15" hidden="false" customHeight="false" outlineLevel="0" collapsed="false">
      <c r="B8" s="26" t="s">
        <v>104</v>
      </c>
      <c r="C8" s="24" t="n">
        <f aca="false">MAX(1,N(ProjectStartDate))</f>
        <v>46272</v>
      </c>
      <c r="D8" s="28" t="s">
        <v>105</v>
      </c>
      <c r="E8" s="8" t="s">
        <v>106</v>
      </c>
    </row>
    <row r="9" customFormat="false" ht="15" hidden="false" customHeight="false" outlineLevel="0" collapsed="false">
      <c r="B9" s="26" t="s">
        <v>107</v>
      </c>
      <c r="C9" s="29" t="n">
        <v>46320</v>
      </c>
      <c r="D9" s="28" t="s">
        <v>108</v>
      </c>
      <c r="E9" s="8" t="s">
        <v>109</v>
      </c>
    </row>
    <row r="10" customFormat="false" ht="15" hidden="false" customHeight="false" outlineLevel="0" collapsed="false">
      <c r="B10" s="26" t="s">
        <v>110</v>
      </c>
      <c r="C10" s="24" t="n">
        <f aca="false">IF(N(StatusDateInput)&gt;0,StatusDateInput,ProjectStart)</f>
        <v>46320</v>
      </c>
      <c r="D10" s="28" t="s">
        <v>111</v>
      </c>
      <c r="E10" s="8" t="s">
        <v>112</v>
      </c>
    </row>
    <row r="11" customFormat="false" ht="15" hidden="false" customHeight="false" outlineLevel="0" collapsed="false">
      <c r="B11" s="26" t="s">
        <v>113</v>
      </c>
      <c r="C11" s="24" t="n">
        <f aca="false">WORKDAY.INTL(StatusDate-1,1,WorkWeek,Holidays)</f>
        <v>46321</v>
      </c>
      <c r="D11" s="28" t="s">
        <v>114</v>
      </c>
      <c r="E11" s="8"/>
    </row>
    <row r="12" customFormat="false" ht="15" hidden="false" customHeight="false" outlineLevel="0" collapsed="false">
      <c r="B12" s="26" t="s">
        <v>115</v>
      </c>
      <c r="C12" s="27" t="s">
        <v>116</v>
      </c>
      <c r="D12" s="28" t="s">
        <v>117</v>
      </c>
      <c r="E12" s="8" t="s">
        <v>118</v>
      </c>
    </row>
    <row r="13" customFormat="false" ht="15" hidden="false" customHeight="false" outlineLevel="0" collapsed="false">
      <c r="B13" s="26" t="s">
        <v>119</v>
      </c>
      <c r="C13" s="30" t="n">
        <v>8</v>
      </c>
      <c r="D13" s="28" t="s">
        <v>120</v>
      </c>
      <c r="E13" s="8" t="s">
        <v>121</v>
      </c>
    </row>
    <row r="14" customFormat="false" ht="15" hidden="false" customHeight="false" outlineLevel="0" collapsed="false">
      <c r="B14" s="26" t="s">
        <v>122</v>
      </c>
      <c r="C14" s="31" t="n">
        <v>1</v>
      </c>
      <c r="D14" s="28" t="s">
        <v>123</v>
      </c>
      <c r="E14" s="8" t="s">
        <v>124</v>
      </c>
    </row>
    <row r="15" customFormat="false" ht="15" hidden="false" customHeight="false" outlineLevel="0" collapsed="false">
      <c r="B15" s="26" t="s">
        <v>125</v>
      </c>
      <c r="C15" s="27" t="s">
        <v>116</v>
      </c>
      <c r="D15" s="28" t="s">
        <v>126</v>
      </c>
      <c r="E15" s="8" t="s">
        <v>127</v>
      </c>
    </row>
    <row r="16" customFormat="false" ht="15" hidden="false" customHeight="false" outlineLevel="0" collapsed="false">
      <c r="B16" s="26" t="s">
        <v>128</v>
      </c>
      <c r="C16" s="27" t="s">
        <v>116</v>
      </c>
      <c r="D16" s="28" t="s">
        <v>129</v>
      </c>
      <c r="E16" s="8"/>
    </row>
    <row r="17" customFormat="false" ht="15" hidden="false" customHeight="false" outlineLevel="0" collapsed="false">
      <c r="B17" s="26" t="s">
        <v>130</v>
      </c>
      <c r="C17" s="27" t="s">
        <v>116</v>
      </c>
      <c r="D17" s="28" t="s">
        <v>131</v>
      </c>
      <c r="E17" s="8"/>
    </row>
    <row r="18" customFormat="false" ht="15" hidden="false" customHeight="false" outlineLevel="0" collapsed="false">
      <c r="B18" s="26" t="s">
        <v>132</v>
      </c>
      <c r="C18" s="27" t="s">
        <v>116</v>
      </c>
      <c r="D18" s="28" t="s">
        <v>133</v>
      </c>
      <c r="E18" s="8"/>
    </row>
    <row r="19" customFormat="false" ht="15" hidden="false" customHeight="false" outlineLevel="0" collapsed="false">
      <c r="B19" s="26" t="s">
        <v>134</v>
      </c>
      <c r="C19" s="27" t="s">
        <v>116</v>
      </c>
      <c r="D19" s="28" t="s">
        <v>135</v>
      </c>
      <c r="E19" s="8"/>
    </row>
    <row r="20" customFormat="false" ht="15" hidden="false" customHeight="false" outlineLevel="0" collapsed="false">
      <c r="B20" s="26" t="s">
        <v>136</v>
      </c>
      <c r="C20" s="27" t="s">
        <v>137</v>
      </c>
      <c r="D20" s="28" t="s">
        <v>138</v>
      </c>
      <c r="E20" s="8"/>
    </row>
    <row r="21" customFormat="false" ht="15" hidden="false" customHeight="false" outlineLevel="0" collapsed="false">
      <c r="B21" s="26" t="s">
        <v>139</v>
      </c>
      <c r="C21" s="27" t="s">
        <v>137</v>
      </c>
      <c r="D21" s="28" t="s">
        <v>140</v>
      </c>
      <c r="E21" s="8"/>
    </row>
    <row r="22" customFormat="false" ht="15" hidden="false" customHeight="false" outlineLevel="0" collapsed="false">
      <c r="B22" s="26" t="s">
        <v>141</v>
      </c>
      <c r="C22" s="32" t="str">
        <f aca="false">IF(WorkMon="Yes","0","1")&amp;IF(WorkTue="Yes","0","1")&amp;IF(WorkWed="Yes","0","1")&amp;IF(WorkThu="Yes","0","1")&amp;IF(WorkFri="Yes","0","1")&amp;IF(WorkSat="Yes","0","1")&amp;IF(WorkSun="Yes","0","1")</f>
        <v>0000011</v>
      </c>
      <c r="D22" s="28" t="s">
        <v>142</v>
      </c>
      <c r="E22" s="8" t="s">
        <v>143</v>
      </c>
    </row>
    <row r="23" customFormat="false" ht="15" hidden="false" customHeight="false" outlineLevel="0" collapsed="false">
      <c r="B23" s="26" t="s">
        <v>144</v>
      </c>
      <c r="C23" s="29" t="n">
        <f aca="false">ProjectStart-WEEKDAY(ProjectStart,3)</f>
        <v>46272</v>
      </c>
      <c r="D23" s="28" t="s">
        <v>145</v>
      </c>
      <c r="E23" s="8" t="s">
        <v>146</v>
      </c>
    </row>
    <row r="24" customFormat="false" ht="15" hidden="false" customHeight="false" outlineLevel="0" collapsed="false">
      <c r="B24" s="26" t="s">
        <v>147</v>
      </c>
      <c r="C24" s="33" t="n">
        <v>1</v>
      </c>
      <c r="D24" s="28" t="s">
        <v>148</v>
      </c>
      <c r="E24" s="8" t="s">
        <v>149</v>
      </c>
    </row>
    <row r="25" customFormat="false" ht="15" hidden="false" customHeight="false" outlineLevel="0" collapsed="false">
      <c r="B25" s="26" t="s">
        <v>150</v>
      </c>
      <c r="C25" s="29" t="n">
        <f aca="false">ProjectStart</f>
        <v>46272</v>
      </c>
      <c r="D25" s="28" t="s">
        <v>151</v>
      </c>
      <c r="E25" s="8" t="s">
        <v>152</v>
      </c>
    </row>
    <row r="26" customFormat="false" ht="15" hidden="false" customHeight="false" outlineLevel="0" collapsed="false">
      <c r="B26" s="26" t="s">
        <v>153</v>
      </c>
      <c r="C26" s="33" t="n">
        <v>14</v>
      </c>
      <c r="D26" s="28" t="s">
        <v>154</v>
      </c>
      <c r="E26" s="8" t="s">
        <v>155</v>
      </c>
    </row>
    <row r="27" customFormat="false" ht="15" hidden="false" customHeight="false" outlineLevel="0" collapsed="false">
      <c r="B27" s="26" t="s">
        <v>156</v>
      </c>
      <c r="C27" s="33" t="n">
        <v>12</v>
      </c>
      <c r="D27" s="28" t="s">
        <v>157</v>
      </c>
      <c r="E27" s="8" t="s">
        <v>158</v>
      </c>
    </row>
    <row r="28" customFormat="false" ht="15" hidden="false" customHeight="false" outlineLevel="0" collapsed="false">
      <c r="B28" s="26" t="s">
        <v>159</v>
      </c>
      <c r="C28" s="27" t="s">
        <v>160</v>
      </c>
      <c r="D28" s="28" t="s">
        <v>161</v>
      </c>
      <c r="E28" s="8" t="s">
        <v>162</v>
      </c>
    </row>
    <row r="29" customFormat="false" ht="15" hidden="false" customHeight="false" outlineLevel="0" collapsed="false">
      <c r="B29" s="26" t="s">
        <v>163</v>
      </c>
      <c r="C29" s="24" t="n">
        <f aca="false">INDEX(spr_End,SprintCount)</f>
        <v>46439</v>
      </c>
      <c r="D29" s="28" t="s">
        <v>164</v>
      </c>
      <c r="E29" s="8"/>
    </row>
    <row r="30" customFormat="false" ht="15" hidden="false" customHeight="false" outlineLevel="0" collapsed="false">
      <c r="B30" s="26" t="s">
        <v>165</v>
      </c>
      <c r="C30" s="34" t="n">
        <f aca="false">MAX(tsk_UID)+1</f>
        <v>201</v>
      </c>
      <c r="D30" s="28" t="s">
        <v>166</v>
      </c>
      <c r="E30" s="8" t="s">
        <v>167</v>
      </c>
    </row>
  </sheetData>
  <conditionalFormatting sqref="C7">
    <cfRule type="expression" priority="2" aboveAverage="0" equalAverage="0" bottom="0" percent="0" rank="0" text="" dxfId="12">
      <formula>N(C7)=0</formula>
    </cfRule>
  </conditionalFormatting>
  <conditionalFormatting sqref="C9">
    <cfRule type="expression" priority="3" aboveAverage="0" equalAverage="0" bottom="0" percent="0" rank="0" text="" dxfId="12">
      <formula>N(C9)=0</formula>
    </cfRule>
  </conditionalFormatting>
  <dataValidations count="3">
    <dataValidation allowBlank="false" errorStyle="stop" operator="between" showDropDown="false" showErrorMessage="false" showInputMessage="false" sqref="C12 C15:C21" type="list">
      <formula1>L_YesNo</formula1>
      <formula2>0</formula2>
    </dataValidation>
    <dataValidation allowBlank="false" errorStyle="stop" operator="between" showDropDown="false" showErrorMessage="false" showInputMessage="false" sqref="C24" type="list">
      <formula1>L_Period</formula1>
      <formula2>0</formula2>
    </dataValidation>
    <dataValidation allowBlank="false" errorStyle="stop" operator="between" showDropDown="false" showErrorMessage="false" showInputMessage="false" sqref="C27" type="whole">
      <formula1>1</formula1>
      <formula2>26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CF20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3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10" min="9" style="0" width="6"/>
    <col collapsed="false" customWidth="true" hidden="false" outlineLevel="0" max="11" min="11" style="0" width="7"/>
    <col collapsed="false" customWidth="true" hidden="false" outlineLevel="0" max="13" min="12" style="0" width="6"/>
    <col collapsed="false" customWidth="true" hidden="false" outlineLevel="0" max="21" min="14" style="0" width="15"/>
    <col collapsed="false" customWidth="true" hidden="false" outlineLevel="0" max="23" min="22" style="0" width="8"/>
    <col collapsed="false" customWidth="true" hidden="false" outlineLevel="0" max="24" min="24" style="0" width="12"/>
    <col collapsed="false" customWidth="true" hidden="false" outlineLevel="0" max="25" min="25" style="0" width="24"/>
    <col collapsed="false" customWidth="true" hidden="false" outlineLevel="0" max="27" min="26" style="0" width="9"/>
    <col collapsed="false" customWidth="true" hidden="false" outlineLevel="0" max="28" min="28" style="0" width="12"/>
    <col collapsed="false" customWidth="true" hidden="false" outlineLevel="0" max="29" min="29" style="0" width="16"/>
    <col collapsed="false" customWidth="true" hidden="false" outlineLevel="0" max="30" min="30" style="0" width="7"/>
    <col collapsed="false" customWidth="true" hidden="false" outlineLevel="0" max="31" min="31" style="0" width="9"/>
    <col collapsed="false" customWidth="true" hidden="false" outlineLevel="0" max="32" min="32" style="0" width="11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40"/>
    <col collapsed="false" customWidth="true" hidden="false" outlineLevel="0" max="37" min="36" style="0" width="15"/>
    <col collapsed="false" customWidth="true" hidden="false" outlineLevel="0" max="39" min="38" style="0" width="9"/>
    <col collapsed="false" customWidth="true" hidden="false" outlineLevel="0" max="40" min="40" style="0" width="11"/>
    <col collapsed="false" customWidth="true" hidden="false" outlineLevel="0" max="42" min="41" style="0" width="15"/>
    <col collapsed="false" customWidth="true" hidden="false" outlineLevel="0" max="44" min="43" style="0" width="9"/>
    <col collapsed="false" customWidth="true" hidden="false" outlineLevel="0" max="45" min="45" style="0" width="11"/>
    <col collapsed="false" customWidth="true" hidden="false" outlineLevel="0" max="47" min="46" style="0" width="9"/>
    <col collapsed="false" customWidth="true" hidden="false" outlineLevel="0" max="48" min="48" style="0" width="11"/>
    <col collapsed="false" customWidth="true" hidden="true" outlineLevel="1" max="84" min="49" style="0" width="11"/>
  </cols>
  <sheetData>
    <row r="1" customFormat="false" ht="19.7" hidden="false" customHeight="false" outlineLevel="0" collapsed="false">
      <c r="A1" s="25" t="str">
        <f aca="false">ProjectName&amp;"  -  Task Entry"</f>
        <v>Customer Portal Implementation  -  Task Entry</v>
      </c>
    </row>
    <row r="2" customFormat="false" ht="15" hidden="false" customHeight="false" outlineLevel="0" collapsed="false">
      <c r="A2" s="8" t="s">
        <v>168</v>
      </c>
    </row>
    <row r="3" customFormat="false" ht="15" hidden="false" customHeight="false" outlineLevel="0" collapsed="false">
      <c r="A3" s="35" t="str">
        <f aca="false">"Next free UID for a new row: "&amp;NextFreeUID</f>
        <v>Next free UID for a new row: 201</v>
      </c>
    </row>
    <row r="4" customFormat="false" ht="15" hidden="false" customHeight="false" outlineLevel="0" collapsed="false">
      <c r="A4" s="35" t="s">
        <v>169</v>
      </c>
      <c r="F4" s="35" t="s">
        <v>170</v>
      </c>
      <c r="P4" s="35" t="s">
        <v>171</v>
      </c>
      <c r="V4" s="35" t="s">
        <v>172</v>
      </c>
      <c r="Z4" s="35" t="s">
        <v>173</v>
      </c>
      <c r="AC4" s="35" t="s">
        <v>174</v>
      </c>
      <c r="AJ4" s="35" t="s">
        <v>175</v>
      </c>
      <c r="AT4" s="35" t="s">
        <v>176</v>
      </c>
      <c r="AW4" s="35" t="s">
        <v>177</v>
      </c>
    </row>
    <row r="5" customFormat="false" ht="42" hidden="false" customHeight="true" outlineLevel="0" collapsed="false">
      <c r="A5" s="9" t="s">
        <v>178</v>
      </c>
      <c r="B5" s="36" t="s">
        <v>179</v>
      </c>
      <c r="C5" s="9" t="s">
        <v>180</v>
      </c>
      <c r="D5" s="36" t="s">
        <v>181</v>
      </c>
      <c r="E5" s="36" t="s">
        <v>182</v>
      </c>
      <c r="F5" s="36" t="s">
        <v>34</v>
      </c>
      <c r="G5" s="36" t="s">
        <v>183</v>
      </c>
      <c r="H5" s="36" t="s">
        <v>184</v>
      </c>
      <c r="I5" s="36" t="s">
        <v>185</v>
      </c>
      <c r="J5" s="36" t="s">
        <v>186</v>
      </c>
      <c r="K5" s="36" t="s">
        <v>187</v>
      </c>
      <c r="L5" s="36" t="s">
        <v>188</v>
      </c>
      <c r="M5" s="36" t="s">
        <v>189</v>
      </c>
      <c r="N5" s="36" t="s">
        <v>190</v>
      </c>
      <c r="O5" s="36" t="s">
        <v>191</v>
      </c>
      <c r="P5" s="9" t="s">
        <v>192</v>
      </c>
      <c r="Q5" s="9" t="s">
        <v>193</v>
      </c>
      <c r="R5" s="36" t="s">
        <v>194</v>
      </c>
      <c r="S5" s="36" t="s">
        <v>195</v>
      </c>
      <c r="T5" s="9" t="s">
        <v>196</v>
      </c>
      <c r="U5" s="9" t="s">
        <v>197</v>
      </c>
      <c r="V5" s="9" t="s">
        <v>198</v>
      </c>
      <c r="W5" s="9" t="s">
        <v>199</v>
      </c>
      <c r="X5" s="9" t="s">
        <v>200</v>
      </c>
      <c r="Y5" s="9" t="s">
        <v>201</v>
      </c>
      <c r="Z5" s="36" t="s">
        <v>202</v>
      </c>
      <c r="AA5" s="9" t="s">
        <v>203</v>
      </c>
      <c r="AB5" s="9" t="s">
        <v>66</v>
      </c>
      <c r="AC5" s="36" t="s">
        <v>204</v>
      </c>
      <c r="AD5" s="36" t="s">
        <v>205</v>
      </c>
      <c r="AE5" s="9" t="s">
        <v>206</v>
      </c>
      <c r="AF5" s="9" t="s">
        <v>207</v>
      </c>
      <c r="AG5" s="9" t="s">
        <v>208</v>
      </c>
      <c r="AH5" s="9" t="s">
        <v>32</v>
      </c>
      <c r="AI5" s="36" t="s">
        <v>93</v>
      </c>
      <c r="AJ5" s="9" t="s">
        <v>209</v>
      </c>
      <c r="AK5" s="9" t="s">
        <v>210</v>
      </c>
      <c r="AL5" s="9" t="s">
        <v>211</v>
      </c>
      <c r="AM5" s="9" t="s">
        <v>212</v>
      </c>
      <c r="AN5" s="9" t="s">
        <v>213</v>
      </c>
      <c r="AO5" s="36" t="s">
        <v>214</v>
      </c>
      <c r="AP5" s="36" t="s">
        <v>215</v>
      </c>
      <c r="AQ5" s="36" t="s">
        <v>216</v>
      </c>
      <c r="AR5" s="36" t="s">
        <v>217</v>
      </c>
      <c r="AS5" s="36" t="s">
        <v>218</v>
      </c>
      <c r="AT5" s="9" t="s">
        <v>219</v>
      </c>
      <c r="AU5" s="9" t="s">
        <v>220</v>
      </c>
      <c r="AV5" s="9" t="s">
        <v>221</v>
      </c>
      <c r="AW5" s="37" t="s">
        <v>222</v>
      </c>
      <c r="AX5" s="37" t="s">
        <v>223</v>
      </c>
      <c r="AY5" s="37" t="s">
        <v>224</v>
      </c>
      <c r="AZ5" s="37" t="s">
        <v>225</v>
      </c>
      <c r="BA5" s="37" t="s">
        <v>226</v>
      </c>
      <c r="BB5" s="37" t="s">
        <v>227</v>
      </c>
      <c r="BC5" s="37" t="s">
        <v>228</v>
      </c>
      <c r="BD5" s="37" t="s">
        <v>229</v>
      </c>
      <c r="BE5" s="37" t="s">
        <v>230</v>
      </c>
      <c r="BF5" s="37" t="s">
        <v>231</v>
      </c>
      <c r="BG5" s="37" t="s">
        <v>232</v>
      </c>
      <c r="BH5" s="37" t="s">
        <v>233</v>
      </c>
      <c r="BI5" s="37" t="s">
        <v>234</v>
      </c>
      <c r="BJ5" s="37" t="s">
        <v>235</v>
      </c>
      <c r="BK5" s="37" t="s">
        <v>236</v>
      </c>
      <c r="BL5" s="37" t="s">
        <v>237</v>
      </c>
      <c r="BM5" s="37" t="s">
        <v>238</v>
      </c>
      <c r="BN5" s="37" t="s">
        <v>239</v>
      </c>
      <c r="BO5" s="37" t="s">
        <v>240</v>
      </c>
      <c r="BP5" s="37" t="s">
        <v>241</v>
      </c>
      <c r="BQ5" s="37" t="s">
        <v>242</v>
      </c>
      <c r="BR5" s="37" t="s">
        <v>243</v>
      </c>
      <c r="BS5" s="37" t="s">
        <v>244</v>
      </c>
      <c r="BT5" s="37" t="s">
        <v>245</v>
      </c>
      <c r="BU5" s="37" t="s">
        <v>246</v>
      </c>
      <c r="BV5" s="37" t="s">
        <v>247</v>
      </c>
      <c r="BW5" s="37" t="s">
        <v>248</v>
      </c>
      <c r="BX5" s="37" t="s">
        <v>249</v>
      </c>
      <c r="BY5" s="37" t="s">
        <v>250</v>
      </c>
      <c r="BZ5" s="37" t="s">
        <v>251</v>
      </c>
      <c r="CA5" s="37" t="s">
        <v>252</v>
      </c>
      <c r="CB5" s="37" t="s">
        <v>253</v>
      </c>
      <c r="CC5" s="37" t="s">
        <v>254</v>
      </c>
      <c r="CD5" s="37" t="s">
        <v>255</v>
      </c>
      <c r="CE5" s="37" t="s">
        <v>256</v>
      </c>
      <c r="CF5" s="37" t="s">
        <v>257</v>
      </c>
    </row>
    <row r="6" customFormat="false" ht="15" hidden="false" customHeight="false" outlineLevel="0" collapsed="false">
      <c r="A6" s="38" t="n">
        <f aca="false">IF(Tasks[[#This Row],[Task Name]]="","",COUNTA(Tasks[[#Headers],[Task Name]]:Tasks[[#This Row],[Task Name]])-1)</f>
        <v>1</v>
      </c>
      <c r="B6" s="39" t="n">
        <v>1</v>
      </c>
      <c r="C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</v>
      </c>
      <c r="D6" s="39" t="n">
        <v>1</v>
      </c>
      <c r="E6" s="41" t="s">
        <v>258</v>
      </c>
      <c r="F6" s="39" t="s">
        <v>259</v>
      </c>
      <c r="G6" s="39"/>
      <c r="H6" s="39"/>
      <c r="I6" s="39"/>
      <c r="J6" s="39"/>
      <c r="K6" s="39"/>
      <c r="L6" s="39"/>
      <c r="M6" s="39"/>
      <c r="N6" s="29"/>
      <c r="O6" s="29"/>
      <c r="P6" s="24" t="n">
        <f aca="false">IF(Tasks[[#This Row],[Task Name]]="","",IF(N(Tasks[[#This Row],[Baseline Start]])&gt;0,Tasks[[#This Row],[Baseline Start]],Tasks[[#This Row],[_CalcStart]]))</f>
        <v>46272</v>
      </c>
      <c r="Q6" s="24" t="n">
        <f aca="false">IF(Tasks[[#This Row],[Task Name]]="","",IF(N(Tasks[[#This Row],[Baseline Finish]])&gt;0,Tasks[[#This Row],[Baseline Finish]],Tasks[[#This Row],[_CalcFinish]]))</f>
        <v>46276</v>
      </c>
      <c r="R6" s="29"/>
      <c r="S6" s="29"/>
      <c r="T6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46272</v>
      </c>
      <c r="U6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46279</v>
      </c>
      <c r="V6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6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" s="31"/>
      <c r="AA6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6" s="41"/>
      <c r="AD6" s="31"/>
      <c r="AE6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F6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3400</v>
      </c>
      <c r="AG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" s="41" t="s">
        <v>260</v>
      </c>
      <c r="AJ6" s="24" t="n">
        <f aca="false">IF(Tasks[[#This Row],[Task Name]]="","",Tasks[[#This Row],[Forecast Start]])</f>
        <v>46272</v>
      </c>
      <c r="AK6" s="24" t="n">
        <f aca="false">IF(Tasks[[#This Row],[Task Name]]="","",Tasks[[#This Row],[Forecast Finish]])</f>
        <v>46279</v>
      </c>
      <c r="AL6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M6" s="43" t="n">
        <f aca="false">IF(Tasks[[#This Row],[Task Name]]="","",Tasks[[#This Row],[Work]])</f>
        <v>40</v>
      </c>
      <c r="AN6" s="44" t="n">
        <f aca="false">IF(Tasks[[#This Row],[Task Name]]="","",Tasks[[#This Row],[Cost]])</f>
        <v>3400</v>
      </c>
      <c r="AO6" s="29"/>
      <c r="AP6" s="29"/>
      <c r="AQ6" s="39"/>
      <c r="AR6" s="45"/>
      <c r="AS6" s="46"/>
      <c r="AT6" s="40" t="str">
        <f aca="false">IF(OR(Tasks[[#This Row],[Task Name]]="",Tasks[[#This Row],[Baseline Duration]]=""),"",Tasks[[#This Row],[BL Source Duration]]-N(Tasks[[#This Row],[Baseline Duration]]))</f>
        <v/>
      </c>
      <c r="AU6" s="43" t="str">
        <f aca="false">IF(OR(Tasks[[#This Row],[Task Name]]="",Tasks[[#This Row],[Baseline Work]]=""),"",Tasks[[#This Row],[Work]]-N(Tasks[[#This Row],[Baseline Work]]))</f>
        <v/>
      </c>
      <c r="AV6" s="44" t="str">
        <f aca="false">IF(OR(Tasks[[#This Row],[Task Name]]="",Tasks[[#This Row],[Baseline Cost]]=""),"",Tasks[[#This Row],[Cost]]-N(Tasks[[#This Row],[Baseline Cost]]))</f>
        <v/>
      </c>
      <c r="AW6" s="47" t="n">
        <f aca="false">IF(Tasks[[#This Row],[Task Name]]="","",MAX(1,N(Tasks[[#This Row],[Level]])))</f>
        <v>1</v>
      </c>
      <c r="AX6" s="47" t="n">
        <f aca="false">ROW()-ROW(Tasks[[#Headers],[ID]])</f>
        <v>1</v>
      </c>
      <c r="AY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" s="47" t="n">
        <f aca="false">IFERROR(N(INDEX(Tasks[_Level],Tasks[[#This Row],[_Row]]+1)),0)</f>
        <v>2</v>
      </c>
      <c r="BA6" s="48" t="b">
        <f aca="false">AND(Tasks[[#This Row],[Task Name]]&lt;&gt;"",Tasks[[#This Row],[_NextLevel]]&gt;Tasks[[#This Row],[_Level]])</f>
        <v>1</v>
      </c>
      <c r="BB6" s="47" t="n">
        <f aca="false">IF(Tasks[[#This Row],[_IsSummary]],COUNTIF(Tasks[WBS],Tasks[[#This Row],[WBS]]&amp;".*"),0)</f>
        <v>3</v>
      </c>
      <c r="BC6" s="47" t="n">
        <f aca="false">IF(AND(Tasks[[#This Row],[Task Name]]&lt;&gt;"",NOT(Tasks[[#This Row],[_IsSummary]])),1,0)</f>
        <v>0</v>
      </c>
      <c r="BD6" s="47" t="n">
        <f aca="false">IF(N(Tasks[[#This Row],[Pred1 UID]])=0,0,IFERROR(MATCH(Tasks[[#This Row],[Pred1 UID]],Tasks[UID],0),-1))</f>
        <v>0</v>
      </c>
      <c r="BE6" s="47" t="n">
        <f aca="false">IF(N(Tasks[[#This Row],[Pred2 UID]])=0,0,IFERROR(MATCH(Tasks[[#This Row],[Pred2 UID]],Tasks[UID],0),-1))</f>
        <v>0</v>
      </c>
      <c r="BF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" s="47" t="n">
        <f aca="false">IF(NOT(Tasks[[#This Row],[_IsLeaf]]=1),0,IF(N(Tasks[[#This Row],[Actual Finish]])&gt;0,1,MIN(1,N(Tasks[[#This Row],[% Complete]]))))</f>
        <v>0</v>
      </c>
      <c r="BK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" s="47" t="n">
        <f aca="false">IF(Tasks[[#This Row],[_LeafWork]]=0,0,Tasks[[#This Row],[_LeafWork]]*IFERROR(INDEX(res_Rate,MATCH(Tasks[[#This Row],[Resource]],res_Name,0)),0))</f>
        <v>0</v>
      </c>
      <c r="BM6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46272</v>
      </c>
      <c r="BN6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46276</v>
      </c>
      <c r="BO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" s="47" t="n">
        <f aca="false">IF(AND(Tasks[[#This Row],[_IsLeaf]]=1,Tasks[[#This Row],[_LeafWork]]&gt;0),NETWORKDAYS.INTL(ProjectStart,Tasks[[#This Row],[_LeafFcstStart]],WorkWeek,Holidays),0)</f>
        <v>0</v>
      </c>
      <c r="BV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" s="47" t="n">
        <f aca="false">IF(AND(Tasks[[#This Row],[_IsLeaf]]=1,Tasks[[#This Row],[_LeafWork]]&gt;0),Tasks[[#This Row],[_LeafWork]]/(Tasks[[#This Row],[_FinishWorkday]]-Tasks[[#This Row],[_StartWorkday]]+1),0)</f>
        <v>0</v>
      </c>
      <c r="BX6" s="47" t="n">
        <f aca="false">Tasks[[#This Row],[_WorkPerWorkday]]*(Tasks[[#This Row],[_StartWorkday]]-1)</f>
        <v>-0</v>
      </c>
      <c r="BY6" s="47" t="n">
        <f aca="false">IF(Tasks[[#This Row],[_IsLeaf]]=1,MAX(N(Tasks[[#This Row],[Duration]]),0.1),0)</f>
        <v>0</v>
      </c>
      <c r="BZ6" s="47" t="n">
        <f aca="false">Tasks[[#This Row],[_WeightDur]]*Tasks[[#This Row],[_LeafProgress]]</f>
        <v>0</v>
      </c>
      <c r="CA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" customFormat="false" ht="15" hidden="false" customHeight="false" outlineLevel="0" collapsed="false">
      <c r="A7" s="38" t="n">
        <f aca="false">IF(Tasks[[#This Row],[Task Name]]="","",COUNTA(Tasks[[#Headers],[Task Name]]:Tasks[[#This Row],[Task Name]])-1)</f>
        <v>2</v>
      </c>
      <c r="B7" s="39" t="n">
        <v>2</v>
      </c>
      <c r="C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1.1</v>
      </c>
      <c r="D7" s="39" t="n">
        <v>2</v>
      </c>
      <c r="E7" s="41" t="s">
        <v>261</v>
      </c>
      <c r="F7" s="39" t="s">
        <v>259</v>
      </c>
      <c r="G7" s="39" t="n">
        <v>3</v>
      </c>
      <c r="H7" s="39"/>
      <c r="I7" s="39"/>
      <c r="J7" s="39"/>
      <c r="K7" s="39"/>
      <c r="L7" s="39"/>
      <c r="M7" s="39"/>
      <c r="N7" s="29"/>
      <c r="O7" s="29"/>
      <c r="P7" s="24" t="n">
        <f aca="false">IF(Tasks[[#This Row],[Task Name]]="","",IF(N(Tasks[[#This Row],[Baseline Start]])&gt;0,Tasks[[#This Row],[Baseline Start]],Tasks[[#This Row],[_CalcStart]]))</f>
        <v>46272</v>
      </c>
      <c r="Q7" s="24" t="n">
        <f aca="false">IF(Tasks[[#This Row],[Task Name]]="","",IF(N(Tasks[[#This Row],[Baseline Finish]])&gt;0,Tasks[[#This Row],[Baseline Finish]],Tasks[[#This Row],[_CalcFinish]]))</f>
        <v>46274</v>
      </c>
      <c r="R7" s="29" t="n">
        <v>46272</v>
      </c>
      <c r="S7" s="29" t="n">
        <v>46275</v>
      </c>
      <c r="T7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46272</v>
      </c>
      <c r="U7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46275</v>
      </c>
      <c r="V7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7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" s="31" t="n">
        <v>1</v>
      </c>
      <c r="AA7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7" s="41" t="s">
        <v>99</v>
      </c>
      <c r="AD7" s="31"/>
      <c r="AE7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24</v>
      </c>
      <c r="AF7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2280</v>
      </c>
      <c r="AG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H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" s="41" t="s">
        <v>262</v>
      </c>
      <c r="AJ7" s="24" t="n">
        <f aca="false">IF(Tasks[[#This Row],[Task Name]]="","",Tasks[[#This Row],[Forecast Start]])</f>
        <v>46272</v>
      </c>
      <c r="AK7" s="24" t="n">
        <f aca="false">IF(Tasks[[#This Row],[Task Name]]="","",Tasks[[#This Row],[Forecast Finish]])</f>
        <v>46275</v>
      </c>
      <c r="AL7" s="38" t="n">
        <f aca="false">IF(Tasks[[#This Row],[Task Name]]="","",IF(Tasks[[#This Row],[_IsSummary]],NETWORKDAYS.INTL(Tasks[[#This Row],[Forecast Start]],Tasks[[#This Row],[Forecast Finish]],WorkWeek,Holidays),N(Tasks[[#This Row],[Duration]])))</f>
        <v>3</v>
      </c>
      <c r="AM7" s="43" t="n">
        <f aca="false">IF(Tasks[[#This Row],[Task Name]]="","",Tasks[[#This Row],[Work]])</f>
        <v>24</v>
      </c>
      <c r="AN7" s="44" t="n">
        <f aca="false">IF(Tasks[[#This Row],[Task Name]]="","",Tasks[[#This Row],[Cost]])</f>
        <v>2280</v>
      </c>
      <c r="AO7" s="29"/>
      <c r="AP7" s="29"/>
      <c r="AQ7" s="39"/>
      <c r="AR7" s="45"/>
      <c r="AS7" s="46"/>
      <c r="AT7" s="40" t="str">
        <f aca="false">IF(OR(Tasks[[#This Row],[Task Name]]="",Tasks[[#This Row],[Baseline Duration]]=""),"",Tasks[[#This Row],[BL Source Duration]]-N(Tasks[[#This Row],[Baseline Duration]]))</f>
        <v/>
      </c>
      <c r="AU7" s="43" t="str">
        <f aca="false">IF(OR(Tasks[[#This Row],[Task Name]]="",Tasks[[#This Row],[Baseline Work]]=""),"",Tasks[[#This Row],[Work]]-N(Tasks[[#This Row],[Baseline Work]]))</f>
        <v/>
      </c>
      <c r="AV7" s="44" t="str">
        <f aca="false">IF(OR(Tasks[[#This Row],[Task Name]]="",Tasks[[#This Row],[Baseline Cost]]=""),"",Tasks[[#This Row],[Cost]]-N(Tasks[[#This Row],[Baseline Cost]]))</f>
        <v/>
      </c>
      <c r="AW7" s="47" t="n">
        <f aca="false">IF(Tasks[[#This Row],[Task Name]]="","",MAX(1,N(Tasks[[#This Row],[Level]])))</f>
        <v>2</v>
      </c>
      <c r="AX7" s="47" t="n">
        <f aca="false">ROW()-ROW(Tasks[[#Headers],[ID]])</f>
        <v>2</v>
      </c>
      <c r="AY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AZ7" s="47" t="n">
        <f aca="false">IFERROR(N(INDEX(Tasks[_Level],Tasks[[#This Row],[_Row]]+1)),0)</f>
        <v>2</v>
      </c>
      <c r="BA7" s="48" t="b">
        <f aca="false">AND(Tasks[[#This Row],[Task Name]]&lt;&gt;"",Tasks[[#This Row],[_NextLevel]]&gt;Tasks[[#This Row],[_Level]])</f>
        <v>0</v>
      </c>
      <c r="BB7" s="47" t="n">
        <f aca="false">IF(Tasks[[#This Row],[_IsSummary]],COUNTIF(Tasks[WBS],Tasks[[#This Row],[WBS]]&amp;".*"),0)</f>
        <v>0</v>
      </c>
      <c r="BC7" s="47" t="n">
        <f aca="false">IF(AND(Tasks[[#This Row],[Task Name]]&lt;&gt;"",NOT(Tasks[[#This Row],[_IsSummary]])),1,0)</f>
        <v>1</v>
      </c>
      <c r="BD7" s="47" t="n">
        <f aca="false">IF(N(Tasks[[#This Row],[Pred1 UID]])=0,0,IFERROR(MATCH(Tasks[[#This Row],[Pred1 UID]],Tasks[UID],0),-1))</f>
        <v>0</v>
      </c>
      <c r="BE7" s="47" t="n">
        <f aca="false">IF(N(Tasks[[#This Row],[Pred2 UID]])=0,0,IFERROR(MATCH(Tasks[[#This Row],[Pred2 UID]],Tasks[UID],0),-1))</f>
        <v>0</v>
      </c>
      <c r="BF7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46272</v>
      </c>
      <c r="BG7" s="49" t="n">
        <f aca="false">IF(NOT(Tasks[[#This Row],[_IsLeaf]]=1),"",IF(N(Tasks[[#This Row],[Duration]])&lt;=0,Tasks[[#This Row],[_LeafCalcStart]],WORKDAY.INTL(Tasks[[#This Row],[_LeafCalcStart]],Tasks[[#This Row],[Duration]]-1,WorkWeek,Holidays)))</f>
        <v>46274</v>
      </c>
      <c r="BH7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46272</v>
      </c>
      <c r="BI7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46275</v>
      </c>
      <c r="BJ7" s="47" t="n">
        <f aca="false">IF(NOT(Tasks[[#This Row],[_IsLeaf]]=1),0,IF(N(Tasks[[#This Row],[Actual Finish]])&gt;0,1,MIN(1,N(Tasks[[#This Row],[% Complete]]))))</f>
        <v>1</v>
      </c>
      <c r="BK7" s="47" t="n">
        <f aca="false">IF(OR(NOT(Tasks[[#This Row],[_IsLeaf]]=1),Tasks[[#This Row],[Resource]]=""),0,N(Tasks[[#This Row],[Duration]])*HoursPerDay*IF(Tasks[[#This Row],[Units]]="",DefaultUnits,Tasks[[#This Row],[Units]]))</f>
        <v>24</v>
      </c>
      <c r="BL7" s="47" t="n">
        <f aca="false">IF(Tasks[[#This Row],[_LeafWork]]=0,0,Tasks[[#This Row],[_LeafWork]]*IFERROR(INDEX(res_Rate,MATCH(Tasks[[#This Row],[Resource]],res_Name,0)),0))</f>
        <v>2280</v>
      </c>
      <c r="BM7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46272</v>
      </c>
      <c r="BN7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46274</v>
      </c>
      <c r="BO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" s="47" t="n">
        <f aca="false">IF(AND(Tasks[[#This Row],[_IsLeaf]]=1,Tasks[[#This Row],[_LeafWork]]&gt;0),NETWORKDAYS.INTL(ProjectStart,Tasks[[#This Row],[_LeafFcstStart]],WorkWeek,Holidays),0)</f>
        <v>1</v>
      </c>
      <c r="BV7" s="47" t="n">
        <f aca="false">IF(AND(Tasks[[#This Row],[_IsLeaf]]=1,Tasks[[#This Row],[_LeafWork]]&gt;0),MAX(Tasks[[#This Row],[_StartWorkday]],NETWORKDAYS.INTL(ProjectStart,Tasks[[#This Row],[_LeafFcstFinish]],WorkWeek,Holidays)),0)</f>
        <v>4</v>
      </c>
      <c r="BW7" s="47" t="n">
        <f aca="false">IF(AND(Tasks[[#This Row],[_IsLeaf]]=1,Tasks[[#This Row],[_LeafWork]]&gt;0),Tasks[[#This Row],[_LeafWork]]/(Tasks[[#This Row],[_FinishWorkday]]-Tasks[[#This Row],[_StartWorkday]]+1),0)</f>
        <v>6</v>
      </c>
      <c r="BX7" s="47" t="n">
        <f aca="false">Tasks[[#This Row],[_WorkPerWorkday]]*(Tasks[[#This Row],[_StartWorkday]]-1)</f>
        <v>0</v>
      </c>
      <c r="BY7" s="47" t="n">
        <f aca="false">IF(Tasks[[#This Row],[_IsLeaf]]=1,MAX(N(Tasks[[#This Row],[Duration]]),0.1),0)</f>
        <v>3</v>
      </c>
      <c r="BZ7" s="47" t="n">
        <f aca="false">Tasks[[#This Row],[_WeightDur]]*Tasks[[#This Row],[_LeafProgress]]</f>
        <v>3</v>
      </c>
      <c r="CA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" customFormat="false" ht="15" hidden="false" customHeight="false" outlineLevel="0" collapsed="false">
      <c r="A8" s="38" t="n">
        <f aca="false">IF(Tasks[[#This Row],[Task Name]]="","",COUNTA(Tasks[[#Headers],[Task Name]]:Tasks[[#This Row],[Task Name]])-1)</f>
        <v>3</v>
      </c>
      <c r="B8" s="39" t="n">
        <v>3</v>
      </c>
      <c r="C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1.2</v>
      </c>
      <c r="D8" s="39" t="n">
        <v>2</v>
      </c>
      <c r="E8" s="41" t="s">
        <v>263</v>
      </c>
      <c r="F8" s="39" t="s">
        <v>259</v>
      </c>
      <c r="G8" s="39" t="n">
        <v>2</v>
      </c>
      <c r="H8" s="39" t="n">
        <v>2</v>
      </c>
      <c r="I8" s="39" t="s">
        <v>264</v>
      </c>
      <c r="J8" s="39"/>
      <c r="K8" s="39"/>
      <c r="L8" s="39"/>
      <c r="M8" s="39"/>
      <c r="N8" s="29"/>
      <c r="O8" s="29"/>
      <c r="P8" s="24" t="n">
        <f aca="false">IF(Tasks[[#This Row],[Task Name]]="","",IF(N(Tasks[[#This Row],[Baseline Start]])&gt;0,Tasks[[#This Row],[Baseline Start]],Tasks[[#This Row],[_CalcStart]]))</f>
        <v>46275</v>
      </c>
      <c r="Q8" s="24" t="n">
        <f aca="false">IF(Tasks[[#This Row],[Task Name]]="","",IF(N(Tasks[[#This Row],[Baseline Finish]])&gt;0,Tasks[[#This Row],[Baseline Finish]],Tasks[[#This Row],[_CalcFinish]]))</f>
        <v>46276</v>
      </c>
      <c r="R8" s="29" t="n">
        <v>46276</v>
      </c>
      <c r="S8" s="29" t="n">
        <v>46279</v>
      </c>
      <c r="T8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46276</v>
      </c>
      <c r="U8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46279</v>
      </c>
      <c r="V8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8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" s="31" t="n">
        <v>1</v>
      </c>
      <c r="AA8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8" s="41" t="s">
        <v>265</v>
      </c>
      <c r="AD8" s="31"/>
      <c r="AE8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16</v>
      </c>
      <c r="AF8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1120</v>
      </c>
      <c r="AG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H8" s="23" t="str">
        <f aca="false">IF(Tasks[[#This Row],[Task Name]]="","",Tasks[[#This Row],[_Pred1IDText]]&amp;IF(AND(Tasks[[#This Row],[_Pred1IDText]]&lt;&gt;"",Tasks[[#This Row],[_Pred2IDText]]&lt;&gt;""),",","")&amp;Tasks[[#This Row],[_Pred2IDText]])</f>
        <v>2</v>
      </c>
      <c r="AI8" s="41"/>
      <c r="AJ8" s="24" t="n">
        <f aca="false">IF(Tasks[[#This Row],[Task Name]]="","",Tasks[[#This Row],[Forecast Start]])</f>
        <v>46276</v>
      </c>
      <c r="AK8" s="24" t="n">
        <f aca="false">IF(Tasks[[#This Row],[Task Name]]="","",Tasks[[#This Row],[Forecast Finish]])</f>
        <v>46279</v>
      </c>
      <c r="AL8" s="38" t="n">
        <f aca="false">IF(Tasks[[#This Row],[Task Name]]="","",IF(Tasks[[#This Row],[_IsSummary]],NETWORKDAYS.INTL(Tasks[[#This Row],[Forecast Start]],Tasks[[#This Row],[Forecast Finish]],WorkWeek,Holidays),N(Tasks[[#This Row],[Duration]])))</f>
        <v>2</v>
      </c>
      <c r="AM8" s="43" t="n">
        <f aca="false">IF(Tasks[[#This Row],[Task Name]]="","",Tasks[[#This Row],[Work]])</f>
        <v>16</v>
      </c>
      <c r="AN8" s="44" t="n">
        <f aca="false">IF(Tasks[[#This Row],[Task Name]]="","",Tasks[[#This Row],[Cost]])</f>
        <v>1120</v>
      </c>
      <c r="AO8" s="29"/>
      <c r="AP8" s="29"/>
      <c r="AQ8" s="39"/>
      <c r="AR8" s="45"/>
      <c r="AS8" s="46"/>
      <c r="AT8" s="40" t="str">
        <f aca="false">IF(OR(Tasks[[#This Row],[Task Name]]="",Tasks[[#This Row],[Baseline Duration]]=""),"",Tasks[[#This Row],[BL Source Duration]]-N(Tasks[[#This Row],[Baseline Duration]]))</f>
        <v/>
      </c>
      <c r="AU8" s="43" t="str">
        <f aca="false">IF(OR(Tasks[[#This Row],[Task Name]]="",Tasks[[#This Row],[Baseline Work]]=""),"",Tasks[[#This Row],[Work]]-N(Tasks[[#This Row],[Baseline Work]]))</f>
        <v/>
      </c>
      <c r="AV8" s="44" t="str">
        <f aca="false">IF(OR(Tasks[[#This Row],[Task Name]]="",Tasks[[#This Row],[Baseline Cost]]=""),"",Tasks[[#This Row],[Cost]]-N(Tasks[[#This Row],[Baseline Cost]]))</f>
        <v/>
      </c>
      <c r="AW8" s="47" t="n">
        <f aca="false">IF(Tasks[[#This Row],[Task Name]]="","",MAX(1,N(Tasks[[#This Row],[Level]])))</f>
        <v>2</v>
      </c>
      <c r="AX8" s="47" t="n">
        <f aca="false">ROW()-ROW(Tasks[[#Headers],[ID]])</f>
        <v>3</v>
      </c>
      <c r="AY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AZ8" s="47" t="n">
        <f aca="false">IFERROR(N(INDEX(Tasks[_Level],Tasks[[#This Row],[_Row]]+1)),0)</f>
        <v>2</v>
      </c>
      <c r="BA8" s="48" t="b">
        <f aca="false">AND(Tasks[[#This Row],[Task Name]]&lt;&gt;"",Tasks[[#This Row],[_NextLevel]]&gt;Tasks[[#This Row],[_Level]])</f>
        <v>0</v>
      </c>
      <c r="BB8" s="47" t="n">
        <f aca="false">IF(Tasks[[#This Row],[_IsSummary]],COUNTIF(Tasks[WBS],Tasks[[#This Row],[WBS]]&amp;".*"),0)</f>
        <v>0</v>
      </c>
      <c r="BC8" s="47" t="n">
        <f aca="false">IF(AND(Tasks[[#This Row],[Task Name]]&lt;&gt;"",NOT(Tasks[[#This Row],[_IsSummary]])),1,0)</f>
        <v>1</v>
      </c>
      <c r="BD8" s="47" t="n">
        <f aca="false">IF(N(Tasks[[#This Row],[Pred1 UID]])=0,0,IFERROR(MATCH(Tasks[[#This Row],[Pred1 UID]],Tasks[UID],0),-1))</f>
        <v>2</v>
      </c>
      <c r="BE8" s="47" t="n">
        <f aca="false">IF(N(Tasks[[#This Row],[Pred2 UID]])=0,0,IFERROR(MATCH(Tasks[[#This Row],[Pred2 UID]],Tasks[UID],0),-1))</f>
        <v>0</v>
      </c>
      <c r="BF8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46275</v>
      </c>
      <c r="BG8" s="49" t="n">
        <f aca="false">IF(NOT(Tasks[[#This Row],[_IsLeaf]]=1),"",IF(N(Tasks[[#This Row],[Duration]])&lt;=0,Tasks[[#This Row],[_LeafCalcStart]],WORKDAY.INTL(Tasks[[#This Row],[_LeafCalcStart]],Tasks[[#This Row],[Duration]]-1,WorkWeek,Holidays)))</f>
        <v>46276</v>
      </c>
      <c r="BH8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46276</v>
      </c>
      <c r="BI8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46279</v>
      </c>
      <c r="BJ8" s="47" t="n">
        <f aca="false">IF(NOT(Tasks[[#This Row],[_IsLeaf]]=1),0,IF(N(Tasks[[#This Row],[Actual Finish]])&gt;0,1,MIN(1,N(Tasks[[#This Row],[% Complete]]))))</f>
        <v>1</v>
      </c>
      <c r="BK8" s="47" t="n">
        <f aca="false">IF(OR(NOT(Tasks[[#This Row],[_IsLeaf]]=1),Tasks[[#This Row],[Resource]]=""),0,N(Tasks[[#This Row],[Duration]])*HoursPerDay*IF(Tasks[[#This Row],[Units]]="",DefaultUnits,Tasks[[#This Row],[Units]]))</f>
        <v>16</v>
      </c>
      <c r="BL8" s="47" t="n">
        <f aca="false">IF(Tasks[[#This Row],[_LeafWork]]=0,0,Tasks[[#This Row],[_LeafWork]]*IFERROR(INDEX(res_Rate,MATCH(Tasks[[#This Row],[Resource]],res_Name,0)),0))</f>
        <v>1120</v>
      </c>
      <c r="BM8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46275</v>
      </c>
      <c r="BN8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46276</v>
      </c>
      <c r="BO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46275</v>
      </c>
      <c r="BR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46276</v>
      </c>
      <c r="BT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" s="47" t="n">
        <f aca="false">IF(AND(Tasks[[#This Row],[_IsLeaf]]=1,Tasks[[#This Row],[_LeafWork]]&gt;0),NETWORKDAYS.INTL(ProjectStart,Tasks[[#This Row],[_LeafFcstStart]],WorkWeek,Holidays),0)</f>
        <v>5</v>
      </c>
      <c r="BV8" s="47" t="n">
        <f aca="false">IF(AND(Tasks[[#This Row],[_IsLeaf]]=1,Tasks[[#This Row],[_LeafWork]]&gt;0),MAX(Tasks[[#This Row],[_StartWorkday]],NETWORKDAYS.INTL(ProjectStart,Tasks[[#This Row],[_LeafFcstFinish]],WorkWeek,Holidays)),0)</f>
        <v>6</v>
      </c>
      <c r="BW8" s="47" t="n">
        <f aca="false">IF(AND(Tasks[[#This Row],[_IsLeaf]]=1,Tasks[[#This Row],[_LeafWork]]&gt;0),Tasks[[#This Row],[_LeafWork]]/(Tasks[[#This Row],[_FinishWorkday]]-Tasks[[#This Row],[_StartWorkday]]+1),0)</f>
        <v>8</v>
      </c>
      <c r="BX8" s="47" t="n">
        <f aca="false">Tasks[[#This Row],[_WorkPerWorkday]]*(Tasks[[#This Row],[_StartWorkday]]-1)</f>
        <v>32</v>
      </c>
      <c r="BY8" s="47" t="n">
        <f aca="false">IF(Tasks[[#This Row],[_IsLeaf]]=1,MAX(N(Tasks[[#This Row],[Duration]]),0.1),0)</f>
        <v>2</v>
      </c>
      <c r="BZ8" s="47" t="n">
        <f aca="false">Tasks[[#This Row],[_WeightDur]]*Tasks[[#This Row],[_LeafProgress]]</f>
        <v>2</v>
      </c>
      <c r="CA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</v>
      </c>
      <c r="CB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</v>
      </c>
      <c r="CD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</v>
      </c>
      <c r="CF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" customFormat="false" ht="15" hidden="false" customHeight="false" outlineLevel="0" collapsed="false">
      <c r="A9" s="38" t="n">
        <f aca="false">IF(Tasks[[#This Row],[Task Name]]="","",COUNTA(Tasks[[#Headers],[Task Name]]:Tasks[[#This Row],[Task Name]])-1)</f>
        <v>4</v>
      </c>
      <c r="B9" s="39" t="n">
        <v>4</v>
      </c>
      <c r="C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1.3</v>
      </c>
      <c r="D9" s="39" t="n">
        <v>2</v>
      </c>
      <c r="E9" s="41" t="s">
        <v>266</v>
      </c>
      <c r="F9" s="39" t="s">
        <v>259</v>
      </c>
      <c r="G9" s="39" t="n">
        <v>0</v>
      </c>
      <c r="H9" s="39" t="n">
        <v>3</v>
      </c>
      <c r="I9" s="39" t="s">
        <v>264</v>
      </c>
      <c r="J9" s="39"/>
      <c r="K9" s="39"/>
      <c r="L9" s="39"/>
      <c r="M9" s="39"/>
      <c r="N9" s="29"/>
      <c r="O9" s="29"/>
      <c r="P9" s="24" t="n">
        <f aca="false">IF(Tasks[[#This Row],[Task Name]]="","",IF(N(Tasks[[#This Row],[Baseline Start]])&gt;0,Tasks[[#This Row],[Baseline Start]],Tasks[[#This Row],[_CalcStart]]))</f>
        <v>46276</v>
      </c>
      <c r="Q9" s="24" t="n">
        <f aca="false">IF(Tasks[[#This Row],[Task Name]]="","",IF(N(Tasks[[#This Row],[Baseline Finish]])&gt;0,Tasks[[#This Row],[Baseline Finish]],Tasks[[#This Row],[_CalcFinish]]))</f>
        <v>46276</v>
      </c>
      <c r="R9" s="29" t="n">
        <v>46279</v>
      </c>
      <c r="S9" s="29" t="n">
        <v>46279</v>
      </c>
      <c r="T9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46279</v>
      </c>
      <c r="U9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46279</v>
      </c>
      <c r="V9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9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" s="31" t="n">
        <v>1</v>
      </c>
      <c r="AA9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9" s="41"/>
      <c r="AD9" s="31"/>
      <c r="AE9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F9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G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H9" s="23" t="str">
        <f aca="false">IF(Tasks[[#This Row],[Task Name]]="","",Tasks[[#This Row],[_Pred1IDText]]&amp;IF(AND(Tasks[[#This Row],[_Pred1IDText]]&lt;&gt;"",Tasks[[#This Row],[_Pred2IDText]]&lt;&gt;""),",","")&amp;Tasks[[#This Row],[_Pred2IDText]])</f>
        <v>3</v>
      </c>
      <c r="AI9" s="41" t="s">
        <v>267</v>
      </c>
      <c r="AJ9" s="24" t="n">
        <f aca="false">IF(Tasks[[#This Row],[Task Name]]="","",Tasks[[#This Row],[Forecast Start]])</f>
        <v>46279</v>
      </c>
      <c r="AK9" s="24" t="n">
        <f aca="false">IF(Tasks[[#This Row],[Task Name]]="","",Tasks[[#This Row],[Forecast Finish]])</f>
        <v>46279</v>
      </c>
      <c r="AL9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M9" s="43" t="n">
        <f aca="false">IF(Tasks[[#This Row],[Task Name]]="","",Tasks[[#This Row],[Work]])</f>
        <v>0</v>
      </c>
      <c r="AN9" s="44" t="n">
        <f aca="false">IF(Tasks[[#This Row],[Task Name]]="","",Tasks[[#This Row],[Cost]])</f>
        <v>0</v>
      </c>
      <c r="AO9" s="29"/>
      <c r="AP9" s="29"/>
      <c r="AQ9" s="39"/>
      <c r="AR9" s="45"/>
      <c r="AS9" s="46"/>
      <c r="AT9" s="40" t="str">
        <f aca="false">IF(OR(Tasks[[#This Row],[Task Name]]="",Tasks[[#This Row],[Baseline Duration]]=""),"",Tasks[[#This Row],[BL Source Duration]]-N(Tasks[[#This Row],[Baseline Duration]]))</f>
        <v/>
      </c>
      <c r="AU9" s="43" t="str">
        <f aca="false">IF(OR(Tasks[[#This Row],[Task Name]]="",Tasks[[#This Row],[Baseline Work]]=""),"",Tasks[[#This Row],[Work]]-N(Tasks[[#This Row],[Baseline Work]]))</f>
        <v/>
      </c>
      <c r="AV9" s="44" t="str">
        <f aca="false">IF(OR(Tasks[[#This Row],[Task Name]]="",Tasks[[#This Row],[Baseline Cost]]=""),"",Tasks[[#This Row],[Cost]]-N(Tasks[[#This Row],[Baseline Cost]]))</f>
        <v/>
      </c>
      <c r="AW9" s="47" t="n">
        <f aca="false">IF(Tasks[[#This Row],[Task Name]]="","",MAX(1,N(Tasks[[#This Row],[Level]])))</f>
        <v>2</v>
      </c>
      <c r="AX9" s="47" t="n">
        <f aca="false">ROW()-ROW(Tasks[[#Headers],[ID]])</f>
        <v>4</v>
      </c>
      <c r="AY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AZ9" s="47" t="n">
        <f aca="false">IFERROR(N(INDEX(Tasks[_Level],Tasks[[#This Row],[_Row]]+1)),0)</f>
        <v>1</v>
      </c>
      <c r="BA9" s="48" t="b">
        <f aca="false">AND(Tasks[[#This Row],[Task Name]]&lt;&gt;"",Tasks[[#This Row],[_NextLevel]]&gt;Tasks[[#This Row],[_Level]])</f>
        <v>0</v>
      </c>
      <c r="BB9" s="47" t="n">
        <f aca="false">IF(Tasks[[#This Row],[_IsSummary]],COUNTIF(Tasks[WBS],Tasks[[#This Row],[WBS]]&amp;".*"),0)</f>
        <v>0</v>
      </c>
      <c r="BC9" s="47" t="n">
        <f aca="false">IF(AND(Tasks[[#This Row],[Task Name]]&lt;&gt;"",NOT(Tasks[[#This Row],[_IsSummary]])),1,0)</f>
        <v>1</v>
      </c>
      <c r="BD9" s="47" t="n">
        <f aca="false">IF(N(Tasks[[#This Row],[Pred1 UID]])=0,0,IFERROR(MATCH(Tasks[[#This Row],[Pred1 UID]],Tasks[UID],0),-1))</f>
        <v>3</v>
      </c>
      <c r="BE9" s="47" t="n">
        <f aca="false">IF(N(Tasks[[#This Row],[Pred2 UID]])=0,0,IFERROR(MATCH(Tasks[[#This Row],[Pred2 UID]],Tasks[UID],0),-1))</f>
        <v>0</v>
      </c>
      <c r="BF9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46276</v>
      </c>
      <c r="BG9" s="49" t="n">
        <f aca="false">IF(NOT(Tasks[[#This Row],[_IsLeaf]]=1),"",IF(N(Tasks[[#This Row],[Duration]])&lt;=0,Tasks[[#This Row],[_LeafCalcStart]],WORKDAY.INTL(Tasks[[#This Row],[_LeafCalcStart]],Tasks[[#This Row],[Duration]]-1,WorkWeek,Holidays)))</f>
        <v>46276</v>
      </c>
      <c r="BH9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46279</v>
      </c>
      <c r="BI9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46279</v>
      </c>
      <c r="BJ9" s="47" t="n">
        <f aca="false">IF(NOT(Tasks[[#This Row],[_IsLeaf]]=1),0,IF(N(Tasks[[#This Row],[Actual Finish]])&gt;0,1,MIN(1,N(Tasks[[#This Row],[% Complete]]))))</f>
        <v>1</v>
      </c>
      <c r="BK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" s="47" t="n">
        <f aca="false">IF(Tasks[[#This Row],[_LeafWork]]=0,0,Tasks[[#This Row],[_LeafWork]]*IFERROR(INDEX(res_Rate,MATCH(Tasks[[#This Row],[Resource]],res_Name,0)),0))</f>
        <v>0</v>
      </c>
      <c r="BM9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46276</v>
      </c>
      <c r="BN9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46276</v>
      </c>
      <c r="BO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46276</v>
      </c>
      <c r="BR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46279</v>
      </c>
      <c r="BT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" s="47" t="n">
        <f aca="false">IF(AND(Tasks[[#This Row],[_IsLeaf]]=1,Tasks[[#This Row],[_LeafWork]]&gt;0),NETWORKDAYS.INTL(ProjectStart,Tasks[[#This Row],[_LeafFcstStart]],WorkWeek,Holidays),0)</f>
        <v>0</v>
      </c>
      <c r="BV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" s="47" t="n">
        <f aca="false">IF(AND(Tasks[[#This Row],[_IsLeaf]]=1,Tasks[[#This Row],[_LeafWork]]&gt;0),Tasks[[#This Row],[_LeafWork]]/(Tasks[[#This Row],[_FinishWorkday]]-Tasks[[#This Row],[_StartWorkday]]+1),0)</f>
        <v>0</v>
      </c>
      <c r="BX9" s="47" t="n">
        <f aca="false">Tasks[[#This Row],[_WorkPerWorkday]]*(Tasks[[#This Row],[_StartWorkday]]-1)</f>
        <v>-0</v>
      </c>
      <c r="BY9" s="47" t="n">
        <f aca="false">IF(Tasks[[#This Row],[_IsLeaf]]=1,MAX(N(Tasks[[#This Row],[Duration]]),0.1),0)</f>
        <v>0.1</v>
      </c>
      <c r="BZ9" s="47" t="n">
        <f aca="false">Tasks[[#This Row],[_WeightDur]]*Tasks[[#This Row],[_LeafProgress]]</f>
        <v>0.1</v>
      </c>
      <c r="CA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3</v>
      </c>
      <c r="CB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3</v>
      </c>
      <c r="CD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3</v>
      </c>
      <c r="CF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" customFormat="false" ht="15" hidden="false" customHeight="false" outlineLevel="0" collapsed="false">
      <c r="A10" s="38" t="n">
        <f aca="false">IF(Tasks[[#This Row],[Task Name]]="","",COUNTA(Tasks[[#Headers],[Task Name]]:Tasks[[#This Row],[Task Name]])-1)</f>
        <v>5</v>
      </c>
      <c r="B10" s="39" t="n">
        <v>5</v>
      </c>
      <c r="C1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</v>
      </c>
      <c r="D10" s="39" t="n">
        <v>1</v>
      </c>
      <c r="E10" s="41" t="s">
        <v>268</v>
      </c>
      <c r="F10" s="39" t="s">
        <v>259</v>
      </c>
      <c r="G10" s="39"/>
      <c r="H10" s="39"/>
      <c r="I10" s="39"/>
      <c r="J10" s="39"/>
      <c r="K10" s="39"/>
      <c r="L10" s="39"/>
      <c r="M10" s="39"/>
      <c r="N10" s="29"/>
      <c r="O10" s="29"/>
      <c r="P10" s="24" t="n">
        <f aca="false">IF(Tasks[[#This Row],[Task Name]]="","",IF(N(Tasks[[#This Row],[Baseline Start]])&gt;0,Tasks[[#This Row],[Baseline Start]],Tasks[[#This Row],[_CalcStart]]))</f>
        <v>46279</v>
      </c>
      <c r="Q10" s="24" t="n">
        <f aca="false">IF(Tasks[[#This Row],[Task Name]]="","",IF(N(Tasks[[#This Row],[Baseline Finish]])&gt;0,Tasks[[#This Row],[Baseline Finish]],Tasks[[#This Row],[_CalcFinish]]))</f>
        <v>46296</v>
      </c>
      <c r="R10" s="29"/>
      <c r="S10" s="29"/>
      <c r="T10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46280</v>
      </c>
      <c r="U10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46301</v>
      </c>
      <c r="V10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0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" s="31"/>
      <c r="AA10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1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0" s="41"/>
      <c r="AD10" s="31"/>
      <c r="AE10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152</v>
      </c>
      <c r="AF10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12480</v>
      </c>
      <c r="AG1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" s="41"/>
      <c r="AJ10" s="24" t="n">
        <f aca="false">IF(Tasks[[#This Row],[Task Name]]="","",Tasks[[#This Row],[Forecast Start]])</f>
        <v>46280</v>
      </c>
      <c r="AK10" s="24" t="n">
        <f aca="false">IF(Tasks[[#This Row],[Task Name]]="","",Tasks[[#This Row],[Forecast Finish]])</f>
        <v>46301</v>
      </c>
      <c r="AL10" s="38" t="n">
        <f aca="false">IF(Tasks[[#This Row],[Task Name]]="","",IF(Tasks[[#This Row],[_IsSummary]],NETWORKDAYS.INTL(Tasks[[#This Row],[Forecast Start]],Tasks[[#This Row],[Forecast Finish]],WorkWeek,Holidays),N(Tasks[[#This Row],[Duration]])))</f>
        <v>16</v>
      </c>
      <c r="AM10" s="43" t="n">
        <f aca="false">IF(Tasks[[#This Row],[Task Name]]="","",Tasks[[#This Row],[Work]])</f>
        <v>152</v>
      </c>
      <c r="AN10" s="44" t="n">
        <f aca="false">IF(Tasks[[#This Row],[Task Name]]="","",Tasks[[#This Row],[Cost]])</f>
        <v>12480</v>
      </c>
      <c r="AO10" s="29"/>
      <c r="AP10" s="29"/>
      <c r="AQ10" s="39"/>
      <c r="AR10" s="45"/>
      <c r="AS10" s="46"/>
      <c r="AT10" s="40" t="str">
        <f aca="false">IF(OR(Tasks[[#This Row],[Task Name]]="",Tasks[[#This Row],[Baseline Duration]]=""),"",Tasks[[#This Row],[BL Source Duration]]-N(Tasks[[#This Row],[Baseline Duration]]))</f>
        <v/>
      </c>
      <c r="AU10" s="43" t="str">
        <f aca="false">IF(OR(Tasks[[#This Row],[Task Name]]="",Tasks[[#This Row],[Baseline Work]]=""),"",Tasks[[#This Row],[Work]]-N(Tasks[[#This Row],[Baseline Work]]))</f>
        <v/>
      </c>
      <c r="AV10" s="44" t="str">
        <f aca="false">IF(OR(Tasks[[#This Row],[Task Name]]="",Tasks[[#This Row],[Baseline Cost]]=""),"",Tasks[[#This Row],[Cost]]-N(Tasks[[#This Row],[Baseline Cost]]))</f>
        <v/>
      </c>
      <c r="AW10" s="47" t="n">
        <f aca="false">IF(Tasks[[#This Row],[Task Name]]="","",MAX(1,N(Tasks[[#This Row],[Level]])))</f>
        <v>1</v>
      </c>
      <c r="AX10" s="47" t="n">
        <f aca="false">ROW()-ROW(Tasks[[#Headers],[ID]])</f>
        <v>5</v>
      </c>
      <c r="AY1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" s="47" t="n">
        <f aca="false">IFERROR(N(INDEX(Tasks[_Level],Tasks[[#This Row],[_Row]]+1)),0)</f>
        <v>2</v>
      </c>
      <c r="BA10" s="48" t="b">
        <f aca="false">AND(Tasks[[#This Row],[Task Name]]&lt;&gt;"",Tasks[[#This Row],[_NextLevel]]&gt;Tasks[[#This Row],[_Level]])</f>
        <v>1</v>
      </c>
      <c r="BB10" s="47" t="n">
        <f aca="false">IF(Tasks[[#This Row],[_IsSummary]],COUNTIF(Tasks[WBS],Tasks[[#This Row],[WBS]]&amp;".*"),0)</f>
        <v>4</v>
      </c>
      <c r="BC10" s="47" t="n">
        <f aca="false">IF(AND(Tasks[[#This Row],[Task Name]]&lt;&gt;"",NOT(Tasks[[#This Row],[_IsSummary]])),1,0)</f>
        <v>0</v>
      </c>
      <c r="BD10" s="47" t="n">
        <f aca="false">IF(N(Tasks[[#This Row],[Pred1 UID]])=0,0,IFERROR(MATCH(Tasks[[#This Row],[Pred1 UID]],Tasks[UID],0),-1))</f>
        <v>0</v>
      </c>
      <c r="BE10" s="47" t="n">
        <f aca="false">IF(N(Tasks[[#This Row],[Pred2 UID]])=0,0,IFERROR(MATCH(Tasks[[#This Row],[Pred2 UID]],Tasks[UID],0),-1))</f>
        <v>0</v>
      </c>
      <c r="BF1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" s="47" t="n">
        <f aca="false">IF(NOT(Tasks[[#This Row],[_IsLeaf]]=1),0,IF(N(Tasks[[#This Row],[Actual Finish]])&gt;0,1,MIN(1,N(Tasks[[#This Row],[% Complete]]))))</f>
        <v>0</v>
      </c>
      <c r="BK1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" s="47" t="n">
        <f aca="false">IF(Tasks[[#This Row],[_LeafWork]]=0,0,Tasks[[#This Row],[_LeafWork]]*IFERROR(INDEX(res_Rate,MATCH(Tasks[[#This Row],[Resource]],res_Name,0)),0))</f>
        <v>0</v>
      </c>
      <c r="BM10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46279</v>
      </c>
      <c r="BN10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46296</v>
      </c>
      <c r="BO1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" s="47" t="n">
        <f aca="false">IF(AND(Tasks[[#This Row],[_IsLeaf]]=1,Tasks[[#This Row],[_LeafWork]]&gt;0),NETWORKDAYS.INTL(ProjectStart,Tasks[[#This Row],[_LeafFcstStart]],WorkWeek,Holidays),0)</f>
        <v>0</v>
      </c>
      <c r="BV1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" s="47" t="n">
        <f aca="false">IF(AND(Tasks[[#This Row],[_IsLeaf]]=1,Tasks[[#This Row],[_LeafWork]]&gt;0),Tasks[[#This Row],[_LeafWork]]/(Tasks[[#This Row],[_FinishWorkday]]-Tasks[[#This Row],[_StartWorkday]]+1),0)</f>
        <v>0</v>
      </c>
      <c r="BX10" s="47" t="n">
        <f aca="false">Tasks[[#This Row],[_WorkPerWorkday]]*(Tasks[[#This Row],[_StartWorkday]]-1)</f>
        <v>-0</v>
      </c>
      <c r="BY10" s="47" t="n">
        <f aca="false">IF(Tasks[[#This Row],[_IsLeaf]]=1,MAX(N(Tasks[[#This Row],[Duration]]),0.1),0)</f>
        <v>0</v>
      </c>
      <c r="BZ10" s="47" t="n">
        <f aca="false">Tasks[[#This Row],[_WeightDur]]*Tasks[[#This Row],[_LeafProgress]]</f>
        <v>0</v>
      </c>
      <c r="CA1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" customFormat="false" ht="15" hidden="false" customHeight="false" outlineLevel="0" collapsed="false">
      <c r="A11" s="38" t="n">
        <f aca="false">IF(Tasks[[#This Row],[Task Name]]="","",COUNTA(Tasks[[#Headers],[Task Name]]:Tasks[[#This Row],[Task Name]])-1)</f>
        <v>6</v>
      </c>
      <c r="B11" s="39" t="n">
        <v>6</v>
      </c>
      <c r="C1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2.1</v>
      </c>
      <c r="D11" s="39" t="n">
        <v>2</v>
      </c>
      <c r="E11" s="41" t="s">
        <v>269</v>
      </c>
      <c r="F11" s="39" t="s">
        <v>259</v>
      </c>
      <c r="G11" s="39" t="n">
        <v>8</v>
      </c>
      <c r="H11" s="39" t="n">
        <v>4</v>
      </c>
      <c r="I11" s="39" t="s">
        <v>264</v>
      </c>
      <c r="J11" s="39"/>
      <c r="K11" s="39"/>
      <c r="L11" s="39"/>
      <c r="M11" s="39"/>
      <c r="N11" s="29"/>
      <c r="O11" s="29"/>
      <c r="P11" s="24" t="n">
        <f aca="false">IF(Tasks[[#This Row],[Task Name]]="","",IF(N(Tasks[[#This Row],[Baseline Start]])&gt;0,Tasks[[#This Row],[Baseline Start]],Tasks[[#This Row],[_CalcStart]]))</f>
        <v>46279</v>
      </c>
      <c r="Q11" s="24" t="n">
        <f aca="false">IF(Tasks[[#This Row],[Task Name]]="","",IF(N(Tasks[[#This Row],[Baseline Finish]])&gt;0,Tasks[[#This Row],[Baseline Finish]],Tasks[[#This Row],[_CalcFinish]]))</f>
        <v>46288</v>
      </c>
      <c r="R11" s="29" t="n">
        <v>46280</v>
      </c>
      <c r="S11" s="29" t="n">
        <v>46290</v>
      </c>
      <c r="T11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46280</v>
      </c>
      <c r="U11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46290</v>
      </c>
      <c r="V11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1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2</v>
      </c>
      <c r="X1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" s="31" t="n">
        <v>1</v>
      </c>
      <c r="AA11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1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1" s="41" t="s">
        <v>265</v>
      </c>
      <c r="AD11" s="31"/>
      <c r="AE11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64</v>
      </c>
      <c r="AF11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4480</v>
      </c>
      <c r="AG1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H11" s="23" t="str">
        <f aca="false">IF(Tasks[[#This Row],[Task Name]]="","",Tasks[[#This Row],[_Pred1IDText]]&amp;IF(AND(Tasks[[#This Row],[_Pred1IDText]]&lt;&gt;"",Tasks[[#This Row],[_Pred2IDText]]&lt;&gt;""),",","")&amp;Tasks[[#This Row],[_Pred2IDText]])</f>
        <v>4</v>
      </c>
      <c r="AI11" s="41"/>
      <c r="AJ11" s="24" t="n">
        <f aca="false">IF(Tasks[[#This Row],[Task Name]]="","",Tasks[[#This Row],[Forecast Start]])</f>
        <v>46280</v>
      </c>
      <c r="AK11" s="24" t="n">
        <f aca="false">IF(Tasks[[#This Row],[Task Name]]="","",Tasks[[#This Row],[Forecast Finish]])</f>
        <v>46290</v>
      </c>
      <c r="AL11" s="38" t="n">
        <f aca="false">IF(Tasks[[#This Row],[Task Name]]="","",IF(Tasks[[#This Row],[_IsSummary]],NETWORKDAYS.INTL(Tasks[[#This Row],[Forecast Start]],Tasks[[#This Row],[Forecast Finish]],WorkWeek,Holidays),N(Tasks[[#This Row],[Duration]])))</f>
        <v>8</v>
      </c>
      <c r="AM11" s="43" t="n">
        <f aca="false">IF(Tasks[[#This Row],[Task Name]]="","",Tasks[[#This Row],[Work]])</f>
        <v>64</v>
      </c>
      <c r="AN11" s="44" t="n">
        <f aca="false">IF(Tasks[[#This Row],[Task Name]]="","",Tasks[[#This Row],[Cost]])</f>
        <v>4480</v>
      </c>
      <c r="AO11" s="29"/>
      <c r="AP11" s="29"/>
      <c r="AQ11" s="39"/>
      <c r="AR11" s="45"/>
      <c r="AS11" s="46"/>
      <c r="AT11" s="40" t="str">
        <f aca="false">IF(OR(Tasks[[#This Row],[Task Name]]="",Tasks[[#This Row],[Baseline Duration]]=""),"",Tasks[[#This Row],[BL Source Duration]]-N(Tasks[[#This Row],[Baseline Duration]]))</f>
        <v/>
      </c>
      <c r="AU11" s="43" t="str">
        <f aca="false">IF(OR(Tasks[[#This Row],[Task Name]]="",Tasks[[#This Row],[Baseline Work]]=""),"",Tasks[[#This Row],[Work]]-N(Tasks[[#This Row],[Baseline Work]]))</f>
        <v/>
      </c>
      <c r="AV11" s="44" t="str">
        <f aca="false">IF(OR(Tasks[[#This Row],[Task Name]]="",Tasks[[#This Row],[Baseline Cost]]=""),"",Tasks[[#This Row],[Cost]]-N(Tasks[[#This Row],[Baseline Cost]]))</f>
        <v/>
      </c>
      <c r="AW11" s="47" t="n">
        <f aca="false">IF(Tasks[[#This Row],[Task Name]]="","",MAX(1,N(Tasks[[#This Row],[Level]])))</f>
        <v>2</v>
      </c>
      <c r="AX11" s="47" t="n">
        <f aca="false">ROW()-ROW(Tasks[[#Headers],[ID]])</f>
        <v>6</v>
      </c>
      <c r="AY1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AZ11" s="47" t="n">
        <f aca="false">IFERROR(N(INDEX(Tasks[_Level],Tasks[[#This Row],[_Row]]+1)),0)</f>
        <v>2</v>
      </c>
      <c r="BA11" s="48" t="b">
        <f aca="false">AND(Tasks[[#This Row],[Task Name]]&lt;&gt;"",Tasks[[#This Row],[_NextLevel]]&gt;Tasks[[#This Row],[_Level]])</f>
        <v>0</v>
      </c>
      <c r="BB11" s="47" t="n">
        <f aca="false">IF(Tasks[[#This Row],[_IsSummary]],COUNTIF(Tasks[WBS],Tasks[[#This Row],[WBS]]&amp;".*"),0)</f>
        <v>0</v>
      </c>
      <c r="BC11" s="47" t="n">
        <f aca="false">IF(AND(Tasks[[#This Row],[Task Name]]&lt;&gt;"",NOT(Tasks[[#This Row],[_IsSummary]])),1,0)</f>
        <v>1</v>
      </c>
      <c r="BD11" s="47" t="n">
        <f aca="false">IF(N(Tasks[[#This Row],[Pred1 UID]])=0,0,IFERROR(MATCH(Tasks[[#This Row],[Pred1 UID]],Tasks[UID],0),-1))</f>
        <v>4</v>
      </c>
      <c r="BE11" s="47" t="n">
        <f aca="false">IF(N(Tasks[[#This Row],[Pred2 UID]])=0,0,IFERROR(MATCH(Tasks[[#This Row],[Pred2 UID]],Tasks[UID],0),-1))</f>
        <v>0</v>
      </c>
      <c r="BF11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46279</v>
      </c>
      <c r="BG11" s="49" t="n">
        <f aca="false">IF(NOT(Tasks[[#This Row],[_IsLeaf]]=1),"",IF(N(Tasks[[#This Row],[Duration]])&lt;=0,Tasks[[#This Row],[_LeafCalcStart]],WORKDAY.INTL(Tasks[[#This Row],[_LeafCalcStart]],Tasks[[#This Row],[Duration]]-1,WorkWeek,Holidays)))</f>
        <v>46288</v>
      </c>
      <c r="BH11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46280</v>
      </c>
      <c r="BI11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46290</v>
      </c>
      <c r="BJ11" s="47" t="n">
        <f aca="false">IF(NOT(Tasks[[#This Row],[_IsLeaf]]=1),0,IF(N(Tasks[[#This Row],[Actual Finish]])&gt;0,1,MIN(1,N(Tasks[[#This Row],[% Complete]]))))</f>
        <v>1</v>
      </c>
      <c r="BK11" s="47" t="n">
        <f aca="false">IF(OR(NOT(Tasks[[#This Row],[_IsLeaf]]=1),Tasks[[#This Row],[Resource]]=""),0,N(Tasks[[#This Row],[Duration]])*HoursPerDay*IF(Tasks[[#This Row],[Units]]="",DefaultUnits,Tasks[[#This Row],[Units]]))</f>
        <v>64</v>
      </c>
      <c r="BL11" s="47" t="n">
        <f aca="false">IF(Tasks[[#This Row],[_LeafWork]]=0,0,Tasks[[#This Row],[_LeafWork]]*IFERROR(INDEX(res_Rate,MATCH(Tasks[[#This Row],[Resource]],res_Name,0)),0))</f>
        <v>4480</v>
      </c>
      <c r="BM11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46279</v>
      </c>
      <c r="BN11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46288</v>
      </c>
      <c r="BO1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46279</v>
      </c>
      <c r="BR1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46280</v>
      </c>
      <c r="BT1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" s="47" t="n">
        <f aca="false">IF(AND(Tasks[[#This Row],[_IsLeaf]]=1,Tasks[[#This Row],[_LeafWork]]&gt;0),NETWORKDAYS.INTL(ProjectStart,Tasks[[#This Row],[_LeafFcstStart]],WorkWeek,Holidays),0)</f>
        <v>7</v>
      </c>
      <c r="BV11" s="47" t="n">
        <f aca="false">IF(AND(Tasks[[#This Row],[_IsLeaf]]=1,Tasks[[#This Row],[_LeafWork]]&gt;0),MAX(Tasks[[#This Row],[_StartWorkday]],NETWORKDAYS.INTL(ProjectStart,Tasks[[#This Row],[_LeafFcstFinish]],WorkWeek,Holidays)),0)</f>
        <v>15</v>
      </c>
      <c r="BW11" s="47" t="n">
        <f aca="false">IF(AND(Tasks[[#This Row],[_IsLeaf]]=1,Tasks[[#This Row],[_LeafWork]]&gt;0),Tasks[[#This Row],[_LeafWork]]/(Tasks[[#This Row],[_FinishWorkday]]-Tasks[[#This Row],[_StartWorkday]]+1),0)</f>
        <v>7.11111111111111</v>
      </c>
      <c r="BX11" s="47" t="n">
        <f aca="false">Tasks[[#This Row],[_WorkPerWorkday]]*(Tasks[[#This Row],[_StartWorkday]]-1)</f>
        <v>42.6666666666667</v>
      </c>
      <c r="BY11" s="47" t="n">
        <f aca="false">IF(Tasks[[#This Row],[_IsLeaf]]=1,MAX(N(Tasks[[#This Row],[Duration]]),0.1),0)</f>
        <v>8</v>
      </c>
      <c r="BZ11" s="47" t="n">
        <f aca="false">Tasks[[#This Row],[_WeightDur]]*Tasks[[#This Row],[_LeafProgress]]</f>
        <v>8</v>
      </c>
      <c r="CA1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4</v>
      </c>
      <c r="CB1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4</v>
      </c>
      <c r="CD1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4</v>
      </c>
      <c r="CF1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" customFormat="false" ht="15" hidden="false" customHeight="false" outlineLevel="0" collapsed="false">
      <c r="A12" s="38" t="n">
        <f aca="false">IF(Tasks[[#This Row],[Task Name]]="","",COUNTA(Tasks[[#Headers],[Task Name]]:Tasks[[#This Row],[Task Name]])-1)</f>
        <v>7</v>
      </c>
      <c r="B12" s="39" t="n">
        <v>7</v>
      </c>
      <c r="C1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2.2</v>
      </c>
      <c r="D12" s="39" t="n">
        <v>2</v>
      </c>
      <c r="E12" s="41" t="s">
        <v>270</v>
      </c>
      <c r="F12" s="39" t="s">
        <v>259</v>
      </c>
      <c r="G12" s="39" t="n">
        <v>5</v>
      </c>
      <c r="H12" s="39" t="n">
        <v>6</v>
      </c>
      <c r="I12" s="39" t="s">
        <v>271</v>
      </c>
      <c r="J12" s="39" t="n">
        <v>3</v>
      </c>
      <c r="K12" s="39"/>
      <c r="L12" s="39"/>
      <c r="M12" s="39"/>
      <c r="N12" s="29"/>
      <c r="O12" s="29"/>
      <c r="P12" s="24" t="n">
        <f aca="false">IF(Tasks[[#This Row],[Task Name]]="","",IF(N(Tasks[[#This Row],[Baseline Start]])&gt;0,Tasks[[#This Row],[Baseline Start]],Tasks[[#This Row],[_CalcStart]]))</f>
        <v>46282</v>
      </c>
      <c r="Q12" s="24" t="n">
        <f aca="false">IF(Tasks[[#This Row],[Task Name]]="","",IF(N(Tasks[[#This Row],[Baseline Finish]])&gt;0,Tasks[[#This Row],[Baseline Finish]],Tasks[[#This Row],[_CalcFinish]]))</f>
        <v>46288</v>
      </c>
      <c r="R12" s="29" t="n">
        <v>46283</v>
      </c>
      <c r="S12" s="29" t="n">
        <v>46290</v>
      </c>
      <c r="T12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46283</v>
      </c>
      <c r="U12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46290</v>
      </c>
      <c r="V12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2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2</v>
      </c>
      <c r="X1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" s="31" t="n">
        <v>1</v>
      </c>
      <c r="AA12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1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2" s="41" t="s">
        <v>272</v>
      </c>
      <c r="AD12" s="31"/>
      <c r="AE12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F12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4400</v>
      </c>
      <c r="AG1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H12" s="23" t="str">
        <f aca="false">IF(Tasks[[#This Row],[Task Name]]="","",Tasks[[#This Row],[_Pred1IDText]]&amp;IF(AND(Tasks[[#This Row],[_Pred1IDText]]&lt;&gt;"",Tasks[[#This Row],[_Pred2IDText]]&lt;&gt;""),",","")&amp;Tasks[[#This Row],[_Pred2IDText]])</f>
        <v>6SS+3d</v>
      </c>
      <c r="AI12" s="41" t="s">
        <v>273</v>
      </c>
      <c r="AJ12" s="24" t="n">
        <f aca="false">IF(Tasks[[#This Row],[Task Name]]="","",Tasks[[#This Row],[Forecast Start]])</f>
        <v>46283</v>
      </c>
      <c r="AK12" s="24" t="n">
        <f aca="false">IF(Tasks[[#This Row],[Task Name]]="","",Tasks[[#This Row],[Forecast Finish]])</f>
        <v>46290</v>
      </c>
      <c r="AL12" s="3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M12" s="43" t="n">
        <f aca="false">IF(Tasks[[#This Row],[Task Name]]="","",Tasks[[#This Row],[Work]])</f>
        <v>40</v>
      </c>
      <c r="AN12" s="44" t="n">
        <f aca="false">IF(Tasks[[#This Row],[Task Name]]="","",Tasks[[#This Row],[Cost]])</f>
        <v>4400</v>
      </c>
      <c r="AO12" s="29"/>
      <c r="AP12" s="29"/>
      <c r="AQ12" s="39"/>
      <c r="AR12" s="45"/>
      <c r="AS12" s="46"/>
      <c r="AT12" s="40" t="str">
        <f aca="false">IF(OR(Tasks[[#This Row],[Task Name]]="",Tasks[[#This Row],[Baseline Duration]]=""),"",Tasks[[#This Row],[BL Source Duration]]-N(Tasks[[#This Row],[Baseline Duration]]))</f>
        <v/>
      </c>
      <c r="AU12" s="43" t="str">
        <f aca="false">IF(OR(Tasks[[#This Row],[Task Name]]="",Tasks[[#This Row],[Baseline Work]]=""),"",Tasks[[#This Row],[Work]]-N(Tasks[[#This Row],[Baseline Work]]))</f>
        <v/>
      </c>
      <c r="AV12" s="44" t="str">
        <f aca="false">IF(OR(Tasks[[#This Row],[Task Name]]="",Tasks[[#This Row],[Baseline Cost]]=""),"",Tasks[[#This Row],[Cost]]-N(Tasks[[#This Row],[Baseline Cost]]))</f>
        <v/>
      </c>
      <c r="AW12" s="47" t="n">
        <f aca="false">IF(Tasks[[#This Row],[Task Name]]="","",MAX(1,N(Tasks[[#This Row],[Level]])))</f>
        <v>2</v>
      </c>
      <c r="AX12" s="47" t="n">
        <f aca="false">ROW()-ROW(Tasks[[#Headers],[ID]])</f>
        <v>7</v>
      </c>
      <c r="AY1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AZ12" s="47" t="n">
        <f aca="false">IFERROR(N(INDEX(Tasks[_Level],Tasks[[#This Row],[_Row]]+1)),0)</f>
        <v>2</v>
      </c>
      <c r="BA12" s="48" t="b">
        <f aca="false">AND(Tasks[[#This Row],[Task Name]]&lt;&gt;"",Tasks[[#This Row],[_NextLevel]]&gt;Tasks[[#This Row],[_Level]])</f>
        <v>0</v>
      </c>
      <c r="BB12" s="47" t="n">
        <f aca="false">IF(Tasks[[#This Row],[_IsSummary]],COUNTIF(Tasks[WBS],Tasks[[#This Row],[WBS]]&amp;".*"),0)</f>
        <v>0</v>
      </c>
      <c r="BC12" s="47" t="n">
        <f aca="false">IF(AND(Tasks[[#This Row],[Task Name]]&lt;&gt;"",NOT(Tasks[[#This Row],[_IsSummary]])),1,0)</f>
        <v>1</v>
      </c>
      <c r="BD12" s="47" t="n">
        <f aca="false">IF(N(Tasks[[#This Row],[Pred1 UID]])=0,0,IFERROR(MATCH(Tasks[[#This Row],[Pred1 UID]],Tasks[UID],0),-1))</f>
        <v>6</v>
      </c>
      <c r="BE12" s="47" t="n">
        <f aca="false">IF(N(Tasks[[#This Row],[Pred2 UID]])=0,0,IFERROR(MATCH(Tasks[[#This Row],[Pred2 UID]],Tasks[UID],0),-1))</f>
        <v>0</v>
      </c>
      <c r="BF12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46282</v>
      </c>
      <c r="BG12" s="49" t="n">
        <f aca="false">IF(NOT(Tasks[[#This Row],[_IsLeaf]]=1),"",IF(N(Tasks[[#This Row],[Duration]])&lt;=0,Tasks[[#This Row],[_LeafCalcStart]],WORKDAY.INTL(Tasks[[#This Row],[_LeafCalcStart]],Tasks[[#This Row],[Duration]]-1,WorkWeek,Holidays)))</f>
        <v>46288</v>
      </c>
      <c r="BH12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46283</v>
      </c>
      <c r="BI12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46290</v>
      </c>
      <c r="BJ12" s="47" t="n">
        <f aca="false">IF(NOT(Tasks[[#This Row],[_IsLeaf]]=1),0,IF(N(Tasks[[#This Row],[Actual Finish]])&gt;0,1,MIN(1,N(Tasks[[#This Row],[% Complete]]))))</f>
        <v>1</v>
      </c>
      <c r="BK12" s="47" t="n">
        <f aca="false">IF(OR(NOT(Tasks[[#This Row],[_IsLeaf]]=1),Tasks[[#This Row],[Resource]]=""),0,N(Tasks[[#This Row],[Duration]])*HoursPerDay*IF(Tasks[[#This Row],[Units]]="",DefaultUnits,Tasks[[#This Row],[Units]]))</f>
        <v>40</v>
      </c>
      <c r="BL12" s="47" t="n">
        <f aca="false">IF(Tasks[[#This Row],[_LeafWork]]=0,0,Tasks[[#This Row],[_LeafWork]]*IFERROR(INDEX(res_Rate,MATCH(Tasks[[#This Row],[Resource]],res_Name,0)),0))</f>
        <v>4400</v>
      </c>
      <c r="BM12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46282</v>
      </c>
      <c r="BN12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46288</v>
      </c>
      <c r="BO1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46282</v>
      </c>
      <c r="BR1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46283</v>
      </c>
      <c r="BT1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" s="47" t="n">
        <f aca="false">IF(AND(Tasks[[#This Row],[_IsLeaf]]=1,Tasks[[#This Row],[_LeafWork]]&gt;0),NETWORKDAYS.INTL(ProjectStart,Tasks[[#This Row],[_LeafFcstStart]],WorkWeek,Holidays),0)</f>
        <v>10</v>
      </c>
      <c r="BV12" s="47" t="n">
        <f aca="false">IF(AND(Tasks[[#This Row],[_IsLeaf]]=1,Tasks[[#This Row],[_LeafWork]]&gt;0),MAX(Tasks[[#This Row],[_StartWorkday]],NETWORKDAYS.INTL(ProjectStart,Tasks[[#This Row],[_LeafFcstFinish]],WorkWeek,Holidays)),0)</f>
        <v>15</v>
      </c>
      <c r="BW12" s="47" t="n">
        <f aca="false">IF(AND(Tasks[[#This Row],[_IsLeaf]]=1,Tasks[[#This Row],[_LeafWork]]&gt;0),Tasks[[#This Row],[_LeafWork]]/(Tasks[[#This Row],[_FinishWorkday]]-Tasks[[#This Row],[_StartWorkday]]+1),0)</f>
        <v>6.66666666666667</v>
      </c>
      <c r="BX12" s="47" t="n">
        <f aca="false">Tasks[[#This Row],[_WorkPerWorkday]]*(Tasks[[#This Row],[_StartWorkday]]-1)</f>
        <v>60</v>
      </c>
      <c r="BY12" s="47" t="n">
        <f aca="false">IF(Tasks[[#This Row],[_IsLeaf]]=1,MAX(N(Tasks[[#This Row],[Duration]]),0.1),0)</f>
        <v>5</v>
      </c>
      <c r="BZ12" s="47" t="n">
        <f aca="false">Tasks[[#This Row],[_WeightDur]]*Tasks[[#This Row],[_LeafProgress]]</f>
        <v>5</v>
      </c>
      <c r="CA1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6SS+3d</v>
      </c>
      <c r="CB1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6SS+3d</v>
      </c>
      <c r="CD1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6SS+3d</v>
      </c>
      <c r="CF1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" customFormat="false" ht="15" hidden="false" customHeight="false" outlineLevel="0" collapsed="false">
      <c r="A13" s="38" t="n">
        <f aca="false">IF(Tasks[[#This Row],[Task Name]]="","",COUNTA(Tasks[[#Headers],[Task Name]]:Tasks[[#This Row],[Task Name]])-1)</f>
        <v>8</v>
      </c>
      <c r="B13" s="39" t="n">
        <v>8</v>
      </c>
      <c r="C1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2.3</v>
      </c>
      <c r="D13" s="39" t="n">
        <v>2</v>
      </c>
      <c r="E13" s="41" t="s">
        <v>274</v>
      </c>
      <c r="F13" s="39" t="s">
        <v>259</v>
      </c>
      <c r="G13" s="39" t="n">
        <v>6</v>
      </c>
      <c r="H13" s="39" t="n">
        <v>6</v>
      </c>
      <c r="I13" s="39" t="s">
        <v>264</v>
      </c>
      <c r="J13" s="39"/>
      <c r="K13" s="39"/>
      <c r="L13" s="39"/>
      <c r="M13" s="39"/>
      <c r="N13" s="29"/>
      <c r="O13" s="29"/>
      <c r="P13" s="24" t="n">
        <f aca="false">IF(Tasks[[#This Row],[Task Name]]="","",IF(N(Tasks[[#This Row],[Baseline Start]])&gt;0,Tasks[[#This Row],[Baseline Start]],Tasks[[#This Row],[_CalcStart]]))</f>
        <v>46289</v>
      </c>
      <c r="Q13" s="24" t="n">
        <f aca="false">IF(Tasks[[#This Row],[Task Name]]="","",IF(N(Tasks[[#This Row],[Baseline Finish]])&gt;0,Tasks[[#This Row],[Baseline Finish]],Tasks[[#This Row],[_CalcFinish]]))</f>
        <v>46296</v>
      </c>
      <c r="R13" s="29" t="n">
        <v>46293</v>
      </c>
      <c r="S13" s="29" t="n">
        <v>46301</v>
      </c>
      <c r="T13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46293</v>
      </c>
      <c r="U13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46301</v>
      </c>
      <c r="V13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2</v>
      </c>
      <c r="W13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" s="31" t="n">
        <v>1</v>
      </c>
      <c r="AA13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1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3" s="41" t="s">
        <v>275</v>
      </c>
      <c r="AD13" s="31"/>
      <c r="AE13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F13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3600</v>
      </c>
      <c r="AG1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2</v>
      </c>
      <c r="AH13" s="23" t="str">
        <f aca="false">IF(Tasks[[#This Row],[Task Name]]="","",Tasks[[#This Row],[_Pred1IDText]]&amp;IF(AND(Tasks[[#This Row],[_Pred1IDText]]&lt;&gt;"",Tasks[[#This Row],[_Pred2IDText]]&lt;&gt;""),",","")&amp;Tasks[[#This Row],[_Pred2IDText]])</f>
        <v>6</v>
      </c>
      <c r="AI13" s="41"/>
      <c r="AJ13" s="24" t="n">
        <f aca="false">IF(Tasks[[#This Row],[Task Name]]="","",Tasks[[#This Row],[Forecast Start]])</f>
        <v>46293</v>
      </c>
      <c r="AK13" s="24" t="n">
        <f aca="false">IF(Tasks[[#This Row],[Task Name]]="","",Tasks[[#This Row],[Forecast Finish]])</f>
        <v>46301</v>
      </c>
      <c r="AL13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M13" s="43" t="n">
        <f aca="false">IF(Tasks[[#This Row],[Task Name]]="","",Tasks[[#This Row],[Work]])</f>
        <v>48</v>
      </c>
      <c r="AN13" s="44" t="n">
        <f aca="false">IF(Tasks[[#This Row],[Task Name]]="","",Tasks[[#This Row],[Cost]])</f>
        <v>3600</v>
      </c>
      <c r="AO13" s="29"/>
      <c r="AP13" s="29"/>
      <c r="AQ13" s="39"/>
      <c r="AR13" s="45"/>
      <c r="AS13" s="46"/>
      <c r="AT13" s="40" t="str">
        <f aca="false">IF(OR(Tasks[[#This Row],[Task Name]]="",Tasks[[#This Row],[Baseline Duration]]=""),"",Tasks[[#This Row],[BL Source Duration]]-N(Tasks[[#This Row],[Baseline Duration]]))</f>
        <v/>
      </c>
      <c r="AU13" s="43" t="str">
        <f aca="false">IF(OR(Tasks[[#This Row],[Task Name]]="",Tasks[[#This Row],[Baseline Work]]=""),"",Tasks[[#This Row],[Work]]-N(Tasks[[#This Row],[Baseline Work]]))</f>
        <v/>
      </c>
      <c r="AV13" s="44" t="str">
        <f aca="false">IF(OR(Tasks[[#This Row],[Task Name]]="",Tasks[[#This Row],[Baseline Cost]]=""),"",Tasks[[#This Row],[Cost]]-N(Tasks[[#This Row],[Baseline Cost]]))</f>
        <v/>
      </c>
      <c r="AW13" s="47" t="n">
        <f aca="false">IF(Tasks[[#This Row],[Task Name]]="","",MAX(1,N(Tasks[[#This Row],[Level]])))</f>
        <v>2</v>
      </c>
      <c r="AX13" s="47" t="n">
        <f aca="false">ROW()-ROW(Tasks[[#Headers],[ID]])</f>
        <v>8</v>
      </c>
      <c r="AY1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AZ13" s="47" t="n">
        <f aca="false">IFERROR(N(INDEX(Tasks[_Level],Tasks[[#This Row],[_Row]]+1)),0)</f>
        <v>2</v>
      </c>
      <c r="BA13" s="48" t="b">
        <f aca="false">AND(Tasks[[#This Row],[Task Name]]&lt;&gt;"",Tasks[[#This Row],[_NextLevel]]&gt;Tasks[[#This Row],[_Level]])</f>
        <v>0</v>
      </c>
      <c r="BB13" s="47" t="n">
        <f aca="false">IF(Tasks[[#This Row],[_IsSummary]],COUNTIF(Tasks[WBS],Tasks[[#This Row],[WBS]]&amp;".*"),0)</f>
        <v>0</v>
      </c>
      <c r="BC13" s="47" t="n">
        <f aca="false">IF(AND(Tasks[[#This Row],[Task Name]]&lt;&gt;"",NOT(Tasks[[#This Row],[_IsSummary]])),1,0)</f>
        <v>1</v>
      </c>
      <c r="BD13" s="47" t="n">
        <f aca="false">IF(N(Tasks[[#This Row],[Pred1 UID]])=0,0,IFERROR(MATCH(Tasks[[#This Row],[Pred1 UID]],Tasks[UID],0),-1))</f>
        <v>6</v>
      </c>
      <c r="BE13" s="47" t="n">
        <f aca="false">IF(N(Tasks[[#This Row],[Pred2 UID]])=0,0,IFERROR(MATCH(Tasks[[#This Row],[Pred2 UID]],Tasks[UID],0),-1))</f>
        <v>0</v>
      </c>
      <c r="BF13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46289</v>
      </c>
      <c r="BG13" s="49" t="n">
        <f aca="false">IF(NOT(Tasks[[#This Row],[_IsLeaf]]=1),"",IF(N(Tasks[[#This Row],[Duration]])&lt;=0,Tasks[[#This Row],[_LeafCalcStart]],WORKDAY.INTL(Tasks[[#This Row],[_LeafCalcStart]],Tasks[[#This Row],[Duration]]-1,WorkWeek,Holidays)))</f>
        <v>46296</v>
      </c>
      <c r="BH13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46293</v>
      </c>
      <c r="BI13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46301</v>
      </c>
      <c r="BJ13" s="47" t="n">
        <f aca="false">IF(NOT(Tasks[[#This Row],[_IsLeaf]]=1),0,IF(N(Tasks[[#This Row],[Actual Finish]])&gt;0,1,MIN(1,N(Tasks[[#This Row],[% Complete]]))))</f>
        <v>1</v>
      </c>
      <c r="BK13" s="47" t="n">
        <f aca="false">IF(OR(NOT(Tasks[[#This Row],[_IsLeaf]]=1),Tasks[[#This Row],[Resource]]=""),0,N(Tasks[[#This Row],[Duration]])*HoursPerDay*IF(Tasks[[#This Row],[Units]]="",DefaultUnits,Tasks[[#This Row],[Units]]))</f>
        <v>48</v>
      </c>
      <c r="BL13" s="47" t="n">
        <f aca="false">IF(Tasks[[#This Row],[_LeafWork]]=0,0,Tasks[[#This Row],[_LeafWork]]*IFERROR(INDEX(res_Rate,MATCH(Tasks[[#This Row],[Resource]],res_Name,0)),0))</f>
        <v>3600</v>
      </c>
      <c r="BM13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46289</v>
      </c>
      <c r="BN13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46296</v>
      </c>
      <c r="BO1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46289</v>
      </c>
      <c r="BR1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46293</v>
      </c>
      <c r="BT1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" s="47" t="n">
        <f aca="false">IF(AND(Tasks[[#This Row],[_IsLeaf]]=1,Tasks[[#This Row],[_LeafWork]]&gt;0),NETWORKDAYS.INTL(ProjectStart,Tasks[[#This Row],[_LeafFcstStart]],WorkWeek,Holidays),0)</f>
        <v>16</v>
      </c>
      <c r="BV13" s="47" t="n">
        <f aca="false">IF(AND(Tasks[[#This Row],[_IsLeaf]]=1,Tasks[[#This Row],[_LeafWork]]&gt;0),MAX(Tasks[[#This Row],[_StartWorkday]],NETWORKDAYS.INTL(ProjectStart,Tasks[[#This Row],[_LeafFcstFinish]],WorkWeek,Holidays)),0)</f>
        <v>22</v>
      </c>
      <c r="BW13" s="47" t="n">
        <f aca="false">IF(AND(Tasks[[#This Row],[_IsLeaf]]=1,Tasks[[#This Row],[_LeafWork]]&gt;0),Tasks[[#This Row],[_LeafWork]]/(Tasks[[#This Row],[_FinishWorkday]]-Tasks[[#This Row],[_StartWorkday]]+1),0)</f>
        <v>6.85714285714286</v>
      </c>
      <c r="BX13" s="47" t="n">
        <f aca="false">Tasks[[#This Row],[_WorkPerWorkday]]*(Tasks[[#This Row],[_StartWorkday]]-1)</f>
        <v>102.857142857143</v>
      </c>
      <c r="BY13" s="47" t="n">
        <f aca="false">IF(Tasks[[#This Row],[_IsLeaf]]=1,MAX(N(Tasks[[#This Row],[Duration]]),0.1),0)</f>
        <v>6</v>
      </c>
      <c r="BZ13" s="47" t="n">
        <f aca="false">Tasks[[#This Row],[_WeightDur]]*Tasks[[#This Row],[_LeafProgress]]</f>
        <v>6</v>
      </c>
      <c r="CA1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</v>
      </c>
      <c r="CB1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</v>
      </c>
      <c r="CD1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6</v>
      </c>
      <c r="CF1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" customFormat="false" ht="15" hidden="false" customHeight="false" outlineLevel="0" collapsed="false">
      <c r="A14" s="38" t="n">
        <f aca="false">IF(Tasks[[#This Row],[Task Name]]="","",COUNTA(Tasks[[#Headers],[Task Name]]:Tasks[[#This Row],[Task Name]])-1)</f>
        <v>9</v>
      </c>
      <c r="B14" s="39" t="n">
        <v>9</v>
      </c>
      <c r="C1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2.4</v>
      </c>
      <c r="D14" s="39" t="n">
        <v>2</v>
      </c>
      <c r="E14" s="41" t="s">
        <v>276</v>
      </c>
      <c r="F14" s="39" t="s">
        <v>259</v>
      </c>
      <c r="G14" s="39" t="n">
        <v>0</v>
      </c>
      <c r="H14" s="39" t="n">
        <v>7</v>
      </c>
      <c r="I14" s="39" t="s">
        <v>264</v>
      </c>
      <c r="J14" s="39"/>
      <c r="K14" s="39" t="n">
        <v>8</v>
      </c>
      <c r="L14" s="39" t="s">
        <v>264</v>
      </c>
      <c r="M14" s="39"/>
      <c r="N14" s="29"/>
      <c r="O14" s="29"/>
      <c r="P14" s="24" t="n">
        <f aca="false">IF(Tasks[[#This Row],[Task Name]]="","",IF(N(Tasks[[#This Row],[Baseline Start]])&gt;0,Tasks[[#This Row],[Baseline Start]],Tasks[[#This Row],[_CalcStart]]))</f>
        <v>46296</v>
      </c>
      <c r="Q14" s="24" t="n">
        <f aca="false">IF(Tasks[[#This Row],[Task Name]]="","",IF(N(Tasks[[#This Row],[Baseline Finish]])&gt;0,Tasks[[#This Row],[Baseline Finish]],Tasks[[#This Row],[_CalcFinish]]))</f>
        <v>46296</v>
      </c>
      <c r="R14" s="29" t="n">
        <v>46301</v>
      </c>
      <c r="S14" s="29" t="n">
        <v>46301</v>
      </c>
      <c r="T14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46301</v>
      </c>
      <c r="U14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46301</v>
      </c>
      <c r="V14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4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" s="31" t="n">
        <v>1</v>
      </c>
      <c r="AA14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1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4" s="41"/>
      <c r="AD14" s="31"/>
      <c r="AE14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F14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G1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H14" s="23" t="str">
        <f aca="false">IF(Tasks[[#This Row],[Task Name]]="","",Tasks[[#This Row],[_Pred1IDText]]&amp;IF(AND(Tasks[[#This Row],[_Pred1IDText]]&lt;&gt;"",Tasks[[#This Row],[_Pred2IDText]]&lt;&gt;""),",","")&amp;Tasks[[#This Row],[_Pred2IDText]])</f>
        <v>7,8</v>
      </c>
      <c r="AI14" s="41" t="s">
        <v>277</v>
      </c>
      <c r="AJ14" s="24" t="n">
        <f aca="false">IF(Tasks[[#This Row],[Task Name]]="","",Tasks[[#This Row],[Forecast Start]])</f>
        <v>46301</v>
      </c>
      <c r="AK14" s="24" t="n">
        <f aca="false">IF(Tasks[[#This Row],[Task Name]]="","",Tasks[[#This Row],[Forecast Finish]])</f>
        <v>46301</v>
      </c>
      <c r="AL14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M14" s="43" t="n">
        <f aca="false">IF(Tasks[[#This Row],[Task Name]]="","",Tasks[[#This Row],[Work]])</f>
        <v>0</v>
      </c>
      <c r="AN14" s="44" t="n">
        <f aca="false">IF(Tasks[[#This Row],[Task Name]]="","",Tasks[[#This Row],[Cost]])</f>
        <v>0</v>
      </c>
      <c r="AO14" s="29"/>
      <c r="AP14" s="29"/>
      <c r="AQ14" s="39"/>
      <c r="AR14" s="45"/>
      <c r="AS14" s="46"/>
      <c r="AT14" s="40" t="str">
        <f aca="false">IF(OR(Tasks[[#This Row],[Task Name]]="",Tasks[[#This Row],[Baseline Duration]]=""),"",Tasks[[#This Row],[BL Source Duration]]-N(Tasks[[#This Row],[Baseline Duration]]))</f>
        <v/>
      </c>
      <c r="AU14" s="43" t="str">
        <f aca="false">IF(OR(Tasks[[#This Row],[Task Name]]="",Tasks[[#This Row],[Baseline Work]]=""),"",Tasks[[#This Row],[Work]]-N(Tasks[[#This Row],[Baseline Work]]))</f>
        <v/>
      </c>
      <c r="AV14" s="44" t="str">
        <f aca="false">IF(OR(Tasks[[#This Row],[Task Name]]="",Tasks[[#This Row],[Baseline Cost]]=""),"",Tasks[[#This Row],[Cost]]-N(Tasks[[#This Row],[Baseline Cost]]))</f>
        <v/>
      </c>
      <c r="AW14" s="47" t="n">
        <f aca="false">IF(Tasks[[#This Row],[Task Name]]="","",MAX(1,N(Tasks[[#This Row],[Level]])))</f>
        <v>2</v>
      </c>
      <c r="AX14" s="47" t="n">
        <f aca="false">ROW()-ROW(Tasks[[#Headers],[ID]])</f>
        <v>9</v>
      </c>
      <c r="AY1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AZ14" s="47" t="n">
        <f aca="false">IFERROR(N(INDEX(Tasks[_Level],Tasks[[#This Row],[_Row]]+1)),0)</f>
        <v>1</v>
      </c>
      <c r="BA14" s="48" t="b">
        <f aca="false">AND(Tasks[[#This Row],[Task Name]]&lt;&gt;"",Tasks[[#This Row],[_NextLevel]]&gt;Tasks[[#This Row],[_Level]])</f>
        <v>0</v>
      </c>
      <c r="BB14" s="47" t="n">
        <f aca="false">IF(Tasks[[#This Row],[_IsSummary]],COUNTIF(Tasks[WBS],Tasks[[#This Row],[WBS]]&amp;".*"),0)</f>
        <v>0</v>
      </c>
      <c r="BC14" s="47" t="n">
        <f aca="false">IF(AND(Tasks[[#This Row],[Task Name]]&lt;&gt;"",NOT(Tasks[[#This Row],[_IsSummary]])),1,0)</f>
        <v>1</v>
      </c>
      <c r="BD14" s="47" t="n">
        <f aca="false">IF(N(Tasks[[#This Row],[Pred1 UID]])=0,0,IFERROR(MATCH(Tasks[[#This Row],[Pred1 UID]],Tasks[UID],0),-1))</f>
        <v>7</v>
      </c>
      <c r="BE14" s="47" t="n">
        <f aca="false">IF(N(Tasks[[#This Row],[Pred2 UID]])=0,0,IFERROR(MATCH(Tasks[[#This Row],[Pred2 UID]],Tasks[UID],0),-1))</f>
        <v>8</v>
      </c>
      <c r="BF14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46296</v>
      </c>
      <c r="BG14" s="49" t="n">
        <f aca="false">IF(NOT(Tasks[[#This Row],[_IsLeaf]]=1),"",IF(N(Tasks[[#This Row],[Duration]])&lt;=0,Tasks[[#This Row],[_LeafCalcStart]],WORKDAY.INTL(Tasks[[#This Row],[_LeafCalcStart]],Tasks[[#This Row],[Duration]]-1,WorkWeek,Holidays)))</f>
        <v>46296</v>
      </c>
      <c r="BH14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46301</v>
      </c>
      <c r="BI14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46301</v>
      </c>
      <c r="BJ14" s="47" t="n">
        <f aca="false">IF(NOT(Tasks[[#This Row],[_IsLeaf]]=1),0,IF(N(Tasks[[#This Row],[Actual Finish]])&gt;0,1,MIN(1,N(Tasks[[#This Row],[% Complete]]))))</f>
        <v>1</v>
      </c>
      <c r="BK1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" s="47" t="n">
        <f aca="false">IF(Tasks[[#This Row],[_LeafWork]]=0,0,Tasks[[#This Row],[_LeafWork]]*IFERROR(INDEX(res_Rate,MATCH(Tasks[[#This Row],[Resource]],res_Name,0)),0))</f>
        <v>0</v>
      </c>
      <c r="BM14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46296</v>
      </c>
      <c r="BN14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46296</v>
      </c>
      <c r="BO1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46288</v>
      </c>
      <c r="BR1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46296</v>
      </c>
      <c r="BS1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46290</v>
      </c>
      <c r="BT1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46301</v>
      </c>
      <c r="BU14" s="47" t="n">
        <f aca="false">IF(AND(Tasks[[#This Row],[_IsLeaf]]=1,Tasks[[#This Row],[_LeafWork]]&gt;0),NETWORKDAYS.INTL(ProjectStart,Tasks[[#This Row],[_LeafFcstStart]],WorkWeek,Holidays),0)</f>
        <v>0</v>
      </c>
      <c r="BV1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" s="47" t="n">
        <f aca="false">IF(AND(Tasks[[#This Row],[_IsLeaf]]=1,Tasks[[#This Row],[_LeafWork]]&gt;0),Tasks[[#This Row],[_LeafWork]]/(Tasks[[#This Row],[_FinishWorkday]]-Tasks[[#This Row],[_StartWorkday]]+1),0)</f>
        <v>0</v>
      </c>
      <c r="BX14" s="47" t="n">
        <f aca="false">Tasks[[#This Row],[_WorkPerWorkday]]*(Tasks[[#This Row],[_StartWorkday]]-1)</f>
        <v>-0</v>
      </c>
      <c r="BY14" s="47" t="n">
        <f aca="false">IF(Tasks[[#This Row],[_IsLeaf]]=1,MAX(N(Tasks[[#This Row],[Duration]]),0.1),0)</f>
        <v>0.1</v>
      </c>
      <c r="BZ14" s="47" t="n">
        <f aca="false">Tasks[[#This Row],[_WeightDur]]*Tasks[[#This Row],[_LeafProgress]]</f>
        <v>0.1</v>
      </c>
      <c r="CA1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7</v>
      </c>
      <c r="CB1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8</v>
      </c>
      <c r="CC1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7</v>
      </c>
      <c r="CD1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8</v>
      </c>
      <c r="CE1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7,8</v>
      </c>
      <c r="CF1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" customFormat="false" ht="15" hidden="false" customHeight="false" outlineLevel="0" collapsed="false">
      <c r="A15" s="38" t="n">
        <f aca="false">IF(Tasks[[#This Row],[Task Name]]="","",COUNTA(Tasks[[#Headers],[Task Name]]:Tasks[[#This Row],[Task Name]])-1)</f>
        <v>10</v>
      </c>
      <c r="B15" s="39" t="n">
        <v>10</v>
      </c>
      <c r="C1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</v>
      </c>
      <c r="D15" s="39" t="n">
        <v>1</v>
      </c>
      <c r="E15" s="41" t="s">
        <v>278</v>
      </c>
      <c r="F15" s="39" t="s">
        <v>259</v>
      </c>
      <c r="G15" s="39"/>
      <c r="H15" s="39"/>
      <c r="I15" s="39"/>
      <c r="J15" s="39"/>
      <c r="K15" s="39"/>
      <c r="L15" s="39"/>
      <c r="M15" s="39"/>
      <c r="N15" s="29"/>
      <c r="O15" s="29"/>
      <c r="P15" s="24" t="n">
        <f aca="false">IF(Tasks[[#This Row],[Task Name]]="","",IF(N(Tasks[[#This Row],[Baseline Start]])&gt;0,Tasks[[#This Row],[Baseline Start]],Tasks[[#This Row],[_CalcStart]]))</f>
        <v>46297</v>
      </c>
      <c r="Q15" s="24" t="n">
        <f aca="false">IF(Tasks[[#This Row],[Task Name]]="","",IF(N(Tasks[[#This Row],[Baseline Finish]])&gt;0,Tasks[[#This Row],[Baseline Finish]],Tasks[[#This Row],[_CalcFinish]]))</f>
        <v>46325</v>
      </c>
      <c r="R15" s="29"/>
      <c r="S15" s="29"/>
      <c r="T15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15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15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5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" s="31"/>
      <c r="AA15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0.451306413301663</v>
      </c>
      <c r="AB1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C15" s="41"/>
      <c r="AD15" s="31"/>
      <c r="AE15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324</v>
      </c>
      <c r="AF15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26700</v>
      </c>
      <c r="AG1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" s="41"/>
      <c r="AJ15" s="24" t="n">
        <f aca="false">IF(Tasks[[#This Row],[Task Name]]="","",Tasks[[#This Row],[Forecast Start]])</f>
        <v>46302</v>
      </c>
      <c r="AK15" s="24" t="n">
        <f aca="false">IF(Tasks[[#This Row],[Task Name]]="","",Tasks[[#This Row],[Forecast Finish]])</f>
        <v>46335</v>
      </c>
      <c r="AL15" s="38" t="n">
        <f aca="false">IF(Tasks[[#This Row],[Task Name]]="","",IF(Tasks[[#This Row],[_IsSummary]],NETWORKDAYS.INTL(Tasks[[#This Row],[Forecast Start]],Tasks[[#This Row],[Forecast Finish]],WorkWeek,Holidays),N(Tasks[[#This Row],[Duration]])))</f>
        <v>24</v>
      </c>
      <c r="AM15" s="43" t="n">
        <f aca="false">IF(Tasks[[#This Row],[Task Name]]="","",Tasks[[#This Row],[Work]])</f>
        <v>324</v>
      </c>
      <c r="AN15" s="44" t="n">
        <f aca="false">IF(Tasks[[#This Row],[Task Name]]="","",Tasks[[#This Row],[Cost]])</f>
        <v>26700</v>
      </c>
      <c r="AO15" s="29"/>
      <c r="AP15" s="29"/>
      <c r="AQ15" s="39"/>
      <c r="AR15" s="45"/>
      <c r="AS15" s="46"/>
      <c r="AT15" s="40" t="str">
        <f aca="false">IF(OR(Tasks[[#This Row],[Task Name]]="",Tasks[[#This Row],[Baseline Duration]]=""),"",Tasks[[#This Row],[BL Source Duration]]-N(Tasks[[#This Row],[Baseline Duration]]))</f>
        <v/>
      </c>
      <c r="AU15" s="43" t="str">
        <f aca="false">IF(OR(Tasks[[#This Row],[Task Name]]="",Tasks[[#This Row],[Baseline Work]]=""),"",Tasks[[#This Row],[Work]]-N(Tasks[[#This Row],[Baseline Work]]))</f>
        <v/>
      </c>
      <c r="AV15" s="44" t="str">
        <f aca="false">IF(OR(Tasks[[#This Row],[Task Name]]="",Tasks[[#This Row],[Baseline Cost]]=""),"",Tasks[[#This Row],[Cost]]-N(Tasks[[#This Row],[Baseline Cost]]))</f>
        <v/>
      </c>
      <c r="AW15" s="47" t="n">
        <f aca="false">IF(Tasks[[#This Row],[Task Name]]="","",MAX(1,N(Tasks[[#This Row],[Level]])))</f>
        <v>1</v>
      </c>
      <c r="AX15" s="47" t="n">
        <f aca="false">ROW()-ROW(Tasks[[#Headers],[ID]])</f>
        <v>10</v>
      </c>
      <c r="AY1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" s="47" t="n">
        <f aca="false">IFERROR(N(INDEX(Tasks[_Level],Tasks[[#This Row],[_Row]]+1)),0)</f>
        <v>2</v>
      </c>
      <c r="BA15" s="48" t="b">
        <f aca="false">AND(Tasks[[#This Row],[Task Name]]&lt;&gt;"",Tasks[[#This Row],[_NextLevel]]&gt;Tasks[[#This Row],[_Level]])</f>
        <v>1</v>
      </c>
      <c r="BB15" s="47" t="n">
        <f aca="false">IF(Tasks[[#This Row],[_IsSummary]],COUNTIF(Tasks[WBS],Tasks[[#This Row],[WBS]]&amp;".*"),0)</f>
        <v>9</v>
      </c>
      <c r="BC15" s="47" t="n">
        <f aca="false">IF(AND(Tasks[[#This Row],[Task Name]]&lt;&gt;"",NOT(Tasks[[#This Row],[_IsSummary]])),1,0)</f>
        <v>0</v>
      </c>
      <c r="BD15" s="47" t="n">
        <f aca="false">IF(N(Tasks[[#This Row],[Pred1 UID]])=0,0,IFERROR(MATCH(Tasks[[#This Row],[Pred1 UID]],Tasks[UID],0),-1))</f>
        <v>0</v>
      </c>
      <c r="BE15" s="47" t="n">
        <f aca="false">IF(N(Tasks[[#This Row],[Pred2 UID]])=0,0,IFERROR(MATCH(Tasks[[#This Row],[Pred2 UID]],Tasks[UID],0),-1))</f>
        <v>0</v>
      </c>
      <c r="BF1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" s="47" t="n">
        <f aca="false">IF(NOT(Tasks[[#This Row],[_IsLeaf]]=1),0,IF(N(Tasks[[#This Row],[Actual Finish]])&gt;0,1,MIN(1,N(Tasks[[#This Row],[% Complete]]))))</f>
        <v>0</v>
      </c>
      <c r="BK1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" s="47" t="n">
        <f aca="false">IF(Tasks[[#This Row],[_LeafWork]]=0,0,Tasks[[#This Row],[_LeafWork]]*IFERROR(INDEX(res_Rate,MATCH(Tasks[[#This Row],[Resource]],res_Name,0)),0))</f>
        <v>0</v>
      </c>
      <c r="BM15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BN15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BO1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" s="47" t="n">
        <f aca="false">IF(AND(Tasks[[#This Row],[_IsLeaf]]=1,Tasks[[#This Row],[_LeafWork]]&gt;0),NETWORKDAYS.INTL(ProjectStart,Tasks[[#This Row],[_LeafFcstStart]],WorkWeek,Holidays),0)</f>
        <v>0</v>
      </c>
      <c r="BV1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" s="47" t="n">
        <f aca="false">IF(AND(Tasks[[#This Row],[_IsLeaf]]=1,Tasks[[#This Row],[_LeafWork]]&gt;0),Tasks[[#This Row],[_LeafWork]]/(Tasks[[#This Row],[_FinishWorkday]]-Tasks[[#This Row],[_StartWorkday]]+1),0)</f>
        <v>0</v>
      </c>
      <c r="BX15" s="47" t="n">
        <f aca="false">Tasks[[#This Row],[_WorkPerWorkday]]*(Tasks[[#This Row],[_StartWorkday]]-1)</f>
        <v>-0</v>
      </c>
      <c r="BY15" s="47" t="n">
        <f aca="false">IF(Tasks[[#This Row],[_IsLeaf]]=1,MAX(N(Tasks[[#This Row],[Duration]]),0.1),0)</f>
        <v>0</v>
      </c>
      <c r="BZ15" s="47" t="n">
        <f aca="false">Tasks[[#This Row],[_WeightDur]]*Tasks[[#This Row],[_LeafProgress]]</f>
        <v>0</v>
      </c>
      <c r="CA1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" customFormat="false" ht="15" hidden="false" customHeight="false" outlineLevel="0" collapsed="false">
      <c r="A16" s="38" t="n">
        <f aca="false">IF(Tasks[[#This Row],[Task Name]]="","",COUNTA(Tasks[[#Headers],[Task Name]]:Tasks[[#This Row],[Task Name]])-1)</f>
        <v>11</v>
      </c>
      <c r="B16" s="39" t="n">
        <v>11</v>
      </c>
      <c r="C1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</v>
      </c>
      <c r="D16" s="39" t="n">
        <v>2</v>
      </c>
      <c r="E16" s="41" t="s">
        <v>279</v>
      </c>
      <c r="F16" s="39" t="s">
        <v>259</v>
      </c>
      <c r="G16" s="39"/>
      <c r="H16" s="39"/>
      <c r="I16" s="39"/>
      <c r="J16" s="39"/>
      <c r="K16" s="39"/>
      <c r="L16" s="39"/>
      <c r="M16" s="39"/>
      <c r="N16" s="29"/>
      <c r="O16" s="29"/>
      <c r="P16" s="24" t="n">
        <f aca="false">IF(Tasks[[#This Row],[Task Name]]="","",IF(N(Tasks[[#This Row],[Baseline Start]])&gt;0,Tasks[[#This Row],[Baseline Start]],Tasks[[#This Row],[_CalcStart]]))</f>
        <v>46297</v>
      </c>
      <c r="Q16" s="24" t="n">
        <f aca="false">IF(Tasks[[#This Row],[Task Name]]="","",IF(N(Tasks[[#This Row],[Baseline Finish]])&gt;0,Tasks[[#This Row],[Baseline Finish]],Tasks[[#This Row],[_CalcFinish]]))</f>
        <v>46325</v>
      </c>
      <c r="R16" s="29"/>
      <c r="S16" s="29"/>
      <c r="T16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16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16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6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" s="31"/>
      <c r="AA16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0.476190476190476</v>
      </c>
      <c r="AB1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C16" s="41"/>
      <c r="AD16" s="31"/>
      <c r="AE16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168</v>
      </c>
      <c r="AF16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14280</v>
      </c>
      <c r="AG1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" s="41" t="s">
        <v>280</v>
      </c>
      <c r="AJ16" s="24" t="n">
        <f aca="false">IF(Tasks[[#This Row],[Task Name]]="","",Tasks[[#This Row],[Forecast Start]])</f>
        <v>46302</v>
      </c>
      <c r="AK16" s="24" t="n">
        <f aca="false">IF(Tasks[[#This Row],[Task Name]]="","",Tasks[[#This Row],[Forecast Finish]])</f>
        <v>46335</v>
      </c>
      <c r="AL16" s="38" t="n">
        <f aca="false">IF(Tasks[[#This Row],[Task Name]]="","",IF(Tasks[[#This Row],[_IsSummary]],NETWORKDAYS.INTL(Tasks[[#This Row],[Forecast Start]],Tasks[[#This Row],[Forecast Finish]],WorkWeek,Holidays),N(Tasks[[#This Row],[Duration]])))</f>
        <v>24</v>
      </c>
      <c r="AM16" s="43" t="n">
        <f aca="false">IF(Tasks[[#This Row],[Task Name]]="","",Tasks[[#This Row],[Work]])</f>
        <v>168</v>
      </c>
      <c r="AN16" s="44" t="n">
        <f aca="false">IF(Tasks[[#This Row],[Task Name]]="","",Tasks[[#This Row],[Cost]])</f>
        <v>14280</v>
      </c>
      <c r="AO16" s="29"/>
      <c r="AP16" s="29"/>
      <c r="AQ16" s="39"/>
      <c r="AR16" s="45"/>
      <c r="AS16" s="46"/>
      <c r="AT16" s="40" t="str">
        <f aca="false">IF(OR(Tasks[[#This Row],[Task Name]]="",Tasks[[#This Row],[Baseline Duration]]=""),"",Tasks[[#This Row],[BL Source Duration]]-N(Tasks[[#This Row],[Baseline Duration]]))</f>
        <v/>
      </c>
      <c r="AU16" s="43" t="str">
        <f aca="false">IF(OR(Tasks[[#This Row],[Task Name]]="",Tasks[[#This Row],[Baseline Work]]=""),"",Tasks[[#This Row],[Work]]-N(Tasks[[#This Row],[Baseline Work]]))</f>
        <v/>
      </c>
      <c r="AV16" s="44" t="str">
        <f aca="false">IF(OR(Tasks[[#This Row],[Task Name]]="",Tasks[[#This Row],[Baseline Cost]]=""),"",Tasks[[#This Row],[Cost]]-N(Tasks[[#This Row],[Baseline Cost]]))</f>
        <v/>
      </c>
      <c r="AW16" s="47" t="n">
        <f aca="false">IF(Tasks[[#This Row],[Task Name]]="","",MAX(1,N(Tasks[[#This Row],[Level]])))</f>
        <v>2</v>
      </c>
      <c r="AX16" s="47" t="n">
        <f aca="false">ROW()-ROW(Tasks[[#Headers],[ID]])</f>
        <v>11</v>
      </c>
      <c r="AY1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AZ16" s="47" t="n">
        <f aca="false">IFERROR(N(INDEX(Tasks[_Level],Tasks[[#This Row],[_Row]]+1)),0)</f>
        <v>3</v>
      </c>
      <c r="BA16" s="48" t="b">
        <f aca="false">AND(Tasks[[#This Row],[Task Name]]&lt;&gt;"",Tasks[[#This Row],[_NextLevel]]&gt;Tasks[[#This Row],[_Level]])</f>
        <v>1</v>
      </c>
      <c r="BB16" s="47" t="n">
        <f aca="false">IF(Tasks[[#This Row],[_IsSummary]],COUNTIF(Tasks[WBS],Tasks[[#This Row],[WBS]]&amp;".*"),0)</f>
        <v>3</v>
      </c>
      <c r="BC16" s="47" t="n">
        <f aca="false">IF(AND(Tasks[[#This Row],[Task Name]]&lt;&gt;"",NOT(Tasks[[#This Row],[_IsSummary]])),1,0)</f>
        <v>0</v>
      </c>
      <c r="BD16" s="47" t="n">
        <f aca="false">IF(N(Tasks[[#This Row],[Pred1 UID]])=0,0,IFERROR(MATCH(Tasks[[#This Row],[Pred1 UID]],Tasks[UID],0),-1))</f>
        <v>0</v>
      </c>
      <c r="BE16" s="47" t="n">
        <f aca="false">IF(N(Tasks[[#This Row],[Pred2 UID]])=0,0,IFERROR(MATCH(Tasks[[#This Row],[Pred2 UID]],Tasks[UID],0),-1))</f>
        <v>0</v>
      </c>
      <c r="BF1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" s="47" t="n">
        <f aca="false">IF(NOT(Tasks[[#This Row],[_IsLeaf]]=1),0,IF(N(Tasks[[#This Row],[Actual Finish]])&gt;0,1,MIN(1,N(Tasks[[#This Row],[% Complete]]))))</f>
        <v>0</v>
      </c>
      <c r="BK1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" s="47" t="n">
        <f aca="false">IF(Tasks[[#This Row],[_LeafWork]]=0,0,Tasks[[#This Row],[_LeafWork]]*IFERROR(INDEX(res_Rate,MATCH(Tasks[[#This Row],[Resource]],res_Name,0)),0))</f>
        <v>0</v>
      </c>
      <c r="BM16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BN16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BO1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" s="47" t="n">
        <f aca="false">IF(AND(Tasks[[#This Row],[_IsLeaf]]=1,Tasks[[#This Row],[_LeafWork]]&gt;0),NETWORKDAYS.INTL(ProjectStart,Tasks[[#This Row],[_LeafFcstStart]],WorkWeek,Holidays),0)</f>
        <v>0</v>
      </c>
      <c r="BV1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" s="47" t="n">
        <f aca="false">IF(AND(Tasks[[#This Row],[_IsLeaf]]=1,Tasks[[#This Row],[_LeafWork]]&gt;0),Tasks[[#This Row],[_LeafWork]]/(Tasks[[#This Row],[_FinishWorkday]]-Tasks[[#This Row],[_StartWorkday]]+1),0)</f>
        <v>0</v>
      </c>
      <c r="BX16" s="47" t="n">
        <f aca="false">Tasks[[#This Row],[_WorkPerWorkday]]*(Tasks[[#This Row],[_StartWorkday]]-1)</f>
        <v>-0</v>
      </c>
      <c r="BY16" s="47" t="n">
        <f aca="false">IF(Tasks[[#This Row],[_IsLeaf]]=1,MAX(N(Tasks[[#This Row],[Duration]]),0.1),0)</f>
        <v>0</v>
      </c>
      <c r="BZ16" s="47" t="n">
        <f aca="false">Tasks[[#This Row],[_WeightDur]]*Tasks[[#This Row],[_LeafProgress]]</f>
        <v>0</v>
      </c>
      <c r="CA1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" customFormat="false" ht="15" hidden="false" customHeight="false" outlineLevel="0" collapsed="false">
      <c r="A17" s="38" t="n">
        <f aca="false">IF(Tasks[[#This Row],[Task Name]]="","",COUNTA(Tasks[[#Headers],[Task Name]]:Tasks[[#This Row],[Task Name]])-1)</f>
        <v>12</v>
      </c>
      <c r="B17" s="39" t="n">
        <v>12</v>
      </c>
      <c r="C1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3.1.1</v>
      </c>
      <c r="D17" s="39" t="n">
        <v>3</v>
      </c>
      <c r="E17" s="41" t="s">
        <v>281</v>
      </c>
      <c r="F17" s="39" t="s">
        <v>259</v>
      </c>
      <c r="G17" s="39" t="n">
        <v>5</v>
      </c>
      <c r="H17" s="39" t="n">
        <v>9</v>
      </c>
      <c r="I17" s="39" t="s">
        <v>264</v>
      </c>
      <c r="J17" s="39"/>
      <c r="K17" s="39"/>
      <c r="L17" s="39"/>
      <c r="M17" s="39"/>
      <c r="N17" s="29"/>
      <c r="O17" s="29"/>
      <c r="P17" s="24" t="n">
        <f aca="false">IF(Tasks[[#This Row],[Task Name]]="","",IF(N(Tasks[[#This Row],[Baseline Start]])&gt;0,Tasks[[#This Row],[Baseline Start]],Tasks[[#This Row],[_CalcStart]]))</f>
        <v>46297</v>
      </c>
      <c r="Q17" s="24" t="n">
        <f aca="false">IF(Tasks[[#This Row],[Task Name]]="","",IF(N(Tasks[[#This Row],[Baseline Finish]])&gt;0,Tasks[[#This Row],[Baseline Finish]],Tasks[[#This Row],[_CalcFinish]]))</f>
        <v>46303</v>
      </c>
      <c r="R17" s="29" t="n">
        <v>46302</v>
      </c>
      <c r="S17" s="29" t="n">
        <v>46309</v>
      </c>
      <c r="T17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17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46309</v>
      </c>
      <c r="V17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7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4</v>
      </c>
      <c r="X1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" s="31" t="n">
        <v>1</v>
      </c>
      <c r="AA17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1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7" s="41" t="s">
        <v>282</v>
      </c>
      <c r="AD17" s="31"/>
      <c r="AE17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F17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3400</v>
      </c>
      <c r="AG1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H17" s="23" t="str">
        <f aca="false">IF(Tasks[[#This Row],[Task Name]]="","",Tasks[[#This Row],[_Pred1IDText]]&amp;IF(AND(Tasks[[#This Row],[_Pred1IDText]]&lt;&gt;"",Tasks[[#This Row],[_Pred2IDText]]&lt;&gt;""),",","")&amp;Tasks[[#This Row],[_Pred2IDText]])</f>
        <v>9</v>
      </c>
      <c r="AI17" s="41"/>
      <c r="AJ17" s="24" t="n">
        <f aca="false">IF(Tasks[[#This Row],[Task Name]]="","",Tasks[[#This Row],[Forecast Start]])</f>
        <v>46302</v>
      </c>
      <c r="AK17" s="24" t="n">
        <f aca="false">IF(Tasks[[#This Row],[Task Name]]="","",Tasks[[#This Row],[Forecast Finish]])</f>
        <v>46309</v>
      </c>
      <c r="AL17" s="3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M17" s="43" t="n">
        <f aca="false">IF(Tasks[[#This Row],[Task Name]]="","",Tasks[[#This Row],[Work]])</f>
        <v>40</v>
      </c>
      <c r="AN17" s="44" t="n">
        <f aca="false">IF(Tasks[[#This Row],[Task Name]]="","",Tasks[[#This Row],[Cost]])</f>
        <v>3400</v>
      </c>
      <c r="AO17" s="29"/>
      <c r="AP17" s="29"/>
      <c r="AQ17" s="39"/>
      <c r="AR17" s="45"/>
      <c r="AS17" s="46"/>
      <c r="AT17" s="40" t="str">
        <f aca="false">IF(OR(Tasks[[#This Row],[Task Name]]="",Tasks[[#This Row],[Baseline Duration]]=""),"",Tasks[[#This Row],[BL Source Duration]]-N(Tasks[[#This Row],[Baseline Duration]]))</f>
        <v/>
      </c>
      <c r="AU17" s="43" t="str">
        <f aca="false">IF(OR(Tasks[[#This Row],[Task Name]]="",Tasks[[#This Row],[Baseline Work]]=""),"",Tasks[[#This Row],[Work]]-N(Tasks[[#This Row],[Baseline Work]]))</f>
        <v/>
      </c>
      <c r="AV17" s="44" t="str">
        <f aca="false">IF(OR(Tasks[[#This Row],[Task Name]]="",Tasks[[#This Row],[Baseline Cost]]=""),"",Tasks[[#This Row],[Cost]]-N(Tasks[[#This Row],[Baseline Cost]]))</f>
        <v/>
      </c>
      <c r="AW17" s="47" t="n">
        <f aca="false">IF(Tasks[[#This Row],[Task Name]]="","",MAX(1,N(Tasks[[#This Row],[Level]])))</f>
        <v>3</v>
      </c>
      <c r="AX17" s="47" t="n">
        <f aca="false">ROW()-ROW(Tasks[[#Headers],[ID]])</f>
        <v>12</v>
      </c>
      <c r="AY1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AZ17" s="47" t="n">
        <f aca="false">IFERROR(N(INDEX(Tasks[_Level],Tasks[[#This Row],[_Row]]+1)),0)</f>
        <v>3</v>
      </c>
      <c r="BA17" s="48" t="b">
        <f aca="false">AND(Tasks[[#This Row],[Task Name]]&lt;&gt;"",Tasks[[#This Row],[_NextLevel]]&gt;Tasks[[#This Row],[_Level]])</f>
        <v>0</v>
      </c>
      <c r="BB17" s="47" t="n">
        <f aca="false">IF(Tasks[[#This Row],[_IsSummary]],COUNTIF(Tasks[WBS],Tasks[[#This Row],[WBS]]&amp;".*"),0)</f>
        <v>0</v>
      </c>
      <c r="BC17" s="47" t="n">
        <f aca="false">IF(AND(Tasks[[#This Row],[Task Name]]&lt;&gt;"",NOT(Tasks[[#This Row],[_IsSummary]])),1,0)</f>
        <v>1</v>
      </c>
      <c r="BD17" s="47" t="n">
        <f aca="false">IF(N(Tasks[[#This Row],[Pred1 UID]])=0,0,IFERROR(MATCH(Tasks[[#This Row],[Pred1 UID]],Tasks[UID],0),-1))</f>
        <v>9</v>
      </c>
      <c r="BE17" s="47" t="n">
        <f aca="false">IF(N(Tasks[[#This Row],[Pred2 UID]])=0,0,IFERROR(MATCH(Tasks[[#This Row],[Pred2 UID]],Tasks[UID],0),-1))</f>
        <v>0</v>
      </c>
      <c r="BF17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46297</v>
      </c>
      <c r="BG17" s="49" t="n">
        <f aca="false">IF(NOT(Tasks[[#This Row],[_IsLeaf]]=1),"",IF(N(Tasks[[#This Row],[Duration]])&lt;=0,Tasks[[#This Row],[_LeafCalcStart]],WORKDAY.INTL(Tasks[[#This Row],[_LeafCalcStart]],Tasks[[#This Row],[Duration]]-1,WorkWeek,Holidays)))</f>
        <v>46303</v>
      </c>
      <c r="BH17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46302</v>
      </c>
      <c r="BI17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46309</v>
      </c>
      <c r="BJ17" s="47" t="n">
        <f aca="false">IF(NOT(Tasks[[#This Row],[_IsLeaf]]=1),0,IF(N(Tasks[[#This Row],[Actual Finish]])&gt;0,1,MIN(1,N(Tasks[[#This Row],[% Complete]]))))</f>
        <v>1</v>
      </c>
      <c r="BK17" s="47" t="n">
        <f aca="false">IF(OR(NOT(Tasks[[#This Row],[_IsLeaf]]=1),Tasks[[#This Row],[Resource]]=""),0,N(Tasks[[#This Row],[Duration]])*HoursPerDay*IF(Tasks[[#This Row],[Units]]="",DefaultUnits,Tasks[[#This Row],[Units]]))</f>
        <v>40</v>
      </c>
      <c r="BL17" s="47" t="n">
        <f aca="false">IF(Tasks[[#This Row],[_LeafWork]]=0,0,Tasks[[#This Row],[_LeafWork]]*IFERROR(INDEX(res_Rate,MATCH(Tasks[[#This Row],[Resource]],res_Name,0)),0))</f>
        <v>3400</v>
      </c>
      <c r="BM17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BN17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46303</v>
      </c>
      <c r="BO1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46297</v>
      </c>
      <c r="BR1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46302</v>
      </c>
      <c r="BT1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" s="47" t="n">
        <f aca="false">IF(AND(Tasks[[#This Row],[_IsLeaf]]=1,Tasks[[#This Row],[_LeafWork]]&gt;0),NETWORKDAYS.INTL(ProjectStart,Tasks[[#This Row],[_LeafFcstStart]],WorkWeek,Holidays),0)</f>
        <v>23</v>
      </c>
      <c r="BV17" s="47" t="n">
        <f aca="false">IF(AND(Tasks[[#This Row],[_IsLeaf]]=1,Tasks[[#This Row],[_LeafWork]]&gt;0),MAX(Tasks[[#This Row],[_StartWorkday]],NETWORKDAYS.INTL(ProjectStart,Tasks[[#This Row],[_LeafFcstFinish]],WorkWeek,Holidays)),0)</f>
        <v>28</v>
      </c>
      <c r="BW17" s="47" t="n">
        <f aca="false">IF(AND(Tasks[[#This Row],[_IsLeaf]]=1,Tasks[[#This Row],[_LeafWork]]&gt;0),Tasks[[#This Row],[_LeafWork]]/(Tasks[[#This Row],[_FinishWorkday]]-Tasks[[#This Row],[_StartWorkday]]+1),0)</f>
        <v>6.66666666666667</v>
      </c>
      <c r="BX17" s="47" t="n">
        <f aca="false">Tasks[[#This Row],[_WorkPerWorkday]]*(Tasks[[#This Row],[_StartWorkday]]-1)</f>
        <v>146.666666666667</v>
      </c>
      <c r="BY17" s="47" t="n">
        <f aca="false">IF(Tasks[[#This Row],[_IsLeaf]]=1,MAX(N(Tasks[[#This Row],[Duration]]),0.1),0)</f>
        <v>5</v>
      </c>
      <c r="BZ17" s="47" t="n">
        <f aca="false">Tasks[[#This Row],[_WeightDur]]*Tasks[[#This Row],[_LeafProgress]]</f>
        <v>5</v>
      </c>
      <c r="CA1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B1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D1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9</v>
      </c>
      <c r="CF1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" customFormat="false" ht="15" hidden="false" customHeight="false" outlineLevel="0" collapsed="false">
      <c r="A18" s="38" t="n">
        <f aca="false">IF(Tasks[[#This Row],[Task Name]]="","",COUNTA(Tasks[[#Headers],[Task Name]]:Tasks[[#This Row],[Task Name]])-1)</f>
        <v>13</v>
      </c>
      <c r="B18" s="39" t="n">
        <v>13</v>
      </c>
      <c r="C1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3.1.2</v>
      </c>
      <c r="D18" s="39" t="n">
        <v>3</v>
      </c>
      <c r="E18" s="41" t="s">
        <v>283</v>
      </c>
      <c r="F18" s="39" t="s">
        <v>259</v>
      </c>
      <c r="G18" s="39" t="n">
        <v>10</v>
      </c>
      <c r="H18" s="39" t="n">
        <v>12</v>
      </c>
      <c r="I18" s="39" t="s">
        <v>264</v>
      </c>
      <c r="J18" s="39"/>
      <c r="K18" s="39"/>
      <c r="L18" s="39"/>
      <c r="M18" s="39"/>
      <c r="N18" s="29"/>
      <c r="O18" s="29"/>
      <c r="P18" s="24" t="n">
        <f aca="false">IF(Tasks[[#This Row],[Task Name]]="","",IF(N(Tasks[[#This Row],[Baseline Start]])&gt;0,Tasks[[#This Row],[Baseline Start]],Tasks[[#This Row],[_CalcStart]]))</f>
        <v>46304</v>
      </c>
      <c r="Q18" s="24" t="n">
        <f aca="false">IF(Tasks[[#This Row],[Task Name]]="","",IF(N(Tasks[[#This Row],[Baseline Finish]])&gt;0,Tasks[[#This Row],[Baseline Finish]],Tasks[[#This Row],[_CalcFinish]]))</f>
        <v>46317</v>
      </c>
      <c r="R18" s="29" t="n">
        <v>46310</v>
      </c>
      <c r="S18" s="29"/>
      <c r="T18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46310</v>
      </c>
      <c r="U18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46325</v>
      </c>
      <c r="V18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4</v>
      </c>
      <c r="W18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" s="31" t="n">
        <v>0.5</v>
      </c>
      <c r="AA18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0.5</v>
      </c>
      <c r="AB1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C18" s="41" t="s">
        <v>282</v>
      </c>
      <c r="AD18" s="31"/>
      <c r="AE18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80</v>
      </c>
      <c r="AF18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6800</v>
      </c>
      <c r="AG1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H18" s="23" t="str">
        <f aca="false">IF(Tasks[[#This Row],[Task Name]]="","",Tasks[[#This Row],[_Pred1IDText]]&amp;IF(AND(Tasks[[#This Row],[_Pred1IDText]]&lt;&gt;"",Tasks[[#This Row],[_Pred2IDText]]&lt;&gt;""),",","")&amp;Tasks[[#This Row],[_Pred2IDText]])</f>
        <v>12</v>
      </c>
      <c r="AI18" s="41" t="s">
        <v>284</v>
      </c>
      <c r="AJ18" s="24" t="n">
        <f aca="false">IF(Tasks[[#This Row],[Task Name]]="","",Tasks[[#This Row],[Forecast Start]])</f>
        <v>46310</v>
      </c>
      <c r="AK18" s="24" t="n">
        <f aca="false">IF(Tasks[[#This Row],[Task Name]]="","",Tasks[[#This Row],[Forecast Finish]])</f>
        <v>46325</v>
      </c>
      <c r="AL18" s="38" t="n">
        <f aca="false">IF(Tasks[[#This Row],[Task Name]]="","",IF(Tasks[[#This Row],[_IsSummary]],NETWORKDAYS.INTL(Tasks[[#This Row],[Forecast Start]],Tasks[[#This Row],[Forecast Finish]],WorkWeek,Holidays),N(Tasks[[#This Row],[Duration]])))</f>
        <v>10</v>
      </c>
      <c r="AM18" s="43" t="n">
        <f aca="false">IF(Tasks[[#This Row],[Task Name]]="","",Tasks[[#This Row],[Work]])</f>
        <v>80</v>
      </c>
      <c r="AN18" s="44" t="n">
        <f aca="false">IF(Tasks[[#This Row],[Task Name]]="","",Tasks[[#This Row],[Cost]])</f>
        <v>6800</v>
      </c>
      <c r="AO18" s="29"/>
      <c r="AP18" s="29"/>
      <c r="AQ18" s="39"/>
      <c r="AR18" s="45"/>
      <c r="AS18" s="46"/>
      <c r="AT18" s="40" t="str">
        <f aca="false">IF(OR(Tasks[[#This Row],[Task Name]]="",Tasks[[#This Row],[Baseline Duration]]=""),"",Tasks[[#This Row],[BL Source Duration]]-N(Tasks[[#This Row],[Baseline Duration]]))</f>
        <v/>
      </c>
      <c r="AU18" s="43" t="str">
        <f aca="false">IF(OR(Tasks[[#This Row],[Task Name]]="",Tasks[[#This Row],[Baseline Work]]=""),"",Tasks[[#This Row],[Work]]-N(Tasks[[#This Row],[Baseline Work]]))</f>
        <v/>
      </c>
      <c r="AV18" s="44" t="str">
        <f aca="false">IF(OR(Tasks[[#This Row],[Task Name]]="",Tasks[[#This Row],[Baseline Cost]]=""),"",Tasks[[#This Row],[Cost]]-N(Tasks[[#This Row],[Baseline Cost]]))</f>
        <v/>
      </c>
      <c r="AW18" s="47" t="n">
        <f aca="false">IF(Tasks[[#This Row],[Task Name]]="","",MAX(1,N(Tasks[[#This Row],[Level]])))</f>
        <v>3</v>
      </c>
      <c r="AX18" s="47" t="n">
        <f aca="false">ROW()-ROW(Tasks[[#Headers],[ID]])</f>
        <v>13</v>
      </c>
      <c r="AY1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AZ18" s="47" t="n">
        <f aca="false">IFERROR(N(INDEX(Tasks[_Level],Tasks[[#This Row],[_Row]]+1)),0)</f>
        <v>3</v>
      </c>
      <c r="BA18" s="48" t="b">
        <f aca="false">AND(Tasks[[#This Row],[Task Name]]&lt;&gt;"",Tasks[[#This Row],[_NextLevel]]&gt;Tasks[[#This Row],[_Level]])</f>
        <v>0</v>
      </c>
      <c r="BB18" s="47" t="n">
        <f aca="false">IF(Tasks[[#This Row],[_IsSummary]],COUNTIF(Tasks[WBS],Tasks[[#This Row],[WBS]]&amp;".*"),0)</f>
        <v>0</v>
      </c>
      <c r="BC18" s="47" t="n">
        <f aca="false">IF(AND(Tasks[[#This Row],[Task Name]]&lt;&gt;"",NOT(Tasks[[#This Row],[_IsSummary]])),1,0)</f>
        <v>1</v>
      </c>
      <c r="BD18" s="47" t="n">
        <f aca="false">IF(N(Tasks[[#This Row],[Pred1 UID]])=0,0,IFERROR(MATCH(Tasks[[#This Row],[Pred1 UID]],Tasks[UID],0),-1))</f>
        <v>12</v>
      </c>
      <c r="BE18" s="47" t="n">
        <f aca="false">IF(N(Tasks[[#This Row],[Pred2 UID]])=0,0,IFERROR(MATCH(Tasks[[#This Row],[Pred2 UID]],Tasks[UID],0),-1))</f>
        <v>0</v>
      </c>
      <c r="BF18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46304</v>
      </c>
      <c r="BG18" s="49" t="n">
        <f aca="false">IF(NOT(Tasks[[#This Row],[_IsLeaf]]=1),"",IF(N(Tasks[[#This Row],[Duration]])&lt;=0,Tasks[[#This Row],[_LeafCalcStart]],WORKDAY.INTL(Tasks[[#This Row],[_LeafCalcStart]],Tasks[[#This Row],[Duration]]-1,WorkWeek,Holidays)))</f>
        <v>46317</v>
      </c>
      <c r="BH18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46310</v>
      </c>
      <c r="BI18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46325</v>
      </c>
      <c r="BJ18" s="47" t="n">
        <f aca="false">IF(NOT(Tasks[[#This Row],[_IsLeaf]]=1),0,IF(N(Tasks[[#This Row],[Actual Finish]])&gt;0,1,MIN(1,N(Tasks[[#This Row],[% Complete]]))))</f>
        <v>0.5</v>
      </c>
      <c r="BK18" s="47" t="n">
        <f aca="false">IF(OR(NOT(Tasks[[#This Row],[_IsLeaf]]=1),Tasks[[#This Row],[Resource]]=""),0,N(Tasks[[#This Row],[Duration]])*HoursPerDay*IF(Tasks[[#This Row],[Units]]="",DefaultUnits,Tasks[[#This Row],[Units]]))</f>
        <v>80</v>
      </c>
      <c r="BL18" s="47" t="n">
        <f aca="false">IF(Tasks[[#This Row],[_LeafWork]]=0,0,Tasks[[#This Row],[_LeafWork]]*IFERROR(INDEX(res_Rate,MATCH(Tasks[[#This Row],[Resource]],res_Name,0)),0))</f>
        <v>6800</v>
      </c>
      <c r="BM18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46304</v>
      </c>
      <c r="BN18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46317</v>
      </c>
      <c r="BO1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46304</v>
      </c>
      <c r="BR1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46310</v>
      </c>
      <c r="BT1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" s="47" t="n">
        <f aca="false">IF(AND(Tasks[[#This Row],[_IsLeaf]]=1,Tasks[[#This Row],[_LeafWork]]&gt;0),NETWORKDAYS.INTL(ProjectStart,Tasks[[#This Row],[_LeafFcstStart]],WorkWeek,Holidays),0)</f>
        <v>29</v>
      </c>
      <c r="BV18" s="47" t="n">
        <f aca="false">IF(AND(Tasks[[#This Row],[_IsLeaf]]=1,Tasks[[#This Row],[_LeafWork]]&gt;0),MAX(Tasks[[#This Row],[_StartWorkday]],NETWORKDAYS.INTL(ProjectStart,Tasks[[#This Row],[_LeafFcstFinish]],WorkWeek,Holidays)),0)</f>
        <v>40</v>
      </c>
      <c r="BW18" s="47" t="n">
        <f aca="false">IF(AND(Tasks[[#This Row],[_IsLeaf]]=1,Tasks[[#This Row],[_LeafWork]]&gt;0),Tasks[[#This Row],[_LeafWork]]/(Tasks[[#This Row],[_FinishWorkday]]-Tasks[[#This Row],[_StartWorkday]]+1),0)</f>
        <v>6.66666666666667</v>
      </c>
      <c r="BX18" s="47" t="n">
        <f aca="false">Tasks[[#This Row],[_WorkPerWorkday]]*(Tasks[[#This Row],[_StartWorkday]]-1)</f>
        <v>186.666666666667</v>
      </c>
      <c r="BY18" s="47" t="n">
        <f aca="false">IF(Tasks[[#This Row],[_IsLeaf]]=1,MAX(N(Tasks[[#This Row],[Duration]]),0.1),0)</f>
        <v>10</v>
      </c>
      <c r="BZ18" s="47" t="n">
        <f aca="false">Tasks[[#This Row],[_WeightDur]]*Tasks[[#This Row],[_LeafProgress]]</f>
        <v>5</v>
      </c>
      <c r="CA1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12</v>
      </c>
      <c r="CB1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12</v>
      </c>
      <c r="CD1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12</v>
      </c>
      <c r="CF1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" customFormat="false" ht="15" hidden="false" customHeight="false" outlineLevel="0" collapsed="false">
      <c r="A19" s="38" t="n">
        <f aca="false">IF(Tasks[[#This Row],[Task Name]]="","",COUNTA(Tasks[[#Headers],[Task Name]]:Tasks[[#This Row],[Task Name]])-1)</f>
        <v>14</v>
      </c>
      <c r="B19" s="39" t="n">
        <v>14</v>
      </c>
      <c r="C1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3.1.3</v>
      </c>
      <c r="D19" s="39" t="n">
        <v>3</v>
      </c>
      <c r="E19" s="41" t="s">
        <v>285</v>
      </c>
      <c r="F19" s="39" t="s">
        <v>259</v>
      </c>
      <c r="G19" s="39" t="n">
        <v>6</v>
      </c>
      <c r="H19" s="39" t="n">
        <v>13</v>
      </c>
      <c r="I19" s="39" t="s">
        <v>264</v>
      </c>
      <c r="J19" s="39"/>
      <c r="K19" s="39"/>
      <c r="L19" s="39"/>
      <c r="M19" s="39"/>
      <c r="N19" s="29"/>
      <c r="O19" s="29"/>
      <c r="P19" s="24" t="n">
        <f aca="false">IF(Tasks[[#This Row],[Task Name]]="","",IF(N(Tasks[[#This Row],[Baseline Start]])&gt;0,Tasks[[#This Row],[Baseline Start]],Tasks[[#This Row],[_CalcStart]]))</f>
        <v>46318</v>
      </c>
      <c r="Q19" s="24" t="n">
        <f aca="false">IF(Tasks[[#This Row],[Task Name]]="","",IF(N(Tasks[[#This Row],[Baseline Finish]])&gt;0,Tasks[[#This Row],[Baseline Finish]],Tasks[[#This Row],[_CalcFinish]]))</f>
        <v>46325</v>
      </c>
      <c r="R19" s="29"/>
      <c r="S19" s="29"/>
      <c r="T19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46328</v>
      </c>
      <c r="U19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19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19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" s="31"/>
      <c r="AA19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1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Late Start</v>
      </c>
      <c r="AC19" s="41" t="s">
        <v>282</v>
      </c>
      <c r="AD19" s="31"/>
      <c r="AE19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F19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4080</v>
      </c>
      <c r="AG1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H19" s="23" t="str">
        <f aca="false">IF(Tasks[[#This Row],[Task Name]]="","",Tasks[[#This Row],[_Pred1IDText]]&amp;IF(AND(Tasks[[#This Row],[_Pred1IDText]]&lt;&gt;"",Tasks[[#This Row],[_Pred2IDText]]&lt;&gt;""),",","")&amp;Tasks[[#This Row],[_Pred2IDText]])</f>
        <v>13</v>
      </c>
      <c r="AI19" s="41"/>
      <c r="AJ19" s="24" t="n">
        <f aca="false">IF(Tasks[[#This Row],[Task Name]]="","",Tasks[[#This Row],[Forecast Start]])</f>
        <v>46328</v>
      </c>
      <c r="AK19" s="24" t="n">
        <f aca="false">IF(Tasks[[#This Row],[Task Name]]="","",Tasks[[#This Row],[Forecast Finish]])</f>
        <v>46335</v>
      </c>
      <c r="AL19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M19" s="43" t="n">
        <f aca="false">IF(Tasks[[#This Row],[Task Name]]="","",Tasks[[#This Row],[Work]])</f>
        <v>48</v>
      </c>
      <c r="AN19" s="44" t="n">
        <f aca="false">IF(Tasks[[#This Row],[Task Name]]="","",Tasks[[#This Row],[Cost]])</f>
        <v>4080</v>
      </c>
      <c r="AO19" s="29"/>
      <c r="AP19" s="29"/>
      <c r="AQ19" s="39"/>
      <c r="AR19" s="45"/>
      <c r="AS19" s="46"/>
      <c r="AT19" s="40" t="str">
        <f aca="false">IF(OR(Tasks[[#This Row],[Task Name]]="",Tasks[[#This Row],[Baseline Duration]]=""),"",Tasks[[#This Row],[BL Source Duration]]-N(Tasks[[#This Row],[Baseline Duration]]))</f>
        <v/>
      </c>
      <c r="AU19" s="43" t="str">
        <f aca="false">IF(OR(Tasks[[#This Row],[Task Name]]="",Tasks[[#This Row],[Baseline Work]]=""),"",Tasks[[#This Row],[Work]]-N(Tasks[[#This Row],[Baseline Work]]))</f>
        <v/>
      </c>
      <c r="AV19" s="44" t="str">
        <f aca="false">IF(OR(Tasks[[#This Row],[Task Name]]="",Tasks[[#This Row],[Baseline Cost]]=""),"",Tasks[[#This Row],[Cost]]-N(Tasks[[#This Row],[Baseline Cost]]))</f>
        <v/>
      </c>
      <c r="AW19" s="47" t="n">
        <f aca="false">IF(Tasks[[#This Row],[Task Name]]="","",MAX(1,N(Tasks[[#This Row],[Level]])))</f>
        <v>3</v>
      </c>
      <c r="AX19" s="47" t="n">
        <f aca="false">ROW()-ROW(Tasks[[#Headers],[ID]])</f>
        <v>14</v>
      </c>
      <c r="AY1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AZ19" s="47" t="n">
        <f aca="false">IFERROR(N(INDEX(Tasks[_Level],Tasks[[#This Row],[_Row]]+1)),0)</f>
        <v>2</v>
      </c>
      <c r="BA19" s="48" t="b">
        <f aca="false">AND(Tasks[[#This Row],[Task Name]]&lt;&gt;"",Tasks[[#This Row],[_NextLevel]]&gt;Tasks[[#This Row],[_Level]])</f>
        <v>0</v>
      </c>
      <c r="BB19" s="47" t="n">
        <f aca="false">IF(Tasks[[#This Row],[_IsSummary]],COUNTIF(Tasks[WBS],Tasks[[#This Row],[WBS]]&amp;".*"),0)</f>
        <v>0</v>
      </c>
      <c r="BC19" s="47" t="n">
        <f aca="false">IF(AND(Tasks[[#This Row],[Task Name]]&lt;&gt;"",NOT(Tasks[[#This Row],[_IsSummary]])),1,0)</f>
        <v>1</v>
      </c>
      <c r="BD19" s="47" t="n">
        <f aca="false">IF(N(Tasks[[#This Row],[Pred1 UID]])=0,0,IFERROR(MATCH(Tasks[[#This Row],[Pred1 UID]],Tasks[UID],0),-1))</f>
        <v>13</v>
      </c>
      <c r="BE19" s="47" t="n">
        <f aca="false">IF(N(Tasks[[#This Row],[Pred2 UID]])=0,0,IFERROR(MATCH(Tasks[[#This Row],[Pred2 UID]],Tasks[UID],0),-1))</f>
        <v>0</v>
      </c>
      <c r="BF19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46318</v>
      </c>
      <c r="BG19" s="49" t="n">
        <f aca="false">IF(NOT(Tasks[[#This Row],[_IsLeaf]]=1),"",IF(N(Tasks[[#This Row],[Duration]])&lt;=0,Tasks[[#This Row],[_LeafCalcStart]],WORKDAY.INTL(Tasks[[#This Row],[_LeafCalcStart]],Tasks[[#This Row],[Duration]]-1,WorkWeek,Holidays)))</f>
        <v>46325</v>
      </c>
      <c r="BH19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46328</v>
      </c>
      <c r="BI19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46335</v>
      </c>
      <c r="BJ19" s="47" t="n">
        <f aca="false">IF(NOT(Tasks[[#This Row],[_IsLeaf]]=1),0,IF(N(Tasks[[#This Row],[Actual Finish]])&gt;0,1,MIN(1,N(Tasks[[#This Row],[% Complete]]))))</f>
        <v>0</v>
      </c>
      <c r="BK19" s="47" t="n">
        <f aca="false">IF(OR(NOT(Tasks[[#This Row],[_IsLeaf]]=1),Tasks[[#This Row],[Resource]]=""),0,N(Tasks[[#This Row],[Duration]])*HoursPerDay*IF(Tasks[[#This Row],[Units]]="",DefaultUnits,Tasks[[#This Row],[Units]]))</f>
        <v>48</v>
      </c>
      <c r="BL19" s="47" t="n">
        <f aca="false">IF(Tasks[[#This Row],[_LeafWork]]=0,0,Tasks[[#This Row],[_LeafWork]]*IFERROR(INDEX(res_Rate,MATCH(Tasks[[#This Row],[Resource]],res_Name,0)),0))</f>
        <v>4080</v>
      </c>
      <c r="BM19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46318</v>
      </c>
      <c r="BN19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BO1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46318</v>
      </c>
      <c r="BR1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46328</v>
      </c>
      <c r="BT1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" s="47" t="n">
        <f aca="false">IF(AND(Tasks[[#This Row],[_IsLeaf]]=1,Tasks[[#This Row],[_LeafWork]]&gt;0),NETWORKDAYS.INTL(ProjectStart,Tasks[[#This Row],[_LeafFcstStart]],WorkWeek,Holidays),0)</f>
        <v>41</v>
      </c>
      <c r="BV19" s="47" t="n">
        <f aca="false">IF(AND(Tasks[[#This Row],[_IsLeaf]]=1,Tasks[[#This Row],[_LeafWork]]&gt;0),MAX(Tasks[[#This Row],[_StartWorkday]],NETWORKDAYS.INTL(ProjectStart,Tasks[[#This Row],[_LeafFcstFinish]],WorkWeek,Holidays)),0)</f>
        <v>46</v>
      </c>
      <c r="BW19" s="47" t="n">
        <f aca="false">IF(AND(Tasks[[#This Row],[_IsLeaf]]=1,Tasks[[#This Row],[_LeafWork]]&gt;0),Tasks[[#This Row],[_LeafWork]]/(Tasks[[#This Row],[_FinishWorkday]]-Tasks[[#This Row],[_StartWorkday]]+1),0)</f>
        <v>8</v>
      </c>
      <c r="BX19" s="47" t="n">
        <f aca="false">Tasks[[#This Row],[_WorkPerWorkday]]*(Tasks[[#This Row],[_StartWorkday]]-1)</f>
        <v>320</v>
      </c>
      <c r="BY19" s="47" t="n">
        <f aca="false">IF(Tasks[[#This Row],[_IsLeaf]]=1,MAX(N(Tasks[[#This Row],[Duration]]),0.1),0)</f>
        <v>6</v>
      </c>
      <c r="BZ19" s="47" t="n">
        <f aca="false">Tasks[[#This Row],[_WeightDur]]*Tasks[[#This Row],[_LeafProgress]]</f>
        <v>0</v>
      </c>
      <c r="CA1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13</v>
      </c>
      <c r="CB1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13</v>
      </c>
      <c r="CD1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13</v>
      </c>
      <c r="CF1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" customFormat="false" ht="15" hidden="false" customHeight="false" outlineLevel="0" collapsed="false">
      <c r="A20" s="38" t="n">
        <f aca="false">IF(Tasks[[#This Row],[Task Name]]="","",COUNTA(Tasks[[#Headers],[Task Name]]:Tasks[[#This Row],[Task Name]])-1)</f>
        <v>15</v>
      </c>
      <c r="B20" s="39" t="n">
        <v>15</v>
      </c>
      <c r="C2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</v>
      </c>
      <c r="D20" s="39" t="n">
        <v>2</v>
      </c>
      <c r="E20" s="41" t="s">
        <v>286</v>
      </c>
      <c r="F20" s="39" t="s">
        <v>259</v>
      </c>
      <c r="G20" s="39"/>
      <c r="H20" s="39"/>
      <c r="I20" s="39"/>
      <c r="J20" s="39"/>
      <c r="K20" s="39"/>
      <c r="L20" s="39"/>
      <c r="M20" s="39"/>
      <c r="N20" s="29"/>
      <c r="O20" s="29"/>
      <c r="P20" s="24" t="n">
        <f aca="false">IF(Tasks[[#This Row],[Task Name]]="","",IF(N(Tasks[[#This Row],[Baseline Start]])&gt;0,Tasks[[#This Row],[Baseline Start]],Tasks[[#This Row],[_CalcStart]]))</f>
        <v>46297</v>
      </c>
      <c r="Q20" s="24" t="n">
        <f aca="false">IF(Tasks[[#This Row],[Task Name]]="","",IF(N(Tasks[[#This Row],[Baseline Finish]])&gt;0,Tasks[[#This Row],[Baseline Finish]],Tasks[[#This Row],[_CalcFinish]]))</f>
        <v>46324</v>
      </c>
      <c r="R20" s="29"/>
      <c r="S20" s="29"/>
      <c r="T20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20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46332</v>
      </c>
      <c r="V20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20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" s="31"/>
      <c r="AA20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0.428571428571429</v>
      </c>
      <c r="AB2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C20" s="41"/>
      <c r="AD20" s="31"/>
      <c r="AE20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156</v>
      </c>
      <c r="AF20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12420</v>
      </c>
      <c r="AG2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" s="41"/>
      <c r="AJ20" s="24" t="n">
        <f aca="false">IF(Tasks[[#This Row],[Task Name]]="","",Tasks[[#This Row],[Forecast Start]])</f>
        <v>46302</v>
      </c>
      <c r="AK20" s="24" t="n">
        <f aca="false">IF(Tasks[[#This Row],[Task Name]]="","",Tasks[[#This Row],[Forecast Finish]])</f>
        <v>46332</v>
      </c>
      <c r="AL20" s="38" t="n">
        <f aca="false">IF(Tasks[[#This Row],[Task Name]]="","",IF(Tasks[[#This Row],[_IsSummary]],NETWORKDAYS.INTL(Tasks[[#This Row],[Forecast Start]],Tasks[[#This Row],[Forecast Finish]],WorkWeek,Holidays),N(Tasks[[#This Row],[Duration]])))</f>
        <v>23</v>
      </c>
      <c r="AM20" s="43" t="n">
        <f aca="false">IF(Tasks[[#This Row],[Task Name]]="","",Tasks[[#This Row],[Work]])</f>
        <v>156</v>
      </c>
      <c r="AN20" s="44" t="n">
        <f aca="false">IF(Tasks[[#This Row],[Task Name]]="","",Tasks[[#This Row],[Cost]])</f>
        <v>12420</v>
      </c>
      <c r="AO20" s="29"/>
      <c r="AP20" s="29"/>
      <c r="AQ20" s="39"/>
      <c r="AR20" s="45"/>
      <c r="AS20" s="46"/>
      <c r="AT20" s="40" t="str">
        <f aca="false">IF(OR(Tasks[[#This Row],[Task Name]]="",Tasks[[#This Row],[Baseline Duration]]=""),"",Tasks[[#This Row],[BL Source Duration]]-N(Tasks[[#This Row],[Baseline Duration]]))</f>
        <v/>
      </c>
      <c r="AU20" s="43" t="str">
        <f aca="false">IF(OR(Tasks[[#This Row],[Task Name]]="",Tasks[[#This Row],[Baseline Work]]=""),"",Tasks[[#This Row],[Work]]-N(Tasks[[#This Row],[Baseline Work]]))</f>
        <v/>
      </c>
      <c r="AV20" s="44" t="str">
        <f aca="false">IF(OR(Tasks[[#This Row],[Task Name]]="",Tasks[[#This Row],[Baseline Cost]]=""),"",Tasks[[#This Row],[Cost]]-N(Tasks[[#This Row],[Baseline Cost]]))</f>
        <v/>
      </c>
      <c r="AW20" s="47" t="n">
        <f aca="false">IF(Tasks[[#This Row],[Task Name]]="","",MAX(1,N(Tasks[[#This Row],[Level]])))</f>
        <v>2</v>
      </c>
      <c r="AX20" s="47" t="n">
        <f aca="false">ROW()-ROW(Tasks[[#Headers],[ID]])</f>
        <v>15</v>
      </c>
      <c r="AY2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AZ20" s="47" t="n">
        <f aca="false">IFERROR(N(INDEX(Tasks[_Level],Tasks[[#This Row],[_Row]]+1)),0)</f>
        <v>3</v>
      </c>
      <c r="BA20" s="48" t="b">
        <f aca="false">AND(Tasks[[#This Row],[Task Name]]&lt;&gt;"",Tasks[[#This Row],[_NextLevel]]&gt;Tasks[[#This Row],[_Level]])</f>
        <v>1</v>
      </c>
      <c r="BB20" s="47" t="n">
        <f aca="false">IF(Tasks[[#This Row],[_IsSummary]],COUNTIF(Tasks[WBS],Tasks[[#This Row],[WBS]]&amp;".*"),0)</f>
        <v>3</v>
      </c>
      <c r="BC20" s="47" t="n">
        <f aca="false">IF(AND(Tasks[[#This Row],[Task Name]]&lt;&gt;"",NOT(Tasks[[#This Row],[_IsSummary]])),1,0)</f>
        <v>0</v>
      </c>
      <c r="BD20" s="47" t="n">
        <f aca="false">IF(N(Tasks[[#This Row],[Pred1 UID]])=0,0,IFERROR(MATCH(Tasks[[#This Row],[Pred1 UID]],Tasks[UID],0),-1))</f>
        <v>0</v>
      </c>
      <c r="BE20" s="47" t="n">
        <f aca="false">IF(N(Tasks[[#This Row],[Pred2 UID]])=0,0,IFERROR(MATCH(Tasks[[#This Row],[Pred2 UID]],Tasks[UID],0),-1))</f>
        <v>0</v>
      </c>
      <c r="BF2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" s="47" t="n">
        <f aca="false">IF(NOT(Tasks[[#This Row],[_IsLeaf]]=1),0,IF(N(Tasks[[#This Row],[Actual Finish]])&gt;0,1,MIN(1,N(Tasks[[#This Row],[% Complete]]))))</f>
        <v>0</v>
      </c>
      <c r="BK2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0" s="47" t="n">
        <f aca="false">IF(Tasks[[#This Row],[_LeafWork]]=0,0,Tasks[[#This Row],[_LeafWork]]*IFERROR(INDEX(res_Rate,MATCH(Tasks[[#This Row],[Resource]],res_Name,0)),0))</f>
        <v>0</v>
      </c>
      <c r="BM20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BN20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46324</v>
      </c>
      <c r="BO2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0" s="47" t="n">
        <f aca="false">IF(AND(Tasks[[#This Row],[_IsLeaf]]=1,Tasks[[#This Row],[_LeafWork]]&gt;0),NETWORKDAYS.INTL(ProjectStart,Tasks[[#This Row],[_LeafFcstStart]],WorkWeek,Holidays),0)</f>
        <v>0</v>
      </c>
      <c r="BV2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" s="47" t="n">
        <f aca="false">IF(AND(Tasks[[#This Row],[_IsLeaf]]=1,Tasks[[#This Row],[_LeafWork]]&gt;0),Tasks[[#This Row],[_LeafWork]]/(Tasks[[#This Row],[_FinishWorkday]]-Tasks[[#This Row],[_StartWorkday]]+1),0)</f>
        <v>0</v>
      </c>
      <c r="BX20" s="47" t="n">
        <f aca="false">Tasks[[#This Row],[_WorkPerWorkday]]*(Tasks[[#This Row],[_StartWorkday]]-1)</f>
        <v>-0</v>
      </c>
      <c r="BY20" s="47" t="n">
        <f aca="false">IF(Tasks[[#This Row],[_IsLeaf]]=1,MAX(N(Tasks[[#This Row],[Duration]]),0.1),0)</f>
        <v>0</v>
      </c>
      <c r="BZ20" s="47" t="n">
        <f aca="false">Tasks[[#This Row],[_WeightDur]]*Tasks[[#This Row],[_LeafProgress]]</f>
        <v>0</v>
      </c>
      <c r="CA2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1" customFormat="false" ht="15" hidden="false" customHeight="false" outlineLevel="0" collapsed="false">
      <c r="A21" s="38" t="n">
        <f aca="false">IF(Tasks[[#This Row],[Task Name]]="","",COUNTA(Tasks[[#Headers],[Task Name]]:Tasks[[#This Row],[Task Name]])-1)</f>
        <v>16</v>
      </c>
      <c r="B21" s="39" t="n">
        <v>16</v>
      </c>
      <c r="C2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3.2.1</v>
      </c>
      <c r="D21" s="39" t="n">
        <v>3</v>
      </c>
      <c r="E21" s="41" t="s">
        <v>287</v>
      </c>
      <c r="F21" s="39" t="s">
        <v>259</v>
      </c>
      <c r="G21" s="39" t="n">
        <v>6</v>
      </c>
      <c r="H21" s="39" t="n">
        <v>9</v>
      </c>
      <c r="I21" s="39" t="s">
        <v>264</v>
      </c>
      <c r="J21" s="39"/>
      <c r="K21" s="39"/>
      <c r="L21" s="39"/>
      <c r="M21" s="39"/>
      <c r="N21" s="29"/>
      <c r="O21" s="29"/>
      <c r="P21" s="24" t="n">
        <f aca="false">IF(Tasks[[#This Row],[Task Name]]="","",IF(N(Tasks[[#This Row],[Baseline Start]])&gt;0,Tasks[[#This Row],[Baseline Start]],Tasks[[#This Row],[_CalcStart]]))</f>
        <v>46297</v>
      </c>
      <c r="Q21" s="24" t="n">
        <f aca="false">IF(Tasks[[#This Row],[Task Name]]="","",IF(N(Tasks[[#This Row],[Baseline Finish]])&gt;0,Tasks[[#This Row],[Baseline Finish]],Tasks[[#This Row],[_CalcFinish]]))</f>
        <v>46304</v>
      </c>
      <c r="R21" s="29" t="n">
        <v>46302</v>
      </c>
      <c r="S21" s="29" t="n">
        <v>46311</v>
      </c>
      <c r="T21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21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46311</v>
      </c>
      <c r="V21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21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5</v>
      </c>
      <c r="X2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1" s="31" t="n">
        <v>1</v>
      </c>
      <c r="AA21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2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21" s="41" t="s">
        <v>288</v>
      </c>
      <c r="AD21" s="31"/>
      <c r="AE21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F21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3840</v>
      </c>
      <c r="AG2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H21" s="23" t="str">
        <f aca="false">IF(Tasks[[#This Row],[Task Name]]="","",Tasks[[#This Row],[_Pred1IDText]]&amp;IF(AND(Tasks[[#This Row],[_Pred1IDText]]&lt;&gt;"",Tasks[[#This Row],[_Pred2IDText]]&lt;&gt;""),",","")&amp;Tasks[[#This Row],[_Pred2IDText]])</f>
        <v>9</v>
      </c>
      <c r="AI21" s="41"/>
      <c r="AJ21" s="24" t="n">
        <f aca="false">IF(Tasks[[#This Row],[Task Name]]="","",Tasks[[#This Row],[Forecast Start]])</f>
        <v>46302</v>
      </c>
      <c r="AK21" s="24" t="n">
        <f aca="false">IF(Tasks[[#This Row],[Task Name]]="","",Tasks[[#This Row],[Forecast Finish]])</f>
        <v>46311</v>
      </c>
      <c r="AL21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M21" s="43" t="n">
        <f aca="false">IF(Tasks[[#This Row],[Task Name]]="","",Tasks[[#This Row],[Work]])</f>
        <v>48</v>
      </c>
      <c r="AN21" s="44" t="n">
        <f aca="false">IF(Tasks[[#This Row],[Task Name]]="","",Tasks[[#This Row],[Cost]])</f>
        <v>3840</v>
      </c>
      <c r="AO21" s="29"/>
      <c r="AP21" s="29"/>
      <c r="AQ21" s="39"/>
      <c r="AR21" s="45"/>
      <c r="AS21" s="46"/>
      <c r="AT21" s="40" t="str">
        <f aca="false">IF(OR(Tasks[[#This Row],[Task Name]]="",Tasks[[#This Row],[Baseline Duration]]=""),"",Tasks[[#This Row],[BL Source Duration]]-N(Tasks[[#This Row],[Baseline Duration]]))</f>
        <v/>
      </c>
      <c r="AU21" s="43" t="str">
        <f aca="false">IF(OR(Tasks[[#This Row],[Task Name]]="",Tasks[[#This Row],[Baseline Work]]=""),"",Tasks[[#This Row],[Work]]-N(Tasks[[#This Row],[Baseline Work]]))</f>
        <v/>
      </c>
      <c r="AV21" s="44" t="str">
        <f aca="false">IF(OR(Tasks[[#This Row],[Task Name]]="",Tasks[[#This Row],[Baseline Cost]]=""),"",Tasks[[#This Row],[Cost]]-N(Tasks[[#This Row],[Baseline Cost]]))</f>
        <v/>
      </c>
      <c r="AW21" s="47" t="n">
        <f aca="false">IF(Tasks[[#This Row],[Task Name]]="","",MAX(1,N(Tasks[[#This Row],[Level]])))</f>
        <v>3</v>
      </c>
      <c r="AX21" s="47" t="n">
        <f aca="false">ROW()-ROW(Tasks[[#Headers],[ID]])</f>
        <v>16</v>
      </c>
      <c r="AY2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AZ21" s="47" t="n">
        <f aca="false">IFERROR(N(INDEX(Tasks[_Level],Tasks[[#This Row],[_Row]]+1)),0)</f>
        <v>3</v>
      </c>
      <c r="BA21" s="48" t="b">
        <f aca="false">AND(Tasks[[#This Row],[Task Name]]&lt;&gt;"",Tasks[[#This Row],[_NextLevel]]&gt;Tasks[[#This Row],[_Level]])</f>
        <v>0</v>
      </c>
      <c r="BB21" s="47" t="n">
        <f aca="false">IF(Tasks[[#This Row],[_IsSummary]],COUNTIF(Tasks[WBS],Tasks[[#This Row],[WBS]]&amp;".*"),0)</f>
        <v>0</v>
      </c>
      <c r="BC21" s="47" t="n">
        <f aca="false">IF(AND(Tasks[[#This Row],[Task Name]]&lt;&gt;"",NOT(Tasks[[#This Row],[_IsSummary]])),1,0)</f>
        <v>1</v>
      </c>
      <c r="BD21" s="47" t="n">
        <f aca="false">IF(N(Tasks[[#This Row],[Pred1 UID]])=0,0,IFERROR(MATCH(Tasks[[#This Row],[Pred1 UID]],Tasks[UID],0),-1))</f>
        <v>9</v>
      </c>
      <c r="BE21" s="47" t="n">
        <f aca="false">IF(N(Tasks[[#This Row],[Pred2 UID]])=0,0,IFERROR(MATCH(Tasks[[#This Row],[Pred2 UID]],Tasks[UID],0),-1))</f>
        <v>0</v>
      </c>
      <c r="BF21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46297</v>
      </c>
      <c r="BG21" s="49" t="n">
        <f aca="false">IF(NOT(Tasks[[#This Row],[_IsLeaf]]=1),"",IF(N(Tasks[[#This Row],[Duration]])&lt;=0,Tasks[[#This Row],[_LeafCalcStart]],WORKDAY.INTL(Tasks[[#This Row],[_LeafCalcStart]],Tasks[[#This Row],[Duration]]-1,WorkWeek,Holidays)))</f>
        <v>46304</v>
      </c>
      <c r="BH21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46302</v>
      </c>
      <c r="BI21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46311</v>
      </c>
      <c r="BJ21" s="47" t="n">
        <f aca="false">IF(NOT(Tasks[[#This Row],[_IsLeaf]]=1),0,IF(N(Tasks[[#This Row],[Actual Finish]])&gt;0,1,MIN(1,N(Tasks[[#This Row],[% Complete]]))))</f>
        <v>1</v>
      </c>
      <c r="BK21" s="47" t="n">
        <f aca="false">IF(OR(NOT(Tasks[[#This Row],[_IsLeaf]]=1),Tasks[[#This Row],[Resource]]=""),0,N(Tasks[[#This Row],[Duration]])*HoursPerDay*IF(Tasks[[#This Row],[Units]]="",DefaultUnits,Tasks[[#This Row],[Units]]))</f>
        <v>48</v>
      </c>
      <c r="BL21" s="47" t="n">
        <f aca="false">IF(Tasks[[#This Row],[_LeafWork]]=0,0,Tasks[[#This Row],[_LeafWork]]*IFERROR(INDEX(res_Rate,MATCH(Tasks[[#This Row],[Resource]],res_Name,0)),0))</f>
        <v>3840</v>
      </c>
      <c r="BM21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BN21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46304</v>
      </c>
      <c r="BO2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46297</v>
      </c>
      <c r="BR2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46302</v>
      </c>
      <c r="BT2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1" s="47" t="n">
        <f aca="false">IF(AND(Tasks[[#This Row],[_IsLeaf]]=1,Tasks[[#This Row],[_LeafWork]]&gt;0),NETWORKDAYS.INTL(ProjectStart,Tasks[[#This Row],[_LeafFcstStart]],WorkWeek,Holidays),0)</f>
        <v>23</v>
      </c>
      <c r="BV21" s="47" t="n">
        <f aca="false">IF(AND(Tasks[[#This Row],[_IsLeaf]]=1,Tasks[[#This Row],[_LeafWork]]&gt;0),MAX(Tasks[[#This Row],[_StartWorkday]],NETWORKDAYS.INTL(ProjectStart,Tasks[[#This Row],[_LeafFcstFinish]],WorkWeek,Holidays)),0)</f>
        <v>30</v>
      </c>
      <c r="BW21" s="47" t="n">
        <f aca="false">IF(AND(Tasks[[#This Row],[_IsLeaf]]=1,Tasks[[#This Row],[_LeafWork]]&gt;0),Tasks[[#This Row],[_LeafWork]]/(Tasks[[#This Row],[_FinishWorkday]]-Tasks[[#This Row],[_StartWorkday]]+1),0)</f>
        <v>6</v>
      </c>
      <c r="BX21" s="47" t="n">
        <f aca="false">Tasks[[#This Row],[_WorkPerWorkday]]*(Tasks[[#This Row],[_StartWorkday]]-1)</f>
        <v>132</v>
      </c>
      <c r="BY21" s="47" t="n">
        <f aca="false">IF(Tasks[[#This Row],[_IsLeaf]]=1,MAX(N(Tasks[[#This Row],[Duration]]),0.1),0)</f>
        <v>6</v>
      </c>
      <c r="BZ21" s="47" t="n">
        <f aca="false">Tasks[[#This Row],[_WeightDur]]*Tasks[[#This Row],[_LeafProgress]]</f>
        <v>6</v>
      </c>
      <c r="CA2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B2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D2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9</v>
      </c>
      <c r="CF2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2" customFormat="false" ht="15" hidden="false" customHeight="false" outlineLevel="0" collapsed="false">
      <c r="A22" s="38" t="n">
        <f aca="false">IF(Tasks[[#This Row],[Task Name]]="","",COUNTA(Tasks[[#Headers],[Task Name]]:Tasks[[#This Row],[Task Name]])-1)</f>
        <v>17</v>
      </c>
      <c r="B22" s="39" t="n">
        <v>17</v>
      </c>
      <c r="C2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3.2.2</v>
      </c>
      <c r="D22" s="39" t="n">
        <v>3</v>
      </c>
      <c r="E22" s="41" t="s">
        <v>289</v>
      </c>
      <c r="F22" s="39" t="s">
        <v>259</v>
      </c>
      <c r="G22" s="39" t="n">
        <v>12</v>
      </c>
      <c r="H22" s="39" t="n">
        <v>16</v>
      </c>
      <c r="I22" s="39" t="s">
        <v>264</v>
      </c>
      <c r="J22" s="39"/>
      <c r="K22" s="39" t="n">
        <v>13</v>
      </c>
      <c r="L22" s="39" t="s">
        <v>271</v>
      </c>
      <c r="M22" s="39" t="n">
        <v>2</v>
      </c>
      <c r="N22" s="29"/>
      <c r="O22" s="29"/>
      <c r="P22" s="24" t="n">
        <f aca="false">IF(Tasks[[#This Row],[Task Name]]="","",IF(N(Tasks[[#This Row],[Baseline Start]])&gt;0,Tasks[[#This Row],[Baseline Start]],Tasks[[#This Row],[_CalcStart]]))</f>
        <v>46308</v>
      </c>
      <c r="Q22" s="24" t="n">
        <f aca="false">IF(Tasks[[#This Row],[Task Name]]="","",IF(N(Tasks[[#This Row],[Baseline Finish]])&gt;0,Tasks[[#This Row],[Baseline Finish]],Tasks[[#This Row],[_CalcFinish]]))</f>
        <v>46323</v>
      </c>
      <c r="R22" s="29" t="n">
        <v>46314</v>
      </c>
      <c r="S22" s="29"/>
      <c r="T22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46314</v>
      </c>
      <c r="U22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46331</v>
      </c>
      <c r="V22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4</v>
      </c>
      <c r="W22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2" s="31" t="n">
        <v>0.25</v>
      </c>
      <c r="AA22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0.25</v>
      </c>
      <c r="AB2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C22" s="41" t="s">
        <v>288</v>
      </c>
      <c r="AD22" s="31"/>
      <c r="AE22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96</v>
      </c>
      <c r="AF22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7680</v>
      </c>
      <c r="AG2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4</v>
      </c>
      <c r="AH22" s="23" t="str">
        <f aca="false">IF(Tasks[[#This Row],[Task Name]]="","",Tasks[[#This Row],[_Pred1IDText]]&amp;IF(AND(Tasks[[#This Row],[_Pred1IDText]]&lt;&gt;"",Tasks[[#This Row],[_Pred2IDText]]&lt;&gt;""),",","")&amp;Tasks[[#This Row],[_Pred2IDText]])</f>
        <v>16,13SS+2d</v>
      </c>
      <c r="AI22" s="41"/>
      <c r="AJ22" s="24" t="n">
        <f aca="false">IF(Tasks[[#This Row],[Task Name]]="","",Tasks[[#This Row],[Forecast Start]])</f>
        <v>46314</v>
      </c>
      <c r="AK22" s="24" t="n">
        <f aca="false">IF(Tasks[[#This Row],[Task Name]]="","",Tasks[[#This Row],[Forecast Finish]])</f>
        <v>46331</v>
      </c>
      <c r="AL22" s="38" t="n">
        <f aca="false">IF(Tasks[[#This Row],[Task Name]]="","",IF(Tasks[[#This Row],[_IsSummary]],NETWORKDAYS.INTL(Tasks[[#This Row],[Forecast Start]],Tasks[[#This Row],[Forecast Finish]],WorkWeek,Holidays),N(Tasks[[#This Row],[Duration]])))</f>
        <v>12</v>
      </c>
      <c r="AM22" s="43" t="n">
        <f aca="false">IF(Tasks[[#This Row],[Task Name]]="","",Tasks[[#This Row],[Work]])</f>
        <v>96</v>
      </c>
      <c r="AN22" s="44" t="n">
        <f aca="false">IF(Tasks[[#This Row],[Task Name]]="","",Tasks[[#This Row],[Cost]])</f>
        <v>7680</v>
      </c>
      <c r="AO22" s="29"/>
      <c r="AP22" s="29"/>
      <c r="AQ22" s="39"/>
      <c r="AR22" s="45"/>
      <c r="AS22" s="46"/>
      <c r="AT22" s="40" t="str">
        <f aca="false">IF(OR(Tasks[[#This Row],[Task Name]]="",Tasks[[#This Row],[Baseline Duration]]=""),"",Tasks[[#This Row],[BL Source Duration]]-N(Tasks[[#This Row],[Baseline Duration]]))</f>
        <v/>
      </c>
      <c r="AU22" s="43" t="str">
        <f aca="false">IF(OR(Tasks[[#This Row],[Task Name]]="",Tasks[[#This Row],[Baseline Work]]=""),"",Tasks[[#This Row],[Work]]-N(Tasks[[#This Row],[Baseline Work]]))</f>
        <v/>
      </c>
      <c r="AV22" s="44" t="str">
        <f aca="false">IF(OR(Tasks[[#This Row],[Task Name]]="",Tasks[[#This Row],[Baseline Cost]]=""),"",Tasks[[#This Row],[Cost]]-N(Tasks[[#This Row],[Baseline Cost]]))</f>
        <v/>
      </c>
      <c r="AW22" s="47" t="n">
        <f aca="false">IF(Tasks[[#This Row],[Task Name]]="","",MAX(1,N(Tasks[[#This Row],[Level]])))</f>
        <v>3</v>
      </c>
      <c r="AX22" s="47" t="n">
        <f aca="false">ROW()-ROW(Tasks[[#Headers],[ID]])</f>
        <v>17</v>
      </c>
      <c r="AY2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AZ22" s="47" t="n">
        <f aca="false">IFERROR(N(INDEX(Tasks[_Level],Tasks[[#This Row],[_Row]]+1)),0)</f>
        <v>3</v>
      </c>
      <c r="BA22" s="48" t="b">
        <f aca="false">AND(Tasks[[#This Row],[Task Name]]&lt;&gt;"",Tasks[[#This Row],[_NextLevel]]&gt;Tasks[[#This Row],[_Level]])</f>
        <v>0</v>
      </c>
      <c r="BB22" s="47" t="n">
        <f aca="false">IF(Tasks[[#This Row],[_IsSummary]],COUNTIF(Tasks[WBS],Tasks[[#This Row],[WBS]]&amp;".*"),0)</f>
        <v>0</v>
      </c>
      <c r="BC22" s="47" t="n">
        <f aca="false">IF(AND(Tasks[[#This Row],[Task Name]]&lt;&gt;"",NOT(Tasks[[#This Row],[_IsSummary]])),1,0)</f>
        <v>1</v>
      </c>
      <c r="BD22" s="47" t="n">
        <f aca="false">IF(N(Tasks[[#This Row],[Pred1 UID]])=0,0,IFERROR(MATCH(Tasks[[#This Row],[Pred1 UID]],Tasks[UID],0),-1))</f>
        <v>16</v>
      </c>
      <c r="BE22" s="47" t="n">
        <f aca="false">IF(N(Tasks[[#This Row],[Pred2 UID]])=0,0,IFERROR(MATCH(Tasks[[#This Row],[Pred2 UID]],Tasks[UID],0),-1))</f>
        <v>13</v>
      </c>
      <c r="BF22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46308</v>
      </c>
      <c r="BG22" s="49" t="n">
        <f aca="false">IF(NOT(Tasks[[#This Row],[_IsLeaf]]=1),"",IF(N(Tasks[[#This Row],[Duration]])&lt;=0,Tasks[[#This Row],[_LeafCalcStart]],WORKDAY.INTL(Tasks[[#This Row],[_LeafCalcStart]],Tasks[[#This Row],[Duration]]-1,WorkWeek,Holidays)))</f>
        <v>46323</v>
      </c>
      <c r="BH22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46314</v>
      </c>
      <c r="BI22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46331</v>
      </c>
      <c r="BJ22" s="47" t="n">
        <f aca="false">IF(NOT(Tasks[[#This Row],[_IsLeaf]]=1),0,IF(N(Tasks[[#This Row],[Actual Finish]])&gt;0,1,MIN(1,N(Tasks[[#This Row],[% Complete]]))))</f>
        <v>0.25</v>
      </c>
      <c r="BK22" s="47" t="n">
        <f aca="false">IF(OR(NOT(Tasks[[#This Row],[_IsLeaf]]=1),Tasks[[#This Row],[Resource]]=""),0,N(Tasks[[#This Row],[Duration]])*HoursPerDay*IF(Tasks[[#This Row],[Units]]="",DefaultUnits,Tasks[[#This Row],[Units]]))</f>
        <v>96</v>
      </c>
      <c r="BL22" s="47" t="n">
        <f aca="false">IF(Tasks[[#This Row],[_LeafWork]]=0,0,Tasks[[#This Row],[_LeafWork]]*IFERROR(INDEX(res_Rate,MATCH(Tasks[[#This Row],[Resource]],res_Name,0)),0))</f>
        <v>7680</v>
      </c>
      <c r="BM22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46308</v>
      </c>
      <c r="BN22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46323</v>
      </c>
      <c r="BO2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46307</v>
      </c>
      <c r="BR2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46308</v>
      </c>
      <c r="BS2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46314</v>
      </c>
      <c r="BT2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46314</v>
      </c>
      <c r="BU22" s="47" t="n">
        <f aca="false">IF(AND(Tasks[[#This Row],[_IsLeaf]]=1,Tasks[[#This Row],[_LeafWork]]&gt;0),NETWORKDAYS.INTL(ProjectStart,Tasks[[#This Row],[_LeafFcstStart]],WorkWeek,Holidays),0)</f>
        <v>31</v>
      </c>
      <c r="BV22" s="47" t="n">
        <f aca="false">IF(AND(Tasks[[#This Row],[_IsLeaf]]=1,Tasks[[#This Row],[_LeafWork]]&gt;0),MAX(Tasks[[#This Row],[_StartWorkday]],NETWORKDAYS.INTL(ProjectStart,Tasks[[#This Row],[_LeafFcstFinish]],WorkWeek,Holidays)),0)</f>
        <v>44</v>
      </c>
      <c r="BW22" s="47" t="n">
        <f aca="false">IF(AND(Tasks[[#This Row],[_IsLeaf]]=1,Tasks[[#This Row],[_LeafWork]]&gt;0),Tasks[[#This Row],[_LeafWork]]/(Tasks[[#This Row],[_FinishWorkday]]-Tasks[[#This Row],[_StartWorkday]]+1),0)</f>
        <v>6.85714285714286</v>
      </c>
      <c r="BX22" s="47" t="n">
        <f aca="false">Tasks[[#This Row],[_WorkPerWorkday]]*(Tasks[[#This Row],[_StartWorkday]]-1)</f>
        <v>205.714285714286</v>
      </c>
      <c r="BY22" s="47" t="n">
        <f aca="false">IF(Tasks[[#This Row],[_IsLeaf]]=1,MAX(N(Tasks[[#This Row],[Duration]]),0.1),0)</f>
        <v>12</v>
      </c>
      <c r="BZ22" s="47" t="n">
        <f aca="false">Tasks[[#This Row],[_WeightDur]]*Tasks[[#This Row],[_LeafProgress]]</f>
        <v>3</v>
      </c>
      <c r="CA2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16</v>
      </c>
      <c r="CB2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13SS+2d</v>
      </c>
      <c r="CC2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16</v>
      </c>
      <c r="CD2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13SS+2d</v>
      </c>
      <c r="CE2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16,13SS+2d</v>
      </c>
      <c r="CF2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3" customFormat="false" ht="15" hidden="false" customHeight="false" outlineLevel="0" collapsed="false">
      <c r="A23" s="38" t="n">
        <f aca="false">IF(Tasks[[#This Row],[Task Name]]="","",COUNTA(Tasks[[#Headers],[Task Name]]:Tasks[[#This Row],[Task Name]])-1)</f>
        <v>18</v>
      </c>
      <c r="B23" s="39" t="n">
        <v>18</v>
      </c>
      <c r="C2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3.2.3</v>
      </c>
      <c r="D23" s="39" t="n">
        <v>3</v>
      </c>
      <c r="E23" s="41" t="s">
        <v>290</v>
      </c>
      <c r="F23" s="39" t="s">
        <v>259</v>
      </c>
      <c r="G23" s="39" t="n">
        <v>3</v>
      </c>
      <c r="H23" s="39" t="n">
        <v>17</v>
      </c>
      <c r="I23" s="39" t="s">
        <v>291</v>
      </c>
      <c r="J23" s="39" t="n">
        <v>1</v>
      </c>
      <c r="K23" s="39"/>
      <c r="L23" s="39"/>
      <c r="M23" s="39"/>
      <c r="N23" s="29"/>
      <c r="O23" s="29"/>
      <c r="P23" s="24" t="n">
        <f aca="false">IF(Tasks[[#This Row],[Task Name]]="","",IF(N(Tasks[[#This Row],[Baseline Start]])&gt;0,Tasks[[#This Row],[Baseline Start]],Tasks[[#This Row],[_CalcStart]]))</f>
        <v>46322</v>
      </c>
      <c r="Q23" s="24" t="n">
        <f aca="false">IF(Tasks[[#This Row],[Task Name]]="","",IF(N(Tasks[[#This Row],[Baseline Finish]])&gt;0,Tasks[[#This Row],[Baseline Finish]],Tasks[[#This Row],[_CalcFinish]]))</f>
        <v>46324</v>
      </c>
      <c r="R23" s="29"/>
      <c r="S23" s="29"/>
      <c r="T23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46330</v>
      </c>
      <c r="U23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46332</v>
      </c>
      <c r="V23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3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3" s="31"/>
      <c r="AA23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2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3" s="41" t="s">
        <v>275</v>
      </c>
      <c r="AD23" s="31" t="n">
        <v>0.5</v>
      </c>
      <c r="AE23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12</v>
      </c>
      <c r="AF23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900</v>
      </c>
      <c r="AG2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H23" s="23" t="str">
        <f aca="false">IF(Tasks[[#This Row],[Task Name]]="","",Tasks[[#This Row],[_Pred1IDText]]&amp;IF(AND(Tasks[[#This Row],[_Pred1IDText]]&lt;&gt;"",Tasks[[#This Row],[_Pred2IDText]]&lt;&gt;""),",","")&amp;Tasks[[#This Row],[_Pred2IDText]])</f>
        <v>17FF+1d</v>
      </c>
      <c r="AI23" s="41" t="s">
        <v>292</v>
      </c>
      <c r="AJ23" s="24" t="n">
        <f aca="false">IF(Tasks[[#This Row],[Task Name]]="","",Tasks[[#This Row],[Forecast Start]])</f>
        <v>46330</v>
      </c>
      <c r="AK23" s="24" t="n">
        <f aca="false">IF(Tasks[[#This Row],[Task Name]]="","",Tasks[[#This Row],[Forecast Finish]])</f>
        <v>46332</v>
      </c>
      <c r="AL23" s="38" t="n">
        <f aca="false">IF(Tasks[[#This Row],[Task Name]]="","",IF(Tasks[[#This Row],[_IsSummary]],NETWORKDAYS.INTL(Tasks[[#This Row],[Forecast Start]],Tasks[[#This Row],[Forecast Finish]],WorkWeek,Holidays),N(Tasks[[#This Row],[Duration]])))</f>
        <v>3</v>
      </c>
      <c r="AM23" s="43" t="n">
        <f aca="false">IF(Tasks[[#This Row],[Task Name]]="","",Tasks[[#This Row],[Work]])</f>
        <v>12</v>
      </c>
      <c r="AN23" s="44" t="n">
        <f aca="false">IF(Tasks[[#This Row],[Task Name]]="","",Tasks[[#This Row],[Cost]])</f>
        <v>900</v>
      </c>
      <c r="AO23" s="29"/>
      <c r="AP23" s="29"/>
      <c r="AQ23" s="39"/>
      <c r="AR23" s="45"/>
      <c r="AS23" s="46"/>
      <c r="AT23" s="40" t="str">
        <f aca="false">IF(OR(Tasks[[#This Row],[Task Name]]="",Tasks[[#This Row],[Baseline Duration]]=""),"",Tasks[[#This Row],[BL Source Duration]]-N(Tasks[[#This Row],[Baseline Duration]]))</f>
        <v/>
      </c>
      <c r="AU23" s="43" t="str">
        <f aca="false">IF(OR(Tasks[[#This Row],[Task Name]]="",Tasks[[#This Row],[Baseline Work]]=""),"",Tasks[[#This Row],[Work]]-N(Tasks[[#This Row],[Baseline Work]]))</f>
        <v/>
      </c>
      <c r="AV23" s="44" t="str">
        <f aca="false">IF(OR(Tasks[[#This Row],[Task Name]]="",Tasks[[#This Row],[Baseline Cost]]=""),"",Tasks[[#This Row],[Cost]]-N(Tasks[[#This Row],[Baseline Cost]]))</f>
        <v/>
      </c>
      <c r="AW23" s="47" t="n">
        <f aca="false">IF(Tasks[[#This Row],[Task Name]]="","",MAX(1,N(Tasks[[#This Row],[Level]])))</f>
        <v>3</v>
      </c>
      <c r="AX23" s="47" t="n">
        <f aca="false">ROW()-ROW(Tasks[[#Headers],[ID]])</f>
        <v>18</v>
      </c>
      <c r="AY2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AZ23" s="47" t="n">
        <f aca="false">IFERROR(N(INDEX(Tasks[_Level],Tasks[[#This Row],[_Row]]+1)),0)</f>
        <v>2</v>
      </c>
      <c r="BA23" s="48" t="b">
        <f aca="false">AND(Tasks[[#This Row],[Task Name]]&lt;&gt;"",Tasks[[#This Row],[_NextLevel]]&gt;Tasks[[#This Row],[_Level]])</f>
        <v>0</v>
      </c>
      <c r="BB23" s="47" t="n">
        <f aca="false">IF(Tasks[[#This Row],[_IsSummary]],COUNTIF(Tasks[WBS],Tasks[[#This Row],[WBS]]&amp;".*"),0)</f>
        <v>0</v>
      </c>
      <c r="BC23" s="47" t="n">
        <f aca="false">IF(AND(Tasks[[#This Row],[Task Name]]&lt;&gt;"",NOT(Tasks[[#This Row],[_IsSummary]])),1,0)</f>
        <v>1</v>
      </c>
      <c r="BD23" s="47" t="n">
        <f aca="false">IF(N(Tasks[[#This Row],[Pred1 UID]])=0,0,IFERROR(MATCH(Tasks[[#This Row],[Pred1 UID]],Tasks[UID],0),-1))</f>
        <v>17</v>
      </c>
      <c r="BE23" s="47" t="n">
        <f aca="false">IF(N(Tasks[[#This Row],[Pred2 UID]])=0,0,IFERROR(MATCH(Tasks[[#This Row],[Pred2 UID]],Tasks[UID],0),-1))</f>
        <v>0</v>
      </c>
      <c r="BF23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46322</v>
      </c>
      <c r="BG23" s="49" t="n">
        <f aca="false">IF(NOT(Tasks[[#This Row],[_IsLeaf]]=1),"",IF(N(Tasks[[#This Row],[Duration]])&lt;=0,Tasks[[#This Row],[_LeafCalcStart]],WORKDAY.INTL(Tasks[[#This Row],[_LeafCalcStart]],Tasks[[#This Row],[Duration]]-1,WorkWeek,Holidays)))</f>
        <v>46324</v>
      </c>
      <c r="BH23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46330</v>
      </c>
      <c r="BI23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46332</v>
      </c>
      <c r="BJ23" s="47" t="n">
        <f aca="false">IF(NOT(Tasks[[#This Row],[_IsLeaf]]=1),0,IF(N(Tasks[[#This Row],[Actual Finish]])&gt;0,1,MIN(1,N(Tasks[[#This Row],[% Complete]]))))</f>
        <v>0</v>
      </c>
      <c r="BK23" s="47" t="n">
        <f aca="false">IF(OR(NOT(Tasks[[#This Row],[_IsLeaf]]=1),Tasks[[#This Row],[Resource]]=""),0,N(Tasks[[#This Row],[Duration]])*HoursPerDay*IF(Tasks[[#This Row],[Units]]="",DefaultUnits,Tasks[[#This Row],[Units]]))</f>
        <v>12</v>
      </c>
      <c r="BL23" s="47" t="n">
        <f aca="false">IF(Tasks[[#This Row],[_LeafWork]]=0,0,Tasks[[#This Row],[_LeafWork]]*IFERROR(INDEX(res_Rate,MATCH(Tasks[[#This Row],[Resource]],res_Name,0)),0))</f>
        <v>900</v>
      </c>
      <c r="BM23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46322</v>
      </c>
      <c r="BN23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46324</v>
      </c>
      <c r="BO2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46322</v>
      </c>
      <c r="BR2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46330</v>
      </c>
      <c r="BT2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3" s="47" t="n">
        <f aca="false">IF(AND(Tasks[[#This Row],[_IsLeaf]]=1,Tasks[[#This Row],[_LeafWork]]&gt;0),NETWORKDAYS.INTL(ProjectStart,Tasks[[#This Row],[_LeafFcstStart]],WorkWeek,Holidays),0)</f>
        <v>43</v>
      </c>
      <c r="BV23" s="47" t="n">
        <f aca="false">IF(AND(Tasks[[#This Row],[_IsLeaf]]=1,Tasks[[#This Row],[_LeafWork]]&gt;0),MAX(Tasks[[#This Row],[_StartWorkday]],NETWORKDAYS.INTL(ProjectStart,Tasks[[#This Row],[_LeafFcstFinish]],WorkWeek,Holidays)),0)</f>
        <v>45</v>
      </c>
      <c r="BW23" s="47" t="n">
        <f aca="false">IF(AND(Tasks[[#This Row],[_IsLeaf]]=1,Tasks[[#This Row],[_LeafWork]]&gt;0),Tasks[[#This Row],[_LeafWork]]/(Tasks[[#This Row],[_FinishWorkday]]-Tasks[[#This Row],[_StartWorkday]]+1),0)</f>
        <v>4</v>
      </c>
      <c r="BX23" s="47" t="n">
        <f aca="false">Tasks[[#This Row],[_WorkPerWorkday]]*(Tasks[[#This Row],[_StartWorkday]]-1)</f>
        <v>168</v>
      </c>
      <c r="BY23" s="47" t="n">
        <f aca="false">IF(Tasks[[#This Row],[_IsLeaf]]=1,MAX(N(Tasks[[#This Row],[Duration]]),0.1),0)</f>
        <v>3</v>
      </c>
      <c r="BZ23" s="47" t="n">
        <f aca="false">Tasks[[#This Row],[_WeightDur]]*Tasks[[#This Row],[_LeafProgress]]</f>
        <v>0</v>
      </c>
      <c r="CA2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17FF+1d</v>
      </c>
      <c r="CB2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17FF+1d</v>
      </c>
      <c r="CD2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17FF+1d</v>
      </c>
      <c r="CF2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4" customFormat="false" ht="15" hidden="false" customHeight="false" outlineLevel="0" collapsed="false">
      <c r="A24" s="38" t="n">
        <f aca="false">IF(Tasks[[#This Row],[Task Name]]="","",COUNTA(Tasks[[#Headers],[Task Name]]:Tasks[[#This Row],[Task Name]])-1)</f>
        <v>19</v>
      </c>
      <c r="B24" s="39" t="n">
        <v>19</v>
      </c>
      <c r="C2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3.3</v>
      </c>
      <c r="D24" s="39" t="n">
        <v>2</v>
      </c>
      <c r="E24" s="41" t="s">
        <v>293</v>
      </c>
      <c r="F24" s="39" t="s">
        <v>259</v>
      </c>
      <c r="G24" s="39" t="n">
        <v>0</v>
      </c>
      <c r="H24" s="39" t="n">
        <v>14</v>
      </c>
      <c r="I24" s="39" t="s">
        <v>264</v>
      </c>
      <c r="J24" s="39"/>
      <c r="K24" s="39" t="n">
        <v>18</v>
      </c>
      <c r="L24" s="39" t="s">
        <v>264</v>
      </c>
      <c r="M24" s="39"/>
      <c r="N24" s="29"/>
      <c r="O24" s="29" t="n">
        <v>46332</v>
      </c>
      <c r="P24" s="24" t="n">
        <f aca="false">IF(Tasks[[#This Row],[Task Name]]="","",IF(N(Tasks[[#This Row],[Baseline Start]])&gt;0,Tasks[[#This Row],[Baseline Start]],Tasks[[#This Row],[_CalcStart]]))</f>
        <v>46325</v>
      </c>
      <c r="Q24" s="24" t="n">
        <f aca="false">IF(Tasks[[#This Row],[Task Name]]="","",IF(N(Tasks[[#This Row],[Baseline Finish]])&gt;0,Tasks[[#This Row],[Baseline Finish]],Tasks[[#This Row],[_CalcFinish]]))</f>
        <v>46325</v>
      </c>
      <c r="R24" s="29"/>
      <c r="S24" s="29"/>
      <c r="T24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46335</v>
      </c>
      <c r="U24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24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4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>Late by 1d</v>
      </c>
      <c r="Y2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4" s="31"/>
      <c r="AA24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2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4" s="41"/>
      <c r="AD24" s="31"/>
      <c r="AE24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F24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G2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H24" s="23" t="str">
        <f aca="false">IF(Tasks[[#This Row],[Task Name]]="","",Tasks[[#This Row],[_Pred1IDText]]&amp;IF(AND(Tasks[[#This Row],[_Pred1IDText]]&lt;&gt;"",Tasks[[#This Row],[_Pred2IDText]]&lt;&gt;""),",","")&amp;Tasks[[#This Row],[_Pred2IDText]])</f>
        <v>14,18</v>
      </c>
      <c r="AI24" s="41" t="s">
        <v>294</v>
      </c>
      <c r="AJ24" s="24" t="n">
        <f aca="false">IF(Tasks[[#This Row],[Task Name]]="","",Tasks[[#This Row],[Forecast Start]])</f>
        <v>46335</v>
      </c>
      <c r="AK24" s="24" t="n">
        <f aca="false">IF(Tasks[[#This Row],[Task Name]]="","",Tasks[[#This Row],[Forecast Finish]])</f>
        <v>46335</v>
      </c>
      <c r="AL24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M24" s="43" t="n">
        <f aca="false">IF(Tasks[[#This Row],[Task Name]]="","",Tasks[[#This Row],[Work]])</f>
        <v>0</v>
      </c>
      <c r="AN24" s="44" t="n">
        <f aca="false">IF(Tasks[[#This Row],[Task Name]]="","",Tasks[[#This Row],[Cost]])</f>
        <v>0</v>
      </c>
      <c r="AO24" s="29"/>
      <c r="AP24" s="29"/>
      <c r="AQ24" s="39"/>
      <c r="AR24" s="45"/>
      <c r="AS24" s="46"/>
      <c r="AT24" s="40" t="str">
        <f aca="false">IF(OR(Tasks[[#This Row],[Task Name]]="",Tasks[[#This Row],[Baseline Duration]]=""),"",Tasks[[#This Row],[BL Source Duration]]-N(Tasks[[#This Row],[Baseline Duration]]))</f>
        <v/>
      </c>
      <c r="AU24" s="43" t="str">
        <f aca="false">IF(OR(Tasks[[#This Row],[Task Name]]="",Tasks[[#This Row],[Baseline Work]]=""),"",Tasks[[#This Row],[Work]]-N(Tasks[[#This Row],[Baseline Work]]))</f>
        <v/>
      </c>
      <c r="AV24" s="44" t="str">
        <f aca="false">IF(OR(Tasks[[#This Row],[Task Name]]="",Tasks[[#This Row],[Baseline Cost]]=""),"",Tasks[[#This Row],[Cost]]-N(Tasks[[#This Row],[Baseline Cost]]))</f>
        <v/>
      </c>
      <c r="AW24" s="47" t="n">
        <f aca="false">IF(Tasks[[#This Row],[Task Name]]="","",MAX(1,N(Tasks[[#This Row],[Level]])))</f>
        <v>2</v>
      </c>
      <c r="AX24" s="47" t="n">
        <f aca="false">ROW()-ROW(Tasks[[#Headers],[ID]])</f>
        <v>19</v>
      </c>
      <c r="AY2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AZ24" s="47" t="n">
        <f aca="false">IFERROR(N(INDEX(Tasks[_Level],Tasks[[#This Row],[_Row]]+1)),0)</f>
        <v>1</v>
      </c>
      <c r="BA24" s="48" t="b">
        <f aca="false">AND(Tasks[[#This Row],[Task Name]]&lt;&gt;"",Tasks[[#This Row],[_NextLevel]]&gt;Tasks[[#This Row],[_Level]])</f>
        <v>0</v>
      </c>
      <c r="BB24" s="47" t="n">
        <f aca="false">IF(Tasks[[#This Row],[_IsSummary]],COUNTIF(Tasks[WBS],Tasks[[#This Row],[WBS]]&amp;".*"),0)</f>
        <v>0</v>
      </c>
      <c r="BC24" s="47" t="n">
        <f aca="false">IF(AND(Tasks[[#This Row],[Task Name]]&lt;&gt;"",NOT(Tasks[[#This Row],[_IsSummary]])),1,0)</f>
        <v>1</v>
      </c>
      <c r="BD24" s="47" t="n">
        <f aca="false">IF(N(Tasks[[#This Row],[Pred1 UID]])=0,0,IFERROR(MATCH(Tasks[[#This Row],[Pred1 UID]],Tasks[UID],0),-1))</f>
        <v>14</v>
      </c>
      <c r="BE24" s="47" t="n">
        <f aca="false">IF(N(Tasks[[#This Row],[Pred2 UID]])=0,0,IFERROR(MATCH(Tasks[[#This Row],[Pred2 UID]],Tasks[UID],0),-1))</f>
        <v>18</v>
      </c>
      <c r="BF24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46325</v>
      </c>
      <c r="BG24" s="49" t="n">
        <f aca="false">IF(NOT(Tasks[[#This Row],[_IsLeaf]]=1),"",IF(N(Tasks[[#This Row],[Duration]])&lt;=0,Tasks[[#This Row],[_LeafCalcStart]],WORKDAY.INTL(Tasks[[#This Row],[_LeafCalcStart]],Tasks[[#This Row],[Duration]]-1,WorkWeek,Holidays)))</f>
        <v>46325</v>
      </c>
      <c r="BH24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46335</v>
      </c>
      <c r="BI24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46335</v>
      </c>
      <c r="BJ24" s="47" t="n">
        <f aca="false">IF(NOT(Tasks[[#This Row],[_IsLeaf]]=1),0,IF(N(Tasks[[#This Row],[Actual Finish]])&gt;0,1,MIN(1,N(Tasks[[#This Row],[% Complete]]))))</f>
        <v>0</v>
      </c>
      <c r="BK2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4" s="47" t="n">
        <f aca="false">IF(Tasks[[#This Row],[_LeafWork]]=0,0,Tasks[[#This Row],[_LeafWork]]*IFERROR(INDEX(res_Rate,MATCH(Tasks[[#This Row],[Resource]],res_Name,0)),0))</f>
        <v>0</v>
      </c>
      <c r="BM24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46325</v>
      </c>
      <c r="BN24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BO2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46325</v>
      </c>
      <c r="BR2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46324</v>
      </c>
      <c r="BS2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46335</v>
      </c>
      <c r="BT2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46332</v>
      </c>
      <c r="BU24" s="47" t="n">
        <f aca="false">IF(AND(Tasks[[#This Row],[_IsLeaf]]=1,Tasks[[#This Row],[_LeafWork]]&gt;0),NETWORKDAYS.INTL(ProjectStart,Tasks[[#This Row],[_LeafFcstStart]],WorkWeek,Holidays),0)</f>
        <v>0</v>
      </c>
      <c r="BV2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4" s="47" t="n">
        <f aca="false">IF(AND(Tasks[[#This Row],[_IsLeaf]]=1,Tasks[[#This Row],[_LeafWork]]&gt;0),Tasks[[#This Row],[_LeafWork]]/(Tasks[[#This Row],[_FinishWorkday]]-Tasks[[#This Row],[_StartWorkday]]+1),0)</f>
        <v>0</v>
      </c>
      <c r="BX24" s="47" t="n">
        <f aca="false">Tasks[[#This Row],[_WorkPerWorkday]]*(Tasks[[#This Row],[_StartWorkday]]-1)</f>
        <v>-0</v>
      </c>
      <c r="BY24" s="47" t="n">
        <f aca="false">IF(Tasks[[#This Row],[_IsLeaf]]=1,MAX(N(Tasks[[#This Row],[Duration]]),0.1),0)</f>
        <v>0.1</v>
      </c>
      <c r="BZ24" s="47" t="n">
        <f aca="false">Tasks[[#This Row],[_WeightDur]]*Tasks[[#This Row],[_LeafProgress]]</f>
        <v>0</v>
      </c>
      <c r="CA2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14</v>
      </c>
      <c r="CB2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18</v>
      </c>
      <c r="CC2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14</v>
      </c>
      <c r="CD2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18</v>
      </c>
      <c r="CE2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14,18</v>
      </c>
      <c r="CF24" s="50" t="n">
        <f aca="false">IF(AND(Tasks[[#This Row],[_IsLeaf]]=1,N(Tasks[[#This Row],[Duration]])=0,Tasks[[#This Row],[_LeafProgress]]&lt;1),Tasks[[#This Row],[_LeafFcstFinish]]+Tasks[[#This Row],[_Row]]/100000,"")</f>
        <v>46335.00019</v>
      </c>
    </row>
    <row r="25" customFormat="false" ht="15" hidden="false" customHeight="false" outlineLevel="0" collapsed="false">
      <c r="A25" s="38" t="n">
        <f aca="false">IF(Tasks[[#This Row],[Task Name]]="","",COUNTA(Tasks[[#Headers],[Task Name]]:Tasks[[#This Row],[Task Name]])-1)</f>
        <v>20</v>
      </c>
      <c r="B25" s="39" t="n">
        <v>20</v>
      </c>
      <c r="C2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</v>
      </c>
      <c r="D25" s="39" t="n">
        <v>1</v>
      </c>
      <c r="E25" s="41" t="s">
        <v>295</v>
      </c>
      <c r="F25" s="39" t="s">
        <v>259</v>
      </c>
      <c r="G25" s="39"/>
      <c r="H25" s="39"/>
      <c r="I25" s="39"/>
      <c r="J25" s="39"/>
      <c r="K25" s="39"/>
      <c r="L25" s="39"/>
      <c r="M25" s="39"/>
      <c r="N25" s="29"/>
      <c r="O25" s="29"/>
      <c r="P25" s="24" t="n">
        <f aca="false">IF(Tasks[[#This Row],[Task Name]]="","",IF(N(Tasks[[#This Row],[Baseline Start]])&gt;0,Tasks[[#This Row],[Baseline Start]],Tasks[[#This Row],[_CalcStart]]))</f>
        <v>46328</v>
      </c>
      <c r="Q25" s="24" t="n">
        <f aca="false">IF(Tasks[[#This Row],[Task Name]]="","",IF(N(Tasks[[#This Row],[Baseline Finish]])&gt;0,Tasks[[#This Row],[Baseline Finish]],Tasks[[#This Row],[_CalcFinish]]))</f>
        <v>46391</v>
      </c>
      <c r="R25" s="29"/>
      <c r="S25" s="29"/>
      <c r="T25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46336</v>
      </c>
      <c r="U25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46391</v>
      </c>
      <c r="V25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5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5" s="31"/>
      <c r="AA25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2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5" s="41"/>
      <c r="AD25" s="31"/>
      <c r="AE25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180</v>
      </c>
      <c r="AF25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13180</v>
      </c>
      <c r="AG2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5" s="41"/>
      <c r="AJ25" s="24" t="n">
        <f aca="false">IF(Tasks[[#This Row],[Task Name]]="","",Tasks[[#This Row],[Forecast Start]])</f>
        <v>46336</v>
      </c>
      <c r="AK25" s="24" t="n">
        <f aca="false">IF(Tasks[[#This Row],[Task Name]]="","",Tasks[[#This Row],[Forecast Finish]])</f>
        <v>46391</v>
      </c>
      <c r="AL25" s="38" t="n">
        <f aca="false">IF(Tasks[[#This Row],[Task Name]]="","",IF(Tasks[[#This Row],[_IsSummary]],NETWORKDAYS.INTL(Tasks[[#This Row],[Forecast Start]],Tasks[[#This Row],[Forecast Finish]],WorkWeek,Holidays),N(Tasks[[#This Row],[Duration]])))</f>
        <v>36</v>
      </c>
      <c r="AM25" s="43" t="n">
        <f aca="false">IF(Tasks[[#This Row],[Task Name]]="","",Tasks[[#This Row],[Work]])</f>
        <v>180</v>
      </c>
      <c r="AN25" s="44" t="n">
        <f aca="false">IF(Tasks[[#This Row],[Task Name]]="","",Tasks[[#This Row],[Cost]])</f>
        <v>13180</v>
      </c>
      <c r="AO25" s="29"/>
      <c r="AP25" s="29"/>
      <c r="AQ25" s="39"/>
      <c r="AR25" s="45"/>
      <c r="AS25" s="46"/>
      <c r="AT25" s="40" t="str">
        <f aca="false">IF(OR(Tasks[[#This Row],[Task Name]]="",Tasks[[#This Row],[Baseline Duration]]=""),"",Tasks[[#This Row],[BL Source Duration]]-N(Tasks[[#This Row],[Baseline Duration]]))</f>
        <v/>
      </c>
      <c r="AU25" s="43" t="str">
        <f aca="false">IF(OR(Tasks[[#This Row],[Task Name]]="",Tasks[[#This Row],[Baseline Work]]=""),"",Tasks[[#This Row],[Work]]-N(Tasks[[#This Row],[Baseline Work]]))</f>
        <v/>
      </c>
      <c r="AV25" s="44" t="str">
        <f aca="false">IF(OR(Tasks[[#This Row],[Task Name]]="",Tasks[[#This Row],[Baseline Cost]]=""),"",Tasks[[#This Row],[Cost]]-N(Tasks[[#This Row],[Baseline Cost]]))</f>
        <v/>
      </c>
      <c r="AW25" s="47" t="n">
        <f aca="false">IF(Tasks[[#This Row],[Task Name]]="","",MAX(1,N(Tasks[[#This Row],[Level]])))</f>
        <v>1</v>
      </c>
      <c r="AX25" s="47" t="n">
        <f aca="false">ROW()-ROW(Tasks[[#Headers],[ID]])</f>
        <v>20</v>
      </c>
      <c r="AY2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5" s="47" t="n">
        <f aca="false">IFERROR(N(INDEX(Tasks[_Level],Tasks[[#This Row],[_Row]]+1)),0)</f>
        <v>2</v>
      </c>
      <c r="BA25" s="48" t="b">
        <f aca="false">AND(Tasks[[#This Row],[Task Name]]&lt;&gt;"",Tasks[[#This Row],[_NextLevel]]&gt;Tasks[[#This Row],[_Level]])</f>
        <v>1</v>
      </c>
      <c r="BB25" s="47" t="n">
        <f aca="false">IF(Tasks[[#This Row],[_IsSummary]],COUNTIF(Tasks[WBS],Tasks[[#This Row],[WBS]]&amp;".*"),0)</f>
        <v>6</v>
      </c>
      <c r="BC25" s="47" t="n">
        <f aca="false">IF(AND(Tasks[[#This Row],[Task Name]]&lt;&gt;"",NOT(Tasks[[#This Row],[_IsSummary]])),1,0)</f>
        <v>0</v>
      </c>
      <c r="BD25" s="47" t="n">
        <f aca="false">IF(N(Tasks[[#This Row],[Pred1 UID]])=0,0,IFERROR(MATCH(Tasks[[#This Row],[Pred1 UID]],Tasks[UID],0),-1))</f>
        <v>0</v>
      </c>
      <c r="BE25" s="47" t="n">
        <f aca="false">IF(N(Tasks[[#This Row],[Pred2 UID]])=0,0,IFERROR(MATCH(Tasks[[#This Row],[Pred2 UID]],Tasks[UID],0),-1))</f>
        <v>0</v>
      </c>
      <c r="BF2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5" s="47" t="n">
        <f aca="false">IF(NOT(Tasks[[#This Row],[_IsLeaf]]=1),0,IF(N(Tasks[[#This Row],[Actual Finish]])&gt;0,1,MIN(1,N(Tasks[[#This Row],[% Complete]]))))</f>
        <v>0</v>
      </c>
      <c r="BK2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5" s="47" t="n">
        <f aca="false">IF(Tasks[[#This Row],[_LeafWork]]=0,0,Tasks[[#This Row],[_LeafWork]]*IFERROR(INDEX(res_Rate,MATCH(Tasks[[#This Row],[Resource]],res_Name,0)),0))</f>
        <v>0</v>
      </c>
      <c r="BM25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46328</v>
      </c>
      <c r="BN25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46391</v>
      </c>
      <c r="BO2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5" s="47" t="n">
        <f aca="false">IF(AND(Tasks[[#This Row],[_IsLeaf]]=1,Tasks[[#This Row],[_LeafWork]]&gt;0),NETWORKDAYS.INTL(ProjectStart,Tasks[[#This Row],[_LeafFcstStart]],WorkWeek,Holidays),0)</f>
        <v>0</v>
      </c>
      <c r="BV2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5" s="47" t="n">
        <f aca="false">IF(AND(Tasks[[#This Row],[_IsLeaf]]=1,Tasks[[#This Row],[_LeafWork]]&gt;0),Tasks[[#This Row],[_LeafWork]]/(Tasks[[#This Row],[_FinishWorkday]]-Tasks[[#This Row],[_StartWorkday]]+1),0)</f>
        <v>0</v>
      </c>
      <c r="BX25" s="47" t="n">
        <f aca="false">Tasks[[#This Row],[_WorkPerWorkday]]*(Tasks[[#This Row],[_StartWorkday]]-1)</f>
        <v>-0</v>
      </c>
      <c r="BY25" s="47" t="n">
        <f aca="false">IF(Tasks[[#This Row],[_IsLeaf]]=1,MAX(N(Tasks[[#This Row],[Duration]]),0.1),0)</f>
        <v>0</v>
      </c>
      <c r="BZ25" s="47" t="n">
        <f aca="false">Tasks[[#This Row],[_WeightDur]]*Tasks[[#This Row],[_LeafProgress]]</f>
        <v>0</v>
      </c>
      <c r="CA2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6" customFormat="false" ht="15" hidden="false" customHeight="false" outlineLevel="0" collapsed="false">
      <c r="A26" s="38" t="n">
        <f aca="false">IF(Tasks[[#This Row],[Task Name]]="","",COUNTA(Tasks[[#Headers],[Task Name]]:Tasks[[#This Row],[Task Name]])-1)</f>
        <v>21</v>
      </c>
      <c r="B26" s="39" t="n">
        <v>21</v>
      </c>
      <c r="C2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4.1</v>
      </c>
      <c r="D26" s="39" t="n">
        <v>2</v>
      </c>
      <c r="E26" s="41" t="s">
        <v>296</v>
      </c>
      <c r="F26" s="39" t="s">
        <v>259</v>
      </c>
      <c r="G26" s="39" t="n">
        <v>8</v>
      </c>
      <c r="H26" s="39" t="n">
        <v>19</v>
      </c>
      <c r="I26" s="39" t="s">
        <v>264</v>
      </c>
      <c r="J26" s="39"/>
      <c r="K26" s="39"/>
      <c r="L26" s="39"/>
      <c r="M26" s="39"/>
      <c r="N26" s="29"/>
      <c r="O26" s="29"/>
      <c r="P26" s="24" t="n">
        <f aca="false">IF(Tasks[[#This Row],[Task Name]]="","",IF(N(Tasks[[#This Row],[Baseline Start]])&gt;0,Tasks[[#This Row],[Baseline Start]],Tasks[[#This Row],[_CalcStart]]))</f>
        <v>46328</v>
      </c>
      <c r="Q26" s="24" t="n">
        <f aca="false">IF(Tasks[[#This Row],[Task Name]]="","",IF(N(Tasks[[#This Row],[Baseline Finish]])&gt;0,Tasks[[#This Row],[Baseline Finish]],Tasks[[#This Row],[_CalcFinish]]))</f>
        <v>46337</v>
      </c>
      <c r="R26" s="29"/>
      <c r="S26" s="29"/>
      <c r="T26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46336</v>
      </c>
      <c r="U26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46345</v>
      </c>
      <c r="V26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6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6" s="31"/>
      <c r="AA26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2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6" s="41" t="s">
        <v>297</v>
      </c>
      <c r="AD26" s="31"/>
      <c r="AE26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64</v>
      </c>
      <c r="AF26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4160</v>
      </c>
      <c r="AG2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H26" s="23" t="str">
        <f aca="false">IF(Tasks[[#This Row],[Task Name]]="","",Tasks[[#This Row],[_Pred1IDText]]&amp;IF(AND(Tasks[[#This Row],[_Pred1IDText]]&lt;&gt;"",Tasks[[#This Row],[_Pred2IDText]]&lt;&gt;""),",","")&amp;Tasks[[#This Row],[_Pred2IDText]])</f>
        <v>19</v>
      </c>
      <c r="AI26" s="41"/>
      <c r="AJ26" s="24" t="n">
        <f aca="false">IF(Tasks[[#This Row],[Task Name]]="","",Tasks[[#This Row],[Forecast Start]])</f>
        <v>46336</v>
      </c>
      <c r="AK26" s="24" t="n">
        <f aca="false">IF(Tasks[[#This Row],[Task Name]]="","",Tasks[[#This Row],[Forecast Finish]])</f>
        <v>46345</v>
      </c>
      <c r="AL26" s="38" t="n">
        <f aca="false">IF(Tasks[[#This Row],[Task Name]]="","",IF(Tasks[[#This Row],[_IsSummary]],NETWORKDAYS.INTL(Tasks[[#This Row],[Forecast Start]],Tasks[[#This Row],[Forecast Finish]],WorkWeek,Holidays),N(Tasks[[#This Row],[Duration]])))</f>
        <v>8</v>
      </c>
      <c r="AM26" s="43" t="n">
        <f aca="false">IF(Tasks[[#This Row],[Task Name]]="","",Tasks[[#This Row],[Work]])</f>
        <v>64</v>
      </c>
      <c r="AN26" s="44" t="n">
        <f aca="false">IF(Tasks[[#This Row],[Task Name]]="","",Tasks[[#This Row],[Cost]])</f>
        <v>4160</v>
      </c>
      <c r="AO26" s="29"/>
      <c r="AP26" s="29"/>
      <c r="AQ26" s="39"/>
      <c r="AR26" s="45"/>
      <c r="AS26" s="46"/>
      <c r="AT26" s="40" t="str">
        <f aca="false">IF(OR(Tasks[[#This Row],[Task Name]]="",Tasks[[#This Row],[Baseline Duration]]=""),"",Tasks[[#This Row],[BL Source Duration]]-N(Tasks[[#This Row],[Baseline Duration]]))</f>
        <v/>
      </c>
      <c r="AU26" s="43" t="str">
        <f aca="false">IF(OR(Tasks[[#This Row],[Task Name]]="",Tasks[[#This Row],[Baseline Work]]=""),"",Tasks[[#This Row],[Work]]-N(Tasks[[#This Row],[Baseline Work]]))</f>
        <v/>
      </c>
      <c r="AV26" s="44" t="str">
        <f aca="false">IF(OR(Tasks[[#This Row],[Task Name]]="",Tasks[[#This Row],[Baseline Cost]]=""),"",Tasks[[#This Row],[Cost]]-N(Tasks[[#This Row],[Baseline Cost]]))</f>
        <v/>
      </c>
      <c r="AW26" s="47" t="n">
        <f aca="false">IF(Tasks[[#This Row],[Task Name]]="","",MAX(1,N(Tasks[[#This Row],[Level]])))</f>
        <v>2</v>
      </c>
      <c r="AX26" s="47" t="n">
        <f aca="false">ROW()-ROW(Tasks[[#Headers],[ID]])</f>
        <v>21</v>
      </c>
      <c r="AY2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26" s="47" t="n">
        <f aca="false">IFERROR(N(INDEX(Tasks[_Level],Tasks[[#This Row],[_Row]]+1)),0)</f>
        <v>2</v>
      </c>
      <c r="BA26" s="48" t="b">
        <f aca="false">AND(Tasks[[#This Row],[Task Name]]&lt;&gt;"",Tasks[[#This Row],[_NextLevel]]&gt;Tasks[[#This Row],[_Level]])</f>
        <v>0</v>
      </c>
      <c r="BB26" s="47" t="n">
        <f aca="false">IF(Tasks[[#This Row],[_IsSummary]],COUNTIF(Tasks[WBS],Tasks[[#This Row],[WBS]]&amp;".*"),0)</f>
        <v>0</v>
      </c>
      <c r="BC26" s="47" t="n">
        <f aca="false">IF(AND(Tasks[[#This Row],[Task Name]]&lt;&gt;"",NOT(Tasks[[#This Row],[_IsSummary]])),1,0)</f>
        <v>1</v>
      </c>
      <c r="BD26" s="47" t="n">
        <f aca="false">IF(N(Tasks[[#This Row],[Pred1 UID]])=0,0,IFERROR(MATCH(Tasks[[#This Row],[Pred1 UID]],Tasks[UID],0),-1))</f>
        <v>19</v>
      </c>
      <c r="BE26" s="47" t="n">
        <f aca="false">IF(N(Tasks[[#This Row],[Pred2 UID]])=0,0,IFERROR(MATCH(Tasks[[#This Row],[Pred2 UID]],Tasks[UID],0),-1))</f>
        <v>0</v>
      </c>
      <c r="BF26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46328</v>
      </c>
      <c r="BG26" s="49" t="n">
        <f aca="false">IF(NOT(Tasks[[#This Row],[_IsLeaf]]=1),"",IF(N(Tasks[[#This Row],[Duration]])&lt;=0,Tasks[[#This Row],[_LeafCalcStart]],WORKDAY.INTL(Tasks[[#This Row],[_LeafCalcStart]],Tasks[[#This Row],[Duration]]-1,WorkWeek,Holidays)))</f>
        <v>46337</v>
      </c>
      <c r="BH26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46336</v>
      </c>
      <c r="BI26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46345</v>
      </c>
      <c r="BJ26" s="47" t="n">
        <f aca="false">IF(NOT(Tasks[[#This Row],[_IsLeaf]]=1),0,IF(N(Tasks[[#This Row],[Actual Finish]])&gt;0,1,MIN(1,N(Tasks[[#This Row],[% Complete]]))))</f>
        <v>0</v>
      </c>
      <c r="BK26" s="47" t="n">
        <f aca="false">IF(OR(NOT(Tasks[[#This Row],[_IsLeaf]]=1),Tasks[[#This Row],[Resource]]=""),0,N(Tasks[[#This Row],[Duration]])*HoursPerDay*IF(Tasks[[#This Row],[Units]]="",DefaultUnits,Tasks[[#This Row],[Units]]))</f>
        <v>64</v>
      </c>
      <c r="BL26" s="47" t="n">
        <f aca="false">IF(Tasks[[#This Row],[_LeafWork]]=0,0,Tasks[[#This Row],[_LeafWork]]*IFERROR(INDEX(res_Rate,MATCH(Tasks[[#This Row],[Resource]],res_Name,0)),0))</f>
        <v>4160</v>
      </c>
      <c r="BM26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46328</v>
      </c>
      <c r="BN26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46337</v>
      </c>
      <c r="BO2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46328</v>
      </c>
      <c r="BR2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46336</v>
      </c>
      <c r="BT2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6" s="47" t="n">
        <f aca="false">IF(AND(Tasks[[#This Row],[_IsLeaf]]=1,Tasks[[#This Row],[_LeafWork]]&gt;0),NETWORKDAYS.INTL(ProjectStart,Tasks[[#This Row],[_LeafFcstStart]],WorkWeek,Holidays),0)</f>
        <v>47</v>
      </c>
      <c r="BV26" s="47" t="n">
        <f aca="false">IF(AND(Tasks[[#This Row],[_IsLeaf]]=1,Tasks[[#This Row],[_LeafWork]]&gt;0),MAX(Tasks[[#This Row],[_StartWorkday]],NETWORKDAYS.INTL(ProjectStart,Tasks[[#This Row],[_LeafFcstFinish]],WorkWeek,Holidays)),0)</f>
        <v>54</v>
      </c>
      <c r="BW26" s="47" t="n">
        <f aca="false">IF(AND(Tasks[[#This Row],[_IsLeaf]]=1,Tasks[[#This Row],[_LeafWork]]&gt;0),Tasks[[#This Row],[_LeafWork]]/(Tasks[[#This Row],[_FinishWorkday]]-Tasks[[#This Row],[_StartWorkday]]+1),0)</f>
        <v>8</v>
      </c>
      <c r="BX26" s="47" t="n">
        <f aca="false">Tasks[[#This Row],[_WorkPerWorkday]]*(Tasks[[#This Row],[_StartWorkday]]-1)</f>
        <v>368</v>
      </c>
      <c r="BY26" s="47" t="n">
        <f aca="false">IF(Tasks[[#This Row],[_IsLeaf]]=1,MAX(N(Tasks[[#This Row],[Duration]]),0.1),0)</f>
        <v>8</v>
      </c>
      <c r="BZ26" s="47" t="n">
        <f aca="false">Tasks[[#This Row],[_WeightDur]]*Tasks[[#This Row],[_LeafProgress]]</f>
        <v>0</v>
      </c>
      <c r="CA2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19</v>
      </c>
      <c r="CB2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19</v>
      </c>
      <c r="CD2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19</v>
      </c>
      <c r="CF2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7" customFormat="false" ht="15" hidden="false" customHeight="false" outlineLevel="0" collapsed="false">
      <c r="A27" s="38" t="n">
        <f aca="false">IF(Tasks[[#This Row],[Task Name]]="","",COUNTA(Tasks[[#Headers],[Task Name]]:Tasks[[#This Row],[Task Name]])-1)</f>
        <v>22</v>
      </c>
      <c r="B27" s="39" t="n">
        <v>22</v>
      </c>
      <c r="C2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4.2</v>
      </c>
      <c r="D27" s="39" t="n">
        <v>2</v>
      </c>
      <c r="E27" s="41" t="s">
        <v>298</v>
      </c>
      <c r="F27" s="39" t="s">
        <v>259</v>
      </c>
      <c r="G27" s="39" t="n">
        <v>6</v>
      </c>
      <c r="H27" s="39" t="n">
        <v>21</v>
      </c>
      <c r="I27" s="39" t="s">
        <v>264</v>
      </c>
      <c r="J27" s="39"/>
      <c r="K27" s="39"/>
      <c r="L27" s="39"/>
      <c r="M27" s="39"/>
      <c r="N27" s="29" t="n">
        <v>46363</v>
      </c>
      <c r="O27" s="29"/>
      <c r="P27" s="24" t="n">
        <f aca="false">IF(Tasks[[#This Row],[Task Name]]="","",IF(N(Tasks[[#This Row],[Baseline Start]])&gt;0,Tasks[[#This Row],[Baseline Start]],Tasks[[#This Row],[_CalcStart]]))</f>
        <v>46363</v>
      </c>
      <c r="Q27" s="24" t="n">
        <f aca="false">IF(Tasks[[#This Row],[Task Name]]="","",IF(N(Tasks[[#This Row],[Baseline Finish]])&gt;0,Tasks[[#This Row],[Baseline Finish]],Tasks[[#This Row],[_CalcFinish]]))</f>
        <v>46370</v>
      </c>
      <c r="R27" s="29"/>
      <c r="S27" s="29"/>
      <c r="T27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46363</v>
      </c>
      <c r="U27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46370</v>
      </c>
      <c r="V27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27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7" s="31"/>
      <c r="AA27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2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7" s="41" t="s">
        <v>265</v>
      </c>
      <c r="AD27" s="31"/>
      <c r="AE27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F27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3360</v>
      </c>
      <c r="AG2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7</v>
      </c>
      <c r="AH27" s="23" t="str">
        <f aca="false">IF(Tasks[[#This Row],[Task Name]]="","",Tasks[[#This Row],[_Pred1IDText]]&amp;IF(AND(Tasks[[#This Row],[_Pred1IDText]]&lt;&gt;"",Tasks[[#This Row],[_Pred2IDText]]&lt;&gt;""),",","")&amp;Tasks[[#This Row],[_Pred2IDText]])</f>
        <v>21</v>
      </c>
      <c r="AI27" s="41" t="s">
        <v>299</v>
      </c>
      <c r="AJ27" s="24" t="n">
        <f aca="false">IF(Tasks[[#This Row],[Task Name]]="","",Tasks[[#This Row],[Forecast Start]])</f>
        <v>46363</v>
      </c>
      <c r="AK27" s="24" t="n">
        <f aca="false">IF(Tasks[[#This Row],[Task Name]]="","",Tasks[[#This Row],[Forecast Finish]])</f>
        <v>46370</v>
      </c>
      <c r="AL27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M27" s="43" t="n">
        <f aca="false">IF(Tasks[[#This Row],[Task Name]]="","",Tasks[[#This Row],[Work]])</f>
        <v>48</v>
      </c>
      <c r="AN27" s="44" t="n">
        <f aca="false">IF(Tasks[[#This Row],[Task Name]]="","",Tasks[[#This Row],[Cost]])</f>
        <v>3360</v>
      </c>
      <c r="AO27" s="29"/>
      <c r="AP27" s="29"/>
      <c r="AQ27" s="39"/>
      <c r="AR27" s="45"/>
      <c r="AS27" s="46"/>
      <c r="AT27" s="40" t="str">
        <f aca="false">IF(OR(Tasks[[#This Row],[Task Name]]="",Tasks[[#This Row],[Baseline Duration]]=""),"",Tasks[[#This Row],[BL Source Duration]]-N(Tasks[[#This Row],[Baseline Duration]]))</f>
        <v/>
      </c>
      <c r="AU27" s="43" t="str">
        <f aca="false">IF(OR(Tasks[[#This Row],[Task Name]]="",Tasks[[#This Row],[Baseline Work]]=""),"",Tasks[[#This Row],[Work]]-N(Tasks[[#This Row],[Baseline Work]]))</f>
        <v/>
      </c>
      <c r="AV27" s="44" t="str">
        <f aca="false">IF(OR(Tasks[[#This Row],[Task Name]]="",Tasks[[#This Row],[Baseline Cost]]=""),"",Tasks[[#This Row],[Cost]]-N(Tasks[[#This Row],[Baseline Cost]]))</f>
        <v/>
      </c>
      <c r="AW27" s="47" t="n">
        <f aca="false">IF(Tasks[[#This Row],[Task Name]]="","",MAX(1,N(Tasks[[#This Row],[Level]])))</f>
        <v>2</v>
      </c>
      <c r="AX27" s="47" t="n">
        <f aca="false">ROW()-ROW(Tasks[[#Headers],[ID]])</f>
        <v>22</v>
      </c>
      <c r="AY2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27" s="47" t="n">
        <f aca="false">IFERROR(N(INDEX(Tasks[_Level],Tasks[[#This Row],[_Row]]+1)),0)</f>
        <v>2</v>
      </c>
      <c r="BA27" s="48" t="b">
        <f aca="false">AND(Tasks[[#This Row],[Task Name]]&lt;&gt;"",Tasks[[#This Row],[_NextLevel]]&gt;Tasks[[#This Row],[_Level]])</f>
        <v>0</v>
      </c>
      <c r="BB27" s="47" t="n">
        <f aca="false">IF(Tasks[[#This Row],[_IsSummary]],COUNTIF(Tasks[WBS],Tasks[[#This Row],[WBS]]&amp;".*"),0)</f>
        <v>0</v>
      </c>
      <c r="BC27" s="47" t="n">
        <f aca="false">IF(AND(Tasks[[#This Row],[Task Name]]&lt;&gt;"",NOT(Tasks[[#This Row],[_IsSummary]])),1,0)</f>
        <v>1</v>
      </c>
      <c r="BD27" s="47" t="n">
        <f aca="false">IF(N(Tasks[[#This Row],[Pred1 UID]])=0,0,IFERROR(MATCH(Tasks[[#This Row],[Pred1 UID]],Tasks[UID],0),-1))</f>
        <v>21</v>
      </c>
      <c r="BE27" s="47" t="n">
        <f aca="false">IF(N(Tasks[[#This Row],[Pred2 UID]])=0,0,IFERROR(MATCH(Tasks[[#This Row],[Pred2 UID]],Tasks[UID],0),-1))</f>
        <v>0</v>
      </c>
      <c r="BF27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46363</v>
      </c>
      <c r="BG27" s="49" t="n">
        <f aca="false">IF(NOT(Tasks[[#This Row],[_IsLeaf]]=1),"",IF(N(Tasks[[#This Row],[Duration]])&lt;=0,Tasks[[#This Row],[_LeafCalcStart]],WORKDAY.INTL(Tasks[[#This Row],[_LeafCalcStart]],Tasks[[#This Row],[Duration]]-1,WorkWeek,Holidays)))</f>
        <v>46370</v>
      </c>
      <c r="BH27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46363</v>
      </c>
      <c r="BI27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46370</v>
      </c>
      <c r="BJ27" s="47" t="n">
        <f aca="false">IF(NOT(Tasks[[#This Row],[_IsLeaf]]=1),0,IF(N(Tasks[[#This Row],[Actual Finish]])&gt;0,1,MIN(1,N(Tasks[[#This Row],[% Complete]]))))</f>
        <v>0</v>
      </c>
      <c r="BK27" s="47" t="n">
        <f aca="false">IF(OR(NOT(Tasks[[#This Row],[_IsLeaf]]=1),Tasks[[#This Row],[Resource]]=""),0,N(Tasks[[#This Row],[Duration]])*HoursPerDay*IF(Tasks[[#This Row],[Units]]="",DefaultUnits,Tasks[[#This Row],[Units]]))</f>
        <v>48</v>
      </c>
      <c r="BL27" s="47" t="n">
        <f aca="false">IF(Tasks[[#This Row],[_LeafWork]]=0,0,Tasks[[#This Row],[_LeafWork]]*IFERROR(INDEX(res_Rate,MATCH(Tasks[[#This Row],[Resource]],res_Name,0)),0))</f>
        <v>3360</v>
      </c>
      <c r="BM27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46363</v>
      </c>
      <c r="BN27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46370</v>
      </c>
      <c r="BO2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46338</v>
      </c>
      <c r="BR2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46346</v>
      </c>
      <c r="BT2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7" s="47" t="n">
        <f aca="false">IF(AND(Tasks[[#This Row],[_IsLeaf]]=1,Tasks[[#This Row],[_LeafWork]]&gt;0),NETWORKDAYS.INTL(ProjectStart,Tasks[[#This Row],[_LeafFcstStart]],WorkWeek,Holidays),0)</f>
        <v>66</v>
      </c>
      <c r="BV27" s="47" t="n">
        <f aca="false">IF(AND(Tasks[[#This Row],[_IsLeaf]]=1,Tasks[[#This Row],[_LeafWork]]&gt;0),MAX(Tasks[[#This Row],[_StartWorkday]],NETWORKDAYS.INTL(ProjectStart,Tasks[[#This Row],[_LeafFcstFinish]],WorkWeek,Holidays)),0)</f>
        <v>71</v>
      </c>
      <c r="BW27" s="47" t="n">
        <f aca="false">IF(AND(Tasks[[#This Row],[_IsLeaf]]=1,Tasks[[#This Row],[_LeafWork]]&gt;0),Tasks[[#This Row],[_LeafWork]]/(Tasks[[#This Row],[_FinishWorkday]]-Tasks[[#This Row],[_StartWorkday]]+1),0)</f>
        <v>8</v>
      </c>
      <c r="BX27" s="47" t="n">
        <f aca="false">Tasks[[#This Row],[_WorkPerWorkday]]*(Tasks[[#This Row],[_StartWorkday]]-1)</f>
        <v>520</v>
      </c>
      <c r="BY27" s="47" t="n">
        <f aca="false">IF(Tasks[[#This Row],[_IsLeaf]]=1,MAX(N(Tasks[[#This Row],[Duration]]),0.1),0)</f>
        <v>6</v>
      </c>
      <c r="BZ27" s="47" t="n">
        <f aca="false">Tasks[[#This Row],[_WeightDur]]*Tasks[[#This Row],[_LeafProgress]]</f>
        <v>0</v>
      </c>
      <c r="CA2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</v>
      </c>
      <c r="CB2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</v>
      </c>
      <c r="CD2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21</v>
      </c>
      <c r="CF2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8" customFormat="false" ht="15" hidden="false" customHeight="false" outlineLevel="0" collapsed="false">
      <c r="A28" s="38" t="n">
        <f aca="false">IF(Tasks[[#This Row],[Task Name]]="","",COUNTA(Tasks[[#Headers],[Task Name]]:Tasks[[#This Row],[Task Name]])-1)</f>
        <v>23</v>
      </c>
      <c r="B28" s="39" t="n">
        <v>23</v>
      </c>
      <c r="C2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4.3</v>
      </c>
      <c r="D28" s="39" t="n">
        <v>2</v>
      </c>
      <c r="E28" s="41" t="s">
        <v>300</v>
      </c>
      <c r="F28" s="39" t="s">
        <v>259</v>
      </c>
      <c r="G28" s="39" t="n">
        <v>5</v>
      </c>
      <c r="H28" s="39" t="n">
        <v>21</v>
      </c>
      <c r="I28" s="39" t="s">
        <v>271</v>
      </c>
      <c r="J28" s="39" t="n">
        <v>2</v>
      </c>
      <c r="K28" s="39"/>
      <c r="L28" s="39"/>
      <c r="M28" s="39"/>
      <c r="N28" s="29"/>
      <c r="O28" s="29"/>
      <c r="P28" s="24" t="n">
        <f aca="false">IF(Tasks[[#This Row],[Task Name]]="","",IF(N(Tasks[[#This Row],[Baseline Start]])&gt;0,Tasks[[#This Row],[Baseline Start]],Tasks[[#This Row],[_CalcStart]]))</f>
        <v>46330</v>
      </c>
      <c r="Q28" s="24" t="n">
        <f aca="false">IF(Tasks[[#This Row],[Task Name]]="","",IF(N(Tasks[[#This Row],[Baseline Finish]])&gt;0,Tasks[[#This Row],[Baseline Finish]],Tasks[[#This Row],[_CalcFinish]]))</f>
        <v>46336</v>
      </c>
      <c r="R28" s="29"/>
      <c r="S28" s="29"/>
      <c r="T28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46338</v>
      </c>
      <c r="U28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46344</v>
      </c>
      <c r="V28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8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8" s="31"/>
      <c r="AA28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2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8" s="41" t="s">
        <v>275</v>
      </c>
      <c r="AD28" s="31" t="n">
        <v>0.5</v>
      </c>
      <c r="AE28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20</v>
      </c>
      <c r="AF28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1500</v>
      </c>
      <c r="AG2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H28" s="23" t="str">
        <f aca="false">IF(Tasks[[#This Row],[Task Name]]="","",Tasks[[#This Row],[_Pred1IDText]]&amp;IF(AND(Tasks[[#This Row],[_Pred1IDText]]&lt;&gt;"",Tasks[[#This Row],[_Pred2IDText]]&lt;&gt;""),",","")&amp;Tasks[[#This Row],[_Pred2IDText]])</f>
        <v>21SS+2d</v>
      </c>
      <c r="AI28" s="41"/>
      <c r="AJ28" s="24" t="n">
        <f aca="false">IF(Tasks[[#This Row],[Task Name]]="","",Tasks[[#This Row],[Forecast Start]])</f>
        <v>46338</v>
      </c>
      <c r="AK28" s="24" t="n">
        <f aca="false">IF(Tasks[[#This Row],[Task Name]]="","",Tasks[[#This Row],[Forecast Finish]])</f>
        <v>46344</v>
      </c>
      <c r="AL28" s="3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M28" s="43" t="n">
        <f aca="false">IF(Tasks[[#This Row],[Task Name]]="","",Tasks[[#This Row],[Work]])</f>
        <v>20</v>
      </c>
      <c r="AN28" s="44" t="n">
        <f aca="false">IF(Tasks[[#This Row],[Task Name]]="","",Tasks[[#This Row],[Cost]])</f>
        <v>1500</v>
      </c>
      <c r="AO28" s="29"/>
      <c r="AP28" s="29"/>
      <c r="AQ28" s="39"/>
      <c r="AR28" s="45"/>
      <c r="AS28" s="46"/>
      <c r="AT28" s="40" t="str">
        <f aca="false">IF(OR(Tasks[[#This Row],[Task Name]]="",Tasks[[#This Row],[Baseline Duration]]=""),"",Tasks[[#This Row],[BL Source Duration]]-N(Tasks[[#This Row],[Baseline Duration]]))</f>
        <v/>
      </c>
      <c r="AU28" s="43" t="str">
        <f aca="false">IF(OR(Tasks[[#This Row],[Task Name]]="",Tasks[[#This Row],[Baseline Work]]=""),"",Tasks[[#This Row],[Work]]-N(Tasks[[#This Row],[Baseline Work]]))</f>
        <v/>
      </c>
      <c r="AV28" s="44" t="str">
        <f aca="false">IF(OR(Tasks[[#This Row],[Task Name]]="",Tasks[[#This Row],[Baseline Cost]]=""),"",Tasks[[#This Row],[Cost]]-N(Tasks[[#This Row],[Baseline Cost]]))</f>
        <v/>
      </c>
      <c r="AW28" s="47" t="n">
        <f aca="false">IF(Tasks[[#This Row],[Task Name]]="","",MAX(1,N(Tasks[[#This Row],[Level]])))</f>
        <v>2</v>
      </c>
      <c r="AX28" s="47" t="n">
        <f aca="false">ROW()-ROW(Tasks[[#Headers],[ID]])</f>
        <v>23</v>
      </c>
      <c r="AY2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28" s="47" t="n">
        <f aca="false">IFERROR(N(INDEX(Tasks[_Level],Tasks[[#This Row],[_Row]]+1)),0)</f>
        <v>2</v>
      </c>
      <c r="BA28" s="48" t="b">
        <f aca="false">AND(Tasks[[#This Row],[Task Name]]&lt;&gt;"",Tasks[[#This Row],[_NextLevel]]&gt;Tasks[[#This Row],[_Level]])</f>
        <v>0</v>
      </c>
      <c r="BB28" s="47" t="n">
        <f aca="false">IF(Tasks[[#This Row],[_IsSummary]],COUNTIF(Tasks[WBS],Tasks[[#This Row],[WBS]]&amp;".*"),0)</f>
        <v>0</v>
      </c>
      <c r="BC28" s="47" t="n">
        <f aca="false">IF(AND(Tasks[[#This Row],[Task Name]]&lt;&gt;"",NOT(Tasks[[#This Row],[_IsSummary]])),1,0)</f>
        <v>1</v>
      </c>
      <c r="BD28" s="47" t="n">
        <f aca="false">IF(N(Tasks[[#This Row],[Pred1 UID]])=0,0,IFERROR(MATCH(Tasks[[#This Row],[Pred1 UID]],Tasks[UID],0),-1))</f>
        <v>21</v>
      </c>
      <c r="BE28" s="47" t="n">
        <f aca="false">IF(N(Tasks[[#This Row],[Pred2 UID]])=0,0,IFERROR(MATCH(Tasks[[#This Row],[Pred2 UID]],Tasks[UID],0),-1))</f>
        <v>0</v>
      </c>
      <c r="BF28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46330</v>
      </c>
      <c r="BG28" s="49" t="n">
        <f aca="false">IF(NOT(Tasks[[#This Row],[_IsLeaf]]=1),"",IF(N(Tasks[[#This Row],[Duration]])&lt;=0,Tasks[[#This Row],[_LeafCalcStart]],WORKDAY.INTL(Tasks[[#This Row],[_LeafCalcStart]],Tasks[[#This Row],[Duration]]-1,WorkWeek,Holidays)))</f>
        <v>46336</v>
      </c>
      <c r="BH28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46338</v>
      </c>
      <c r="BI28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46344</v>
      </c>
      <c r="BJ28" s="47" t="n">
        <f aca="false">IF(NOT(Tasks[[#This Row],[_IsLeaf]]=1),0,IF(N(Tasks[[#This Row],[Actual Finish]])&gt;0,1,MIN(1,N(Tasks[[#This Row],[% Complete]]))))</f>
        <v>0</v>
      </c>
      <c r="BK28" s="47" t="n">
        <f aca="false">IF(OR(NOT(Tasks[[#This Row],[_IsLeaf]]=1),Tasks[[#This Row],[Resource]]=""),0,N(Tasks[[#This Row],[Duration]])*HoursPerDay*IF(Tasks[[#This Row],[Units]]="",DefaultUnits,Tasks[[#This Row],[Units]]))</f>
        <v>20</v>
      </c>
      <c r="BL28" s="47" t="n">
        <f aca="false">IF(Tasks[[#This Row],[_LeafWork]]=0,0,Tasks[[#This Row],[_LeafWork]]*IFERROR(INDEX(res_Rate,MATCH(Tasks[[#This Row],[Resource]],res_Name,0)),0))</f>
        <v>1500</v>
      </c>
      <c r="BM28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46330</v>
      </c>
      <c r="BN28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46336</v>
      </c>
      <c r="BO2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46330</v>
      </c>
      <c r="BR2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46338</v>
      </c>
      <c r="BT2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8" s="47" t="n">
        <f aca="false">IF(AND(Tasks[[#This Row],[_IsLeaf]]=1,Tasks[[#This Row],[_LeafWork]]&gt;0),NETWORKDAYS.INTL(ProjectStart,Tasks[[#This Row],[_LeafFcstStart]],WorkWeek,Holidays),0)</f>
        <v>49</v>
      </c>
      <c r="BV28" s="47" t="n">
        <f aca="false">IF(AND(Tasks[[#This Row],[_IsLeaf]]=1,Tasks[[#This Row],[_LeafWork]]&gt;0),MAX(Tasks[[#This Row],[_StartWorkday]],NETWORKDAYS.INTL(ProjectStart,Tasks[[#This Row],[_LeafFcstFinish]],WorkWeek,Holidays)),0)</f>
        <v>53</v>
      </c>
      <c r="BW28" s="47" t="n">
        <f aca="false">IF(AND(Tasks[[#This Row],[_IsLeaf]]=1,Tasks[[#This Row],[_LeafWork]]&gt;0),Tasks[[#This Row],[_LeafWork]]/(Tasks[[#This Row],[_FinishWorkday]]-Tasks[[#This Row],[_StartWorkday]]+1),0)</f>
        <v>4</v>
      </c>
      <c r="BX28" s="47" t="n">
        <f aca="false">Tasks[[#This Row],[_WorkPerWorkday]]*(Tasks[[#This Row],[_StartWorkday]]-1)</f>
        <v>192</v>
      </c>
      <c r="BY28" s="47" t="n">
        <f aca="false">IF(Tasks[[#This Row],[_IsLeaf]]=1,MAX(N(Tasks[[#This Row],[Duration]]),0.1),0)</f>
        <v>5</v>
      </c>
      <c r="BZ28" s="47" t="n">
        <f aca="false">Tasks[[#This Row],[_WeightDur]]*Tasks[[#This Row],[_LeafProgress]]</f>
        <v>0</v>
      </c>
      <c r="CA2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21SS+2d</v>
      </c>
      <c r="CB2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21SS+2d</v>
      </c>
      <c r="CD2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21SS+2d</v>
      </c>
      <c r="CF2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9" customFormat="false" ht="15" hidden="false" customHeight="false" outlineLevel="0" collapsed="false">
      <c r="A29" s="38" t="n">
        <f aca="false">IF(Tasks[[#This Row],[Task Name]]="","",COUNTA(Tasks[[#Headers],[Task Name]]:Tasks[[#This Row],[Task Name]])-1)</f>
        <v>24</v>
      </c>
      <c r="B29" s="39" t="n">
        <v>24</v>
      </c>
      <c r="C2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4.4</v>
      </c>
      <c r="D29" s="39" t="n">
        <v>2</v>
      </c>
      <c r="E29" s="41" t="s">
        <v>301</v>
      </c>
      <c r="F29" s="39" t="s">
        <v>259</v>
      </c>
      <c r="G29" s="39" t="n">
        <v>1</v>
      </c>
      <c r="H29" s="39" t="n">
        <v>22</v>
      </c>
      <c r="I29" s="39" t="s">
        <v>264</v>
      </c>
      <c r="J29" s="39"/>
      <c r="K29" s="39" t="n">
        <v>23</v>
      </c>
      <c r="L29" s="39" t="s">
        <v>264</v>
      </c>
      <c r="M29" s="39"/>
      <c r="N29" s="29"/>
      <c r="O29" s="29"/>
      <c r="P29" s="24" t="n">
        <f aca="false">IF(Tasks[[#This Row],[Task Name]]="","",IF(N(Tasks[[#This Row],[Baseline Start]])&gt;0,Tasks[[#This Row],[Baseline Start]],Tasks[[#This Row],[_CalcStart]]))</f>
        <v>46371</v>
      </c>
      <c r="Q29" s="24" t="n">
        <f aca="false">IF(Tasks[[#This Row],[Task Name]]="","",IF(N(Tasks[[#This Row],[Baseline Finish]])&gt;0,Tasks[[#This Row],[Baseline Finish]],Tasks[[#This Row],[_CalcFinish]]))</f>
        <v>46371</v>
      </c>
      <c r="R29" s="29"/>
      <c r="S29" s="29"/>
      <c r="T29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46371</v>
      </c>
      <c r="U29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46371</v>
      </c>
      <c r="V29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29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9" s="31"/>
      <c r="AA29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2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9" s="41" t="s">
        <v>99</v>
      </c>
      <c r="AD29" s="31"/>
      <c r="AE29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8</v>
      </c>
      <c r="AF29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760</v>
      </c>
      <c r="AG2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8</v>
      </c>
      <c r="AH29" s="23" t="str">
        <f aca="false">IF(Tasks[[#This Row],[Task Name]]="","",Tasks[[#This Row],[_Pred1IDText]]&amp;IF(AND(Tasks[[#This Row],[_Pred1IDText]]&lt;&gt;"",Tasks[[#This Row],[_Pred2IDText]]&lt;&gt;""),",","")&amp;Tasks[[#This Row],[_Pred2IDText]])</f>
        <v>22,23</v>
      </c>
      <c r="AI29" s="41"/>
      <c r="AJ29" s="24" t="n">
        <f aca="false">IF(Tasks[[#This Row],[Task Name]]="","",Tasks[[#This Row],[Forecast Start]])</f>
        <v>46371</v>
      </c>
      <c r="AK29" s="24" t="n">
        <f aca="false">IF(Tasks[[#This Row],[Task Name]]="","",Tasks[[#This Row],[Forecast Finish]])</f>
        <v>46371</v>
      </c>
      <c r="AL29" s="38" t="n">
        <f aca="false">IF(Tasks[[#This Row],[Task Name]]="","",IF(Tasks[[#This Row],[_IsSummary]],NETWORKDAYS.INTL(Tasks[[#This Row],[Forecast Start]],Tasks[[#This Row],[Forecast Finish]],WorkWeek,Holidays),N(Tasks[[#This Row],[Duration]])))</f>
        <v>1</v>
      </c>
      <c r="AM29" s="43" t="n">
        <f aca="false">IF(Tasks[[#This Row],[Task Name]]="","",Tasks[[#This Row],[Work]])</f>
        <v>8</v>
      </c>
      <c r="AN29" s="44" t="n">
        <f aca="false">IF(Tasks[[#This Row],[Task Name]]="","",Tasks[[#This Row],[Cost]])</f>
        <v>760</v>
      </c>
      <c r="AO29" s="29"/>
      <c r="AP29" s="29"/>
      <c r="AQ29" s="39"/>
      <c r="AR29" s="45"/>
      <c r="AS29" s="46"/>
      <c r="AT29" s="40" t="str">
        <f aca="false">IF(OR(Tasks[[#This Row],[Task Name]]="",Tasks[[#This Row],[Baseline Duration]]=""),"",Tasks[[#This Row],[BL Source Duration]]-N(Tasks[[#This Row],[Baseline Duration]]))</f>
        <v/>
      </c>
      <c r="AU29" s="43" t="str">
        <f aca="false">IF(OR(Tasks[[#This Row],[Task Name]]="",Tasks[[#This Row],[Baseline Work]]=""),"",Tasks[[#This Row],[Work]]-N(Tasks[[#This Row],[Baseline Work]]))</f>
        <v/>
      </c>
      <c r="AV29" s="44" t="str">
        <f aca="false">IF(OR(Tasks[[#This Row],[Task Name]]="",Tasks[[#This Row],[Baseline Cost]]=""),"",Tasks[[#This Row],[Cost]]-N(Tasks[[#This Row],[Baseline Cost]]))</f>
        <v/>
      </c>
      <c r="AW29" s="47" t="n">
        <f aca="false">IF(Tasks[[#This Row],[Task Name]]="","",MAX(1,N(Tasks[[#This Row],[Level]])))</f>
        <v>2</v>
      </c>
      <c r="AX29" s="47" t="n">
        <f aca="false">ROW()-ROW(Tasks[[#Headers],[ID]])</f>
        <v>24</v>
      </c>
      <c r="AY2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29" s="47" t="n">
        <f aca="false">IFERROR(N(INDEX(Tasks[_Level],Tasks[[#This Row],[_Row]]+1)),0)</f>
        <v>2</v>
      </c>
      <c r="BA29" s="48" t="b">
        <f aca="false">AND(Tasks[[#This Row],[Task Name]]&lt;&gt;"",Tasks[[#This Row],[_NextLevel]]&gt;Tasks[[#This Row],[_Level]])</f>
        <v>0</v>
      </c>
      <c r="BB29" s="47" t="n">
        <f aca="false">IF(Tasks[[#This Row],[_IsSummary]],COUNTIF(Tasks[WBS],Tasks[[#This Row],[WBS]]&amp;".*"),0)</f>
        <v>0</v>
      </c>
      <c r="BC29" s="47" t="n">
        <f aca="false">IF(AND(Tasks[[#This Row],[Task Name]]&lt;&gt;"",NOT(Tasks[[#This Row],[_IsSummary]])),1,0)</f>
        <v>1</v>
      </c>
      <c r="BD29" s="47" t="n">
        <f aca="false">IF(N(Tasks[[#This Row],[Pred1 UID]])=0,0,IFERROR(MATCH(Tasks[[#This Row],[Pred1 UID]],Tasks[UID],0),-1))</f>
        <v>22</v>
      </c>
      <c r="BE29" s="47" t="n">
        <f aca="false">IF(N(Tasks[[#This Row],[Pred2 UID]])=0,0,IFERROR(MATCH(Tasks[[#This Row],[Pred2 UID]],Tasks[UID],0),-1))</f>
        <v>23</v>
      </c>
      <c r="BF29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46371</v>
      </c>
      <c r="BG29" s="49" t="n">
        <f aca="false">IF(NOT(Tasks[[#This Row],[_IsLeaf]]=1),"",IF(N(Tasks[[#This Row],[Duration]])&lt;=0,Tasks[[#This Row],[_LeafCalcStart]],WORKDAY.INTL(Tasks[[#This Row],[_LeafCalcStart]],Tasks[[#This Row],[Duration]]-1,WorkWeek,Holidays)))</f>
        <v>46371</v>
      </c>
      <c r="BH29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46371</v>
      </c>
      <c r="BI29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46371</v>
      </c>
      <c r="BJ29" s="47" t="n">
        <f aca="false">IF(NOT(Tasks[[#This Row],[_IsLeaf]]=1),0,IF(N(Tasks[[#This Row],[Actual Finish]])&gt;0,1,MIN(1,N(Tasks[[#This Row],[% Complete]]))))</f>
        <v>0</v>
      </c>
      <c r="BK29" s="47" t="n">
        <f aca="false">IF(OR(NOT(Tasks[[#This Row],[_IsLeaf]]=1),Tasks[[#This Row],[Resource]]=""),0,N(Tasks[[#This Row],[Duration]])*HoursPerDay*IF(Tasks[[#This Row],[Units]]="",DefaultUnits,Tasks[[#This Row],[Units]]))</f>
        <v>8</v>
      </c>
      <c r="BL29" s="47" t="n">
        <f aca="false">IF(Tasks[[#This Row],[_LeafWork]]=0,0,Tasks[[#This Row],[_LeafWork]]*IFERROR(INDEX(res_Rate,MATCH(Tasks[[#This Row],[Resource]],res_Name,0)),0))</f>
        <v>760</v>
      </c>
      <c r="BM29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46371</v>
      </c>
      <c r="BN29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46371</v>
      </c>
      <c r="BO2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46371</v>
      </c>
      <c r="BR2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46337</v>
      </c>
      <c r="BS2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46371</v>
      </c>
      <c r="BT2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46345</v>
      </c>
      <c r="BU29" s="47" t="n">
        <f aca="false">IF(AND(Tasks[[#This Row],[_IsLeaf]]=1,Tasks[[#This Row],[_LeafWork]]&gt;0),NETWORKDAYS.INTL(ProjectStart,Tasks[[#This Row],[_LeafFcstStart]],WorkWeek,Holidays),0)</f>
        <v>72</v>
      </c>
      <c r="BV29" s="47" t="n">
        <f aca="false">IF(AND(Tasks[[#This Row],[_IsLeaf]]=1,Tasks[[#This Row],[_LeafWork]]&gt;0),MAX(Tasks[[#This Row],[_StartWorkday]],NETWORKDAYS.INTL(ProjectStart,Tasks[[#This Row],[_LeafFcstFinish]],WorkWeek,Holidays)),0)</f>
        <v>72</v>
      </c>
      <c r="BW29" s="47" t="n">
        <f aca="false">IF(AND(Tasks[[#This Row],[_IsLeaf]]=1,Tasks[[#This Row],[_LeafWork]]&gt;0),Tasks[[#This Row],[_LeafWork]]/(Tasks[[#This Row],[_FinishWorkday]]-Tasks[[#This Row],[_StartWorkday]]+1),0)</f>
        <v>8</v>
      </c>
      <c r="BX29" s="47" t="n">
        <f aca="false">Tasks[[#This Row],[_WorkPerWorkday]]*(Tasks[[#This Row],[_StartWorkday]]-1)</f>
        <v>568</v>
      </c>
      <c r="BY29" s="47" t="n">
        <f aca="false">IF(Tasks[[#This Row],[_IsLeaf]]=1,MAX(N(Tasks[[#This Row],[Duration]]),0.1),0)</f>
        <v>1</v>
      </c>
      <c r="BZ29" s="47" t="n">
        <f aca="false">Tasks[[#This Row],[_WeightDur]]*Tasks[[#This Row],[_LeafProgress]]</f>
        <v>0</v>
      </c>
      <c r="CA2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22</v>
      </c>
      <c r="CB2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23</v>
      </c>
      <c r="CC2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22</v>
      </c>
      <c r="CD2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23</v>
      </c>
      <c r="CE2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22,23</v>
      </c>
      <c r="CF2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0" customFormat="false" ht="15" hidden="false" customHeight="false" outlineLevel="0" collapsed="false">
      <c r="A30" s="38" t="n">
        <f aca="false">IF(Tasks[[#This Row],[Task Name]]="","",COUNTA(Tasks[[#Headers],[Task Name]]:Tasks[[#This Row],[Task Name]])-1)</f>
        <v>25</v>
      </c>
      <c r="B30" s="39" t="n">
        <v>25</v>
      </c>
      <c r="C3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4.5</v>
      </c>
      <c r="D30" s="39" t="n">
        <v>2</v>
      </c>
      <c r="E30" s="41" t="s">
        <v>302</v>
      </c>
      <c r="F30" s="39" t="s">
        <v>259</v>
      </c>
      <c r="G30" s="39" t="n">
        <v>0</v>
      </c>
      <c r="H30" s="39" t="n">
        <v>24</v>
      </c>
      <c r="I30" s="39" t="s">
        <v>264</v>
      </c>
      <c r="J30" s="39"/>
      <c r="K30" s="39"/>
      <c r="L30" s="39"/>
      <c r="M30" s="39"/>
      <c r="N30" s="29"/>
      <c r="O30" s="29" t="n">
        <v>46374</v>
      </c>
      <c r="P30" s="24" t="n">
        <f aca="false">IF(Tasks[[#This Row],[Task Name]]="","",IF(N(Tasks[[#This Row],[Baseline Start]])&gt;0,Tasks[[#This Row],[Baseline Start]],Tasks[[#This Row],[_CalcStart]]))</f>
        <v>46371</v>
      </c>
      <c r="Q30" s="24" t="n">
        <f aca="false">IF(Tasks[[#This Row],[Task Name]]="","",IF(N(Tasks[[#This Row],[Baseline Finish]])&gt;0,Tasks[[#This Row],[Baseline Finish]],Tasks[[#This Row],[_CalcFinish]]))</f>
        <v>46371</v>
      </c>
      <c r="R30" s="29"/>
      <c r="S30" s="29"/>
      <c r="T30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46371</v>
      </c>
      <c r="U30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46371</v>
      </c>
      <c r="V30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0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>OK</v>
      </c>
      <c r="Y3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0" s="31"/>
      <c r="AA30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3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0" s="41"/>
      <c r="AD30" s="31"/>
      <c r="AE30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F30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G3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8</v>
      </c>
      <c r="AH30" s="23" t="str">
        <f aca="false">IF(Tasks[[#This Row],[Task Name]]="","",Tasks[[#This Row],[_Pred1IDText]]&amp;IF(AND(Tasks[[#This Row],[_Pred1IDText]]&lt;&gt;"",Tasks[[#This Row],[_Pred2IDText]]&lt;&gt;""),",","")&amp;Tasks[[#This Row],[_Pred2IDText]])</f>
        <v>24</v>
      </c>
      <c r="AI30" s="41" t="s">
        <v>303</v>
      </c>
      <c r="AJ30" s="24" t="n">
        <f aca="false">IF(Tasks[[#This Row],[Task Name]]="","",Tasks[[#This Row],[Forecast Start]])</f>
        <v>46371</v>
      </c>
      <c r="AK30" s="24" t="n">
        <f aca="false">IF(Tasks[[#This Row],[Task Name]]="","",Tasks[[#This Row],[Forecast Finish]])</f>
        <v>46371</v>
      </c>
      <c r="AL30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M30" s="43" t="n">
        <f aca="false">IF(Tasks[[#This Row],[Task Name]]="","",Tasks[[#This Row],[Work]])</f>
        <v>0</v>
      </c>
      <c r="AN30" s="44" t="n">
        <f aca="false">IF(Tasks[[#This Row],[Task Name]]="","",Tasks[[#This Row],[Cost]])</f>
        <v>0</v>
      </c>
      <c r="AO30" s="29"/>
      <c r="AP30" s="29"/>
      <c r="AQ30" s="39"/>
      <c r="AR30" s="45"/>
      <c r="AS30" s="46"/>
      <c r="AT30" s="40" t="str">
        <f aca="false">IF(OR(Tasks[[#This Row],[Task Name]]="",Tasks[[#This Row],[Baseline Duration]]=""),"",Tasks[[#This Row],[BL Source Duration]]-N(Tasks[[#This Row],[Baseline Duration]]))</f>
        <v/>
      </c>
      <c r="AU30" s="43" t="str">
        <f aca="false">IF(OR(Tasks[[#This Row],[Task Name]]="",Tasks[[#This Row],[Baseline Work]]=""),"",Tasks[[#This Row],[Work]]-N(Tasks[[#This Row],[Baseline Work]]))</f>
        <v/>
      </c>
      <c r="AV30" s="44" t="str">
        <f aca="false">IF(OR(Tasks[[#This Row],[Task Name]]="",Tasks[[#This Row],[Baseline Cost]]=""),"",Tasks[[#This Row],[Cost]]-N(Tasks[[#This Row],[Baseline Cost]]))</f>
        <v/>
      </c>
      <c r="AW30" s="47" t="n">
        <f aca="false">IF(Tasks[[#This Row],[Task Name]]="","",MAX(1,N(Tasks[[#This Row],[Level]])))</f>
        <v>2</v>
      </c>
      <c r="AX30" s="47" t="n">
        <f aca="false">ROW()-ROW(Tasks[[#Headers],[ID]])</f>
        <v>25</v>
      </c>
      <c r="AY3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30" s="47" t="n">
        <f aca="false">IFERROR(N(INDEX(Tasks[_Level],Tasks[[#This Row],[_Row]]+1)),0)</f>
        <v>2</v>
      </c>
      <c r="BA30" s="48" t="b">
        <f aca="false">AND(Tasks[[#This Row],[Task Name]]&lt;&gt;"",Tasks[[#This Row],[_NextLevel]]&gt;Tasks[[#This Row],[_Level]])</f>
        <v>0</v>
      </c>
      <c r="BB30" s="47" t="n">
        <f aca="false">IF(Tasks[[#This Row],[_IsSummary]],COUNTIF(Tasks[WBS],Tasks[[#This Row],[WBS]]&amp;".*"),0)</f>
        <v>0</v>
      </c>
      <c r="BC30" s="47" t="n">
        <f aca="false">IF(AND(Tasks[[#This Row],[Task Name]]&lt;&gt;"",NOT(Tasks[[#This Row],[_IsSummary]])),1,0)</f>
        <v>1</v>
      </c>
      <c r="BD30" s="47" t="n">
        <f aca="false">IF(N(Tasks[[#This Row],[Pred1 UID]])=0,0,IFERROR(MATCH(Tasks[[#This Row],[Pred1 UID]],Tasks[UID],0),-1))</f>
        <v>24</v>
      </c>
      <c r="BE30" s="47" t="n">
        <f aca="false">IF(N(Tasks[[#This Row],[Pred2 UID]])=0,0,IFERROR(MATCH(Tasks[[#This Row],[Pred2 UID]],Tasks[UID],0),-1))</f>
        <v>0</v>
      </c>
      <c r="BF30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46371</v>
      </c>
      <c r="BG30" s="49" t="n">
        <f aca="false">IF(NOT(Tasks[[#This Row],[_IsLeaf]]=1),"",IF(N(Tasks[[#This Row],[Duration]])&lt;=0,Tasks[[#This Row],[_LeafCalcStart]],WORKDAY.INTL(Tasks[[#This Row],[_LeafCalcStart]],Tasks[[#This Row],[Duration]]-1,WorkWeek,Holidays)))</f>
        <v>46371</v>
      </c>
      <c r="BH30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46371</v>
      </c>
      <c r="BI30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46371</v>
      </c>
      <c r="BJ30" s="47" t="n">
        <f aca="false">IF(NOT(Tasks[[#This Row],[_IsLeaf]]=1),0,IF(N(Tasks[[#This Row],[Actual Finish]])&gt;0,1,MIN(1,N(Tasks[[#This Row],[% Complete]]))))</f>
        <v>0</v>
      </c>
      <c r="BK3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30" s="47" t="n">
        <f aca="false">IF(Tasks[[#This Row],[_LeafWork]]=0,0,Tasks[[#This Row],[_LeafWork]]*IFERROR(INDEX(res_Rate,MATCH(Tasks[[#This Row],[Resource]],res_Name,0)),0))</f>
        <v>0</v>
      </c>
      <c r="BM30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46371</v>
      </c>
      <c r="BN30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46371</v>
      </c>
      <c r="BO3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46371</v>
      </c>
      <c r="BR3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46371</v>
      </c>
      <c r="BT3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0" s="47" t="n">
        <f aca="false">IF(AND(Tasks[[#This Row],[_IsLeaf]]=1,Tasks[[#This Row],[_LeafWork]]&gt;0),NETWORKDAYS.INTL(ProjectStart,Tasks[[#This Row],[_LeafFcstStart]],WorkWeek,Holidays),0)</f>
        <v>0</v>
      </c>
      <c r="BV3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0" s="47" t="n">
        <f aca="false">IF(AND(Tasks[[#This Row],[_IsLeaf]]=1,Tasks[[#This Row],[_LeafWork]]&gt;0),Tasks[[#This Row],[_LeafWork]]/(Tasks[[#This Row],[_FinishWorkday]]-Tasks[[#This Row],[_StartWorkday]]+1),0)</f>
        <v>0</v>
      </c>
      <c r="BX30" s="47" t="n">
        <f aca="false">Tasks[[#This Row],[_WorkPerWorkday]]*(Tasks[[#This Row],[_StartWorkday]]-1)</f>
        <v>-0</v>
      </c>
      <c r="BY30" s="47" t="n">
        <f aca="false">IF(Tasks[[#This Row],[_IsLeaf]]=1,MAX(N(Tasks[[#This Row],[Duration]]),0.1),0)</f>
        <v>0.1</v>
      </c>
      <c r="BZ30" s="47" t="n">
        <f aca="false">Tasks[[#This Row],[_WeightDur]]*Tasks[[#This Row],[_LeafProgress]]</f>
        <v>0</v>
      </c>
      <c r="CA3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24</v>
      </c>
      <c r="CB3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24</v>
      </c>
      <c r="CD3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24</v>
      </c>
      <c r="CF30" s="50" t="n">
        <f aca="false">IF(AND(Tasks[[#This Row],[_IsLeaf]]=1,N(Tasks[[#This Row],[Duration]])=0,Tasks[[#This Row],[_LeafProgress]]&lt;1),Tasks[[#This Row],[_LeafFcstFinish]]+Tasks[[#This Row],[_Row]]/100000,"")</f>
        <v>46371.00025</v>
      </c>
    </row>
    <row r="31" customFormat="false" ht="15" hidden="false" customHeight="false" outlineLevel="0" collapsed="false">
      <c r="A31" s="38" t="n">
        <f aca="false">IF(Tasks[[#This Row],[Task Name]]="","",COUNTA(Tasks[[#Headers],[Task Name]]:Tasks[[#This Row],[Task Name]])-1)</f>
        <v>26</v>
      </c>
      <c r="B31" s="39" t="n">
        <v>26</v>
      </c>
      <c r="C3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4.6</v>
      </c>
      <c r="D31" s="39" t="n">
        <v>2</v>
      </c>
      <c r="E31" s="41" t="s">
        <v>304</v>
      </c>
      <c r="F31" s="39" t="s">
        <v>259</v>
      </c>
      <c r="G31" s="39" t="n">
        <v>10</v>
      </c>
      <c r="H31" s="39" t="n">
        <v>25</v>
      </c>
      <c r="I31" s="39" t="s">
        <v>264</v>
      </c>
      <c r="J31" s="39"/>
      <c r="K31" s="39"/>
      <c r="L31" s="39"/>
      <c r="M31" s="39"/>
      <c r="N31" s="29"/>
      <c r="O31" s="29"/>
      <c r="P31" s="24" t="n">
        <f aca="false">IF(Tasks[[#This Row],[Task Name]]="","",IF(N(Tasks[[#This Row],[Baseline Start]])&gt;0,Tasks[[#This Row],[Baseline Start]],Tasks[[#This Row],[_CalcStart]]))</f>
        <v>46372</v>
      </c>
      <c r="Q31" s="24" t="n">
        <f aca="false">IF(Tasks[[#This Row],[Task Name]]="","",IF(N(Tasks[[#This Row],[Baseline Finish]])&gt;0,Tasks[[#This Row],[Baseline Finish]],Tasks[[#This Row],[_CalcFinish]]))</f>
        <v>46391</v>
      </c>
      <c r="R31" s="29"/>
      <c r="S31" s="29"/>
      <c r="T31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46372</v>
      </c>
      <c r="U31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46391</v>
      </c>
      <c r="V31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1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1" s="31"/>
      <c r="AA31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3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1" s="41" t="s">
        <v>282</v>
      </c>
      <c r="AD31" s="31" t="n">
        <v>0.5</v>
      </c>
      <c r="AE31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F31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3400</v>
      </c>
      <c r="AG3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8</v>
      </c>
      <c r="AH31" s="23" t="str">
        <f aca="false">IF(Tasks[[#This Row],[Task Name]]="","",Tasks[[#This Row],[_Pred1IDText]]&amp;IF(AND(Tasks[[#This Row],[_Pred1IDText]]&lt;&gt;"",Tasks[[#This Row],[_Pred2IDText]]&lt;&gt;""),",","")&amp;Tasks[[#This Row],[_Pred2IDText]])</f>
        <v>25</v>
      </c>
      <c r="AI31" s="41"/>
      <c r="AJ31" s="24" t="n">
        <f aca="false">IF(Tasks[[#This Row],[Task Name]]="","",Tasks[[#This Row],[Forecast Start]])</f>
        <v>46372</v>
      </c>
      <c r="AK31" s="24" t="n">
        <f aca="false">IF(Tasks[[#This Row],[Task Name]]="","",Tasks[[#This Row],[Forecast Finish]])</f>
        <v>46391</v>
      </c>
      <c r="AL31" s="38" t="n">
        <f aca="false">IF(Tasks[[#This Row],[Task Name]]="","",IF(Tasks[[#This Row],[_IsSummary]],NETWORKDAYS.INTL(Tasks[[#This Row],[Forecast Start]],Tasks[[#This Row],[Forecast Finish]],WorkWeek,Holidays),N(Tasks[[#This Row],[Duration]])))</f>
        <v>10</v>
      </c>
      <c r="AM31" s="43" t="n">
        <f aca="false">IF(Tasks[[#This Row],[Task Name]]="","",Tasks[[#This Row],[Work]])</f>
        <v>40</v>
      </c>
      <c r="AN31" s="44" t="n">
        <f aca="false">IF(Tasks[[#This Row],[Task Name]]="","",Tasks[[#This Row],[Cost]])</f>
        <v>3400</v>
      </c>
      <c r="AO31" s="29"/>
      <c r="AP31" s="29"/>
      <c r="AQ31" s="39"/>
      <c r="AR31" s="45"/>
      <c r="AS31" s="46"/>
      <c r="AT31" s="40" t="str">
        <f aca="false">IF(OR(Tasks[[#This Row],[Task Name]]="",Tasks[[#This Row],[Baseline Duration]]=""),"",Tasks[[#This Row],[BL Source Duration]]-N(Tasks[[#This Row],[Baseline Duration]]))</f>
        <v/>
      </c>
      <c r="AU31" s="43" t="str">
        <f aca="false">IF(OR(Tasks[[#This Row],[Task Name]]="",Tasks[[#This Row],[Baseline Work]]=""),"",Tasks[[#This Row],[Work]]-N(Tasks[[#This Row],[Baseline Work]]))</f>
        <v/>
      </c>
      <c r="AV31" s="44" t="str">
        <f aca="false">IF(OR(Tasks[[#This Row],[Task Name]]="",Tasks[[#This Row],[Baseline Cost]]=""),"",Tasks[[#This Row],[Cost]]-N(Tasks[[#This Row],[Baseline Cost]]))</f>
        <v/>
      </c>
      <c r="AW31" s="47" t="n">
        <f aca="false">IF(Tasks[[#This Row],[Task Name]]="","",MAX(1,N(Tasks[[#This Row],[Level]])))</f>
        <v>2</v>
      </c>
      <c r="AX31" s="47" t="n">
        <f aca="false">ROW()-ROW(Tasks[[#Headers],[ID]])</f>
        <v>26</v>
      </c>
      <c r="AY3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31" s="47" t="n">
        <f aca="false">IFERROR(N(INDEX(Tasks[_Level],Tasks[[#This Row],[_Row]]+1)),0)</f>
        <v>1</v>
      </c>
      <c r="BA31" s="48" t="b">
        <f aca="false">AND(Tasks[[#This Row],[Task Name]]&lt;&gt;"",Tasks[[#This Row],[_NextLevel]]&gt;Tasks[[#This Row],[_Level]])</f>
        <v>0</v>
      </c>
      <c r="BB31" s="47" t="n">
        <f aca="false">IF(Tasks[[#This Row],[_IsSummary]],COUNTIF(Tasks[WBS],Tasks[[#This Row],[WBS]]&amp;".*"),0)</f>
        <v>0</v>
      </c>
      <c r="BC31" s="47" t="n">
        <f aca="false">IF(AND(Tasks[[#This Row],[Task Name]]&lt;&gt;"",NOT(Tasks[[#This Row],[_IsSummary]])),1,0)</f>
        <v>1</v>
      </c>
      <c r="BD31" s="47" t="n">
        <f aca="false">IF(N(Tasks[[#This Row],[Pred1 UID]])=0,0,IFERROR(MATCH(Tasks[[#This Row],[Pred1 UID]],Tasks[UID],0),-1))</f>
        <v>25</v>
      </c>
      <c r="BE31" s="47" t="n">
        <f aca="false">IF(N(Tasks[[#This Row],[Pred2 UID]])=0,0,IFERROR(MATCH(Tasks[[#This Row],[Pred2 UID]],Tasks[UID],0),-1))</f>
        <v>0</v>
      </c>
      <c r="BF31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46372</v>
      </c>
      <c r="BG31" s="49" t="n">
        <f aca="false">IF(NOT(Tasks[[#This Row],[_IsLeaf]]=1),"",IF(N(Tasks[[#This Row],[Duration]])&lt;=0,Tasks[[#This Row],[_LeafCalcStart]],WORKDAY.INTL(Tasks[[#This Row],[_LeafCalcStart]],Tasks[[#This Row],[Duration]]-1,WorkWeek,Holidays)))</f>
        <v>46391</v>
      </c>
      <c r="BH31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46372</v>
      </c>
      <c r="BI31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46391</v>
      </c>
      <c r="BJ31" s="47" t="n">
        <f aca="false">IF(NOT(Tasks[[#This Row],[_IsLeaf]]=1),0,IF(N(Tasks[[#This Row],[Actual Finish]])&gt;0,1,MIN(1,N(Tasks[[#This Row],[% Complete]]))))</f>
        <v>0</v>
      </c>
      <c r="BK31" s="47" t="n">
        <f aca="false">IF(OR(NOT(Tasks[[#This Row],[_IsLeaf]]=1),Tasks[[#This Row],[Resource]]=""),0,N(Tasks[[#This Row],[Duration]])*HoursPerDay*IF(Tasks[[#This Row],[Units]]="",DefaultUnits,Tasks[[#This Row],[Units]]))</f>
        <v>40</v>
      </c>
      <c r="BL31" s="47" t="n">
        <f aca="false">IF(Tasks[[#This Row],[_LeafWork]]=0,0,Tasks[[#This Row],[_LeafWork]]*IFERROR(INDEX(res_Rate,MATCH(Tasks[[#This Row],[Resource]],res_Name,0)),0))</f>
        <v>3400</v>
      </c>
      <c r="BM31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46372</v>
      </c>
      <c r="BN31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46391</v>
      </c>
      <c r="BO3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46372</v>
      </c>
      <c r="BR3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46372</v>
      </c>
      <c r="BT3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1" s="47" t="n">
        <f aca="false">IF(AND(Tasks[[#This Row],[_IsLeaf]]=1,Tasks[[#This Row],[_LeafWork]]&gt;0),NETWORKDAYS.INTL(ProjectStart,Tasks[[#This Row],[_LeafFcstStart]],WorkWeek,Holidays),0)</f>
        <v>73</v>
      </c>
      <c r="BV31" s="47" t="n">
        <f aca="false">IF(AND(Tasks[[#This Row],[_IsLeaf]]=1,Tasks[[#This Row],[_LeafWork]]&gt;0),MAX(Tasks[[#This Row],[_StartWorkday]],NETWORKDAYS.INTL(ProjectStart,Tasks[[#This Row],[_LeafFcstFinish]],WorkWeek,Holidays)),0)</f>
        <v>82</v>
      </c>
      <c r="BW31" s="47" t="n">
        <f aca="false">IF(AND(Tasks[[#This Row],[_IsLeaf]]=1,Tasks[[#This Row],[_LeafWork]]&gt;0),Tasks[[#This Row],[_LeafWork]]/(Tasks[[#This Row],[_FinishWorkday]]-Tasks[[#This Row],[_StartWorkday]]+1),0)</f>
        <v>4</v>
      </c>
      <c r="BX31" s="47" t="n">
        <f aca="false">Tasks[[#This Row],[_WorkPerWorkday]]*(Tasks[[#This Row],[_StartWorkday]]-1)</f>
        <v>288</v>
      </c>
      <c r="BY31" s="47" t="n">
        <f aca="false">IF(Tasks[[#This Row],[_IsLeaf]]=1,MAX(N(Tasks[[#This Row],[Duration]]),0.1),0)</f>
        <v>10</v>
      </c>
      <c r="BZ31" s="47" t="n">
        <f aca="false">Tasks[[#This Row],[_WeightDur]]*Tasks[[#This Row],[_LeafProgress]]</f>
        <v>0</v>
      </c>
      <c r="CA3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25</v>
      </c>
      <c r="CB3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25</v>
      </c>
      <c r="CD3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25</v>
      </c>
      <c r="CF3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2" customFormat="false" ht="15" hidden="false" customHeight="false" outlineLevel="0" collapsed="false">
      <c r="A32" s="38" t="n">
        <f aca="false">IF(Tasks[[#This Row],[Task Name]]="","",COUNTA(Tasks[[#Headers],[Task Name]]:Tasks[[#This Row],[Task Name]])-1)</f>
        <v>27</v>
      </c>
      <c r="B32" s="39" t="n">
        <v>27</v>
      </c>
      <c r="C3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</v>
      </c>
      <c r="D32" s="39" t="n">
        <v>1</v>
      </c>
      <c r="E32" s="41" t="s">
        <v>305</v>
      </c>
      <c r="F32" s="39" t="s">
        <v>259</v>
      </c>
      <c r="G32" s="39"/>
      <c r="H32" s="39"/>
      <c r="I32" s="39"/>
      <c r="J32" s="39"/>
      <c r="K32" s="39"/>
      <c r="L32" s="39"/>
      <c r="M32" s="39"/>
      <c r="N32" s="29"/>
      <c r="O32" s="29"/>
      <c r="P32" s="24" t="n">
        <f aca="false">IF(Tasks[[#This Row],[Task Name]]="","",IF(N(Tasks[[#This Row],[Baseline Start]])&gt;0,Tasks[[#This Row],[Baseline Start]],Tasks[[#This Row],[_CalcStart]]))</f>
        <v>46342</v>
      </c>
      <c r="Q32" s="24" t="n">
        <f aca="false">IF(Tasks[[#This Row],[Task Name]]="","",IF(N(Tasks[[#This Row],[Baseline Finish]])&gt;0,Tasks[[#This Row],[Baseline Finish]],Tasks[[#This Row],[_CalcFinish]]))</f>
        <v>46393</v>
      </c>
      <c r="R32" s="29"/>
      <c r="S32" s="29"/>
      <c r="T32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46342</v>
      </c>
      <c r="U32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46393</v>
      </c>
      <c r="V32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2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2" s="31"/>
      <c r="AA32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3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2" s="41"/>
      <c r="AD32" s="31"/>
      <c r="AE32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24</v>
      </c>
      <c r="AF32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2280</v>
      </c>
      <c r="AG3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2" s="41"/>
      <c r="AJ32" s="24" t="n">
        <f aca="false">IF(Tasks[[#This Row],[Task Name]]="","",Tasks[[#This Row],[Forecast Start]])</f>
        <v>46342</v>
      </c>
      <c r="AK32" s="24" t="n">
        <f aca="false">IF(Tasks[[#This Row],[Task Name]]="","",Tasks[[#This Row],[Forecast Finish]])</f>
        <v>46393</v>
      </c>
      <c r="AL32" s="38" t="n">
        <f aca="false">IF(Tasks[[#This Row],[Task Name]]="","",IF(Tasks[[#This Row],[_IsSummary]],NETWORKDAYS.INTL(Tasks[[#This Row],[Forecast Start]],Tasks[[#This Row],[Forecast Finish]],WorkWeek,Holidays),N(Tasks[[#This Row],[Duration]])))</f>
        <v>34</v>
      </c>
      <c r="AM32" s="43" t="n">
        <f aca="false">IF(Tasks[[#This Row],[Task Name]]="","",Tasks[[#This Row],[Work]])</f>
        <v>24</v>
      </c>
      <c r="AN32" s="44" t="n">
        <f aca="false">IF(Tasks[[#This Row],[Task Name]]="","",Tasks[[#This Row],[Cost]])</f>
        <v>2280</v>
      </c>
      <c r="AO32" s="29"/>
      <c r="AP32" s="29"/>
      <c r="AQ32" s="39"/>
      <c r="AR32" s="45"/>
      <c r="AS32" s="46"/>
      <c r="AT32" s="40" t="str">
        <f aca="false">IF(OR(Tasks[[#This Row],[Task Name]]="",Tasks[[#This Row],[Baseline Duration]]=""),"",Tasks[[#This Row],[BL Source Duration]]-N(Tasks[[#This Row],[Baseline Duration]]))</f>
        <v/>
      </c>
      <c r="AU32" s="43" t="str">
        <f aca="false">IF(OR(Tasks[[#This Row],[Task Name]]="",Tasks[[#This Row],[Baseline Work]]=""),"",Tasks[[#This Row],[Work]]-N(Tasks[[#This Row],[Baseline Work]]))</f>
        <v/>
      </c>
      <c r="AV32" s="44" t="str">
        <f aca="false">IF(OR(Tasks[[#This Row],[Task Name]]="",Tasks[[#This Row],[Baseline Cost]]=""),"",Tasks[[#This Row],[Cost]]-N(Tasks[[#This Row],[Baseline Cost]]))</f>
        <v/>
      </c>
      <c r="AW32" s="47" t="n">
        <f aca="false">IF(Tasks[[#This Row],[Task Name]]="","",MAX(1,N(Tasks[[#This Row],[Level]])))</f>
        <v>1</v>
      </c>
      <c r="AX32" s="47" t="n">
        <f aca="false">ROW()-ROW(Tasks[[#Headers],[ID]])</f>
        <v>27</v>
      </c>
      <c r="AY3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2" s="47" t="n">
        <f aca="false">IFERROR(N(INDEX(Tasks[_Level],Tasks[[#This Row],[_Row]]+1)),0)</f>
        <v>2</v>
      </c>
      <c r="BA32" s="48" t="b">
        <f aca="false">AND(Tasks[[#This Row],[Task Name]]&lt;&gt;"",Tasks[[#This Row],[_NextLevel]]&gt;Tasks[[#This Row],[_Level]])</f>
        <v>1</v>
      </c>
      <c r="BB32" s="47" t="n">
        <f aca="false">IF(Tasks[[#This Row],[_IsSummary]],COUNTIF(Tasks[WBS],Tasks[[#This Row],[WBS]]&amp;".*"),0)</f>
        <v>3</v>
      </c>
      <c r="BC32" s="47" t="n">
        <f aca="false">IF(AND(Tasks[[#This Row],[Task Name]]&lt;&gt;"",NOT(Tasks[[#This Row],[_IsSummary]])),1,0)</f>
        <v>0</v>
      </c>
      <c r="BD32" s="47" t="n">
        <f aca="false">IF(N(Tasks[[#This Row],[Pred1 UID]])=0,0,IFERROR(MATCH(Tasks[[#This Row],[Pred1 UID]],Tasks[UID],0),-1))</f>
        <v>0</v>
      </c>
      <c r="BE32" s="47" t="n">
        <f aca="false">IF(N(Tasks[[#This Row],[Pred2 UID]])=0,0,IFERROR(MATCH(Tasks[[#This Row],[Pred2 UID]],Tasks[UID],0),-1))</f>
        <v>0</v>
      </c>
      <c r="BF3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2" s="47" t="n">
        <f aca="false">IF(NOT(Tasks[[#This Row],[_IsLeaf]]=1),0,IF(N(Tasks[[#This Row],[Actual Finish]])&gt;0,1,MIN(1,N(Tasks[[#This Row],[% Complete]]))))</f>
        <v>0</v>
      </c>
      <c r="BK3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32" s="47" t="n">
        <f aca="false">IF(Tasks[[#This Row],[_LeafWork]]=0,0,Tasks[[#This Row],[_LeafWork]]*IFERROR(INDEX(res_Rate,MATCH(Tasks[[#This Row],[Resource]],res_Name,0)),0))</f>
        <v>0</v>
      </c>
      <c r="BM32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46342</v>
      </c>
      <c r="BN32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46393</v>
      </c>
      <c r="BO3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3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3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2" s="47" t="n">
        <f aca="false">IF(AND(Tasks[[#This Row],[_IsLeaf]]=1,Tasks[[#This Row],[_LeafWork]]&gt;0),NETWORKDAYS.INTL(ProjectStart,Tasks[[#This Row],[_LeafFcstStart]],WorkWeek,Holidays),0)</f>
        <v>0</v>
      </c>
      <c r="BV3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2" s="47" t="n">
        <f aca="false">IF(AND(Tasks[[#This Row],[_IsLeaf]]=1,Tasks[[#This Row],[_LeafWork]]&gt;0),Tasks[[#This Row],[_LeafWork]]/(Tasks[[#This Row],[_FinishWorkday]]-Tasks[[#This Row],[_StartWorkday]]+1),0)</f>
        <v>0</v>
      </c>
      <c r="BX32" s="47" t="n">
        <f aca="false">Tasks[[#This Row],[_WorkPerWorkday]]*(Tasks[[#This Row],[_StartWorkday]]-1)</f>
        <v>-0</v>
      </c>
      <c r="BY32" s="47" t="n">
        <f aca="false">IF(Tasks[[#This Row],[_IsLeaf]]=1,MAX(N(Tasks[[#This Row],[Duration]]),0.1),0)</f>
        <v>0</v>
      </c>
      <c r="BZ32" s="47" t="n">
        <f aca="false">Tasks[[#This Row],[_WeightDur]]*Tasks[[#This Row],[_LeafProgress]]</f>
        <v>0</v>
      </c>
      <c r="CA3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3" customFormat="false" ht="15" hidden="false" customHeight="false" outlineLevel="0" collapsed="false">
      <c r="A33" s="38" t="n">
        <f aca="false">IF(Tasks[[#This Row],[Task Name]]="","",COUNTA(Tasks[[#Headers],[Task Name]]:Tasks[[#This Row],[Task Name]])-1)</f>
        <v>28</v>
      </c>
      <c r="B33" s="39" t="n">
        <v>28</v>
      </c>
      <c r="C3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5.1</v>
      </c>
      <c r="D33" s="39" t="n">
        <v>2</v>
      </c>
      <c r="E33" s="41" t="s">
        <v>306</v>
      </c>
      <c r="F33" s="39" t="s">
        <v>307</v>
      </c>
      <c r="G33" s="39" t="n">
        <v>1</v>
      </c>
      <c r="H33" s="39"/>
      <c r="I33" s="39"/>
      <c r="J33" s="39"/>
      <c r="K33" s="39"/>
      <c r="L33" s="39"/>
      <c r="M33" s="39"/>
      <c r="N33" s="29" t="n">
        <v>46342</v>
      </c>
      <c r="O33" s="29"/>
      <c r="P33" s="24" t="n">
        <f aca="false">IF(Tasks[[#This Row],[Task Name]]="","",IF(N(Tasks[[#This Row],[Baseline Start]])&gt;0,Tasks[[#This Row],[Baseline Start]],Tasks[[#This Row],[_CalcStart]]))</f>
        <v>46342</v>
      </c>
      <c r="Q33" s="24" t="n">
        <f aca="false">IF(Tasks[[#This Row],[Task Name]]="","",IF(N(Tasks[[#This Row],[Baseline Finish]])&gt;0,Tasks[[#This Row],[Baseline Finish]],Tasks[[#This Row],[_CalcFinish]]))</f>
        <v>46342</v>
      </c>
      <c r="R33" s="29"/>
      <c r="S33" s="29"/>
      <c r="T33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46342</v>
      </c>
      <c r="U33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46342</v>
      </c>
      <c r="V33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3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3" s="31"/>
      <c r="AA33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3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3" s="41" t="s">
        <v>99</v>
      </c>
      <c r="AD33" s="31"/>
      <c r="AE33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8</v>
      </c>
      <c r="AF33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760</v>
      </c>
      <c r="AG3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6</v>
      </c>
      <c r="AH3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3" s="41" t="s">
        <v>308</v>
      </c>
      <c r="AJ33" s="24" t="n">
        <f aca="false">IF(Tasks[[#This Row],[Task Name]]="","",Tasks[[#This Row],[Forecast Start]])</f>
        <v>46342</v>
      </c>
      <c r="AK33" s="24" t="n">
        <f aca="false">IF(Tasks[[#This Row],[Task Name]]="","",Tasks[[#This Row],[Forecast Finish]])</f>
        <v>46342</v>
      </c>
      <c r="AL33" s="38" t="n">
        <f aca="false">IF(Tasks[[#This Row],[Task Name]]="","",IF(Tasks[[#This Row],[_IsSummary]],NETWORKDAYS.INTL(Tasks[[#This Row],[Forecast Start]],Tasks[[#This Row],[Forecast Finish]],WorkWeek,Holidays),N(Tasks[[#This Row],[Duration]])))</f>
        <v>1</v>
      </c>
      <c r="AM33" s="43" t="n">
        <f aca="false">IF(Tasks[[#This Row],[Task Name]]="","",Tasks[[#This Row],[Work]])</f>
        <v>8</v>
      </c>
      <c r="AN33" s="44" t="n">
        <f aca="false">IF(Tasks[[#This Row],[Task Name]]="","",Tasks[[#This Row],[Cost]])</f>
        <v>760</v>
      </c>
      <c r="AO33" s="29"/>
      <c r="AP33" s="29"/>
      <c r="AQ33" s="39"/>
      <c r="AR33" s="45"/>
      <c r="AS33" s="46"/>
      <c r="AT33" s="40" t="str">
        <f aca="false">IF(OR(Tasks[[#This Row],[Task Name]]="",Tasks[[#This Row],[Baseline Duration]]=""),"",Tasks[[#This Row],[BL Source Duration]]-N(Tasks[[#This Row],[Baseline Duration]]))</f>
        <v/>
      </c>
      <c r="AU33" s="43" t="str">
        <f aca="false">IF(OR(Tasks[[#This Row],[Task Name]]="",Tasks[[#This Row],[Baseline Work]]=""),"",Tasks[[#This Row],[Work]]-N(Tasks[[#This Row],[Baseline Work]]))</f>
        <v/>
      </c>
      <c r="AV33" s="44" t="str">
        <f aca="false">IF(OR(Tasks[[#This Row],[Task Name]]="",Tasks[[#This Row],[Baseline Cost]]=""),"",Tasks[[#This Row],[Cost]]-N(Tasks[[#This Row],[Baseline Cost]]))</f>
        <v/>
      </c>
      <c r="AW33" s="47" t="n">
        <f aca="false">IF(Tasks[[#This Row],[Task Name]]="","",MAX(1,N(Tasks[[#This Row],[Level]])))</f>
        <v>2</v>
      </c>
      <c r="AX33" s="47" t="n">
        <f aca="false">ROW()-ROW(Tasks[[#Headers],[ID]])</f>
        <v>28</v>
      </c>
      <c r="AY3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AZ33" s="47" t="n">
        <f aca="false">IFERROR(N(INDEX(Tasks[_Level],Tasks[[#This Row],[_Row]]+1)),0)</f>
        <v>2</v>
      </c>
      <c r="BA33" s="48" t="b">
        <f aca="false">AND(Tasks[[#This Row],[Task Name]]&lt;&gt;"",Tasks[[#This Row],[_NextLevel]]&gt;Tasks[[#This Row],[_Level]])</f>
        <v>0</v>
      </c>
      <c r="BB33" s="47" t="n">
        <f aca="false">IF(Tasks[[#This Row],[_IsSummary]],COUNTIF(Tasks[WBS],Tasks[[#This Row],[WBS]]&amp;".*"),0)</f>
        <v>0</v>
      </c>
      <c r="BC33" s="47" t="n">
        <f aca="false">IF(AND(Tasks[[#This Row],[Task Name]]&lt;&gt;"",NOT(Tasks[[#This Row],[_IsSummary]])),1,0)</f>
        <v>1</v>
      </c>
      <c r="BD33" s="47" t="n">
        <f aca="false">IF(N(Tasks[[#This Row],[Pred1 UID]])=0,0,IFERROR(MATCH(Tasks[[#This Row],[Pred1 UID]],Tasks[UID],0),-1))</f>
        <v>0</v>
      </c>
      <c r="BE33" s="47" t="n">
        <f aca="false">IF(N(Tasks[[#This Row],[Pred2 UID]])=0,0,IFERROR(MATCH(Tasks[[#This Row],[Pred2 UID]],Tasks[UID],0),-1))</f>
        <v>0</v>
      </c>
      <c r="BF33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46342</v>
      </c>
      <c r="BG33" s="49" t="n">
        <f aca="false">IF(NOT(Tasks[[#This Row],[_IsLeaf]]=1),"",IF(N(Tasks[[#This Row],[Duration]])&lt;=0,Tasks[[#This Row],[_LeafCalcStart]],WORKDAY.INTL(Tasks[[#This Row],[_LeafCalcStart]],Tasks[[#This Row],[Duration]]-1,WorkWeek,Holidays)))</f>
        <v>46342</v>
      </c>
      <c r="BH33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46342</v>
      </c>
      <c r="BI33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46342</v>
      </c>
      <c r="BJ33" s="47" t="n">
        <f aca="false">IF(NOT(Tasks[[#This Row],[_IsLeaf]]=1),0,IF(N(Tasks[[#This Row],[Actual Finish]])&gt;0,1,MIN(1,N(Tasks[[#This Row],[% Complete]]))))</f>
        <v>0</v>
      </c>
      <c r="BK33" s="47" t="n">
        <f aca="false">IF(OR(NOT(Tasks[[#This Row],[_IsLeaf]]=1),Tasks[[#This Row],[Resource]]=""),0,N(Tasks[[#This Row],[Duration]])*HoursPerDay*IF(Tasks[[#This Row],[Units]]="",DefaultUnits,Tasks[[#This Row],[Units]]))</f>
        <v>8</v>
      </c>
      <c r="BL33" s="47" t="n">
        <f aca="false">IF(Tasks[[#This Row],[_LeafWork]]=0,0,Tasks[[#This Row],[_LeafWork]]*IFERROR(INDEX(res_Rate,MATCH(Tasks[[#This Row],[Resource]],res_Name,0)),0))</f>
        <v>760</v>
      </c>
      <c r="BM33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46342</v>
      </c>
      <c r="BN33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46342</v>
      </c>
      <c r="BO3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3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3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3" s="47" t="n">
        <f aca="false">IF(AND(Tasks[[#This Row],[_IsLeaf]]=1,Tasks[[#This Row],[_LeafWork]]&gt;0),NETWORKDAYS.INTL(ProjectStart,Tasks[[#This Row],[_LeafFcstStart]],WorkWeek,Holidays),0)</f>
        <v>51</v>
      </c>
      <c r="BV33" s="47" t="n">
        <f aca="false">IF(AND(Tasks[[#This Row],[_IsLeaf]]=1,Tasks[[#This Row],[_LeafWork]]&gt;0),MAX(Tasks[[#This Row],[_StartWorkday]],NETWORKDAYS.INTL(ProjectStart,Tasks[[#This Row],[_LeafFcstFinish]],WorkWeek,Holidays)),0)</f>
        <v>51</v>
      </c>
      <c r="BW33" s="47" t="n">
        <f aca="false">IF(AND(Tasks[[#This Row],[_IsLeaf]]=1,Tasks[[#This Row],[_LeafWork]]&gt;0),Tasks[[#This Row],[_LeafWork]]/(Tasks[[#This Row],[_FinishWorkday]]-Tasks[[#This Row],[_StartWorkday]]+1),0)</f>
        <v>8</v>
      </c>
      <c r="BX33" s="47" t="n">
        <f aca="false">Tasks[[#This Row],[_WorkPerWorkday]]*(Tasks[[#This Row],[_StartWorkday]]-1)</f>
        <v>400</v>
      </c>
      <c r="BY33" s="47" t="n">
        <f aca="false">IF(Tasks[[#This Row],[_IsLeaf]]=1,MAX(N(Tasks[[#This Row],[Duration]]),0.1),0)</f>
        <v>1</v>
      </c>
      <c r="BZ33" s="47" t="n">
        <f aca="false">Tasks[[#This Row],[_WeightDur]]*Tasks[[#This Row],[_LeafProgress]]</f>
        <v>0</v>
      </c>
      <c r="CA3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4" customFormat="false" ht="15" hidden="false" customHeight="false" outlineLevel="0" collapsed="false">
      <c r="A34" s="38" t="n">
        <f aca="false">IF(Tasks[[#This Row],[Task Name]]="","",COUNTA(Tasks[[#Headers],[Task Name]]:Tasks[[#This Row],[Task Name]])-1)</f>
        <v>29</v>
      </c>
      <c r="B34" s="39" t="n">
        <v>29</v>
      </c>
      <c r="C3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5.2</v>
      </c>
      <c r="D34" s="39" t="n">
        <v>2</v>
      </c>
      <c r="E34" s="41" t="s">
        <v>309</v>
      </c>
      <c r="F34" s="39" t="s">
        <v>259</v>
      </c>
      <c r="G34" s="39" t="n">
        <v>2</v>
      </c>
      <c r="H34" s="39" t="n">
        <v>26</v>
      </c>
      <c r="I34" s="39" t="s">
        <v>264</v>
      </c>
      <c r="J34" s="39"/>
      <c r="K34" s="39"/>
      <c r="L34" s="39"/>
      <c r="M34" s="39"/>
      <c r="N34" s="29"/>
      <c r="O34" s="29"/>
      <c r="P34" s="24" t="n">
        <f aca="false">IF(Tasks[[#This Row],[Task Name]]="","",IF(N(Tasks[[#This Row],[Baseline Start]])&gt;0,Tasks[[#This Row],[Baseline Start]],Tasks[[#This Row],[_CalcStart]]))</f>
        <v>46392</v>
      </c>
      <c r="Q34" s="24" t="n">
        <f aca="false">IF(Tasks[[#This Row],[Task Name]]="","",IF(N(Tasks[[#This Row],[Baseline Finish]])&gt;0,Tasks[[#This Row],[Baseline Finish]],Tasks[[#This Row],[_CalcFinish]]))</f>
        <v>46393</v>
      </c>
      <c r="R34" s="29"/>
      <c r="S34" s="29"/>
      <c r="T34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46392</v>
      </c>
      <c r="U34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46393</v>
      </c>
      <c r="V34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4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4" s="31"/>
      <c r="AA34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3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4" s="41" t="s">
        <v>99</v>
      </c>
      <c r="AD34" s="31"/>
      <c r="AE34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16</v>
      </c>
      <c r="AF34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1520</v>
      </c>
      <c r="AG3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9</v>
      </c>
      <c r="AH34" s="23" t="str">
        <f aca="false">IF(Tasks[[#This Row],[Task Name]]="","",Tasks[[#This Row],[_Pred1IDText]]&amp;IF(AND(Tasks[[#This Row],[_Pred1IDText]]&lt;&gt;"",Tasks[[#This Row],[_Pred2IDText]]&lt;&gt;""),",","")&amp;Tasks[[#This Row],[_Pred2IDText]])</f>
        <v>26</v>
      </c>
      <c r="AI34" s="41"/>
      <c r="AJ34" s="24" t="n">
        <f aca="false">IF(Tasks[[#This Row],[Task Name]]="","",Tasks[[#This Row],[Forecast Start]])</f>
        <v>46392</v>
      </c>
      <c r="AK34" s="24" t="n">
        <f aca="false">IF(Tasks[[#This Row],[Task Name]]="","",Tasks[[#This Row],[Forecast Finish]])</f>
        <v>46393</v>
      </c>
      <c r="AL34" s="38" t="n">
        <f aca="false">IF(Tasks[[#This Row],[Task Name]]="","",IF(Tasks[[#This Row],[_IsSummary]],NETWORKDAYS.INTL(Tasks[[#This Row],[Forecast Start]],Tasks[[#This Row],[Forecast Finish]],WorkWeek,Holidays),N(Tasks[[#This Row],[Duration]])))</f>
        <v>2</v>
      </c>
      <c r="AM34" s="43" t="n">
        <f aca="false">IF(Tasks[[#This Row],[Task Name]]="","",Tasks[[#This Row],[Work]])</f>
        <v>16</v>
      </c>
      <c r="AN34" s="44" t="n">
        <f aca="false">IF(Tasks[[#This Row],[Task Name]]="","",Tasks[[#This Row],[Cost]])</f>
        <v>1520</v>
      </c>
      <c r="AO34" s="29"/>
      <c r="AP34" s="29"/>
      <c r="AQ34" s="39"/>
      <c r="AR34" s="45"/>
      <c r="AS34" s="46"/>
      <c r="AT34" s="40" t="str">
        <f aca="false">IF(OR(Tasks[[#This Row],[Task Name]]="",Tasks[[#This Row],[Baseline Duration]]=""),"",Tasks[[#This Row],[BL Source Duration]]-N(Tasks[[#This Row],[Baseline Duration]]))</f>
        <v/>
      </c>
      <c r="AU34" s="43" t="str">
        <f aca="false">IF(OR(Tasks[[#This Row],[Task Name]]="",Tasks[[#This Row],[Baseline Work]]=""),"",Tasks[[#This Row],[Work]]-N(Tasks[[#This Row],[Baseline Work]]))</f>
        <v/>
      </c>
      <c r="AV34" s="44" t="str">
        <f aca="false">IF(OR(Tasks[[#This Row],[Task Name]]="",Tasks[[#This Row],[Baseline Cost]]=""),"",Tasks[[#This Row],[Cost]]-N(Tasks[[#This Row],[Baseline Cost]]))</f>
        <v/>
      </c>
      <c r="AW34" s="47" t="n">
        <f aca="false">IF(Tasks[[#This Row],[Task Name]]="","",MAX(1,N(Tasks[[#This Row],[Level]])))</f>
        <v>2</v>
      </c>
      <c r="AX34" s="47" t="n">
        <f aca="false">ROW()-ROW(Tasks[[#Headers],[ID]])</f>
        <v>29</v>
      </c>
      <c r="AY3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AZ34" s="47" t="n">
        <f aca="false">IFERROR(N(INDEX(Tasks[_Level],Tasks[[#This Row],[_Row]]+1)),0)</f>
        <v>2</v>
      </c>
      <c r="BA34" s="48" t="b">
        <f aca="false">AND(Tasks[[#This Row],[Task Name]]&lt;&gt;"",Tasks[[#This Row],[_NextLevel]]&gt;Tasks[[#This Row],[_Level]])</f>
        <v>0</v>
      </c>
      <c r="BB34" s="47" t="n">
        <f aca="false">IF(Tasks[[#This Row],[_IsSummary]],COUNTIF(Tasks[WBS],Tasks[[#This Row],[WBS]]&amp;".*"),0)</f>
        <v>0</v>
      </c>
      <c r="BC34" s="47" t="n">
        <f aca="false">IF(AND(Tasks[[#This Row],[Task Name]]&lt;&gt;"",NOT(Tasks[[#This Row],[_IsSummary]])),1,0)</f>
        <v>1</v>
      </c>
      <c r="BD34" s="47" t="n">
        <f aca="false">IF(N(Tasks[[#This Row],[Pred1 UID]])=0,0,IFERROR(MATCH(Tasks[[#This Row],[Pred1 UID]],Tasks[UID],0),-1))</f>
        <v>26</v>
      </c>
      <c r="BE34" s="47" t="n">
        <f aca="false">IF(N(Tasks[[#This Row],[Pred2 UID]])=0,0,IFERROR(MATCH(Tasks[[#This Row],[Pred2 UID]],Tasks[UID],0),-1))</f>
        <v>0</v>
      </c>
      <c r="BF34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46392</v>
      </c>
      <c r="BG34" s="49" t="n">
        <f aca="false">IF(NOT(Tasks[[#This Row],[_IsLeaf]]=1),"",IF(N(Tasks[[#This Row],[Duration]])&lt;=0,Tasks[[#This Row],[_LeafCalcStart]],WORKDAY.INTL(Tasks[[#This Row],[_LeafCalcStart]],Tasks[[#This Row],[Duration]]-1,WorkWeek,Holidays)))</f>
        <v>46393</v>
      </c>
      <c r="BH34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46392</v>
      </c>
      <c r="BI34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46393</v>
      </c>
      <c r="BJ34" s="47" t="n">
        <f aca="false">IF(NOT(Tasks[[#This Row],[_IsLeaf]]=1),0,IF(N(Tasks[[#This Row],[Actual Finish]])&gt;0,1,MIN(1,N(Tasks[[#This Row],[% Complete]]))))</f>
        <v>0</v>
      </c>
      <c r="BK34" s="47" t="n">
        <f aca="false">IF(OR(NOT(Tasks[[#This Row],[_IsLeaf]]=1),Tasks[[#This Row],[Resource]]=""),0,N(Tasks[[#This Row],[Duration]])*HoursPerDay*IF(Tasks[[#This Row],[Units]]="",DefaultUnits,Tasks[[#This Row],[Units]]))</f>
        <v>16</v>
      </c>
      <c r="BL34" s="47" t="n">
        <f aca="false">IF(Tasks[[#This Row],[_LeafWork]]=0,0,Tasks[[#This Row],[_LeafWork]]*IFERROR(INDEX(res_Rate,MATCH(Tasks[[#This Row],[Resource]],res_Name,0)),0))</f>
        <v>1520</v>
      </c>
      <c r="BM34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46392</v>
      </c>
      <c r="BN34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46393</v>
      </c>
      <c r="BO3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46392</v>
      </c>
      <c r="BR3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46392</v>
      </c>
      <c r="BT3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4" s="47" t="n">
        <f aca="false">IF(AND(Tasks[[#This Row],[_IsLeaf]]=1,Tasks[[#This Row],[_LeafWork]]&gt;0),NETWORKDAYS.INTL(ProjectStart,Tasks[[#This Row],[_LeafFcstStart]],WorkWeek,Holidays),0)</f>
        <v>83</v>
      </c>
      <c r="BV34" s="47" t="n">
        <f aca="false">IF(AND(Tasks[[#This Row],[_IsLeaf]]=1,Tasks[[#This Row],[_LeafWork]]&gt;0),MAX(Tasks[[#This Row],[_StartWorkday]],NETWORKDAYS.INTL(ProjectStart,Tasks[[#This Row],[_LeafFcstFinish]],WorkWeek,Holidays)),0)</f>
        <v>84</v>
      </c>
      <c r="BW34" s="47" t="n">
        <f aca="false">IF(AND(Tasks[[#This Row],[_IsLeaf]]=1,Tasks[[#This Row],[_LeafWork]]&gt;0),Tasks[[#This Row],[_LeafWork]]/(Tasks[[#This Row],[_FinishWorkday]]-Tasks[[#This Row],[_StartWorkday]]+1),0)</f>
        <v>8</v>
      </c>
      <c r="BX34" s="47" t="n">
        <f aca="false">Tasks[[#This Row],[_WorkPerWorkday]]*(Tasks[[#This Row],[_StartWorkday]]-1)</f>
        <v>656</v>
      </c>
      <c r="BY34" s="47" t="n">
        <f aca="false">IF(Tasks[[#This Row],[_IsLeaf]]=1,MAX(N(Tasks[[#This Row],[Duration]]),0.1),0)</f>
        <v>2</v>
      </c>
      <c r="BZ34" s="47" t="n">
        <f aca="false">Tasks[[#This Row],[_WeightDur]]*Tasks[[#This Row],[_LeafProgress]]</f>
        <v>0</v>
      </c>
      <c r="CA3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26</v>
      </c>
      <c r="CB3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26</v>
      </c>
      <c r="CD3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26</v>
      </c>
      <c r="CF3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5" customFormat="false" ht="15" hidden="false" customHeight="false" outlineLevel="0" collapsed="false">
      <c r="A35" s="38" t="n">
        <f aca="false">IF(Tasks[[#This Row],[Task Name]]="","",COUNTA(Tasks[[#Headers],[Task Name]]:Tasks[[#This Row],[Task Name]])-1)</f>
        <v>30</v>
      </c>
      <c r="B35" s="39" t="n">
        <v>30</v>
      </c>
      <c r="C3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5.3</v>
      </c>
      <c r="D35" s="39" t="n">
        <v>2</v>
      </c>
      <c r="E35" s="41" t="s">
        <v>310</v>
      </c>
      <c r="F35" s="39" t="s">
        <v>259</v>
      </c>
      <c r="G35" s="39" t="n">
        <v>0</v>
      </c>
      <c r="H35" s="39" t="n">
        <v>29</v>
      </c>
      <c r="I35" s="39" t="s">
        <v>264</v>
      </c>
      <c r="J35" s="39"/>
      <c r="K35" s="39"/>
      <c r="L35" s="39"/>
      <c r="M35" s="39"/>
      <c r="N35" s="29"/>
      <c r="O35" s="29"/>
      <c r="P35" s="24" t="n">
        <f aca="false">IF(Tasks[[#This Row],[Task Name]]="","",IF(N(Tasks[[#This Row],[Baseline Start]])&gt;0,Tasks[[#This Row],[Baseline Start]],Tasks[[#This Row],[_CalcStart]]))</f>
        <v>46393</v>
      </c>
      <c r="Q35" s="24" t="n">
        <f aca="false">IF(Tasks[[#This Row],[Task Name]]="","",IF(N(Tasks[[#This Row],[Baseline Finish]])&gt;0,Tasks[[#This Row],[Baseline Finish]],Tasks[[#This Row],[_CalcFinish]]))</f>
        <v>46393</v>
      </c>
      <c r="R35" s="29"/>
      <c r="S35" s="29"/>
      <c r="T35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46393</v>
      </c>
      <c r="U35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46393</v>
      </c>
      <c r="V35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5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5" s="31"/>
      <c r="AA35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3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5" s="41"/>
      <c r="AD35" s="31"/>
      <c r="AE35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F35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G3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9</v>
      </c>
      <c r="AH35" s="23" t="str">
        <f aca="false">IF(Tasks[[#This Row],[Task Name]]="","",Tasks[[#This Row],[_Pred1IDText]]&amp;IF(AND(Tasks[[#This Row],[_Pred1IDText]]&lt;&gt;"",Tasks[[#This Row],[_Pred2IDText]]&lt;&gt;""),",","")&amp;Tasks[[#This Row],[_Pred2IDText]])</f>
        <v>29</v>
      </c>
      <c r="AI35" s="41" t="s">
        <v>311</v>
      </c>
      <c r="AJ35" s="24" t="n">
        <f aca="false">IF(Tasks[[#This Row],[Task Name]]="","",Tasks[[#This Row],[Forecast Start]])</f>
        <v>46393</v>
      </c>
      <c r="AK35" s="24" t="n">
        <f aca="false">IF(Tasks[[#This Row],[Task Name]]="","",Tasks[[#This Row],[Forecast Finish]])</f>
        <v>46393</v>
      </c>
      <c r="AL35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M35" s="43" t="n">
        <f aca="false">IF(Tasks[[#This Row],[Task Name]]="","",Tasks[[#This Row],[Work]])</f>
        <v>0</v>
      </c>
      <c r="AN35" s="44" t="n">
        <f aca="false">IF(Tasks[[#This Row],[Task Name]]="","",Tasks[[#This Row],[Cost]])</f>
        <v>0</v>
      </c>
      <c r="AO35" s="29"/>
      <c r="AP35" s="29"/>
      <c r="AQ35" s="39"/>
      <c r="AR35" s="45"/>
      <c r="AS35" s="46"/>
      <c r="AT35" s="40" t="str">
        <f aca="false">IF(OR(Tasks[[#This Row],[Task Name]]="",Tasks[[#This Row],[Baseline Duration]]=""),"",Tasks[[#This Row],[BL Source Duration]]-N(Tasks[[#This Row],[Baseline Duration]]))</f>
        <v/>
      </c>
      <c r="AU35" s="43" t="str">
        <f aca="false">IF(OR(Tasks[[#This Row],[Task Name]]="",Tasks[[#This Row],[Baseline Work]]=""),"",Tasks[[#This Row],[Work]]-N(Tasks[[#This Row],[Baseline Work]]))</f>
        <v/>
      </c>
      <c r="AV35" s="44" t="str">
        <f aca="false">IF(OR(Tasks[[#This Row],[Task Name]]="",Tasks[[#This Row],[Baseline Cost]]=""),"",Tasks[[#This Row],[Cost]]-N(Tasks[[#This Row],[Baseline Cost]]))</f>
        <v/>
      </c>
      <c r="AW35" s="47" t="n">
        <f aca="false">IF(Tasks[[#This Row],[Task Name]]="","",MAX(1,N(Tasks[[#This Row],[Level]])))</f>
        <v>2</v>
      </c>
      <c r="AX35" s="47" t="n">
        <f aca="false">ROW()-ROW(Tasks[[#Headers],[ID]])</f>
        <v>30</v>
      </c>
      <c r="AY3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AZ35" s="47" t="n">
        <f aca="false">IFERROR(N(INDEX(Tasks[_Level],Tasks[[#This Row],[_Row]]+1)),0)</f>
        <v>0</v>
      </c>
      <c r="BA35" s="48" t="b">
        <f aca="false">AND(Tasks[[#This Row],[Task Name]]&lt;&gt;"",Tasks[[#This Row],[_NextLevel]]&gt;Tasks[[#This Row],[_Level]])</f>
        <v>0</v>
      </c>
      <c r="BB35" s="47" t="n">
        <f aca="false">IF(Tasks[[#This Row],[_IsSummary]],COUNTIF(Tasks[WBS],Tasks[[#This Row],[WBS]]&amp;".*"),0)</f>
        <v>0</v>
      </c>
      <c r="BC35" s="47" t="n">
        <f aca="false">IF(AND(Tasks[[#This Row],[Task Name]]&lt;&gt;"",NOT(Tasks[[#This Row],[_IsSummary]])),1,0)</f>
        <v>1</v>
      </c>
      <c r="BD35" s="47" t="n">
        <f aca="false">IF(N(Tasks[[#This Row],[Pred1 UID]])=0,0,IFERROR(MATCH(Tasks[[#This Row],[Pred1 UID]],Tasks[UID],0),-1))</f>
        <v>29</v>
      </c>
      <c r="BE35" s="47" t="n">
        <f aca="false">IF(N(Tasks[[#This Row],[Pred2 UID]])=0,0,IFERROR(MATCH(Tasks[[#This Row],[Pred2 UID]],Tasks[UID],0),-1))</f>
        <v>0</v>
      </c>
      <c r="BF35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46393</v>
      </c>
      <c r="BG35" s="49" t="n">
        <f aca="false">IF(NOT(Tasks[[#This Row],[_IsLeaf]]=1),"",IF(N(Tasks[[#This Row],[Duration]])&lt;=0,Tasks[[#This Row],[_LeafCalcStart]],WORKDAY.INTL(Tasks[[#This Row],[_LeafCalcStart]],Tasks[[#This Row],[Duration]]-1,WorkWeek,Holidays)))</f>
        <v>46393</v>
      </c>
      <c r="BH35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46393</v>
      </c>
      <c r="BI35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46393</v>
      </c>
      <c r="BJ35" s="47" t="n">
        <f aca="false">IF(NOT(Tasks[[#This Row],[_IsLeaf]]=1),0,IF(N(Tasks[[#This Row],[Actual Finish]])&gt;0,1,MIN(1,N(Tasks[[#This Row],[% Complete]]))))</f>
        <v>0</v>
      </c>
      <c r="BK3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35" s="47" t="n">
        <f aca="false">IF(Tasks[[#This Row],[_LeafWork]]=0,0,Tasks[[#This Row],[_LeafWork]]*IFERROR(INDEX(res_Rate,MATCH(Tasks[[#This Row],[Resource]],res_Name,0)),0))</f>
        <v>0</v>
      </c>
      <c r="BM35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46393</v>
      </c>
      <c r="BN35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46393</v>
      </c>
      <c r="BO3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46393</v>
      </c>
      <c r="BR3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46393</v>
      </c>
      <c r="BT3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5" s="47" t="n">
        <f aca="false">IF(AND(Tasks[[#This Row],[_IsLeaf]]=1,Tasks[[#This Row],[_LeafWork]]&gt;0),NETWORKDAYS.INTL(ProjectStart,Tasks[[#This Row],[_LeafFcstStart]],WorkWeek,Holidays),0)</f>
        <v>0</v>
      </c>
      <c r="BV3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5" s="47" t="n">
        <f aca="false">IF(AND(Tasks[[#This Row],[_IsLeaf]]=1,Tasks[[#This Row],[_LeafWork]]&gt;0),Tasks[[#This Row],[_LeafWork]]/(Tasks[[#This Row],[_FinishWorkday]]-Tasks[[#This Row],[_StartWorkday]]+1),0)</f>
        <v>0</v>
      </c>
      <c r="BX35" s="47" t="n">
        <f aca="false">Tasks[[#This Row],[_WorkPerWorkday]]*(Tasks[[#This Row],[_StartWorkday]]-1)</f>
        <v>-0</v>
      </c>
      <c r="BY35" s="47" t="n">
        <f aca="false">IF(Tasks[[#This Row],[_IsLeaf]]=1,MAX(N(Tasks[[#This Row],[Duration]]),0.1),0)</f>
        <v>0.1</v>
      </c>
      <c r="BZ35" s="47" t="n">
        <f aca="false">Tasks[[#This Row],[_WeightDur]]*Tasks[[#This Row],[_LeafProgress]]</f>
        <v>0</v>
      </c>
      <c r="CA3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29</v>
      </c>
      <c r="CB3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29</v>
      </c>
      <c r="CD3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29</v>
      </c>
      <c r="CF35" s="50" t="n">
        <f aca="false">IF(AND(Tasks[[#This Row],[_IsLeaf]]=1,N(Tasks[[#This Row],[Duration]])=0,Tasks[[#This Row],[_LeafProgress]]&lt;1),Tasks[[#This Row],[_LeafFcstFinish]]+Tasks[[#This Row],[_Row]]/100000,"")</f>
        <v>46393.0003</v>
      </c>
    </row>
    <row r="36" customFormat="false" ht="15" hidden="false" customHeight="false" outlineLevel="0" collapsed="false">
      <c r="A36" s="38" t="str">
        <f aca="false">IF(Tasks[[#This Row],[Task Name]]="","",COUNTA(Tasks[[#Headers],[Task Name]]:Tasks[[#This Row],[Task Name]])-1)</f>
        <v/>
      </c>
      <c r="B36" s="39" t="n">
        <v>31</v>
      </c>
      <c r="C3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6" s="39"/>
      <c r="E36" s="41"/>
      <c r="F36" s="39"/>
      <c r="G36" s="39"/>
      <c r="H36" s="39"/>
      <c r="I36" s="39"/>
      <c r="J36" s="39"/>
      <c r="K36" s="39"/>
      <c r="L36" s="39"/>
      <c r="M36" s="39"/>
      <c r="N36" s="29"/>
      <c r="O36" s="29"/>
      <c r="P36" s="24" t="str">
        <f aca="false">IF(Tasks[[#This Row],[Task Name]]="","",IF(N(Tasks[[#This Row],[Baseline Start]])&gt;0,Tasks[[#This Row],[Baseline Start]],Tasks[[#This Row],[_CalcStart]]))</f>
        <v/>
      </c>
      <c r="Q36" s="24" t="str">
        <f aca="false">IF(Tasks[[#This Row],[Task Name]]="","",IF(N(Tasks[[#This Row],[Baseline Finish]])&gt;0,Tasks[[#This Row],[Baseline Finish]],Tasks[[#This Row],[_CalcFinish]]))</f>
        <v/>
      </c>
      <c r="R36" s="29"/>
      <c r="S36" s="29"/>
      <c r="T3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6" s="31"/>
      <c r="AA3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6" s="41"/>
      <c r="AD36" s="31"/>
      <c r="AE3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6" s="41"/>
      <c r="AJ36" s="24" t="str">
        <f aca="false">IF(Tasks[[#This Row],[Task Name]]="","",Tasks[[#This Row],[Forecast Start]])</f>
        <v/>
      </c>
      <c r="AK36" s="24" t="str">
        <f aca="false">IF(Tasks[[#This Row],[Task Name]]="","",Tasks[[#This Row],[Forecast Finish]])</f>
        <v/>
      </c>
      <c r="AL3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6" s="43" t="str">
        <f aca="false">IF(Tasks[[#This Row],[Task Name]]="","",Tasks[[#This Row],[Work]])</f>
        <v/>
      </c>
      <c r="AN36" s="44" t="str">
        <f aca="false">IF(Tasks[[#This Row],[Task Name]]="","",Tasks[[#This Row],[Cost]])</f>
        <v/>
      </c>
      <c r="AO36" s="29"/>
      <c r="AP36" s="29"/>
      <c r="AQ36" s="39"/>
      <c r="AR36" s="45"/>
      <c r="AS36" s="46"/>
      <c r="AT36" s="40" t="str">
        <f aca="false">IF(OR(Tasks[[#This Row],[Task Name]]="",Tasks[[#This Row],[Baseline Duration]]=""),"",Tasks[[#This Row],[BL Source Duration]]-N(Tasks[[#This Row],[Baseline Duration]]))</f>
        <v/>
      </c>
      <c r="AU36" s="43" t="str">
        <f aca="false">IF(OR(Tasks[[#This Row],[Task Name]]="",Tasks[[#This Row],[Baseline Work]]=""),"",Tasks[[#This Row],[Work]]-N(Tasks[[#This Row],[Baseline Work]]))</f>
        <v/>
      </c>
      <c r="AV36" s="44" t="str">
        <f aca="false">IF(OR(Tasks[[#This Row],[Task Name]]="",Tasks[[#This Row],[Baseline Cost]]=""),"",Tasks[[#This Row],[Cost]]-N(Tasks[[#This Row],[Baseline Cost]]))</f>
        <v/>
      </c>
      <c r="AW36" s="47" t="str">
        <f aca="false">IF(Tasks[[#This Row],[Task Name]]="","",MAX(1,N(Tasks[[#This Row],[Level]])))</f>
        <v/>
      </c>
      <c r="AX36" s="47" t="n">
        <f aca="false">ROW()-ROW(Tasks[[#Headers],[ID]])</f>
        <v>31</v>
      </c>
      <c r="AY3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6" s="47" t="n">
        <f aca="false">IFERROR(N(INDEX(Tasks[_Level],Tasks[[#This Row],[_Row]]+1)),0)</f>
        <v>0</v>
      </c>
      <c r="BA36" s="48" t="b">
        <f aca="false">AND(Tasks[[#This Row],[Task Name]]&lt;&gt;"",Tasks[[#This Row],[_NextLevel]]&gt;Tasks[[#This Row],[_Level]])</f>
        <v>0</v>
      </c>
      <c r="BB36" s="47" t="n">
        <f aca="false">IF(Tasks[[#This Row],[_IsSummary]],COUNTIF(Tasks[WBS],Tasks[[#This Row],[WBS]]&amp;".*"),0)</f>
        <v>0</v>
      </c>
      <c r="BC36" s="47" t="n">
        <f aca="false">IF(AND(Tasks[[#This Row],[Task Name]]&lt;&gt;"",NOT(Tasks[[#This Row],[_IsSummary]])),1,0)</f>
        <v>0</v>
      </c>
      <c r="BD36" s="47" t="n">
        <f aca="false">IF(N(Tasks[[#This Row],[Pred1 UID]])=0,0,IFERROR(MATCH(Tasks[[#This Row],[Pred1 UID]],Tasks[UID],0),-1))</f>
        <v>0</v>
      </c>
      <c r="BE36" s="47" t="n">
        <f aca="false">IF(N(Tasks[[#This Row],[Pred2 UID]])=0,0,IFERROR(MATCH(Tasks[[#This Row],[Pred2 UID]],Tasks[UID],0),-1))</f>
        <v>0</v>
      </c>
      <c r="BF3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6" s="47" t="n">
        <f aca="false">IF(NOT(Tasks[[#This Row],[_IsLeaf]]=1),0,IF(N(Tasks[[#This Row],[Actual Finish]])&gt;0,1,MIN(1,N(Tasks[[#This Row],[% Complete]]))))</f>
        <v>0</v>
      </c>
      <c r="BK3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36" s="47" t="n">
        <f aca="false">IF(Tasks[[#This Row],[_LeafWork]]=0,0,Tasks[[#This Row],[_LeafWork]]*IFERROR(INDEX(res_Rate,MATCH(Tasks[[#This Row],[Resource]],res_Name,0)),0))</f>
        <v>0</v>
      </c>
      <c r="BM3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3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3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6" s="47" t="n">
        <f aca="false">IF(AND(Tasks[[#This Row],[_IsLeaf]]=1,Tasks[[#This Row],[_LeafWork]]&gt;0),NETWORKDAYS.INTL(ProjectStart,Tasks[[#This Row],[_LeafFcstStart]],WorkWeek,Holidays),0)</f>
        <v>0</v>
      </c>
      <c r="BV3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6" s="47" t="n">
        <f aca="false">IF(AND(Tasks[[#This Row],[_IsLeaf]]=1,Tasks[[#This Row],[_LeafWork]]&gt;0),Tasks[[#This Row],[_LeafWork]]/(Tasks[[#This Row],[_FinishWorkday]]-Tasks[[#This Row],[_StartWorkday]]+1),0)</f>
        <v>0</v>
      </c>
      <c r="BX36" s="47" t="n">
        <f aca="false">Tasks[[#This Row],[_WorkPerWorkday]]*(Tasks[[#This Row],[_StartWorkday]]-1)</f>
        <v>-0</v>
      </c>
      <c r="BY36" s="47" t="n">
        <f aca="false">IF(Tasks[[#This Row],[_IsLeaf]]=1,MAX(N(Tasks[[#This Row],[Duration]]),0.1),0)</f>
        <v>0</v>
      </c>
      <c r="BZ36" s="47" t="n">
        <f aca="false">Tasks[[#This Row],[_WeightDur]]*Tasks[[#This Row],[_LeafProgress]]</f>
        <v>0</v>
      </c>
      <c r="CA3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7" customFormat="false" ht="15" hidden="false" customHeight="false" outlineLevel="0" collapsed="false">
      <c r="A37" s="38" t="str">
        <f aca="false">IF(Tasks[[#This Row],[Task Name]]="","",COUNTA(Tasks[[#Headers],[Task Name]]:Tasks[[#This Row],[Task Name]])-1)</f>
        <v/>
      </c>
      <c r="B37" s="39" t="n">
        <v>32</v>
      </c>
      <c r="C3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7" s="39"/>
      <c r="E37" s="41"/>
      <c r="F37" s="39"/>
      <c r="G37" s="39"/>
      <c r="H37" s="39"/>
      <c r="I37" s="39"/>
      <c r="J37" s="39"/>
      <c r="K37" s="39"/>
      <c r="L37" s="39"/>
      <c r="M37" s="39"/>
      <c r="N37" s="29"/>
      <c r="O37" s="29"/>
      <c r="P37" s="24" t="str">
        <f aca="false">IF(Tasks[[#This Row],[Task Name]]="","",IF(N(Tasks[[#This Row],[Baseline Start]])&gt;0,Tasks[[#This Row],[Baseline Start]],Tasks[[#This Row],[_CalcStart]]))</f>
        <v/>
      </c>
      <c r="Q37" s="24" t="str">
        <f aca="false">IF(Tasks[[#This Row],[Task Name]]="","",IF(N(Tasks[[#This Row],[Baseline Finish]])&gt;0,Tasks[[#This Row],[Baseline Finish]],Tasks[[#This Row],[_CalcFinish]]))</f>
        <v/>
      </c>
      <c r="R37" s="29"/>
      <c r="S37" s="29"/>
      <c r="T3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7" s="31"/>
      <c r="AA3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7" s="41"/>
      <c r="AD37" s="31"/>
      <c r="AE3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7" s="41"/>
      <c r="AJ37" s="24" t="str">
        <f aca="false">IF(Tasks[[#This Row],[Task Name]]="","",Tasks[[#This Row],[Forecast Start]])</f>
        <v/>
      </c>
      <c r="AK37" s="24" t="str">
        <f aca="false">IF(Tasks[[#This Row],[Task Name]]="","",Tasks[[#This Row],[Forecast Finish]])</f>
        <v/>
      </c>
      <c r="AL3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7" s="43" t="str">
        <f aca="false">IF(Tasks[[#This Row],[Task Name]]="","",Tasks[[#This Row],[Work]])</f>
        <v/>
      </c>
      <c r="AN37" s="44" t="str">
        <f aca="false">IF(Tasks[[#This Row],[Task Name]]="","",Tasks[[#This Row],[Cost]])</f>
        <v/>
      </c>
      <c r="AO37" s="29"/>
      <c r="AP37" s="29"/>
      <c r="AQ37" s="39"/>
      <c r="AR37" s="45"/>
      <c r="AS37" s="46"/>
      <c r="AT37" s="40" t="str">
        <f aca="false">IF(OR(Tasks[[#This Row],[Task Name]]="",Tasks[[#This Row],[Baseline Duration]]=""),"",Tasks[[#This Row],[BL Source Duration]]-N(Tasks[[#This Row],[Baseline Duration]]))</f>
        <v/>
      </c>
      <c r="AU37" s="43" t="str">
        <f aca="false">IF(OR(Tasks[[#This Row],[Task Name]]="",Tasks[[#This Row],[Baseline Work]]=""),"",Tasks[[#This Row],[Work]]-N(Tasks[[#This Row],[Baseline Work]]))</f>
        <v/>
      </c>
      <c r="AV37" s="44" t="str">
        <f aca="false">IF(OR(Tasks[[#This Row],[Task Name]]="",Tasks[[#This Row],[Baseline Cost]]=""),"",Tasks[[#This Row],[Cost]]-N(Tasks[[#This Row],[Baseline Cost]]))</f>
        <v/>
      </c>
      <c r="AW37" s="47" t="str">
        <f aca="false">IF(Tasks[[#This Row],[Task Name]]="","",MAX(1,N(Tasks[[#This Row],[Level]])))</f>
        <v/>
      </c>
      <c r="AX37" s="47" t="n">
        <f aca="false">ROW()-ROW(Tasks[[#Headers],[ID]])</f>
        <v>32</v>
      </c>
      <c r="AY3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7" s="47" t="n">
        <f aca="false">IFERROR(N(INDEX(Tasks[_Level],Tasks[[#This Row],[_Row]]+1)),0)</f>
        <v>0</v>
      </c>
      <c r="BA37" s="48" t="b">
        <f aca="false">AND(Tasks[[#This Row],[Task Name]]&lt;&gt;"",Tasks[[#This Row],[_NextLevel]]&gt;Tasks[[#This Row],[_Level]])</f>
        <v>0</v>
      </c>
      <c r="BB37" s="47" t="n">
        <f aca="false">IF(Tasks[[#This Row],[_IsSummary]],COUNTIF(Tasks[WBS],Tasks[[#This Row],[WBS]]&amp;".*"),0)</f>
        <v>0</v>
      </c>
      <c r="BC37" s="47" t="n">
        <f aca="false">IF(AND(Tasks[[#This Row],[Task Name]]&lt;&gt;"",NOT(Tasks[[#This Row],[_IsSummary]])),1,0)</f>
        <v>0</v>
      </c>
      <c r="BD37" s="47" t="n">
        <f aca="false">IF(N(Tasks[[#This Row],[Pred1 UID]])=0,0,IFERROR(MATCH(Tasks[[#This Row],[Pred1 UID]],Tasks[UID],0),-1))</f>
        <v>0</v>
      </c>
      <c r="BE37" s="47" t="n">
        <f aca="false">IF(N(Tasks[[#This Row],[Pred2 UID]])=0,0,IFERROR(MATCH(Tasks[[#This Row],[Pred2 UID]],Tasks[UID],0),-1))</f>
        <v>0</v>
      </c>
      <c r="BF3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7" s="47" t="n">
        <f aca="false">IF(NOT(Tasks[[#This Row],[_IsLeaf]]=1),0,IF(N(Tasks[[#This Row],[Actual Finish]])&gt;0,1,MIN(1,N(Tasks[[#This Row],[% Complete]]))))</f>
        <v>0</v>
      </c>
      <c r="BK3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37" s="47" t="n">
        <f aca="false">IF(Tasks[[#This Row],[_LeafWork]]=0,0,Tasks[[#This Row],[_LeafWork]]*IFERROR(INDEX(res_Rate,MATCH(Tasks[[#This Row],[Resource]],res_Name,0)),0))</f>
        <v>0</v>
      </c>
      <c r="BM3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3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3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7" s="47" t="n">
        <f aca="false">IF(AND(Tasks[[#This Row],[_IsLeaf]]=1,Tasks[[#This Row],[_LeafWork]]&gt;0),NETWORKDAYS.INTL(ProjectStart,Tasks[[#This Row],[_LeafFcstStart]],WorkWeek,Holidays),0)</f>
        <v>0</v>
      </c>
      <c r="BV3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7" s="47" t="n">
        <f aca="false">IF(AND(Tasks[[#This Row],[_IsLeaf]]=1,Tasks[[#This Row],[_LeafWork]]&gt;0),Tasks[[#This Row],[_LeafWork]]/(Tasks[[#This Row],[_FinishWorkday]]-Tasks[[#This Row],[_StartWorkday]]+1),0)</f>
        <v>0</v>
      </c>
      <c r="BX37" s="47" t="n">
        <f aca="false">Tasks[[#This Row],[_WorkPerWorkday]]*(Tasks[[#This Row],[_StartWorkday]]-1)</f>
        <v>-0</v>
      </c>
      <c r="BY37" s="47" t="n">
        <f aca="false">IF(Tasks[[#This Row],[_IsLeaf]]=1,MAX(N(Tasks[[#This Row],[Duration]]),0.1),0)</f>
        <v>0</v>
      </c>
      <c r="BZ37" s="47" t="n">
        <f aca="false">Tasks[[#This Row],[_WeightDur]]*Tasks[[#This Row],[_LeafProgress]]</f>
        <v>0</v>
      </c>
      <c r="CA3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8" customFormat="false" ht="15" hidden="false" customHeight="false" outlineLevel="0" collapsed="false">
      <c r="A38" s="38" t="str">
        <f aca="false">IF(Tasks[[#This Row],[Task Name]]="","",COUNTA(Tasks[[#Headers],[Task Name]]:Tasks[[#This Row],[Task Name]])-1)</f>
        <v/>
      </c>
      <c r="B38" s="39" t="n">
        <v>33</v>
      </c>
      <c r="C3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8" s="39"/>
      <c r="E38" s="41"/>
      <c r="F38" s="39"/>
      <c r="G38" s="39"/>
      <c r="H38" s="39"/>
      <c r="I38" s="39"/>
      <c r="J38" s="39"/>
      <c r="K38" s="39"/>
      <c r="L38" s="39"/>
      <c r="M38" s="39"/>
      <c r="N38" s="29"/>
      <c r="O38" s="29"/>
      <c r="P38" s="24" t="str">
        <f aca="false">IF(Tasks[[#This Row],[Task Name]]="","",IF(N(Tasks[[#This Row],[Baseline Start]])&gt;0,Tasks[[#This Row],[Baseline Start]],Tasks[[#This Row],[_CalcStart]]))</f>
        <v/>
      </c>
      <c r="Q38" s="24" t="str">
        <f aca="false">IF(Tasks[[#This Row],[Task Name]]="","",IF(N(Tasks[[#This Row],[Baseline Finish]])&gt;0,Tasks[[#This Row],[Baseline Finish]],Tasks[[#This Row],[_CalcFinish]]))</f>
        <v/>
      </c>
      <c r="R38" s="29"/>
      <c r="S38" s="29"/>
      <c r="T3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8" s="31"/>
      <c r="AA3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8" s="41"/>
      <c r="AD38" s="31"/>
      <c r="AE3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8" s="41"/>
      <c r="AJ38" s="24" t="str">
        <f aca="false">IF(Tasks[[#This Row],[Task Name]]="","",Tasks[[#This Row],[Forecast Start]])</f>
        <v/>
      </c>
      <c r="AK38" s="24" t="str">
        <f aca="false">IF(Tasks[[#This Row],[Task Name]]="","",Tasks[[#This Row],[Forecast Finish]])</f>
        <v/>
      </c>
      <c r="AL3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8" s="43" t="str">
        <f aca="false">IF(Tasks[[#This Row],[Task Name]]="","",Tasks[[#This Row],[Work]])</f>
        <v/>
      </c>
      <c r="AN38" s="44" t="str">
        <f aca="false">IF(Tasks[[#This Row],[Task Name]]="","",Tasks[[#This Row],[Cost]])</f>
        <v/>
      </c>
      <c r="AO38" s="29"/>
      <c r="AP38" s="29"/>
      <c r="AQ38" s="39"/>
      <c r="AR38" s="45"/>
      <c r="AS38" s="46"/>
      <c r="AT38" s="40" t="str">
        <f aca="false">IF(OR(Tasks[[#This Row],[Task Name]]="",Tasks[[#This Row],[Baseline Duration]]=""),"",Tasks[[#This Row],[BL Source Duration]]-N(Tasks[[#This Row],[Baseline Duration]]))</f>
        <v/>
      </c>
      <c r="AU38" s="43" t="str">
        <f aca="false">IF(OR(Tasks[[#This Row],[Task Name]]="",Tasks[[#This Row],[Baseline Work]]=""),"",Tasks[[#This Row],[Work]]-N(Tasks[[#This Row],[Baseline Work]]))</f>
        <v/>
      </c>
      <c r="AV38" s="44" t="str">
        <f aca="false">IF(OR(Tasks[[#This Row],[Task Name]]="",Tasks[[#This Row],[Baseline Cost]]=""),"",Tasks[[#This Row],[Cost]]-N(Tasks[[#This Row],[Baseline Cost]]))</f>
        <v/>
      </c>
      <c r="AW38" s="47" t="str">
        <f aca="false">IF(Tasks[[#This Row],[Task Name]]="","",MAX(1,N(Tasks[[#This Row],[Level]])))</f>
        <v/>
      </c>
      <c r="AX38" s="47" t="n">
        <f aca="false">ROW()-ROW(Tasks[[#Headers],[ID]])</f>
        <v>33</v>
      </c>
      <c r="AY3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8" s="47" t="n">
        <f aca="false">IFERROR(N(INDEX(Tasks[_Level],Tasks[[#This Row],[_Row]]+1)),0)</f>
        <v>0</v>
      </c>
      <c r="BA38" s="48" t="b">
        <f aca="false">AND(Tasks[[#This Row],[Task Name]]&lt;&gt;"",Tasks[[#This Row],[_NextLevel]]&gt;Tasks[[#This Row],[_Level]])</f>
        <v>0</v>
      </c>
      <c r="BB38" s="47" t="n">
        <f aca="false">IF(Tasks[[#This Row],[_IsSummary]],COUNTIF(Tasks[WBS],Tasks[[#This Row],[WBS]]&amp;".*"),0)</f>
        <v>0</v>
      </c>
      <c r="BC38" s="47" t="n">
        <f aca="false">IF(AND(Tasks[[#This Row],[Task Name]]&lt;&gt;"",NOT(Tasks[[#This Row],[_IsSummary]])),1,0)</f>
        <v>0</v>
      </c>
      <c r="BD38" s="47" t="n">
        <f aca="false">IF(N(Tasks[[#This Row],[Pred1 UID]])=0,0,IFERROR(MATCH(Tasks[[#This Row],[Pred1 UID]],Tasks[UID],0),-1))</f>
        <v>0</v>
      </c>
      <c r="BE38" s="47" t="n">
        <f aca="false">IF(N(Tasks[[#This Row],[Pred2 UID]])=0,0,IFERROR(MATCH(Tasks[[#This Row],[Pred2 UID]],Tasks[UID],0),-1))</f>
        <v>0</v>
      </c>
      <c r="BF3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8" s="47" t="n">
        <f aca="false">IF(NOT(Tasks[[#This Row],[_IsLeaf]]=1),0,IF(N(Tasks[[#This Row],[Actual Finish]])&gt;0,1,MIN(1,N(Tasks[[#This Row],[% Complete]]))))</f>
        <v>0</v>
      </c>
      <c r="BK3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38" s="47" t="n">
        <f aca="false">IF(Tasks[[#This Row],[_LeafWork]]=0,0,Tasks[[#This Row],[_LeafWork]]*IFERROR(INDEX(res_Rate,MATCH(Tasks[[#This Row],[Resource]],res_Name,0)),0))</f>
        <v>0</v>
      </c>
      <c r="BM3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3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3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8" s="47" t="n">
        <f aca="false">IF(AND(Tasks[[#This Row],[_IsLeaf]]=1,Tasks[[#This Row],[_LeafWork]]&gt;0),NETWORKDAYS.INTL(ProjectStart,Tasks[[#This Row],[_LeafFcstStart]],WorkWeek,Holidays),0)</f>
        <v>0</v>
      </c>
      <c r="BV3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8" s="47" t="n">
        <f aca="false">IF(AND(Tasks[[#This Row],[_IsLeaf]]=1,Tasks[[#This Row],[_LeafWork]]&gt;0),Tasks[[#This Row],[_LeafWork]]/(Tasks[[#This Row],[_FinishWorkday]]-Tasks[[#This Row],[_StartWorkday]]+1),0)</f>
        <v>0</v>
      </c>
      <c r="BX38" s="47" t="n">
        <f aca="false">Tasks[[#This Row],[_WorkPerWorkday]]*(Tasks[[#This Row],[_StartWorkday]]-1)</f>
        <v>-0</v>
      </c>
      <c r="BY38" s="47" t="n">
        <f aca="false">IF(Tasks[[#This Row],[_IsLeaf]]=1,MAX(N(Tasks[[#This Row],[Duration]]),0.1),0)</f>
        <v>0</v>
      </c>
      <c r="BZ38" s="47" t="n">
        <f aca="false">Tasks[[#This Row],[_WeightDur]]*Tasks[[#This Row],[_LeafProgress]]</f>
        <v>0</v>
      </c>
      <c r="CA3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9" customFormat="false" ht="15" hidden="false" customHeight="false" outlineLevel="0" collapsed="false">
      <c r="A39" s="38" t="str">
        <f aca="false">IF(Tasks[[#This Row],[Task Name]]="","",COUNTA(Tasks[[#Headers],[Task Name]]:Tasks[[#This Row],[Task Name]])-1)</f>
        <v/>
      </c>
      <c r="B39" s="39" t="n">
        <v>34</v>
      </c>
      <c r="C3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9" s="39"/>
      <c r="E39" s="41"/>
      <c r="F39" s="39"/>
      <c r="G39" s="39"/>
      <c r="H39" s="39"/>
      <c r="I39" s="39"/>
      <c r="J39" s="39"/>
      <c r="K39" s="39"/>
      <c r="L39" s="39"/>
      <c r="M39" s="39"/>
      <c r="N39" s="29"/>
      <c r="O39" s="29"/>
      <c r="P39" s="24" t="str">
        <f aca="false">IF(Tasks[[#This Row],[Task Name]]="","",IF(N(Tasks[[#This Row],[Baseline Start]])&gt;0,Tasks[[#This Row],[Baseline Start]],Tasks[[#This Row],[_CalcStart]]))</f>
        <v/>
      </c>
      <c r="Q39" s="24" t="str">
        <f aca="false">IF(Tasks[[#This Row],[Task Name]]="","",IF(N(Tasks[[#This Row],[Baseline Finish]])&gt;0,Tasks[[#This Row],[Baseline Finish]],Tasks[[#This Row],[_CalcFinish]]))</f>
        <v/>
      </c>
      <c r="R39" s="29"/>
      <c r="S39" s="29"/>
      <c r="T3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9" s="31"/>
      <c r="AA3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9" s="41"/>
      <c r="AD39" s="31"/>
      <c r="AE3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9" s="41"/>
      <c r="AJ39" s="24" t="str">
        <f aca="false">IF(Tasks[[#This Row],[Task Name]]="","",Tasks[[#This Row],[Forecast Start]])</f>
        <v/>
      </c>
      <c r="AK39" s="24" t="str">
        <f aca="false">IF(Tasks[[#This Row],[Task Name]]="","",Tasks[[#This Row],[Forecast Finish]])</f>
        <v/>
      </c>
      <c r="AL3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9" s="43" t="str">
        <f aca="false">IF(Tasks[[#This Row],[Task Name]]="","",Tasks[[#This Row],[Work]])</f>
        <v/>
      </c>
      <c r="AN39" s="44" t="str">
        <f aca="false">IF(Tasks[[#This Row],[Task Name]]="","",Tasks[[#This Row],[Cost]])</f>
        <v/>
      </c>
      <c r="AO39" s="29"/>
      <c r="AP39" s="29"/>
      <c r="AQ39" s="39"/>
      <c r="AR39" s="45"/>
      <c r="AS39" s="46"/>
      <c r="AT39" s="40" t="str">
        <f aca="false">IF(OR(Tasks[[#This Row],[Task Name]]="",Tasks[[#This Row],[Baseline Duration]]=""),"",Tasks[[#This Row],[BL Source Duration]]-N(Tasks[[#This Row],[Baseline Duration]]))</f>
        <v/>
      </c>
      <c r="AU39" s="43" t="str">
        <f aca="false">IF(OR(Tasks[[#This Row],[Task Name]]="",Tasks[[#This Row],[Baseline Work]]=""),"",Tasks[[#This Row],[Work]]-N(Tasks[[#This Row],[Baseline Work]]))</f>
        <v/>
      </c>
      <c r="AV39" s="44" t="str">
        <f aca="false">IF(OR(Tasks[[#This Row],[Task Name]]="",Tasks[[#This Row],[Baseline Cost]]=""),"",Tasks[[#This Row],[Cost]]-N(Tasks[[#This Row],[Baseline Cost]]))</f>
        <v/>
      </c>
      <c r="AW39" s="47" t="str">
        <f aca="false">IF(Tasks[[#This Row],[Task Name]]="","",MAX(1,N(Tasks[[#This Row],[Level]])))</f>
        <v/>
      </c>
      <c r="AX39" s="47" t="n">
        <f aca="false">ROW()-ROW(Tasks[[#Headers],[ID]])</f>
        <v>34</v>
      </c>
      <c r="AY3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9" s="47" t="n">
        <f aca="false">IFERROR(N(INDEX(Tasks[_Level],Tasks[[#This Row],[_Row]]+1)),0)</f>
        <v>0</v>
      </c>
      <c r="BA39" s="48" t="b">
        <f aca="false">AND(Tasks[[#This Row],[Task Name]]&lt;&gt;"",Tasks[[#This Row],[_NextLevel]]&gt;Tasks[[#This Row],[_Level]])</f>
        <v>0</v>
      </c>
      <c r="BB39" s="47" t="n">
        <f aca="false">IF(Tasks[[#This Row],[_IsSummary]],COUNTIF(Tasks[WBS],Tasks[[#This Row],[WBS]]&amp;".*"),0)</f>
        <v>0</v>
      </c>
      <c r="BC39" s="47" t="n">
        <f aca="false">IF(AND(Tasks[[#This Row],[Task Name]]&lt;&gt;"",NOT(Tasks[[#This Row],[_IsSummary]])),1,0)</f>
        <v>0</v>
      </c>
      <c r="BD39" s="47" t="n">
        <f aca="false">IF(N(Tasks[[#This Row],[Pred1 UID]])=0,0,IFERROR(MATCH(Tasks[[#This Row],[Pred1 UID]],Tasks[UID],0),-1))</f>
        <v>0</v>
      </c>
      <c r="BE39" s="47" t="n">
        <f aca="false">IF(N(Tasks[[#This Row],[Pred2 UID]])=0,0,IFERROR(MATCH(Tasks[[#This Row],[Pred2 UID]],Tasks[UID],0),-1))</f>
        <v>0</v>
      </c>
      <c r="BF3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9" s="47" t="n">
        <f aca="false">IF(NOT(Tasks[[#This Row],[_IsLeaf]]=1),0,IF(N(Tasks[[#This Row],[Actual Finish]])&gt;0,1,MIN(1,N(Tasks[[#This Row],[% Complete]]))))</f>
        <v>0</v>
      </c>
      <c r="BK3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39" s="47" t="n">
        <f aca="false">IF(Tasks[[#This Row],[_LeafWork]]=0,0,Tasks[[#This Row],[_LeafWork]]*IFERROR(INDEX(res_Rate,MATCH(Tasks[[#This Row],[Resource]],res_Name,0)),0))</f>
        <v>0</v>
      </c>
      <c r="BM3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3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3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3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3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3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39" s="47" t="n">
        <f aca="false">IF(AND(Tasks[[#This Row],[_IsLeaf]]=1,Tasks[[#This Row],[_LeafWork]]&gt;0),NETWORKDAYS.INTL(ProjectStart,Tasks[[#This Row],[_LeafFcstStart]],WorkWeek,Holidays),0)</f>
        <v>0</v>
      </c>
      <c r="BV3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9" s="47" t="n">
        <f aca="false">IF(AND(Tasks[[#This Row],[_IsLeaf]]=1,Tasks[[#This Row],[_LeafWork]]&gt;0),Tasks[[#This Row],[_LeafWork]]/(Tasks[[#This Row],[_FinishWorkday]]-Tasks[[#This Row],[_StartWorkday]]+1),0)</f>
        <v>0</v>
      </c>
      <c r="BX39" s="47" t="n">
        <f aca="false">Tasks[[#This Row],[_WorkPerWorkday]]*(Tasks[[#This Row],[_StartWorkday]]-1)</f>
        <v>-0</v>
      </c>
      <c r="BY39" s="47" t="n">
        <f aca="false">IF(Tasks[[#This Row],[_IsLeaf]]=1,MAX(N(Tasks[[#This Row],[Duration]]),0.1),0)</f>
        <v>0</v>
      </c>
      <c r="BZ39" s="47" t="n">
        <f aca="false">Tasks[[#This Row],[_WeightDur]]*Tasks[[#This Row],[_LeafProgress]]</f>
        <v>0</v>
      </c>
      <c r="CA3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0" customFormat="false" ht="15" hidden="false" customHeight="false" outlineLevel="0" collapsed="false">
      <c r="A40" s="38" t="str">
        <f aca="false">IF(Tasks[[#This Row],[Task Name]]="","",COUNTA(Tasks[[#Headers],[Task Name]]:Tasks[[#This Row],[Task Name]])-1)</f>
        <v/>
      </c>
      <c r="B40" s="39" t="n">
        <v>35</v>
      </c>
      <c r="C4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0" s="39"/>
      <c r="E40" s="41"/>
      <c r="F40" s="39"/>
      <c r="G40" s="39"/>
      <c r="H40" s="39"/>
      <c r="I40" s="39"/>
      <c r="J40" s="39"/>
      <c r="K40" s="39"/>
      <c r="L40" s="39"/>
      <c r="M40" s="39"/>
      <c r="N40" s="29"/>
      <c r="O40" s="29"/>
      <c r="P40" s="24" t="str">
        <f aca="false">IF(Tasks[[#This Row],[Task Name]]="","",IF(N(Tasks[[#This Row],[Baseline Start]])&gt;0,Tasks[[#This Row],[Baseline Start]],Tasks[[#This Row],[_CalcStart]]))</f>
        <v/>
      </c>
      <c r="Q40" s="24" t="str">
        <f aca="false">IF(Tasks[[#This Row],[Task Name]]="","",IF(N(Tasks[[#This Row],[Baseline Finish]])&gt;0,Tasks[[#This Row],[Baseline Finish]],Tasks[[#This Row],[_CalcFinish]]))</f>
        <v/>
      </c>
      <c r="R40" s="29"/>
      <c r="S40" s="29"/>
      <c r="T4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0" s="31"/>
      <c r="AA4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0" s="41"/>
      <c r="AD40" s="31"/>
      <c r="AE4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0" s="41"/>
      <c r="AJ40" s="24" t="str">
        <f aca="false">IF(Tasks[[#This Row],[Task Name]]="","",Tasks[[#This Row],[Forecast Start]])</f>
        <v/>
      </c>
      <c r="AK40" s="24" t="str">
        <f aca="false">IF(Tasks[[#This Row],[Task Name]]="","",Tasks[[#This Row],[Forecast Finish]])</f>
        <v/>
      </c>
      <c r="AL4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0" s="43" t="str">
        <f aca="false">IF(Tasks[[#This Row],[Task Name]]="","",Tasks[[#This Row],[Work]])</f>
        <v/>
      </c>
      <c r="AN40" s="44" t="str">
        <f aca="false">IF(Tasks[[#This Row],[Task Name]]="","",Tasks[[#This Row],[Cost]])</f>
        <v/>
      </c>
      <c r="AO40" s="29"/>
      <c r="AP40" s="29"/>
      <c r="AQ40" s="39"/>
      <c r="AR40" s="45"/>
      <c r="AS40" s="46"/>
      <c r="AT40" s="40" t="str">
        <f aca="false">IF(OR(Tasks[[#This Row],[Task Name]]="",Tasks[[#This Row],[Baseline Duration]]=""),"",Tasks[[#This Row],[BL Source Duration]]-N(Tasks[[#This Row],[Baseline Duration]]))</f>
        <v/>
      </c>
      <c r="AU40" s="43" t="str">
        <f aca="false">IF(OR(Tasks[[#This Row],[Task Name]]="",Tasks[[#This Row],[Baseline Work]]=""),"",Tasks[[#This Row],[Work]]-N(Tasks[[#This Row],[Baseline Work]]))</f>
        <v/>
      </c>
      <c r="AV40" s="44" t="str">
        <f aca="false">IF(OR(Tasks[[#This Row],[Task Name]]="",Tasks[[#This Row],[Baseline Cost]]=""),"",Tasks[[#This Row],[Cost]]-N(Tasks[[#This Row],[Baseline Cost]]))</f>
        <v/>
      </c>
      <c r="AW40" s="47" t="str">
        <f aca="false">IF(Tasks[[#This Row],[Task Name]]="","",MAX(1,N(Tasks[[#This Row],[Level]])))</f>
        <v/>
      </c>
      <c r="AX40" s="47" t="n">
        <f aca="false">ROW()-ROW(Tasks[[#Headers],[ID]])</f>
        <v>35</v>
      </c>
      <c r="AY4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0" s="47" t="n">
        <f aca="false">IFERROR(N(INDEX(Tasks[_Level],Tasks[[#This Row],[_Row]]+1)),0)</f>
        <v>0</v>
      </c>
      <c r="BA40" s="48" t="b">
        <f aca="false">AND(Tasks[[#This Row],[Task Name]]&lt;&gt;"",Tasks[[#This Row],[_NextLevel]]&gt;Tasks[[#This Row],[_Level]])</f>
        <v>0</v>
      </c>
      <c r="BB40" s="47" t="n">
        <f aca="false">IF(Tasks[[#This Row],[_IsSummary]],COUNTIF(Tasks[WBS],Tasks[[#This Row],[WBS]]&amp;".*"),0)</f>
        <v>0</v>
      </c>
      <c r="BC40" s="47" t="n">
        <f aca="false">IF(AND(Tasks[[#This Row],[Task Name]]&lt;&gt;"",NOT(Tasks[[#This Row],[_IsSummary]])),1,0)</f>
        <v>0</v>
      </c>
      <c r="BD40" s="47" t="n">
        <f aca="false">IF(N(Tasks[[#This Row],[Pred1 UID]])=0,0,IFERROR(MATCH(Tasks[[#This Row],[Pred1 UID]],Tasks[UID],0),-1))</f>
        <v>0</v>
      </c>
      <c r="BE40" s="47" t="n">
        <f aca="false">IF(N(Tasks[[#This Row],[Pred2 UID]])=0,0,IFERROR(MATCH(Tasks[[#This Row],[Pred2 UID]],Tasks[UID],0),-1))</f>
        <v>0</v>
      </c>
      <c r="BF4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0" s="47" t="n">
        <f aca="false">IF(NOT(Tasks[[#This Row],[_IsLeaf]]=1),0,IF(N(Tasks[[#This Row],[Actual Finish]])&gt;0,1,MIN(1,N(Tasks[[#This Row],[% Complete]]))))</f>
        <v>0</v>
      </c>
      <c r="BK4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0" s="47" t="n">
        <f aca="false">IF(Tasks[[#This Row],[_LeafWork]]=0,0,Tasks[[#This Row],[_LeafWork]]*IFERROR(INDEX(res_Rate,MATCH(Tasks[[#This Row],[Resource]],res_Name,0)),0))</f>
        <v>0</v>
      </c>
      <c r="BM4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0" s="47" t="n">
        <f aca="false">IF(AND(Tasks[[#This Row],[_IsLeaf]]=1,Tasks[[#This Row],[_LeafWork]]&gt;0),NETWORKDAYS.INTL(ProjectStart,Tasks[[#This Row],[_LeafFcstStart]],WorkWeek,Holidays),0)</f>
        <v>0</v>
      </c>
      <c r="BV4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0" s="47" t="n">
        <f aca="false">IF(AND(Tasks[[#This Row],[_IsLeaf]]=1,Tasks[[#This Row],[_LeafWork]]&gt;0),Tasks[[#This Row],[_LeafWork]]/(Tasks[[#This Row],[_FinishWorkday]]-Tasks[[#This Row],[_StartWorkday]]+1),0)</f>
        <v>0</v>
      </c>
      <c r="BX40" s="47" t="n">
        <f aca="false">Tasks[[#This Row],[_WorkPerWorkday]]*(Tasks[[#This Row],[_StartWorkday]]-1)</f>
        <v>-0</v>
      </c>
      <c r="BY40" s="47" t="n">
        <f aca="false">IF(Tasks[[#This Row],[_IsLeaf]]=1,MAX(N(Tasks[[#This Row],[Duration]]),0.1),0)</f>
        <v>0</v>
      </c>
      <c r="BZ40" s="47" t="n">
        <f aca="false">Tasks[[#This Row],[_WeightDur]]*Tasks[[#This Row],[_LeafProgress]]</f>
        <v>0</v>
      </c>
      <c r="CA4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1" customFormat="false" ht="15" hidden="false" customHeight="false" outlineLevel="0" collapsed="false">
      <c r="A41" s="38" t="str">
        <f aca="false">IF(Tasks[[#This Row],[Task Name]]="","",COUNTA(Tasks[[#Headers],[Task Name]]:Tasks[[#This Row],[Task Name]])-1)</f>
        <v/>
      </c>
      <c r="B41" s="39" t="n">
        <v>36</v>
      </c>
      <c r="C4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1" s="39"/>
      <c r="E41" s="41"/>
      <c r="F41" s="39"/>
      <c r="G41" s="39"/>
      <c r="H41" s="39"/>
      <c r="I41" s="39"/>
      <c r="J41" s="39"/>
      <c r="K41" s="39"/>
      <c r="L41" s="39"/>
      <c r="M41" s="39"/>
      <c r="N41" s="29"/>
      <c r="O41" s="29"/>
      <c r="P41" s="24" t="str">
        <f aca="false">IF(Tasks[[#This Row],[Task Name]]="","",IF(N(Tasks[[#This Row],[Baseline Start]])&gt;0,Tasks[[#This Row],[Baseline Start]],Tasks[[#This Row],[_CalcStart]]))</f>
        <v/>
      </c>
      <c r="Q41" s="24" t="str">
        <f aca="false">IF(Tasks[[#This Row],[Task Name]]="","",IF(N(Tasks[[#This Row],[Baseline Finish]])&gt;0,Tasks[[#This Row],[Baseline Finish]],Tasks[[#This Row],[_CalcFinish]]))</f>
        <v/>
      </c>
      <c r="R41" s="29"/>
      <c r="S41" s="29"/>
      <c r="T4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1" s="31"/>
      <c r="AA4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1" s="41"/>
      <c r="AD41" s="31"/>
      <c r="AE4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1" s="41"/>
      <c r="AJ41" s="24" t="str">
        <f aca="false">IF(Tasks[[#This Row],[Task Name]]="","",Tasks[[#This Row],[Forecast Start]])</f>
        <v/>
      </c>
      <c r="AK41" s="24" t="str">
        <f aca="false">IF(Tasks[[#This Row],[Task Name]]="","",Tasks[[#This Row],[Forecast Finish]])</f>
        <v/>
      </c>
      <c r="AL4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1" s="43" t="str">
        <f aca="false">IF(Tasks[[#This Row],[Task Name]]="","",Tasks[[#This Row],[Work]])</f>
        <v/>
      </c>
      <c r="AN41" s="44" t="str">
        <f aca="false">IF(Tasks[[#This Row],[Task Name]]="","",Tasks[[#This Row],[Cost]])</f>
        <v/>
      </c>
      <c r="AO41" s="29"/>
      <c r="AP41" s="29"/>
      <c r="AQ41" s="39"/>
      <c r="AR41" s="45"/>
      <c r="AS41" s="46"/>
      <c r="AT41" s="40" t="str">
        <f aca="false">IF(OR(Tasks[[#This Row],[Task Name]]="",Tasks[[#This Row],[Baseline Duration]]=""),"",Tasks[[#This Row],[BL Source Duration]]-N(Tasks[[#This Row],[Baseline Duration]]))</f>
        <v/>
      </c>
      <c r="AU41" s="43" t="str">
        <f aca="false">IF(OR(Tasks[[#This Row],[Task Name]]="",Tasks[[#This Row],[Baseline Work]]=""),"",Tasks[[#This Row],[Work]]-N(Tasks[[#This Row],[Baseline Work]]))</f>
        <v/>
      </c>
      <c r="AV41" s="44" t="str">
        <f aca="false">IF(OR(Tasks[[#This Row],[Task Name]]="",Tasks[[#This Row],[Baseline Cost]]=""),"",Tasks[[#This Row],[Cost]]-N(Tasks[[#This Row],[Baseline Cost]]))</f>
        <v/>
      </c>
      <c r="AW41" s="47" t="str">
        <f aca="false">IF(Tasks[[#This Row],[Task Name]]="","",MAX(1,N(Tasks[[#This Row],[Level]])))</f>
        <v/>
      </c>
      <c r="AX41" s="47" t="n">
        <f aca="false">ROW()-ROW(Tasks[[#Headers],[ID]])</f>
        <v>36</v>
      </c>
      <c r="AY4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1" s="47" t="n">
        <f aca="false">IFERROR(N(INDEX(Tasks[_Level],Tasks[[#This Row],[_Row]]+1)),0)</f>
        <v>0</v>
      </c>
      <c r="BA41" s="48" t="b">
        <f aca="false">AND(Tasks[[#This Row],[Task Name]]&lt;&gt;"",Tasks[[#This Row],[_NextLevel]]&gt;Tasks[[#This Row],[_Level]])</f>
        <v>0</v>
      </c>
      <c r="BB41" s="47" t="n">
        <f aca="false">IF(Tasks[[#This Row],[_IsSummary]],COUNTIF(Tasks[WBS],Tasks[[#This Row],[WBS]]&amp;".*"),0)</f>
        <v>0</v>
      </c>
      <c r="BC41" s="47" t="n">
        <f aca="false">IF(AND(Tasks[[#This Row],[Task Name]]&lt;&gt;"",NOT(Tasks[[#This Row],[_IsSummary]])),1,0)</f>
        <v>0</v>
      </c>
      <c r="BD41" s="47" t="n">
        <f aca="false">IF(N(Tasks[[#This Row],[Pred1 UID]])=0,0,IFERROR(MATCH(Tasks[[#This Row],[Pred1 UID]],Tasks[UID],0),-1))</f>
        <v>0</v>
      </c>
      <c r="BE41" s="47" t="n">
        <f aca="false">IF(N(Tasks[[#This Row],[Pred2 UID]])=0,0,IFERROR(MATCH(Tasks[[#This Row],[Pred2 UID]],Tasks[UID],0),-1))</f>
        <v>0</v>
      </c>
      <c r="BF4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1" s="47" t="n">
        <f aca="false">IF(NOT(Tasks[[#This Row],[_IsLeaf]]=1),0,IF(N(Tasks[[#This Row],[Actual Finish]])&gt;0,1,MIN(1,N(Tasks[[#This Row],[% Complete]]))))</f>
        <v>0</v>
      </c>
      <c r="BK4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1" s="47" t="n">
        <f aca="false">IF(Tasks[[#This Row],[_LeafWork]]=0,0,Tasks[[#This Row],[_LeafWork]]*IFERROR(INDEX(res_Rate,MATCH(Tasks[[#This Row],[Resource]],res_Name,0)),0))</f>
        <v>0</v>
      </c>
      <c r="BM4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1" s="47" t="n">
        <f aca="false">IF(AND(Tasks[[#This Row],[_IsLeaf]]=1,Tasks[[#This Row],[_LeafWork]]&gt;0),NETWORKDAYS.INTL(ProjectStart,Tasks[[#This Row],[_LeafFcstStart]],WorkWeek,Holidays),0)</f>
        <v>0</v>
      </c>
      <c r="BV4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1" s="47" t="n">
        <f aca="false">IF(AND(Tasks[[#This Row],[_IsLeaf]]=1,Tasks[[#This Row],[_LeafWork]]&gt;0),Tasks[[#This Row],[_LeafWork]]/(Tasks[[#This Row],[_FinishWorkday]]-Tasks[[#This Row],[_StartWorkday]]+1),0)</f>
        <v>0</v>
      </c>
      <c r="BX41" s="47" t="n">
        <f aca="false">Tasks[[#This Row],[_WorkPerWorkday]]*(Tasks[[#This Row],[_StartWorkday]]-1)</f>
        <v>-0</v>
      </c>
      <c r="BY41" s="47" t="n">
        <f aca="false">IF(Tasks[[#This Row],[_IsLeaf]]=1,MAX(N(Tasks[[#This Row],[Duration]]),0.1),0)</f>
        <v>0</v>
      </c>
      <c r="BZ41" s="47" t="n">
        <f aca="false">Tasks[[#This Row],[_WeightDur]]*Tasks[[#This Row],[_LeafProgress]]</f>
        <v>0</v>
      </c>
      <c r="CA4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2" customFormat="false" ht="15" hidden="false" customHeight="false" outlineLevel="0" collapsed="false">
      <c r="A42" s="38" t="str">
        <f aca="false">IF(Tasks[[#This Row],[Task Name]]="","",COUNTA(Tasks[[#Headers],[Task Name]]:Tasks[[#This Row],[Task Name]])-1)</f>
        <v/>
      </c>
      <c r="B42" s="39" t="n">
        <v>37</v>
      </c>
      <c r="C4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2" s="39"/>
      <c r="E42" s="41"/>
      <c r="F42" s="39"/>
      <c r="G42" s="39"/>
      <c r="H42" s="39"/>
      <c r="I42" s="39"/>
      <c r="J42" s="39"/>
      <c r="K42" s="39"/>
      <c r="L42" s="39"/>
      <c r="M42" s="39"/>
      <c r="N42" s="29"/>
      <c r="O42" s="29"/>
      <c r="P42" s="24" t="str">
        <f aca="false">IF(Tasks[[#This Row],[Task Name]]="","",IF(N(Tasks[[#This Row],[Baseline Start]])&gt;0,Tasks[[#This Row],[Baseline Start]],Tasks[[#This Row],[_CalcStart]]))</f>
        <v/>
      </c>
      <c r="Q42" s="24" t="str">
        <f aca="false">IF(Tasks[[#This Row],[Task Name]]="","",IF(N(Tasks[[#This Row],[Baseline Finish]])&gt;0,Tasks[[#This Row],[Baseline Finish]],Tasks[[#This Row],[_CalcFinish]]))</f>
        <v/>
      </c>
      <c r="R42" s="29"/>
      <c r="S42" s="29"/>
      <c r="T4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2" s="31"/>
      <c r="AA4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2" s="41"/>
      <c r="AD42" s="31"/>
      <c r="AE4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2" s="41"/>
      <c r="AJ42" s="24" t="str">
        <f aca="false">IF(Tasks[[#This Row],[Task Name]]="","",Tasks[[#This Row],[Forecast Start]])</f>
        <v/>
      </c>
      <c r="AK42" s="24" t="str">
        <f aca="false">IF(Tasks[[#This Row],[Task Name]]="","",Tasks[[#This Row],[Forecast Finish]])</f>
        <v/>
      </c>
      <c r="AL4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2" s="43" t="str">
        <f aca="false">IF(Tasks[[#This Row],[Task Name]]="","",Tasks[[#This Row],[Work]])</f>
        <v/>
      </c>
      <c r="AN42" s="44" t="str">
        <f aca="false">IF(Tasks[[#This Row],[Task Name]]="","",Tasks[[#This Row],[Cost]])</f>
        <v/>
      </c>
      <c r="AO42" s="29"/>
      <c r="AP42" s="29"/>
      <c r="AQ42" s="39"/>
      <c r="AR42" s="45"/>
      <c r="AS42" s="46"/>
      <c r="AT42" s="40" t="str">
        <f aca="false">IF(OR(Tasks[[#This Row],[Task Name]]="",Tasks[[#This Row],[Baseline Duration]]=""),"",Tasks[[#This Row],[BL Source Duration]]-N(Tasks[[#This Row],[Baseline Duration]]))</f>
        <v/>
      </c>
      <c r="AU42" s="43" t="str">
        <f aca="false">IF(OR(Tasks[[#This Row],[Task Name]]="",Tasks[[#This Row],[Baseline Work]]=""),"",Tasks[[#This Row],[Work]]-N(Tasks[[#This Row],[Baseline Work]]))</f>
        <v/>
      </c>
      <c r="AV42" s="44" t="str">
        <f aca="false">IF(OR(Tasks[[#This Row],[Task Name]]="",Tasks[[#This Row],[Baseline Cost]]=""),"",Tasks[[#This Row],[Cost]]-N(Tasks[[#This Row],[Baseline Cost]]))</f>
        <v/>
      </c>
      <c r="AW42" s="47" t="str">
        <f aca="false">IF(Tasks[[#This Row],[Task Name]]="","",MAX(1,N(Tasks[[#This Row],[Level]])))</f>
        <v/>
      </c>
      <c r="AX42" s="47" t="n">
        <f aca="false">ROW()-ROW(Tasks[[#Headers],[ID]])</f>
        <v>37</v>
      </c>
      <c r="AY4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2" s="47" t="n">
        <f aca="false">IFERROR(N(INDEX(Tasks[_Level],Tasks[[#This Row],[_Row]]+1)),0)</f>
        <v>0</v>
      </c>
      <c r="BA42" s="48" t="b">
        <f aca="false">AND(Tasks[[#This Row],[Task Name]]&lt;&gt;"",Tasks[[#This Row],[_NextLevel]]&gt;Tasks[[#This Row],[_Level]])</f>
        <v>0</v>
      </c>
      <c r="BB42" s="47" t="n">
        <f aca="false">IF(Tasks[[#This Row],[_IsSummary]],COUNTIF(Tasks[WBS],Tasks[[#This Row],[WBS]]&amp;".*"),0)</f>
        <v>0</v>
      </c>
      <c r="BC42" s="47" t="n">
        <f aca="false">IF(AND(Tasks[[#This Row],[Task Name]]&lt;&gt;"",NOT(Tasks[[#This Row],[_IsSummary]])),1,0)</f>
        <v>0</v>
      </c>
      <c r="BD42" s="47" t="n">
        <f aca="false">IF(N(Tasks[[#This Row],[Pred1 UID]])=0,0,IFERROR(MATCH(Tasks[[#This Row],[Pred1 UID]],Tasks[UID],0),-1))</f>
        <v>0</v>
      </c>
      <c r="BE42" s="47" t="n">
        <f aca="false">IF(N(Tasks[[#This Row],[Pred2 UID]])=0,0,IFERROR(MATCH(Tasks[[#This Row],[Pred2 UID]],Tasks[UID],0),-1))</f>
        <v>0</v>
      </c>
      <c r="BF4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2" s="47" t="n">
        <f aca="false">IF(NOT(Tasks[[#This Row],[_IsLeaf]]=1),0,IF(N(Tasks[[#This Row],[Actual Finish]])&gt;0,1,MIN(1,N(Tasks[[#This Row],[% Complete]]))))</f>
        <v>0</v>
      </c>
      <c r="BK4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2" s="47" t="n">
        <f aca="false">IF(Tasks[[#This Row],[_LeafWork]]=0,0,Tasks[[#This Row],[_LeafWork]]*IFERROR(INDEX(res_Rate,MATCH(Tasks[[#This Row],[Resource]],res_Name,0)),0))</f>
        <v>0</v>
      </c>
      <c r="BM4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2" s="47" t="n">
        <f aca="false">IF(AND(Tasks[[#This Row],[_IsLeaf]]=1,Tasks[[#This Row],[_LeafWork]]&gt;0),NETWORKDAYS.INTL(ProjectStart,Tasks[[#This Row],[_LeafFcstStart]],WorkWeek,Holidays),0)</f>
        <v>0</v>
      </c>
      <c r="BV4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2" s="47" t="n">
        <f aca="false">IF(AND(Tasks[[#This Row],[_IsLeaf]]=1,Tasks[[#This Row],[_LeafWork]]&gt;0),Tasks[[#This Row],[_LeafWork]]/(Tasks[[#This Row],[_FinishWorkday]]-Tasks[[#This Row],[_StartWorkday]]+1),0)</f>
        <v>0</v>
      </c>
      <c r="BX42" s="47" t="n">
        <f aca="false">Tasks[[#This Row],[_WorkPerWorkday]]*(Tasks[[#This Row],[_StartWorkday]]-1)</f>
        <v>-0</v>
      </c>
      <c r="BY42" s="47" t="n">
        <f aca="false">IF(Tasks[[#This Row],[_IsLeaf]]=1,MAX(N(Tasks[[#This Row],[Duration]]),0.1),0)</f>
        <v>0</v>
      </c>
      <c r="BZ42" s="47" t="n">
        <f aca="false">Tasks[[#This Row],[_WeightDur]]*Tasks[[#This Row],[_LeafProgress]]</f>
        <v>0</v>
      </c>
      <c r="CA4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3" customFormat="false" ht="15" hidden="false" customHeight="false" outlineLevel="0" collapsed="false">
      <c r="A43" s="38" t="str">
        <f aca="false">IF(Tasks[[#This Row],[Task Name]]="","",COUNTA(Tasks[[#Headers],[Task Name]]:Tasks[[#This Row],[Task Name]])-1)</f>
        <v/>
      </c>
      <c r="B43" s="39" t="n">
        <v>38</v>
      </c>
      <c r="C4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3" s="39"/>
      <c r="E43" s="41"/>
      <c r="F43" s="39"/>
      <c r="G43" s="39"/>
      <c r="H43" s="39"/>
      <c r="I43" s="39"/>
      <c r="J43" s="39"/>
      <c r="K43" s="39"/>
      <c r="L43" s="39"/>
      <c r="M43" s="39"/>
      <c r="N43" s="29"/>
      <c r="O43" s="29"/>
      <c r="P43" s="24" t="str">
        <f aca="false">IF(Tasks[[#This Row],[Task Name]]="","",IF(N(Tasks[[#This Row],[Baseline Start]])&gt;0,Tasks[[#This Row],[Baseline Start]],Tasks[[#This Row],[_CalcStart]]))</f>
        <v/>
      </c>
      <c r="Q43" s="24" t="str">
        <f aca="false">IF(Tasks[[#This Row],[Task Name]]="","",IF(N(Tasks[[#This Row],[Baseline Finish]])&gt;0,Tasks[[#This Row],[Baseline Finish]],Tasks[[#This Row],[_CalcFinish]]))</f>
        <v/>
      </c>
      <c r="R43" s="29"/>
      <c r="S43" s="29"/>
      <c r="T4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3" s="31"/>
      <c r="AA4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3" s="41"/>
      <c r="AD43" s="31"/>
      <c r="AE4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3" s="41"/>
      <c r="AJ43" s="24" t="str">
        <f aca="false">IF(Tasks[[#This Row],[Task Name]]="","",Tasks[[#This Row],[Forecast Start]])</f>
        <v/>
      </c>
      <c r="AK43" s="24" t="str">
        <f aca="false">IF(Tasks[[#This Row],[Task Name]]="","",Tasks[[#This Row],[Forecast Finish]])</f>
        <v/>
      </c>
      <c r="AL4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3" s="43" t="str">
        <f aca="false">IF(Tasks[[#This Row],[Task Name]]="","",Tasks[[#This Row],[Work]])</f>
        <v/>
      </c>
      <c r="AN43" s="44" t="str">
        <f aca="false">IF(Tasks[[#This Row],[Task Name]]="","",Tasks[[#This Row],[Cost]])</f>
        <v/>
      </c>
      <c r="AO43" s="29"/>
      <c r="AP43" s="29"/>
      <c r="AQ43" s="39"/>
      <c r="AR43" s="45"/>
      <c r="AS43" s="46"/>
      <c r="AT43" s="40" t="str">
        <f aca="false">IF(OR(Tasks[[#This Row],[Task Name]]="",Tasks[[#This Row],[Baseline Duration]]=""),"",Tasks[[#This Row],[BL Source Duration]]-N(Tasks[[#This Row],[Baseline Duration]]))</f>
        <v/>
      </c>
      <c r="AU43" s="43" t="str">
        <f aca="false">IF(OR(Tasks[[#This Row],[Task Name]]="",Tasks[[#This Row],[Baseline Work]]=""),"",Tasks[[#This Row],[Work]]-N(Tasks[[#This Row],[Baseline Work]]))</f>
        <v/>
      </c>
      <c r="AV43" s="44" t="str">
        <f aca="false">IF(OR(Tasks[[#This Row],[Task Name]]="",Tasks[[#This Row],[Baseline Cost]]=""),"",Tasks[[#This Row],[Cost]]-N(Tasks[[#This Row],[Baseline Cost]]))</f>
        <v/>
      </c>
      <c r="AW43" s="47" t="str">
        <f aca="false">IF(Tasks[[#This Row],[Task Name]]="","",MAX(1,N(Tasks[[#This Row],[Level]])))</f>
        <v/>
      </c>
      <c r="AX43" s="47" t="n">
        <f aca="false">ROW()-ROW(Tasks[[#Headers],[ID]])</f>
        <v>38</v>
      </c>
      <c r="AY4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3" s="47" t="n">
        <f aca="false">IFERROR(N(INDEX(Tasks[_Level],Tasks[[#This Row],[_Row]]+1)),0)</f>
        <v>0</v>
      </c>
      <c r="BA43" s="48" t="b">
        <f aca="false">AND(Tasks[[#This Row],[Task Name]]&lt;&gt;"",Tasks[[#This Row],[_NextLevel]]&gt;Tasks[[#This Row],[_Level]])</f>
        <v>0</v>
      </c>
      <c r="BB43" s="47" t="n">
        <f aca="false">IF(Tasks[[#This Row],[_IsSummary]],COUNTIF(Tasks[WBS],Tasks[[#This Row],[WBS]]&amp;".*"),0)</f>
        <v>0</v>
      </c>
      <c r="BC43" s="47" t="n">
        <f aca="false">IF(AND(Tasks[[#This Row],[Task Name]]&lt;&gt;"",NOT(Tasks[[#This Row],[_IsSummary]])),1,0)</f>
        <v>0</v>
      </c>
      <c r="BD43" s="47" t="n">
        <f aca="false">IF(N(Tasks[[#This Row],[Pred1 UID]])=0,0,IFERROR(MATCH(Tasks[[#This Row],[Pred1 UID]],Tasks[UID],0),-1))</f>
        <v>0</v>
      </c>
      <c r="BE43" s="47" t="n">
        <f aca="false">IF(N(Tasks[[#This Row],[Pred2 UID]])=0,0,IFERROR(MATCH(Tasks[[#This Row],[Pred2 UID]],Tasks[UID],0),-1))</f>
        <v>0</v>
      </c>
      <c r="BF4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3" s="47" t="n">
        <f aca="false">IF(NOT(Tasks[[#This Row],[_IsLeaf]]=1),0,IF(N(Tasks[[#This Row],[Actual Finish]])&gt;0,1,MIN(1,N(Tasks[[#This Row],[% Complete]]))))</f>
        <v>0</v>
      </c>
      <c r="BK4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3" s="47" t="n">
        <f aca="false">IF(Tasks[[#This Row],[_LeafWork]]=0,0,Tasks[[#This Row],[_LeafWork]]*IFERROR(INDEX(res_Rate,MATCH(Tasks[[#This Row],[Resource]],res_Name,0)),0))</f>
        <v>0</v>
      </c>
      <c r="BM4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3" s="47" t="n">
        <f aca="false">IF(AND(Tasks[[#This Row],[_IsLeaf]]=1,Tasks[[#This Row],[_LeafWork]]&gt;0),NETWORKDAYS.INTL(ProjectStart,Tasks[[#This Row],[_LeafFcstStart]],WorkWeek,Holidays),0)</f>
        <v>0</v>
      </c>
      <c r="BV4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3" s="47" t="n">
        <f aca="false">IF(AND(Tasks[[#This Row],[_IsLeaf]]=1,Tasks[[#This Row],[_LeafWork]]&gt;0),Tasks[[#This Row],[_LeafWork]]/(Tasks[[#This Row],[_FinishWorkday]]-Tasks[[#This Row],[_StartWorkday]]+1),0)</f>
        <v>0</v>
      </c>
      <c r="BX43" s="47" t="n">
        <f aca="false">Tasks[[#This Row],[_WorkPerWorkday]]*(Tasks[[#This Row],[_StartWorkday]]-1)</f>
        <v>-0</v>
      </c>
      <c r="BY43" s="47" t="n">
        <f aca="false">IF(Tasks[[#This Row],[_IsLeaf]]=1,MAX(N(Tasks[[#This Row],[Duration]]),0.1),0)</f>
        <v>0</v>
      </c>
      <c r="BZ43" s="47" t="n">
        <f aca="false">Tasks[[#This Row],[_WeightDur]]*Tasks[[#This Row],[_LeafProgress]]</f>
        <v>0</v>
      </c>
      <c r="CA4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4" customFormat="false" ht="15" hidden="false" customHeight="false" outlineLevel="0" collapsed="false">
      <c r="A44" s="38" t="str">
        <f aca="false">IF(Tasks[[#This Row],[Task Name]]="","",COUNTA(Tasks[[#Headers],[Task Name]]:Tasks[[#This Row],[Task Name]])-1)</f>
        <v/>
      </c>
      <c r="B44" s="39" t="n">
        <v>39</v>
      </c>
      <c r="C4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4" s="39"/>
      <c r="E44" s="41"/>
      <c r="F44" s="39"/>
      <c r="G44" s="39"/>
      <c r="H44" s="39"/>
      <c r="I44" s="39"/>
      <c r="J44" s="39"/>
      <c r="K44" s="39"/>
      <c r="L44" s="39"/>
      <c r="M44" s="39"/>
      <c r="N44" s="29"/>
      <c r="O44" s="29"/>
      <c r="P44" s="24" t="str">
        <f aca="false">IF(Tasks[[#This Row],[Task Name]]="","",IF(N(Tasks[[#This Row],[Baseline Start]])&gt;0,Tasks[[#This Row],[Baseline Start]],Tasks[[#This Row],[_CalcStart]]))</f>
        <v/>
      </c>
      <c r="Q44" s="24" t="str">
        <f aca="false">IF(Tasks[[#This Row],[Task Name]]="","",IF(N(Tasks[[#This Row],[Baseline Finish]])&gt;0,Tasks[[#This Row],[Baseline Finish]],Tasks[[#This Row],[_CalcFinish]]))</f>
        <v/>
      </c>
      <c r="R44" s="29"/>
      <c r="S44" s="29"/>
      <c r="T4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4" s="31"/>
      <c r="AA4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4" s="41"/>
      <c r="AD44" s="31"/>
      <c r="AE4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4" s="41"/>
      <c r="AJ44" s="24" t="str">
        <f aca="false">IF(Tasks[[#This Row],[Task Name]]="","",Tasks[[#This Row],[Forecast Start]])</f>
        <v/>
      </c>
      <c r="AK44" s="24" t="str">
        <f aca="false">IF(Tasks[[#This Row],[Task Name]]="","",Tasks[[#This Row],[Forecast Finish]])</f>
        <v/>
      </c>
      <c r="AL4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4" s="43" t="str">
        <f aca="false">IF(Tasks[[#This Row],[Task Name]]="","",Tasks[[#This Row],[Work]])</f>
        <v/>
      </c>
      <c r="AN44" s="44" t="str">
        <f aca="false">IF(Tasks[[#This Row],[Task Name]]="","",Tasks[[#This Row],[Cost]])</f>
        <v/>
      </c>
      <c r="AO44" s="29"/>
      <c r="AP44" s="29"/>
      <c r="AQ44" s="39"/>
      <c r="AR44" s="45"/>
      <c r="AS44" s="46"/>
      <c r="AT44" s="40" t="str">
        <f aca="false">IF(OR(Tasks[[#This Row],[Task Name]]="",Tasks[[#This Row],[Baseline Duration]]=""),"",Tasks[[#This Row],[BL Source Duration]]-N(Tasks[[#This Row],[Baseline Duration]]))</f>
        <v/>
      </c>
      <c r="AU44" s="43" t="str">
        <f aca="false">IF(OR(Tasks[[#This Row],[Task Name]]="",Tasks[[#This Row],[Baseline Work]]=""),"",Tasks[[#This Row],[Work]]-N(Tasks[[#This Row],[Baseline Work]]))</f>
        <v/>
      </c>
      <c r="AV44" s="44" t="str">
        <f aca="false">IF(OR(Tasks[[#This Row],[Task Name]]="",Tasks[[#This Row],[Baseline Cost]]=""),"",Tasks[[#This Row],[Cost]]-N(Tasks[[#This Row],[Baseline Cost]]))</f>
        <v/>
      </c>
      <c r="AW44" s="47" t="str">
        <f aca="false">IF(Tasks[[#This Row],[Task Name]]="","",MAX(1,N(Tasks[[#This Row],[Level]])))</f>
        <v/>
      </c>
      <c r="AX44" s="47" t="n">
        <f aca="false">ROW()-ROW(Tasks[[#Headers],[ID]])</f>
        <v>39</v>
      </c>
      <c r="AY4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4" s="47" t="n">
        <f aca="false">IFERROR(N(INDEX(Tasks[_Level],Tasks[[#This Row],[_Row]]+1)),0)</f>
        <v>0</v>
      </c>
      <c r="BA44" s="48" t="b">
        <f aca="false">AND(Tasks[[#This Row],[Task Name]]&lt;&gt;"",Tasks[[#This Row],[_NextLevel]]&gt;Tasks[[#This Row],[_Level]])</f>
        <v>0</v>
      </c>
      <c r="BB44" s="47" t="n">
        <f aca="false">IF(Tasks[[#This Row],[_IsSummary]],COUNTIF(Tasks[WBS],Tasks[[#This Row],[WBS]]&amp;".*"),0)</f>
        <v>0</v>
      </c>
      <c r="BC44" s="47" t="n">
        <f aca="false">IF(AND(Tasks[[#This Row],[Task Name]]&lt;&gt;"",NOT(Tasks[[#This Row],[_IsSummary]])),1,0)</f>
        <v>0</v>
      </c>
      <c r="BD44" s="47" t="n">
        <f aca="false">IF(N(Tasks[[#This Row],[Pred1 UID]])=0,0,IFERROR(MATCH(Tasks[[#This Row],[Pred1 UID]],Tasks[UID],0),-1))</f>
        <v>0</v>
      </c>
      <c r="BE44" s="47" t="n">
        <f aca="false">IF(N(Tasks[[#This Row],[Pred2 UID]])=0,0,IFERROR(MATCH(Tasks[[#This Row],[Pred2 UID]],Tasks[UID],0),-1))</f>
        <v>0</v>
      </c>
      <c r="BF4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4" s="47" t="n">
        <f aca="false">IF(NOT(Tasks[[#This Row],[_IsLeaf]]=1),0,IF(N(Tasks[[#This Row],[Actual Finish]])&gt;0,1,MIN(1,N(Tasks[[#This Row],[% Complete]]))))</f>
        <v>0</v>
      </c>
      <c r="BK4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4" s="47" t="n">
        <f aca="false">IF(Tasks[[#This Row],[_LeafWork]]=0,0,Tasks[[#This Row],[_LeafWork]]*IFERROR(INDEX(res_Rate,MATCH(Tasks[[#This Row],[Resource]],res_Name,0)),0))</f>
        <v>0</v>
      </c>
      <c r="BM4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4" s="47" t="n">
        <f aca="false">IF(AND(Tasks[[#This Row],[_IsLeaf]]=1,Tasks[[#This Row],[_LeafWork]]&gt;0),NETWORKDAYS.INTL(ProjectStart,Tasks[[#This Row],[_LeafFcstStart]],WorkWeek,Holidays),0)</f>
        <v>0</v>
      </c>
      <c r="BV4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4" s="47" t="n">
        <f aca="false">IF(AND(Tasks[[#This Row],[_IsLeaf]]=1,Tasks[[#This Row],[_LeafWork]]&gt;0),Tasks[[#This Row],[_LeafWork]]/(Tasks[[#This Row],[_FinishWorkday]]-Tasks[[#This Row],[_StartWorkday]]+1),0)</f>
        <v>0</v>
      </c>
      <c r="BX44" s="47" t="n">
        <f aca="false">Tasks[[#This Row],[_WorkPerWorkday]]*(Tasks[[#This Row],[_StartWorkday]]-1)</f>
        <v>-0</v>
      </c>
      <c r="BY44" s="47" t="n">
        <f aca="false">IF(Tasks[[#This Row],[_IsLeaf]]=1,MAX(N(Tasks[[#This Row],[Duration]]),0.1),0)</f>
        <v>0</v>
      </c>
      <c r="BZ44" s="47" t="n">
        <f aca="false">Tasks[[#This Row],[_WeightDur]]*Tasks[[#This Row],[_LeafProgress]]</f>
        <v>0</v>
      </c>
      <c r="CA4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5" customFormat="false" ht="15" hidden="false" customHeight="false" outlineLevel="0" collapsed="false">
      <c r="A45" s="38" t="str">
        <f aca="false">IF(Tasks[[#This Row],[Task Name]]="","",COUNTA(Tasks[[#Headers],[Task Name]]:Tasks[[#This Row],[Task Name]])-1)</f>
        <v/>
      </c>
      <c r="B45" s="39" t="n">
        <v>40</v>
      </c>
      <c r="C4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5" s="39"/>
      <c r="E45" s="41"/>
      <c r="F45" s="39"/>
      <c r="G45" s="39"/>
      <c r="H45" s="39"/>
      <c r="I45" s="39"/>
      <c r="J45" s="39"/>
      <c r="K45" s="39"/>
      <c r="L45" s="39"/>
      <c r="M45" s="39"/>
      <c r="N45" s="29"/>
      <c r="O45" s="29"/>
      <c r="P45" s="24" t="str">
        <f aca="false">IF(Tasks[[#This Row],[Task Name]]="","",IF(N(Tasks[[#This Row],[Baseline Start]])&gt;0,Tasks[[#This Row],[Baseline Start]],Tasks[[#This Row],[_CalcStart]]))</f>
        <v/>
      </c>
      <c r="Q45" s="24" t="str">
        <f aca="false">IF(Tasks[[#This Row],[Task Name]]="","",IF(N(Tasks[[#This Row],[Baseline Finish]])&gt;0,Tasks[[#This Row],[Baseline Finish]],Tasks[[#This Row],[_CalcFinish]]))</f>
        <v/>
      </c>
      <c r="R45" s="29"/>
      <c r="S45" s="29"/>
      <c r="T4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5" s="31"/>
      <c r="AA4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5" s="41"/>
      <c r="AD45" s="31"/>
      <c r="AE4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5" s="41"/>
      <c r="AJ45" s="24" t="str">
        <f aca="false">IF(Tasks[[#This Row],[Task Name]]="","",Tasks[[#This Row],[Forecast Start]])</f>
        <v/>
      </c>
      <c r="AK45" s="24" t="str">
        <f aca="false">IF(Tasks[[#This Row],[Task Name]]="","",Tasks[[#This Row],[Forecast Finish]])</f>
        <v/>
      </c>
      <c r="AL4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5" s="43" t="str">
        <f aca="false">IF(Tasks[[#This Row],[Task Name]]="","",Tasks[[#This Row],[Work]])</f>
        <v/>
      </c>
      <c r="AN45" s="44" t="str">
        <f aca="false">IF(Tasks[[#This Row],[Task Name]]="","",Tasks[[#This Row],[Cost]])</f>
        <v/>
      </c>
      <c r="AO45" s="29"/>
      <c r="AP45" s="29"/>
      <c r="AQ45" s="39"/>
      <c r="AR45" s="45"/>
      <c r="AS45" s="46"/>
      <c r="AT45" s="40" t="str">
        <f aca="false">IF(OR(Tasks[[#This Row],[Task Name]]="",Tasks[[#This Row],[Baseline Duration]]=""),"",Tasks[[#This Row],[BL Source Duration]]-N(Tasks[[#This Row],[Baseline Duration]]))</f>
        <v/>
      </c>
      <c r="AU45" s="43" t="str">
        <f aca="false">IF(OR(Tasks[[#This Row],[Task Name]]="",Tasks[[#This Row],[Baseline Work]]=""),"",Tasks[[#This Row],[Work]]-N(Tasks[[#This Row],[Baseline Work]]))</f>
        <v/>
      </c>
      <c r="AV45" s="44" t="str">
        <f aca="false">IF(OR(Tasks[[#This Row],[Task Name]]="",Tasks[[#This Row],[Baseline Cost]]=""),"",Tasks[[#This Row],[Cost]]-N(Tasks[[#This Row],[Baseline Cost]]))</f>
        <v/>
      </c>
      <c r="AW45" s="47" t="str">
        <f aca="false">IF(Tasks[[#This Row],[Task Name]]="","",MAX(1,N(Tasks[[#This Row],[Level]])))</f>
        <v/>
      </c>
      <c r="AX45" s="47" t="n">
        <f aca="false">ROW()-ROW(Tasks[[#Headers],[ID]])</f>
        <v>40</v>
      </c>
      <c r="AY4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5" s="47" t="n">
        <f aca="false">IFERROR(N(INDEX(Tasks[_Level],Tasks[[#This Row],[_Row]]+1)),0)</f>
        <v>0</v>
      </c>
      <c r="BA45" s="48" t="b">
        <f aca="false">AND(Tasks[[#This Row],[Task Name]]&lt;&gt;"",Tasks[[#This Row],[_NextLevel]]&gt;Tasks[[#This Row],[_Level]])</f>
        <v>0</v>
      </c>
      <c r="BB45" s="47" t="n">
        <f aca="false">IF(Tasks[[#This Row],[_IsSummary]],COUNTIF(Tasks[WBS],Tasks[[#This Row],[WBS]]&amp;".*"),0)</f>
        <v>0</v>
      </c>
      <c r="BC45" s="47" t="n">
        <f aca="false">IF(AND(Tasks[[#This Row],[Task Name]]&lt;&gt;"",NOT(Tasks[[#This Row],[_IsSummary]])),1,0)</f>
        <v>0</v>
      </c>
      <c r="BD45" s="47" t="n">
        <f aca="false">IF(N(Tasks[[#This Row],[Pred1 UID]])=0,0,IFERROR(MATCH(Tasks[[#This Row],[Pred1 UID]],Tasks[UID],0),-1))</f>
        <v>0</v>
      </c>
      <c r="BE45" s="47" t="n">
        <f aca="false">IF(N(Tasks[[#This Row],[Pred2 UID]])=0,0,IFERROR(MATCH(Tasks[[#This Row],[Pred2 UID]],Tasks[UID],0),-1))</f>
        <v>0</v>
      </c>
      <c r="BF4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5" s="47" t="n">
        <f aca="false">IF(NOT(Tasks[[#This Row],[_IsLeaf]]=1),0,IF(N(Tasks[[#This Row],[Actual Finish]])&gt;0,1,MIN(1,N(Tasks[[#This Row],[% Complete]]))))</f>
        <v>0</v>
      </c>
      <c r="BK4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5" s="47" t="n">
        <f aca="false">IF(Tasks[[#This Row],[_LeafWork]]=0,0,Tasks[[#This Row],[_LeafWork]]*IFERROR(INDEX(res_Rate,MATCH(Tasks[[#This Row],[Resource]],res_Name,0)),0))</f>
        <v>0</v>
      </c>
      <c r="BM4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5" s="47" t="n">
        <f aca="false">IF(AND(Tasks[[#This Row],[_IsLeaf]]=1,Tasks[[#This Row],[_LeafWork]]&gt;0),NETWORKDAYS.INTL(ProjectStart,Tasks[[#This Row],[_LeafFcstStart]],WorkWeek,Holidays),0)</f>
        <v>0</v>
      </c>
      <c r="BV4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5" s="47" t="n">
        <f aca="false">IF(AND(Tasks[[#This Row],[_IsLeaf]]=1,Tasks[[#This Row],[_LeafWork]]&gt;0),Tasks[[#This Row],[_LeafWork]]/(Tasks[[#This Row],[_FinishWorkday]]-Tasks[[#This Row],[_StartWorkday]]+1),0)</f>
        <v>0</v>
      </c>
      <c r="BX45" s="47" t="n">
        <f aca="false">Tasks[[#This Row],[_WorkPerWorkday]]*(Tasks[[#This Row],[_StartWorkday]]-1)</f>
        <v>-0</v>
      </c>
      <c r="BY45" s="47" t="n">
        <f aca="false">IF(Tasks[[#This Row],[_IsLeaf]]=1,MAX(N(Tasks[[#This Row],[Duration]]),0.1),0)</f>
        <v>0</v>
      </c>
      <c r="BZ45" s="47" t="n">
        <f aca="false">Tasks[[#This Row],[_WeightDur]]*Tasks[[#This Row],[_LeafProgress]]</f>
        <v>0</v>
      </c>
      <c r="CA4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6" customFormat="false" ht="15" hidden="false" customHeight="false" outlineLevel="0" collapsed="false">
      <c r="A46" s="38" t="str">
        <f aca="false">IF(Tasks[[#This Row],[Task Name]]="","",COUNTA(Tasks[[#Headers],[Task Name]]:Tasks[[#This Row],[Task Name]])-1)</f>
        <v/>
      </c>
      <c r="B46" s="39" t="n">
        <v>41</v>
      </c>
      <c r="C4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6" s="39"/>
      <c r="E46" s="41"/>
      <c r="F46" s="39"/>
      <c r="G46" s="39"/>
      <c r="H46" s="39"/>
      <c r="I46" s="39"/>
      <c r="J46" s="39"/>
      <c r="K46" s="39"/>
      <c r="L46" s="39"/>
      <c r="M46" s="39"/>
      <c r="N46" s="29"/>
      <c r="O46" s="29"/>
      <c r="P46" s="24" t="str">
        <f aca="false">IF(Tasks[[#This Row],[Task Name]]="","",IF(N(Tasks[[#This Row],[Baseline Start]])&gt;0,Tasks[[#This Row],[Baseline Start]],Tasks[[#This Row],[_CalcStart]]))</f>
        <v/>
      </c>
      <c r="Q46" s="24" t="str">
        <f aca="false">IF(Tasks[[#This Row],[Task Name]]="","",IF(N(Tasks[[#This Row],[Baseline Finish]])&gt;0,Tasks[[#This Row],[Baseline Finish]],Tasks[[#This Row],[_CalcFinish]]))</f>
        <v/>
      </c>
      <c r="R46" s="29"/>
      <c r="S46" s="29"/>
      <c r="T4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6" s="31"/>
      <c r="AA4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6" s="41"/>
      <c r="AD46" s="31"/>
      <c r="AE4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6" s="41"/>
      <c r="AJ46" s="24" t="str">
        <f aca="false">IF(Tasks[[#This Row],[Task Name]]="","",Tasks[[#This Row],[Forecast Start]])</f>
        <v/>
      </c>
      <c r="AK46" s="24" t="str">
        <f aca="false">IF(Tasks[[#This Row],[Task Name]]="","",Tasks[[#This Row],[Forecast Finish]])</f>
        <v/>
      </c>
      <c r="AL4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6" s="43" t="str">
        <f aca="false">IF(Tasks[[#This Row],[Task Name]]="","",Tasks[[#This Row],[Work]])</f>
        <v/>
      </c>
      <c r="AN46" s="44" t="str">
        <f aca="false">IF(Tasks[[#This Row],[Task Name]]="","",Tasks[[#This Row],[Cost]])</f>
        <v/>
      </c>
      <c r="AO46" s="29"/>
      <c r="AP46" s="29"/>
      <c r="AQ46" s="39"/>
      <c r="AR46" s="45"/>
      <c r="AS46" s="46"/>
      <c r="AT46" s="40" t="str">
        <f aca="false">IF(OR(Tasks[[#This Row],[Task Name]]="",Tasks[[#This Row],[Baseline Duration]]=""),"",Tasks[[#This Row],[BL Source Duration]]-N(Tasks[[#This Row],[Baseline Duration]]))</f>
        <v/>
      </c>
      <c r="AU46" s="43" t="str">
        <f aca="false">IF(OR(Tasks[[#This Row],[Task Name]]="",Tasks[[#This Row],[Baseline Work]]=""),"",Tasks[[#This Row],[Work]]-N(Tasks[[#This Row],[Baseline Work]]))</f>
        <v/>
      </c>
      <c r="AV46" s="44" t="str">
        <f aca="false">IF(OR(Tasks[[#This Row],[Task Name]]="",Tasks[[#This Row],[Baseline Cost]]=""),"",Tasks[[#This Row],[Cost]]-N(Tasks[[#This Row],[Baseline Cost]]))</f>
        <v/>
      </c>
      <c r="AW46" s="47" t="str">
        <f aca="false">IF(Tasks[[#This Row],[Task Name]]="","",MAX(1,N(Tasks[[#This Row],[Level]])))</f>
        <v/>
      </c>
      <c r="AX46" s="47" t="n">
        <f aca="false">ROW()-ROW(Tasks[[#Headers],[ID]])</f>
        <v>41</v>
      </c>
      <c r="AY4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6" s="47" t="n">
        <f aca="false">IFERROR(N(INDEX(Tasks[_Level],Tasks[[#This Row],[_Row]]+1)),0)</f>
        <v>0</v>
      </c>
      <c r="BA46" s="48" t="b">
        <f aca="false">AND(Tasks[[#This Row],[Task Name]]&lt;&gt;"",Tasks[[#This Row],[_NextLevel]]&gt;Tasks[[#This Row],[_Level]])</f>
        <v>0</v>
      </c>
      <c r="BB46" s="47" t="n">
        <f aca="false">IF(Tasks[[#This Row],[_IsSummary]],COUNTIF(Tasks[WBS],Tasks[[#This Row],[WBS]]&amp;".*"),0)</f>
        <v>0</v>
      </c>
      <c r="BC46" s="47" t="n">
        <f aca="false">IF(AND(Tasks[[#This Row],[Task Name]]&lt;&gt;"",NOT(Tasks[[#This Row],[_IsSummary]])),1,0)</f>
        <v>0</v>
      </c>
      <c r="BD46" s="47" t="n">
        <f aca="false">IF(N(Tasks[[#This Row],[Pred1 UID]])=0,0,IFERROR(MATCH(Tasks[[#This Row],[Pred1 UID]],Tasks[UID],0),-1))</f>
        <v>0</v>
      </c>
      <c r="BE46" s="47" t="n">
        <f aca="false">IF(N(Tasks[[#This Row],[Pred2 UID]])=0,0,IFERROR(MATCH(Tasks[[#This Row],[Pred2 UID]],Tasks[UID],0),-1))</f>
        <v>0</v>
      </c>
      <c r="BF4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6" s="47" t="n">
        <f aca="false">IF(NOT(Tasks[[#This Row],[_IsLeaf]]=1),0,IF(N(Tasks[[#This Row],[Actual Finish]])&gt;0,1,MIN(1,N(Tasks[[#This Row],[% Complete]]))))</f>
        <v>0</v>
      </c>
      <c r="BK4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6" s="47" t="n">
        <f aca="false">IF(Tasks[[#This Row],[_LeafWork]]=0,0,Tasks[[#This Row],[_LeafWork]]*IFERROR(INDEX(res_Rate,MATCH(Tasks[[#This Row],[Resource]],res_Name,0)),0))</f>
        <v>0</v>
      </c>
      <c r="BM4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6" s="47" t="n">
        <f aca="false">IF(AND(Tasks[[#This Row],[_IsLeaf]]=1,Tasks[[#This Row],[_LeafWork]]&gt;0),NETWORKDAYS.INTL(ProjectStart,Tasks[[#This Row],[_LeafFcstStart]],WorkWeek,Holidays),0)</f>
        <v>0</v>
      </c>
      <c r="BV4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6" s="47" t="n">
        <f aca="false">IF(AND(Tasks[[#This Row],[_IsLeaf]]=1,Tasks[[#This Row],[_LeafWork]]&gt;0),Tasks[[#This Row],[_LeafWork]]/(Tasks[[#This Row],[_FinishWorkday]]-Tasks[[#This Row],[_StartWorkday]]+1),0)</f>
        <v>0</v>
      </c>
      <c r="BX46" s="47" t="n">
        <f aca="false">Tasks[[#This Row],[_WorkPerWorkday]]*(Tasks[[#This Row],[_StartWorkday]]-1)</f>
        <v>-0</v>
      </c>
      <c r="BY46" s="47" t="n">
        <f aca="false">IF(Tasks[[#This Row],[_IsLeaf]]=1,MAX(N(Tasks[[#This Row],[Duration]]),0.1),0)</f>
        <v>0</v>
      </c>
      <c r="BZ46" s="47" t="n">
        <f aca="false">Tasks[[#This Row],[_WeightDur]]*Tasks[[#This Row],[_LeafProgress]]</f>
        <v>0</v>
      </c>
      <c r="CA4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7" customFormat="false" ht="15" hidden="false" customHeight="false" outlineLevel="0" collapsed="false">
      <c r="A47" s="38" t="str">
        <f aca="false">IF(Tasks[[#This Row],[Task Name]]="","",COUNTA(Tasks[[#Headers],[Task Name]]:Tasks[[#This Row],[Task Name]])-1)</f>
        <v/>
      </c>
      <c r="B47" s="39" t="n">
        <v>42</v>
      </c>
      <c r="C4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7" s="39"/>
      <c r="E47" s="41"/>
      <c r="F47" s="39"/>
      <c r="G47" s="39"/>
      <c r="H47" s="39"/>
      <c r="I47" s="39"/>
      <c r="J47" s="39"/>
      <c r="K47" s="39"/>
      <c r="L47" s="39"/>
      <c r="M47" s="39"/>
      <c r="N47" s="29"/>
      <c r="O47" s="29"/>
      <c r="P47" s="24" t="str">
        <f aca="false">IF(Tasks[[#This Row],[Task Name]]="","",IF(N(Tasks[[#This Row],[Baseline Start]])&gt;0,Tasks[[#This Row],[Baseline Start]],Tasks[[#This Row],[_CalcStart]]))</f>
        <v/>
      </c>
      <c r="Q47" s="24" t="str">
        <f aca="false">IF(Tasks[[#This Row],[Task Name]]="","",IF(N(Tasks[[#This Row],[Baseline Finish]])&gt;0,Tasks[[#This Row],[Baseline Finish]],Tasks[[#This Row],[_CalcFinish]]))</f>
        <v/>
      </c>
      <c r="R47" s="29"/>
      <c r="S47" s="29"/>
      <c r="T4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7" s="31"/>
      <c r="AA4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7" s="41"/>
      <c r="AD47" s="31"/>
      <c r="AE4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7" s="41"/>
      <c r="AJ47" s="24" t="str">
        <f aca="false">IF(Tasks[[#This Row],[Task Name]]="","",Tasks[[#This Row],[Forecast Start]])</f>
        <v/>
      </c>
      <c r="AK47" s="24" t="str">
        <f aca="false">IF(Tasks[[#This Row],[Task Name]]="","",Tasks[[#This Row],[Forecast Finish]])</f>
        <v/>
      </c>
      <c r="AL4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7" s="43" t="str">
        <f aca="false">IF(Tasks[[#This Row],[Task Name]]="","",Tasks[[#This Row],[Work]])</f>
        <v/>
      </c>
      <c r="AN47" s="44" t="str">
        <f aca="false">IF(Tasks[[#This Row],[Task Name]]="","",Tasks[[#This Row],[Cost]])</f>
        <v/>
      </c>
      <c r="AO47" s="29"/>
      <c r="AP47" s="29"/>
      <c r="AQ47" s="39"/>
      <c r="AR47" s="45"/>
      <c r="AS47" s="46"/>
      <c r="AT47" s="40" t="str">
        <f aca="false">IF(OR(Tasks[[#This Row],[Task Name]]="",Tasks[[#This Row],[Baseline Duration]]=""),"",Tasks[[#This Row],[BL Source Duration]]-N(Tasks[[#This Row],[Baseline Duration]]))</f>
        <v/>
      </c>
      <c r="AU47" s="43" t="str">
        <f aca="false">IF(OR(Tasks[[#This Row],[Task Name]]="",Tasks[[#This Row],[Baseline Work]]=""),"",Tasks[[#This Row],[Work]]-N(Tasks[[#This Row],[Baseline Work]]))</f>
        <v/>
      </c>
      <c r="AV47" s="44" t="str">
        <f aca="false">IF(OR(Tasks[[#This Row],[Task Name]]="",Tasks[[#This Row],[Baseline Cost]]=""),"",Tasks[[#This Row],[Cost]]-N(Tasks[[#This Row],[Baseline Cost]]))</f>
        <v/>
      </c>
      <c r="AW47" s="47" t="str">
        <f aca="false">IF(Tasks[[#This Row],[Task Name]]="","",MAX(1,N(Tasks[[#This Row],[Level]])))</f>
        <v/>
      </c>
      <c r="AX47" s="47" t="n">
        <f aca="false">ROW()-ROW(Tasks[[#Headers],[ID]])</f>
        <v>42</v>
      </c>
      <c r="AY4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7" s="47" t="n">
        <f aca="false">IFERROR(N(INDEX(Tasks[_Level],Tasks[[#This Row],[_Row]]+1)),0)</f>
        <v>0</v>
      </c>
      <c r="BA47" s="48" t="b">
        <f aca="false">AND(Tasks[[#This Row],[Task Name]]&lt;&gt;"",Tasks[[#This Row],[_NextLevel]]&gt;Tasks[[#This Row],[_Level]])</f>
        <v>0</v>
      </c>
      <c r="BB47" s="47" t="n">
        <f aca="false">IF(Tasks[[#This Row],[_IsSummary]],COUNTIF(Tasks[WBS],Tasks[[#This Row],[WBS]]&amp;".*"),0)</f>
        <v>0</v>
      </c>
      <c r="BC47" s="47" t="n">
        <f aca="false">IF(AND(Tasks[[#This Row],[Task Name]]&lt;&gt;"",NOT(Tasks[[#This Row],[_IsSummary]])),1,0)</f>
        <v>0</v>
      </c>
      <c r="BD47" s="47" t="n">
        <f aca="false">IF(N(Tasks[[#This Row],[Pred1 UID]])=0,0,IFERROR(MATCH(Tasks[[#This Row],[Pred1 UID]],Tasks[UID],0),-1))</f>
        <v>0</v>
      </c>
      <c r="BE47" s="47" t="n">
        <f aca="false">IF(N(Tasks[[#This Row],[Pred2 UID]])=0,0,IFERROR(MATCH(Tasks[[#This Row],[Pred2 UID]],Tasks[UID],0),-1))</f>
        <v>0</v>
      </c>
      <c r="BF4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7" s="47" t="n">
        <f aca="false">IF(NOT(Tasks[[#This Row],[_IsLeaf]]=1),0,IF(N(Tasks[[#This Row],[Actual Finish]])&gt;0,1,MIN(1,N(Tasks[[#This Row],[% Complete]]))))</f>
        <v>0</v>
      </c>
      <c r="BK4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7" s="47" t="n">
        <f aca="false">IF(Tasks[[#This Row],[_LeafWork]]=0,0,Tasks[[#This Row],[_LeafWork]]*IFERROR(INDEX(res_Rate,MATCH(Tasks[[#This Row],[Resource]],res_Name,0)),0))</f>
        <v>0</v>
      </c>
      <c r="BM4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7" s="47" t="n">
        <f aca="false">IF(AND(Tasks[[#This Row],[_IsLeaf]]=1,Tasks[[#This Row],[_LeafWork]]&gt;0),NETWORKDAYS.INTL(ProjectStart,Tasks[[#This Row],[_LeafFcstStart]],WorkWeek,Holidays),0)</f>
        <v>0</v>
      </c>
      <c r="BV4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7" s="47" t="n">
        <f aca="false">IF(AND(Tasks[[#This Row],[_IsLeaf]]=1,Tasks[[#This Row],[_LeafWork]]&gt;0),Tasks[[#This Row],[_LeafWork]]/(Tasks[[#This Row],[_FinishWorkday]]-Tasks[[#This Row],[_StartWorkday]]+1),0)</f>
        <v>0</v>
      </c>
      <c r="BX47" s="47" t="n">
        <f aca="false">Tasks[[#This Row],[_WorkPerWorkday]]*(Tasks[[#This Row],[_StartWorkday]]-1)</f>
        <v>-0</v>
      </c>
      <c r="BY47" s="47" t="n">
        <f aca="false">IF(Tasks[[#This Row],[_IsLeaf]]=1,MAX(N(Tasks[[#This Row],[Duration]]),0.1),0)</f>
        <v>0</v>
      </c>
      <c r="BZ47" s="47" t="n">
        <f aca="false">Tasks[[#This Row],[_WeightDur]]*Tasks[[#This Row],[_LeafProgress]]</f>
        <v>0</v>
      </c>
      <c r="CA4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8" customFormat="false" ht="15" hidden="false" customHeight="false" outlineLevel="0" collapsed="false">
      <c r="A48" s="38" t="str">
        <f aca="false">IF(Tasks[[#This Row],[Task Name]]="","",COUNTA(Tasks[[#Headers],[Task Name]]:Tasks[[#This Row],[Task Name]])-1)</f>
        <v/>
      </c>
      <c r="B48" s="39" t="n">
        <v>43</v>
      </c>
      <c r="C4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8" s="39"/>
      <c r="E48" s="41"/>
      <c r="F48" s="39"/>
      <c r="G48" s="39"/>
      <c r="H48" s="39"/>
      <c r="I48" s="39"/>
      <c r="J48" s="39"/>
      <c r="K48" s="39"/>
      <c r="L48" s="39"/>
      <c r="M48" s="39"/>
      <c r="N48" s="29"/>
      <c r="O48" s="29"/>
      <c r="P48" s="24" t="str">
        <f aca="false">IF(Tasks[[#This Row],[Task Name]]="","",IF(N(Tasks[[#This Row],[Baseline Start]])&gt;0,Tasks[[#This Row],[Baseline Start]],Tasks[[#This Row],[_CalcStart]]))</f>
        <v/>
      </c>
      <c r="Q48" s="24" t="str">
        <f aca="false">IF(Tasks[[#This Row],[Task Name]]="","",IF(N(Tasks[[#This Row],[Baseline Finish]])&gt;0,Tasks[[#This Row],[Baseline Finish]],Tasks[[#This Row],[_CalcFinish]]))</f>
        <v/>
      </c>
      <c r="R48" s="29"/>
      <c r="S48" s="29"/>
      <c r="T4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8" s="31"/>
      <c r="AA4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8" s="41"/>
      <c r="AD48" s="31"/>
      <c r="AE4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8" s="41"/>
      <c r="AJ48" s="24" t="str">
        <f aca="false">IF(Tasks[[#This Row],[Task Name]]="","",Tasks[[#This Row],[Forecast Start]])</f>
        <v/>
      </c>
      <c r="AK48" s="24" t="str">
        <f aca="false">IF(Tasks[[#This Row],[Task Name]]="","",Tasks[[#This Row],[Forecast Finish]])</f>
        <v/>
      </c>
      <c r="AL4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8" s="43" t="str">
        <f aca="false">IF(Tasks[[#This Row],[Task Name]]="","",Tasks[[#This Row],[Work]])</f>
        <v/>
      </c>
      <c r="AN48" s="44" t="str">
        <f aca="false">IF(Tasks[[#This Row],[Task Name]]="","",Tasks[[#This Row],[Cost]])</f>
        <v/>
      </c>
      <c r="AO48" s="29"/>
      <c r="AP48" s="29"/>
      <c r="AQ48" s="39"/>
      <c r="AR48" s="45"/>
      <c r="AS48" s="46"/>
      <c r="AT48" s="40" t="str">
        <f aca="false">IF(OR(Tasks[[#This Row],[Task Name]]="",Tasks[[#This Row],[Baseline Duration]]=""),"",Tasks[[#This Row],[BL Source Duration]]-N(Tasks[[#This Row],[Baseline Duration]]))</f>
        <v/>
      </c>
      <c r="AU48" s="43" t="str">
        <f aca="false">IF(OR(Tasks[[#This Row],[Task Name]]="",Tasks[[#This Row],[Baseline Work]]=""),"",Tasks[[#This Row],[Work]]-N(Tasks[[#This Row],[Baseline Work]]))</f>
        <v/>
      </c>
      <c r="AV48" s="44" t="str">
        <f aca="false">IF(OR(Tasks[[#This Row],[Task Name]]="",Tasks[[#This Row],[Baseline Cost]]=""),"",Tasks[[#This Row],[Cost]]-N(Tasks[[#This Row],[Baseline Cost]]))</f>
        <v/>
      </c>
      <c r="AW48" s="47" t="str">
        <f aca="false">IF(Tasks[[#This Row],[Task Name]]="","",MAX(1,N(Tasks[[#This Row],[Level]])))</f>
        <v/>
      </c>
      <c r="AX48" s="47" t="n">
        <f aca="false">ROW()-ROW(Tasks[[#Headers],[ID]])</f>
        <v>43</v>
      </c>
      <c r="AY4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8" s="47" t="n">
        <f aca="false">IFERROR(N(INDEX(Tasks[_Level],Tasks[[#This Row],[_Row]]+1)),0)</f>
        <v>0</v>
      </c>
      <c r="BA48" s="48" t="b">
        <f aca="false">AND(Tasks[[#This Row],[Task Name]]&lt;&gt;"",Tasks[[#This Row],[_NextLevel]]&gt;Tasks[[#This Row],[_Level]])</f>
        <v>0</v>
      </c>
      <c r="BB48" s="47" t="n">
        <f aca="false">IF(Tasks[[#This Row],[_IsSummary]],COUNTIF(Tasks[WBS],Tasks[[#This Row],[WBS]]&amp;".*"),0)</f>
        <v>0</v>
      </c>
      <c r="BC48" s="47" t="n">
        <f aca="false">IF(AND(Tasks[[#This Row],[Task Name]]&lt;&gt;"",NOT(Tasks[[#This Row],[_IsSummary]])),1,0)</f>
        <v>0</v>
      </c>
      <c r="BD48" s="47" t="n">
        <f aca="false">IF(N(Tasks[[#This Row],[Pred1 UID]])=0,0,IFERROR(MATCH(Tasks[[#This Row],[Pred1 UID]],Tasks[UID],0),-1))</f>
        <v>0</v>
      </c>
      <c r="BE48" s="47" t="n">
        <f aca="false">IF(N(Tasks[[#This Row],[Pred2 UID]])=0,0,IFERROR(MATCH(Tasks[[#This Row],[Pred2 UID]],Tasks[UID],0),-1))</f>
        <v>0</v>
      </c>
      <c r="BF4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8" s="47" t="n">
        <f aca="false">IF(NOT(Tasks[[#This Row],[_IsLeaf]]=1),0,IF(N(Tasks[[#This Row],[Actual Finish]])&gt;0,1,MIN(1,N(Tasks[[#This Row],[% Complete]]))))</f>
        <v>0</v>
      </c>
      <c r="BK4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8" s="47" t="n">
        <f aca="false">IF(Tasks[[#This Row],[_LeafWork]]=0,0,Tasks[[#This Row],[_LeafWork]]*IFERROR(INDEX(res_Rate,MATCH(Tasks[[#This Row],[Resource]],res_Name,0)),0))</f>
        <v>0</v>
      </c>
      <c r="BM4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8" s="47" t="n">
        <f aca="false">IF(AND(Tasks[[#This Row],[_IsLeaf]]=1,Tasks[[#This Row],[_LeafWork]]&gt;0),NETWORKDAYS.INTL(ProjectStart,Tasks[[#This Row],[_LeafFcstStart]],WorkWeek,Holidays),0)</f>
        <v>0</v>
      </c>
      <c r="BV4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8" s="47" t="n">
        <f aca="false">IF(AND(Tasks[[#This Row],[_IsLeaf]]=1,Tasks[[#This Row],[_LeafWork]]&gt;0),Tasks[[#This Row],[_LeafWork]]/(Tasks[[#This Row],[_FinishWorkday]]-Tasks[[#This Row],[_StartWorkday]]+1),0)</f>
        <v>0</v>
      </c>
      <c r="BX48" s="47" t="n">
        <f aca="false">Tasks[[#This Row],[_WorkPerWorkday]]*(Tasks[[#This Row],[_StartWorkday]]-1)</f>
        <v>-0</v>
      </c>
      <c r="BY48" s="47" t="n">
        <f aca="false">IF(Tasks[[#This Row],[_IsLeaf]]=1,MAX(N(Tasks[[#This Row],[Duration]]),0.1),0)</f>
        <v>0</v>
      </c>
      <c r="BZ48" s="47" t="n">
        <f aca="false">Tasks[[#This Row],[_WeightDur]]*Tasks[[#This Row],[_LeafProgress]]</f>
        <v>0</v>
      </c>
      <c r="CA4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9" customFormat="false" ht="15" hidden="false" customHeight="false" outlineLevel="0" collapsed="false">
      <c r="A49" s="38" t="str">
        <f aca="false">IF(Tasks[[#This Row],[Task Name]]="","",COUNTA(Tasks[[#Headers],[Task Name]]:Tasks[[#This Row],[Task Name]])-1)</f>
        <v/>
      </c>
      <c r="B49" s="39" t="n">
        <v>44</v>
      </c>
      <c r="C4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9" s="39"/>
      <c r="E49" s="41"/>
      <c r="F49" s="39"/>
      <c r="G49" s="39"/>
      <c r="H49" s="39"/>
      <c r="I49" s="39"/>
      <c r="J49" s="39"/>
      <c r="K49" s="39"/>
      <c r="L49" s="39"/>
      <c r="M49" s="39"/>
      <c r="N49" s="29"/>
      <c r="O49" s="29"/>
      <c r="P49" s="24" t="str">
        <f aca="false">IF(Tasks[[#This Row],[Task Name]]="","",IF(N(Tasks[[#This Row],[Baseline Start]])&gt;0,Tasks[[#This Row],[Baseline Start]],Tasks[[#This Row],[_CalcStart]]))</f>
        <v/>
      </c>
      <c r="Q49" s="24" t="str">
        <f aca="false">IF(Tasks[[#This Row],[Task Name]]="","",IF(N(Tasks[[#This Row],[Baseline Finish]])&gt;0,Tasks[[#This Row],[Baseline Finish]],Tasks[[#This Row],[_CalcFinish]]))</f>
        <v/>
      </c>
      <c r="R49" s="29"/>
      <c r="S49" s="29"/>
      <c r="T4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9" s="31"/>
      <c r="AA4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9" s="41"/>
      <c r="AD49" s="31"/>
      <c r="AE4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9" s="41"/>
      <c r="AJ49" s="24" t="str">
        <f aca="false">IF(Tasks[[#This Row],[Task Name]]="","",Tasks[[#This Row],[Forecast Start]])</f>
        <v/>
      </c>
      <c r="AK49" s="24" t="str">
        <f aca="false">IF(Tasks[[#This Row],[Task Name]]="","",Tasks[[#This Row],[Forecast Finish]])</f>
        <v/>
      </c>
      <c r="AL4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9" s="43" t="str">
        <f aca="false">IF(Tasks[[#This Row],[Task Name]]="","",Tasks[[#This Row],[Work]])</f>
        <v/>
      </c>
      <c r="AN49" s="44" t="str">
        <f aca="false">IF(Tasks[[#This Row],[Task Name]]="","",Tasks[[#This Row],[Cost]])</f>
        <v/>
      </c>
      <c r="AO49" s="29"/>
      <c r="AP49" s="29"/>
      <c r="AQ49" s="39"/>
      <c r="AR49" s="45"/>
      <c r="AS49" s="46"/>
      <c r="AT49" s="40" t="str">
        <f aca="false">IF(OR(Tasks[[#This Row],[Task Name]]="",Tasks[[#This Row],[Baseline Duration]]=""),"",Tasks[[#This Row],[BL Source Duration]]-N(Tasks[[#This Row],[Baseline Duration]]))</f>
        <v/>
      </c>
      <c r="AU49" s="43" t="str">
        <f aca="false">IF(OR(Tasks[[#This Row],[Task Name]]="",Tasks[[#This Row],[Baseline Work]]=""),"",Tasks[[#This Row],[Work]]-N(Tasks[[#This Row],[Baseline Work]]))</f>
        <v/>
      </c>
      <c r="AV49" s="44" t="str">
        <f aca="false">IF(OR(Tasks[[#This Row],[Task Name]]="",Tasks[[#This Row],[Baseline Cost]]=""),"",Tasks[[#This Row],[Cost]]-N(Tasks[[#This Row],[Baseline Cost]]))</f>
        <v/>
      </c>
      <c r="AW49" s="47" t="str">
        <f aca="false">IF(Tasks[[#This Row],[Task Name]]="","",MAX(1,N(Tasks[[#This Row],[Level]])))</f>
        <v/>
      </c>
      <c r="AX49" s="47" t="n">
        <f aca="false">ROW()-ROW(Tasks[[#Headers],[ID]])</f>
        <v>44</v>
      </c>
      <c r="AY4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9" s="47" t="n">
        <f aca="false">IFERROR(N(INDEX(Tasks[_Level],Tasks[[#This Row],[_Row]]+1)),0)</f>
        <v>0</v>
      </c>
      <c r="BA49" s="48" t="b">
        <f aca="false">AND(Tasks[[#This Row],[Task Name]]&lt;&gt;"",Tasks[[#This Row],[_NextLevel]]&gt;Tasks[[#This Row],[_Level]])</f>
        <v>0</v>
      </c>
      <c r="BB49" s="47" t="n">
        <f aca="false">IF(Tasks[[#This Row],[_IsSummary]],COUNTIF(Tasks[WBS],Tasks[[#This Row],[WBS]]&amp;".*"),0)</f>
        <v>0</v>
      </c>
      <c r="BC49" s="47" t="n">
        <f aca="false">IF(AND(Tasks[[#This Row],[Task Name]]&lt;&gt;"",NOT(Tasks[[#This Row],[_IsSummary]])),1,0)</f>
        <v>0</v>
      </c>
      <c r="BD49" s="47" t="n">
        <f aca="false">IF(N(Tasks[[#This Row],[Pred1 UID]])=0,0,IFERROR(MATCH(Tasks[[#This Row],[Pred1 UID]],Tasks[UID],0),-1))</f>
        <v>0</v>
      </c>
      <c r="BE49" s="47" t="n">
        <f aca="false">IF(N(Tasks[[#This Row],[Pred2 UID]])=0,0,IFERROR(MATCH(Tasks[[#This Row],[Pred2 UID]],Tasks[UID],0),-1))</f>
        <v>0</v>
      </c>
      <c r="BF4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9" s="47" t="n">
        <f aca="false">IF(NOT(Tasks[[#This Row],[_IsLeaf]]=1),0,IF(N(Tasks[[#This Row],[Actual Finish]])&gt;0,1,MIN(1,N(Tasks[[#This Row],[% Complete]]))))</f>
        <v>0</v>
      </c>
      <c r="BK4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9" s="47" t="n">
        <f aca="false">IF(Tasks[[#This Row],[_LeafWork]]=0,0,Tasks[[#This Row],[_LeafWork]]*IFERROR(INDEX(res_Rate,MATCH(Tasks[[#This Row],[Resource]],res_Name,0)),0))</f>
        <v>0</v>
      </c>
      <c r="BM4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4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4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4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4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4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49" s="47" t="n">
        <f aca="false">IF(AND(Tasks[[#This Row],[_IsLeaf]]=1,Tasks[[#This Row],[_LeafWork]]&gt;0),NETWORKDAYS.INTL(ProjectStart,Tasks[[#This Row],[_LeafFcstStart]],WorkWeek,Holidays),0)</f>
        <v>0</v>
      </c>
      <c r="BV4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9" s="47" t="n">
        <f aca="false">IF(AND(Tasks[[#This Row],[_IsLeaf]]=1,Tasks[[#This Row],[_LeafWork]]&gt;0),Tasks[[#This Row],[_LeafWork]]/(Tasks[[#This Row],[_FinishWorkday]]-Tasks[[#This Row],[_StartWorkday]]+1),0)</f>
        <v>0</v>
      </c>
      <c r="BX49" s="47" t="n">
        <f aca="false">Tasks[[#This Row],[_WorkPerWorkday]]*(Tasks[[#This Row],[_StartWorkday]]-1)</f>
        <v>-0</v>
      </c>
      <c r="BY49" s="47" t="n">
        <f aca="false">IF(Tasks[[#This Row],[_IsLeaf]]=1,MAX(N(Tasks[[#This Row],[Duration]]),0.1),0)</f>
        <v>0</v>
      </c>
      <c r="BZ49" s="47" t="n">
        <f aca="false">Tasks[[#This Row],[_WeightDur]]*Tasks[[#This Row],[_LeafProgress]]</f>
        <v>0</v>
      </c>
      <c r="CA4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0" customFormat="false" ht="15" hidden="false" customHeight="false" outlineLevel="0" collapsed="false">
      <c r="A50" s="38" t="str">
        <f aca="false">IF(Tasks[[#This Row],[Task Name]]="","",COUNTA(Tasks[[#Headers],[Task Name]]:Tasks[[#This Row],[Task Name]])-1)</f>
        <v/>
      </c>
      <c r="B50" s="39" t="n">
        <v>45</v>
      </c>
      <c r="C5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0" s="39"/>
      <c r="E50" s="41"/>
      <c r="F50" s="39"/>
      <c r="G50" s="39"/>
      <c r="H50" s="39"/>
      <c r="I50" s="39"/>
      <c r="J50" s="39"/>
      <c r="K50" s="39"/>
      <c r="L50" s="39"/>
      <c r="M50" s="39"/>
      <c r="N50" s="29"/>
      <c r="O50" s="29"/>
      <c r="P50" s="24" t="str">
        <f aca="false">IF(Tasks[[#This Row],[Task Name]]="","",IF(N(Tasks[[#This Row],[Baseline Start]])&gt;0,Tasks[[#This Row],[Baseline Start]],Tasks[[#This Row],[_CalcStart]]))</f>
        <v/>
      </c>
      <c r="Q50" s="24" t="str">
        <f aca="false">IF(Tasks[[#This Row],[Task Name]]="","",IF(N(Tasks[[#This Row],[Baseline Finish]])&gt;0,Tasks[[#This Row],[Baseline Finish]],Tasks[[#This Row],[_CalcFinish]]))</f>
        <v/>
      </c>
      <c r="R50" s="29"/>
      <c r="S50" s="29"/>
      <c r="T5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0" s="31"/>
      <c r="AA5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0" s="41"/>
      <c r="AD50" s="31"/>
      <c r="AE5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0" s="41"/>
      <c r="AJ50" s="24" t="str">
        <f aca="false">IF(Tasks[[#This Row],[Task Name]]="","",Tasks[[#This Row],[Forecast Start]])</f>
        <v/>
      </c>
      <c r="AK50" s="24" t="str">
        <f aca="false">IF(Tasks[[#This Row],[Task Name]]="","",Tasks[[#This Row],[Forecast Finish]])</f>
        <v/>
      </c>
      <c r="AL5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0" s="43" t="str">
        <f aca="false">IF(Tasks[[#This Row],[Task Name]]="","",Tasks[[#This Row],[Work]])</f>
        <v/>
      </c>
      <c r="AN50" s="44" t="str">
        <f aca="false">IF(Tasks[[#This Row],[Task Name]]="","",Tasks[[#This Row],[Cost]])</f>
        <v/>
      </c>
      <c r="AO50" s="29"/>
      <c r="AP50" s="29"/>
      <c r="AQ50" s="39"/>
      <c r="AR50" s="45"/>
      <c r="AS50" s="46"/>
      <c r="AT50" s="40" t="str">
        <f aca="false">IF(OR(Tasks[[#This Row],[Task Name]]="",Tasks[[#This Row],[Baseline Duration]]=""),"",Tasks[[#This Row],[BL Source Duration]]-N(Tasks[[#This Row],[Baseline Duration]]))</f>
        <v/>
      </c>
      <c r="AU50" s="43" t="str">
        <f aca="false">IF(OR(Tasks[[#This Row],[Task Name]]="",Tasks[[#This Row],[Baseline Work]]=""),"",Tasks[[#This Row],[Work]]-N(Tasks[[#This Row],[Baseline Work]]))</f>
        <v/>
      </c>
      <c r="AV50" s="44" t="str">
        <f aca="false">IF(OR(Tasks[[#This Row],[Task Name]]="",Tasks[[#This Row],[Baseline Cost]]=""),"",Tasks[[#This Row],[Cost]]-N(Tasks[[#This Row],[Baseline Cost]]))</f>
        <v/>
      </c>
      <c r="AW50" s="47" t="str">
        <f aca="false">IF(Tasks[[#This Row],[Task Name]]="","",MAX(1,N(Tasks[[#This Row],[Level]])))</f>
        <v/>
      </c>
      <c r="AX50" s="47" t="n">
        <f aca="false">ROW()-ROW(Tasks[[#Headers],[ID]])</f>
        <v>45</v>
      </c>
      <c r="AY5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0" s="47" t="n">
        <f aca="false">IFERROR(N(INDEX(Tasks[_Level],Tasks[[#This Row],[_Row]]+1)),0)</f>
        <v>0</v>
      </c>
      <c r="BA50" s="48" t="b">
        <f aca="false">AND(Tasks[[#This Row],[Task Name]]&lt;&gt;"",Tasks[[#This Row],[_NextLevel]]&gt;Tasks[[#This Row],[_Level]])</f>
        <v>0</v>
      </c>
      <c r="BB50" s="47" t="n">
        <f aca="false">IF(Tasks[[#This Row],[_IsSummary]],COUNTIF(Tasks[WBS],Tasks[[#This Row],[WBS]]&amp;".*"),0)</f>
        <v>0</v>
      </c>
      <c r="BC50" s="47" t="n">
        <f aca="false">IF(AND(Tasks[[#This Row],[Task Name]]&lt;&gt;"",NOT(Tasks[[#This Row],[_IsSummary]])),1,0)</f>
        <v>0</v>
      </c>
      <c r="BD50" s="47" t="n">
        <f aca="false">IF(N(Tasks[[#This Row],[Pred1 UID]])=0,0,IFERROR(MATCH(Tasks[[#This Row],[Pred1 UID]],Tasks[UID],0),-1))</f>
        <v>0</v>
      </c>
      <c r="BE50" s="47" t="n">
        <f aca="false">IF(N(Tasks[[#This Row],[Pred2 UID]])=0,0,IFERROR(MATCH(Tasks[[#This Row],[Pred2 UID]],Tasks[UID],0),-1))</f>
        <v>0</v>
      </c>
      <c r="BF5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0" s="47" t="n">
        <f aca="false">IF(NOT(Tasks[[#This Row],[_IsLeaf]]=1),0,IF(N(Tasks[[#This Row],[Actual Finish]])&gt;0,1,MIN(1,N(Tasks[[#This Row],[% Complete]]))))</f>
        <v>0</v>
      </c>
      <c r="BK5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0" s="47" t="n">
        <f aca="false">IF(Tasks[[#This Row],[_LeafWork]]=0,0,Tasks[[#This Row],[_LeafWork]]*IFERROR(INDEX(res_Rate,MATCH(Tasks[[#This Row],[Resource]],res_Name,0)),0))</f>
        <v>0</v>
      </c>
      <c r="BM5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0" s="47" t="n">
        <f aca="false">IF(AND(Tasks[[#This Row],[_IsLeaf]]=1,Tasks[[#This Row],[_LeafWork]]&gt;0),NETWORKDAYS.INTL(ProjectStart,Tasks[[#This Row],[_LeafFcstStart]],WorkWeek,Holidays),0)</f>
        <v>0</v>
      </c>
      <c r="BV5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0" s="47" t="n">
        <f aca="false">IF(AND(Tasks[[#This Row],[_IsLeaf]]=1,Tasks[[#This Row],[_LeafWork]]&gt;0),Tasks[[#This Row],[_LeafWork]]/(Tasks[[#This Row],[_FinishWorkday]]-Tasks[[#This Row],[_StartWorkday]]+1),0)</f>
        <v>0</v>
      </c>
      <c r="BX50" s="47" t="n">
        <f aca="false">Tasks[[#This Row],[_WorkPerWorkday]]*(Tasks[[#This Row],[_StartWorkday]]-1)</f>
        <v>-0</v>
      </c>
      <c r="BY50" s="47" t="n">
        <f aca="false">IF(Tasks[[#This Row],[_IsLeaf]]=1,MAX(N(Tasks[[#This Row],[Duration]]),0.1),0)</f>
        <v>0</v>
      </c>
      <c r="BZ50" s="47" t="n">
        <f aca="false">Tasks[[#This Row],[_WeightDur]]*Tasks[[#This Row],[_LeafProgress]]</f>
        <v>0</v>
      </c>
      <c r="CA5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1" customFormat="false" ht="15" hidden="false" customHeight="false" outlineLevel="0" collapsed="false">
      <c r="A51" s="38" t="str">
        <f aca="false">IF(Tasks[[#This Row],[Task Name]]="","",COUNTA(Tasks[[#Headers],[Task Name]]:Tasks[[#This Row],[Task Name]])-1)</f>
        <v/>
      </c>
      <c r="B51" s="39" t="n">
        <v>46</v>
      </c>
      <c r="C5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1" s="39"/>
      <c r="E51" s="41"/>
      <c r="F51" s="39"/>
      <c r="G51" s="39"/>
      <c r="H51" s="39"/>
      <c r="I51" s="39"/>
      <c r="J51" s="39"/>
      <c r="K51" s="39"/>
      <c r="L51" s="39"/>
      <c r="M51" s="39"/>
      <c r="N51" s="29"/>
      <c r="O51" s="29"/>
      <c r="P51" s="24" t="str">
        <f aca="false">IF(Tasks[[#This Row],[Task Name]]="","",IF(N(Tasks[[#This Row],[Baseline Start]])&gt;0,Tasks[[#This Row],[Baseline Start]],Tasks[[#This Row],[_CalcStart]]))</f>
        <v/>
      </c>
      <c r="Q51" s="24" t="str">
        <f aca="false">IF(Tasks[[#This Row],[Task Name]]="","",IF(N(Tasks[[#This Row],[Baseline Finish]])&gt;0,Tasks[[#This Row],[Baseline Finish]],Tasks[[#This Row],[_CalcFinish]]))</f>
        <v/>
      </c>
      <c r="R51" s="29"/>
      <c r="S51" s="29"/>
      <c r="T5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1" s="31"/>
      <c r="AA5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1" s="41"/>
      <c r="AD51" s="31"/>
      <c r="AE5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1" s="41"/>
      <c r="AJ51" s="24" t="str">
        <f aca="false">IF(Tasks[[#This Row],[Task Name]]="","",Tasks[[#This Row],[Forecast Start]])</f>
        <v/>
      </c>
      <c r="AK51" s="24" t="str">
        <f aca="false">IF(Tasks[[#This Row],[Task Name]]="","",Tasks[[#This Row],[Forecast Finish]])</f>
        <v/>
      </c>
      <c r="AL5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1" s="43" t="str">
        <f aca="false">IF(Tasks[[#This Row],[Task Name]]="","",Tasks[[#This Row],[Work]])</f>
        <v/>
      </c>
      <c r="AN51" s="44" t="str">
        <f aca="false">IF(Tasks[[#This Row],[Task Name]]="","",Tasks[[#This Row],[Cost]])</f>
        <v/>
      </c>
      <c r="AO51" s="29"/>
      <c r="AP51" s="29"/>
      <c r="AQ51" s="39"/>
      <c r="AR51" s="45"/>
      <c r="AS51" s="46"/>
      <c r="AT51" s="40" t="str">
        <f aca="false">IF(OR(Tasks[[#This Row],[Task Name]]="",Tasks[[#This Row],[Baseline Duration]]=""),"",Tasks[[#This Row],[BL Source Duration]]-N(Tasks[[#This Row],[Baseline Duration]]))</f>
        <v/>
      </c>
      <c r="AU51" s="43" t="str">
        <f aca="false">IF(OR(Tasks[[#This Row],[Task Name]]="",Tasks[[#This Row],[Baseline Work]]=""),"",Tasks[[#This Row],[Work]]-N(Tasks[[#This Row],[Baseline Work]]))</f>
        <v/>
      </c>
      <c r="AV51" s="44" t="str">
        <f aca="false">IF(OR(Tasks[[#This Row],[Task Name]]="",Tasks[[#This Row],[Baseline Cost]]=""),"",Tasks[[#This Row],[Cost]]-N(Tasks[[#This Row],[Baseline Cost]]))</f>
        <v/>
      </c>
      <c r="AW51" s="47" t="str">
        <f aca="false">IF(Tasks[[#This Row],[Task Name]]="","",MAX(1,N(Tasks[[#This Row],[Level]])))</f>
        <v/>
      </c>
      <c r="AX51" s="47" t="n">
        <f aca="false">ROW()-ROW(Tasks[[#Headers],[ID]])</f>
        <v>46</v>
      </c>
      <c r="AY5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1" s="47" t="n">
        <f aca="false">IFERROR(N(INDEX(Tasks[_Level],Tasks[[#This Row],[_Row]]+1)),0)</f>
        <v>0</v>
      </c>
      <c r="BA51" s="48" t="b">
        <f aca="false">AND(Tasks[[#This Row],[Task Name]]&lt;&gt;"",Tasks[[#This Row],[_NextLevel]]&gt;Tasks[[#This Row],[_Level]])</f>
        <v>0</v>
      </c>
      <c r="BB51" s="47" t="n">
        <f aca="false">IF(Tasks[[#This Row],[_IsSummary]],COUNTIF(Tasks[WBS],Tasks[[#This Row],[WBS]]&amp;".*"),0)</f>
        <v>0</v>
      </c>
      <c r="BC51" s="47" t="n">
        <f aca="false">IF(AND(Tasks[[#This Row],[Task Name]]&lt;&gt;"",NOT(Tasks[[#This Row],[_IsSummary]])),1,0)</f>
        <v>0</v>
      </c>
      <c r="BD51" s="47" t="n">
        <f aca="false">IF(N(Tasks[[#This Row],[Pred1 UID]])=0,0,IFERROR(MATCH(Tasks[[#This Row],[Pred1 UID]],Tasks[UID],0),-1))</f>
        <v>0</v>
      </c>
      <c r="BE51" s="47" t="n">
        <f aca="false">IF(N(Tasks[[#This Row],[Pred2 UID]])=0,0,IFERROR(MATCH(Tasks[[#This Row],[Pred2 UID]],Tasks[UID],0),-1))</f>
        <v>0</v>
      </c>
      <c r="BF5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1" s="47" t="n">
        <f aca="false">IF(NOT(Tasks[[#This Row],[_IsLeaf]]=1),0,IF(N(Tasks[[#This Row],[Actual Finish]])&gt;0,1,MIN(1,N(Tasks[[#This Row],[% Complete]]))))</f>
        <v>0</v>
      </c>
      <c r="BK5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1" s="47" t="n">
        <f aca="false">IF(Tasks[[#This Row],[_LeafWork]]=0,0,Tasks[[#This Row],[_LeafWork]]*IFERROR(INDEX(res_Rate,MATCH(Tasks[[#This Row],[Resource]],res_Name,0)),0))</f>
        <v>0</v>
      </c>
      <c r="BM5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1" s="47" t="n">
        <f aca="false">IF(AND(Tasks[[#This Row],[_IsLeaf]]=1,Tasks[[#This Row],[_LeafWork]]&gt;0),NETWORKDAYS.INTL(ProjectStart,Tasks[[#This Row],[_LeafFcstStart]],WorkWeek,Holidays),0)</f>
        <v>0</v>
      </c>
      <c r="BV5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1" s="47" t="n">
        <f aca="false">IF(AND(Tasks[[#This Row],[_IsLeaf]]=1,Tasks[[#This Row],[_LeafWork]]&gt;0),Tasks[[#This Row],[_LeafWork]]/(Tasks[[#This Row],[_FinishWorkday]]-Tasks[[#This Row],[_StartWorkday]]+1),0)</f>
        <v>0</v>
      </c>
      <c r="BX51" s="47" t="n">
        <f aca="false">Tasks[[#This Row],[_WorkPerWorkday]]*(Tasks[[#This Row],[_StartWorkday]]-1)</f>
        <v>-0</v>
      </c>
      <c r="BY51" s="47" t="n">
        <f aca="false">IF(Tasks[[#This Row],[_IsLeaf]]=1,MAX(N(Tasks[[#This Row],[Duration]]),0.1),0)</f>
        <v>0</v>
      </c>
      <c r="BZ51" s="47" t="n">
        <f aca="false">Tasks[[#This Row],[_WeightDur]]*Tasks[[#This Row],[_LeafProgress]]</f>
        <v>0</v>
      </c>
      <c r="CA5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2" customFormat="false" ht="15" hidden="false" customHeight="false" outlineLevel="0" collapsed="false">
      <c r="A52" s="38" t="str">
        <f aca="false">IF(Tasks[[#This Row],[Task Name]]="","",COUNTA(Tasks[[#Headers],[Task Name]]:Tasks[[#This Row],[Task Name]])-1)</f>
        <v/>
      </c>
      <c r="B52" s="39" t="n">
        <v>47</v>
      </c>
      <c r="C5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2" s="39"/>
      <c r="E52" s="41"/>
      <c r="F52" s="39"/>
      <c r="G52" s="39"/>
      <c r="H52" s="39"/>
      <c r="I52" s="39"/>
      <c r="J52" s="39"/>
      <c r="K52" s="39"/>
      <c r="L52" s="39"/>
      <c r="M52" s="39"/>
      <c r="N52" s="29"/>
      <c r="O52" s="29"/>
      <c r="P52" s="24" t="str">
        <f aca="false">IF(Tasks[[#This Row],[Task Name]]="","",IF(N(Tasks[[#This Row],[Baseline Start]])&gt;0,Tasks[[#This Row],[Baseline Start]],Tasks[[#This Row],[_CalcStart]]))</f>
        <v/>
      </c>
      <c r="Q52" s="24" t="str">
        <f aca="false">IF(Tasks[[#This Row],[Task Name]]="","",IF(N(Tasks[[#This Row],[Baseline Finish]])&gt;0,Tasks[[#This Row],[Baseline Finish]],Tasks[[#This Row],[_CalcFinish]]))</f>
        <v/>
      </c>
      <c r="R52" s="29"/>
      <c r="S52" s="29"/>
      <c r="T5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2" s="31"/>
      <c r="AA5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2" s="41"/>
      <c r="AD52" s="31"/>
      <c r="AE5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2" s="41"/>
      <c r="AJ52" s="24" t="str">
        <f aca="false">IF(Tasks[[#This Row],[Task Name]]="","",Tasks[[#This Row],[Forecast Start]])</f>
        <v/>
      </c>
      <c r="AK52" s="24" t="str">
        <f aca="false">IF(Tasks[[#This Row],[Task Name]]="","",Tasks[[#This Row],[Forecast Finish]])</f>
        <v/>
      </c>
      <c r="AL5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2" s="43" t="str">
        <f aca="false">IF(Tasks[[#This Row],[Task Name]]="","",Tasks[[#This Row],[Work]])</f>
        <v/>
      </c>
      <c r="AN52" s="44" t="str">
        <f aca="false">IF(Tasks[[#This Row],[Task Name]]="","",Tasks[[#This Row],[Cost]])</f>
        <v/>
      </c>
      <c r="AO52" s="29"/>
      <c r="AP52" s="29"/>
      <c r="AQ52" s="39"/>
      <c r="AR52" s="45"/>
      <c r="AS52" s="46"/>
      <c r="AT52" s="40" t="str">
        <f aca="false">IF(OR(Tasks[[#This Row],[Task Name]]="",Tasks[[#This Row],[Baseline Duration]]=""),"",Tasks[[#This Row],[BL Source Duration]]-N(Tasks[[#This Row],[Baseline Duration]]))</f>
        <v/>
      </c>
      <c r="AU52" s="43" t="str">
        <f aca="false">IF(OR(Tasks[[#This Row],[Task Name]]="",Tasks[[#This Row],[Baseline Work]]=""),"",Tasks[[#This Row],[Work]]-N(Tasks[[#This Row],[Baseline Work]]))</f>
        <v/>
      </c>
      <c r="AV52" s="44" t="str">
        <f aca="false">IF(OR(Tasks[[#This Row],[Task Name]]="",Tasks[[#This Row],[Baseline Cost]]=""),"",Tasks[[#This Row],[Cost]]-N(Tasks[[#This Row],[Baseline Cost]]))</f>
        <v/>
      </c>
      <c r="AW52" s="47" t="str">
        <f aca="false">IF(Tasks[[#This Row],[Task Name]]="","",MAX(1,N(Tasks[[#This Row],[Level]])))</f>
        <v/>
      </c>
      <c r="AX52" s="47" t="n">
        <f aca="false">ROW()-ROW(Tasks[[#Headers],[ID]])</f>
        <v>47</v>
      </c>
      <c r="AY5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2" s="47" t="n">
        <f aca="false">IFERROR(N(INDEX(Tasks[_Level],Tasks[[#This Row],[_Row]]+1)),0)</f>
        <v>0</v>
      </c>
      <c r="BA52" s="48" t="b">
        <f aca="false">AND(Tasks[[#This Row],[Task Name]]&lt;&gt;"",Tasks[[#This Row],[_NextLevel]]&gt;Tasks[[#This Row],[_Level]])</f>
        <v>0</v>
      </c>
      <c r="BB52" s="47" t="n">
        <f aca="false">IF(Tasks[[#This Row],[_IsSummary]],COUNTIF(Tasks[WBS],Tasks[[#This Row],[WBS]]&amp;".*"),0)</f>
        <v>0</v>
      </c>
      <c r="BC52" s="47" t="n">
        <f aca="false">IF(AND(Tasks[[#This Row],[Task Name]]&lt;&gt;"",NOT(Tasks[[#This Row],[_IsSummary]])),1,0)</f>
        <v>0</v>
      </c>
      <c r="BD52" s="47" t="n">
        <f aca="false">IF(N(Tasks[[#This Row],[Pred1 UID]])=0,0,IFERROR(MATCH(Tasks[[#This Row],[Pred1 UID]],Tasks[UID],0),-1))</f>
        <v>0</v>
      </c>
      <c r="BE52" s="47" t="n">
        <f aca="false">IF(N(Tasks[[#This Row],[Pred2 UID]])=0,0,IFERROR(MATCH(Tasks[[#This Row],[Pred2 UID]],Tasks[UID],0),-1))</f>
        <v>0</v>
      </c>
      <c r="BF5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2" s="47" t="n">
        <f aca="false">IF(NOT(Tasks[[#This Row],[_IsLeaf]]=1),0,IF(N(Tasks[[#This Row],[Actual Finish]])&gt;0,1,MIN(1,N(Tasks[[#This Row],[% Complete]]))))</f>
        <v>0</v>
      </c>
      <c r="BK5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2" s="47" t="n">
        <f aca="false">IF(Tasks[[#This Row],[_LeafWork]]=0,0,Tasks[[#This Row],[_LeafWork]]*IFERROR(INDEX(res_Rate,MATCH(Tasks[[#This Row],[Resource]],res_Name,0)),0))</f>
        <v>0</v>
      </c>
      <c r="BM5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2" s="47" t="n">
        <f aca="false">IF(AND(Tasks[[#This Row],[_IsLeaf]]=1,Tasks[[#This Row],[_LeafWork]]&gt;0),NETWORKDAYS.INTL(ProjectStart,Tasks[[#This Row],[_LeafFcstStart]],WorkWeek,Holidays),0)</f>
        <v>0</v>
      </c>
      <c r="BV5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2" s="47" t="n">
        <f aca="false">IF(AND(Tasks[[#This Row],[_IsLeaf]]=1,Tasks[[#This Row],[_LeafWork]]&gt;0),Tasks[[#This Row],[_LeafWork]]/(Tasks[[#This Row],[_FinishWorkday]]-Tasks[[#This Row],[_StartWorkday]]+1),0)</f>
        <v>0</v>
      </c>
      <c r="BX52" s="47" t="n">
        <f aca="false">Tasks[[#This Row],[_WorkPerWorkday]]*(Tasks[[#This Row],[_StartWorkday]]-1)</f>
        <v>-0</v>
      </c>
      <c r="BY52" s="47" t="n">
        <f aca="false">IF(Tasks[[#This Row],[_IsLeaf]]=1,MAX(N(Tasks[[#This Row],[Duration]]),0.1),0)</f>
        <v>0</v>
      </c>
      <c r="BZ52" s="47" t="n">
        <f aca="false">Tasks[[#This Row],[_WeightDur]]*Tasks[[#This Row],[_LeafProgress]]</f>
        <v>0</v>
      </c>
      <c r="CA5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3" customFormat="false" ht="15" hidden="false" customHeight="false" outlineLevel="0" collapsed="false">
      <c r="A53" s="38" t="str">
        <f aca="false">IF(Tasks[[#This Row],[Task Name]]="","",COUNTA(Tasks[[#Headers],[Task Name]]:Tasks[[#This Row],[Task Name]])-1)</f>
        <v/>
      </c>
      <c r="B53" s="39" t="n">
        <v>48</v>
      </c>
      <c r="C5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3" s="39"/>
      <c r="E53" s="41"/>
      <c r="F53" s="39"/>
      <c r="G53" s="39"/>
      <c r="H53" s="39"/>
      <c r="I53" s="39"/>
      <c r="J53" s="39"/>
      <c r="K53" s="39"/>
      <c r="L53" s="39"/>
      <c r="M53" s="39"/>
      <c r="N53" s="29"/>
      <c r="O53" s="29"/>
      <c r="P53" s="24" t="str">
        <f aca="false">IF(Tasks[[#This Row],[Task Name]]="","",IF(N(Tasks[[#This Row],[Baseline Start]])&gt;0,Tasks[[#This Row],[Baseline Start]],Tasks[[#This Row],[_CalcStart]]))</f>
        <v/>
      </c>
      <c r="Q53" s="24" t="str">
        <f aca="false">IF(Tasks[[#This Row],[Task Name]]="","",IF(N(Tasks[[#This Row],[Baseline Finish]])&gt;0,Tasks[[#This Row],[Baseline Finish]],Tasks[[#This Row],[_CalcFinish]]))</f>
        <v/>
      </c>
      <c r="R53" s="29"/>
      <c r="S53" s="29"/>
      <c r="T5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3" s="31"/>
      <c r="AA5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3" s="41"/>
      <c r="AD53" s="31"/>
      <c r="AE5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3" s="41"/>
      <c r="AJ53" s="24" t="str">
        <f aca="false">IF(Tasks[[#This Row],[Task Name]]="","",Tasks[[#This Row],[Forecast Start]])</f>
        <v/>
      </c>
      <c r="AK53" s="24" t="str">
        <f aca="false">IF(Tasks[[#This Row],[Task Name]]="","",Tasks[[#This Row],[Forecast Finish]])</f>
        <v/>
      </c>
      <c r="AL5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3" s="43" t="str">
        <f aca="false">IF(Tasks[[#This Row],[Task Name]]="","",Tasks[[#This Row],[Work]])</f>
        <v/>
      </c>
      <c r="AN53" s="44" t="str">
        <f aca="false">IF(Tasks[[#This Row],[Task Name]]="","",Tasks[[#This Row],[Cost]])</f>
        <v/>
      </c>
      <c r="AO53" s="29"/>
      <c r="AP53" s="29"/>
      <c r="AQ53" s="39"/>
      <c r="AR53" s="45"/>
      <c r="AS53" s="46"/>
      <c r="AT53" s="40" t="str">
        <f aca="false">IF(OR(Tasks[[#This Row],[Task Name]]="",Tasks[[#This Row],[Baseline Duration]]=""),"",Tasks[[#This Row],[BL Source Duration]]-N(Tasks[[#This Row],[Baseline Duration]]))</f>
        <v/>
      </c>
      <c r="AU53" s="43" t="str">
        <f aca="false">IF(OR(Tasks[[#This Row],[Task Name]]="",Tasks[[#This Row],[Baseline Work]]=""),"",Tasks[[#This Row],[Work]]-N(Tasks[[#This Row],[Baseline Work]]))</f>
        <v/>
      </c>
      <c r="AV53" s="44" t="str">
        <f aca="false">IF(OR(Tasks[[#This Row],[Task Name]]="",Tasks[[#This Row],[Baseline Cost]]=""),"",Tasks[[#This Row],[Cost]]-N(Tasks[[#This Row],[Baseline Cost]]))</f>
        <v/>
      </c>
      <c r="AW53" s="47" t="str">
        <f aca="false">IF(Tasks[[#This Row],[Task Name]]="","",MAX(1,N(Tasks[[#This Row],[Level]])))</f>
        <v/>
      </c>
      <c r="AX53" s="47" t="n">
        <f aca="false">ROW()-ROW(Tasks[[#Headers],[ID]])</f>
        <v>48</v>
      </c>
      <c r="AY5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3" s="47" t="n">
        <f aca="false">IFERROR(N(INDEX(Tasks[_Level],Tasks[[#This Row],[_Row]]+1)),0)</f>
        <v>0</v>
      </c>
      <c r="BA53" s="48" t="b">
        <f aca="false">AND(Tasks[[#This Row],[Task Name]]&lt;&gt;"",Tasks[[#This Row],[_NextLevel]]&gt;Tasks[[#This Row],[_Level]])</f>
        <v>0</v>
      </c>
      <c r="BB53" s="47" t="n">
        <f aca="false">IF(Tasks[[#This Row],[_IsSummary]],COUNTIF(Tasks[WBS],Tasks[[#This Row],[WBS]]&amp;".*"),0)</f>
        <v>0</v>
      </c>
      <c r="BC53" s="47" t="n">
        <f aca="false">IF(AND(Tasks[[#This Row],[Task Name]]&lt;&gt;"",NOT(Tasks[[#This Row],[_IsSummary]])),1,0)</f>
        <v>0</v>
      </c>
      <c r="BD53" s="47" t="n">
        <f aca="false">IF(N(Tasks[[#This Row],[Pred1 UID]])=0,0,IFERROR(MATCH(Tasks[[#This Row],[Pred1 UID]],Tasks[UID],0),-1))</f>
        <v>0</v>
      </c>
      <c r="BE53" s="47" t="n">
        <f aca="false">IF(N(Tasks[[#This Row],[Pred2 UID]])=0,0,IFERROR(MATCH(Tasks[[#This Row],[Pred2 UID]],Tasks[UID],0),-1))</f>
        <v>0</v>
      </c>
      <c r="BF5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3" s="47" t="n">
        <f aca="false">IF(NOT(Tasks[[#This Row],[_IsLeaf]]=1),0,IF(N(Tasks[[#This Row],[Actual Finish]])&gt;0,1,MIN(1,N(Tasks[[#This Row],[% Complete]]))))</f>
        <v>0</v>
      </c>
      <c r="BK5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3" s="47" t="n">
        <f aca="false">IF(Tasks[[#This Row],[_LeafWork]]=0,0,Tasks[[#This Row],[_LeafWork]]*IFERROR(INDEX(res_Rate,MATCH(Tasks[[#This Row],[Resource]],res_Name,0)),0))</f>
        <v>0</v>
      </c>
      <c r="BM5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3" s="47" t="n">
        <f aca="false">IF(AND(Tasks[[#This Row],[_IsLeaf]]=1,Tasks[[#This Row],[_LeafWork]]&gt;0),NETWORKDAYS.INTL(ProjectStart,Tasks[[#This Row],[_LeafFcstStart]],WorkWeek,Holidays),0)</f>
        <v>0</v>
      </c>
      <c r="BV5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3" s="47" t="n">
        <f aca="false">IF(AND(Tasks[[#This Row],[_IsLeaf]]=1,Tasks[[#This Row],[_LeafWork]]&gt;0),Tasks[[#This Row],[_LeafWork]]/(Tasks[[#This Row],[_FinishWorkday]]-Tasks[[#This Row],[_StartWorkday]]+1),0)</f>
        <v>0</v>
      </c>
      <c r="BX53" s="47" t="n">
        <f aca="false">Tasks[[#This Row],[_WorkPerWorkday]]*(Tasks[[#This Row],[_StartWorkday]]-1)</f>
        <v>-0</v>
      </c>
      <c r="BY53" s="47" t="n">
        <f aca="false">IF(Tasks[[#This Row],[_IsLeaf]]=1,MAX(N(Tasks[[#This Row],[Duration]]),0.1),0)</f>
        <v>0</v>
      </c>
      <c r="BZ53" s="47" t="n">
        <f aca="false">Tasks[[#This Row],[_WeightDur]]*Tasks[[#This Row],[_LeafProgress]]</f>
        <v>0</v>
      </c>
      <c r="CA5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4" customFormat="false" ht="15" hidden="false" customHeight="false" outlineLevel="0" collapsed="false">
      <c r="A54" s="38" t="str">
        <f aca="false">IF(Tasks[[#This Row],[Task Name]]="","",COUNTA(Tasks[[#Headers],[Task Name]]:Tasks[[#This Row],[Task Name]])-1)</f>
        <v/>
      </c>
      <c r="B54" s="39" t="n">
        <v>49</v>
      </c>
      <c r="C5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4" s="39"/>
      <c r="E54" s="41"/>
      <c r="F54" s="39"/>
      <c r="G54" s="39"/>
      <c r="H54" s="39"/>
      <c r="I54" s="39"/>
      <c r="J54" s="39"/>
      <c r="K54" s="39"/>
      <c r="L54" s="39"/>
      <c r="M54" s="39"/>
      <c r="N54" s="29"/>
      <c r="O54" s="29"/>
      <c r="P54" s="24" t="str">
        <f aca="false">IF(Tasks[[#This Row],[Task Name]]="","",IF(N(Tasks[[#This Row],[Baseline Start]])&gt;0,Tasks[[#This Row],[Baseline Start]],Tasks[[#This Row],[_CalcStart]]))</f>
        <v/>
      </c>
      <c r="Q54" s="24" t="str">
        <f aca="false">IF(Tasks[[#This Row],[Task Name]]="","",IF(N(Tasks[[#This Row],[Baseline Finish]])&gt;0,Tasks[[#This Row],[Baseline Finish]],Tasks[[#This Row],[_CalcFinish]]))</f>
        <v/>
      </c>
      <c r="R54" s="29"/>
      <c r="S54" s="29"/>
      <c r="T5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4" s="31"/>
      <c r="AA5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4" s="41"/>
      <c r="AD54" s="31"/>
      <c r="AE5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4" s="41"/>
      <c r="AJ54" s="24" t="str">
        <f aca="false">IF(Tasks[[#This Row],[Task Name]]="","",Tasks[[#This Row],[Forecast Start]])</f>
        <v/>
      </c>
      <c r="AK54" s="24" t="str">
        <f aca="false">IF(Tasks[[#This Row],[Task Name]]="","",Tasks[[#This Row],[Forecast Finish]])</f>
        <v/>
      </c>
      <c r="AL5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4" s="43" t="str">
        <f aca="false">IF(Tasks[[#This Row],[Task Name]]="","",Tasks[[#This Row],[Work]])</f>
        <v/>
      </c>
      <c r="AN54" s="44" t="str">
        <f aca="false">IF(Tasks[[#This Row],[Task Name]]="","",Tasks[[#This Row],[Cost]])</f>
        <v/>
      </c>
      <c r="AO54" s="29"/>
      <c r="AP54" s="29"/>
      <c r="AQ54" s="39"/>
      <c r="AR54" s="45"/>
      <c r="AS54" s="46"/>
      <c r="AT54" s="40" t="str">
        <f aca="false">IF(OR(Tasks[[#This Row],[Task Name]]="",Tasks[[#This Row],[Baseline Duration]]=""),"",Tasks[[#This Row],[BL Source Duration]]-N(Tasks[[#This Row],[Baseline Duration]]))</f>
        <v/>
      </c>
      <c r="AU54" s="43" t="str">
        <f aca="false">IF(OR(Tasks[[#This Row],[Task Name]]="",Tasks[[#This Row],[Baseline Work]]=""),"",Tasks[[#This Row],[Work]]-N(Tasks[[#This Row],[Baseline Work]]))</f>
        <v/>
      </c>
      <c r="AV54" s="44" t="str">
        <f aca="false">IF(OR(Tasks[[#This Row],[Task Name]]="",Tasks[[#This Row],[Baseline Cost]]=""),"",Tasks[[#This Row],[Cost]]-N(Tasks[[#This Row],[Baseline Cost]]))</f>
        <v/>
      </c>
      <c r="AW54" s="47" t="str">
        <f aca="false">IF(Tasks[[#This Row],[Task Name]]="","",MAX(1,N(Tasks[[#This Row],[Level]])))</f>
        <v/>
      </c>
      <c r="AX54" s="47" t="n">
        <f aca="false">ROW()-ROW(Tasks[[#Headers],[ID]])</f>
        <v>49</v>
      </c>
      <c r="AY5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4" s="47" t="n">
        <f aca="false">IFERROR(N(INDEX(Tasks[_Level],Tasks[[#This Row],[_Row]]+1)),0)</f>
        <v>0</v>
      </c>
      <c r="BA54" s="48" t="b">
        <f aca="false">AND(Tasks[[#This Row],[Task Name]]&lt;&gt;"",Tasks[[#This Row],[_NextLevel]]&gt;Tasks[[#This Row],[_Level]])</f>
        <v>0</v>
      </c>
      <c r="BB54" s="47" t="n">
        <f aca="false">IF(Tasks[[#This Row],[_IsSummary]],COUNTIF(Tasks[WBS],Tasks[[#This Row],[WBS]]&amp;".*"),0)</f>
        <v>0</v>
      </c>
      <c r="BC54" s="47" t="n">
        <f aca="false">IF(AND(Tasks[[#This Row],[Task Name]]&lt;&gt;"",NOT(Tasks[[#This Row],[_IsSummary]])),1,0)</f>
        <v>0</v>
      </c>
      <c r="BD54" s="47" t="n">
        <f aca="false">IF(N(Tasks[[#This Row],[Pred1 UID]])=0,0,IFERROR(MATCH(Tasks[[#This Row],[Pred1 UID]],Tasks[UID],0),-1))</f>
        <v>0</v>
      </c>
      <c r="BE54" s="47" t="n">
        <f aca="false">IF(N(Tasks[[#This Row],[Pred2 UID]])=0,0,IFERROR(MATCH(Tasks[[#This Row],[Pred2 UID]],Tasks[UID],0),-1))</f>
        <v>0</v>
      </c>
      <c r="BF5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4" s="47" t="n">
        <f aca="false">IF(NOT(Tasks[[#This Row],[_IsLeaf]]=1),0,IF(N(Tasks[[#This Row],[Actual Finish]])&gt;0,1,MIN(1,N(Tasks[[#This Row],[% Complete]]))))</f>
        <v>0</v>
      </c>
      <c r="BK5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4" s="47" t="n">
        <f aca="false">IF(Tasks[[#This Row],[_LeafWork]]=0,0,Tasks[[#This Row],[_LeafWork]]*IFERROR(INDEX(res_Rate,MATCH(Tasks[[#This Row],[Resource]],res_Name,0)),0))</f>
        <v>0</v>
      </c>
      <c r="BM5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4" s="47" t="n">
        <f aca="false">IF(AND(Tasks[[#This Row],[_IsLeaf]]=1,Tasks[[#This Row],[_LeafWork]]&gt;0),NETWORKDAYS.INTL(ProjectStart,Tasks[[#This Row],[_LeafFcstStart]],WorkWeek,Holidays),0)</f>
        <v>0</v>
      </c>
      <c r="BV5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4" s="47" t="n">
        <f aca="false">IF(AND(Tasks[[#This Row],[_IsLeaf]]=1,Tasks[[#This Row],[_LeafWork]]&gt;0),Tasks[[#This Row],[_LeafWork]]/(Tasks[[#This Row],[_FinishWorkday]]-Tasks[[#This Row],[_StartWorkday]]+1),0)</f>
        <v>0</v>
      </c>
      <c r="BX54" s="47" t="n">
        <f aca="false">Tasks[[#This Row],[_WorkPerWorkday]]*(Tasks[[#This Row],[_StartWorkday]]-1)</f>
        <v>-0</v>
      </c>
      <c r="BY54" s="47" t="n">
        <f aca="false">IF(Tasks[[#This Row],[_IsLeaf]]=1,MAX(N(Tasks[[#This Row],[Duration]]),0.1),0)</f>
        <v>0</v>
      </c>
      <c r="BZ54" s="47" t="n">
        <f aca="false">Tasks[[#This Row],[_WeightDur]]*Tasks[[#This Row],[_LeafProgress]]</f>
        <v>0</v>
      </c>
      <c r="CA5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5" customFormat="false" ht="15" hidden="false" customHeight="false" outlineLevel="0" collapsed="false">
      <c r="A55" s="38" t="str">
        <f aca="false">IF(Tasks[[#This Row],[Task Name]]="","",COUNTA(Tasks[[#Headers],[Task Name]]:Tasks[[#This Row],[Task Name]])-1)</f>
        <v/>
      </c>
      <c r="B55" s="39" t="n">
        <v>50</v>
      </c>
      <c r="C5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5" s="39"/>
      <c r="E55" s="41"/>
      <c r="F55" s="39"/>
      <c r="G55" s="39"/>
      <c r="H55" s="39"/>
      <c r="I55" s="39"/>
      <c r="J55" s="39"/>
      <c r="K55" s="39"/>
      <c r="L55" s="39"/>
      <c r="M55" s="39"/>
      <c r="N55" s="29"/>
      <c r="O55" s="29"/>
      <c r="P55" s="24" t="str">
        <f aca="false">IF(Tasks[[#This Row],[Task Name]]="","",IF(N(Tasks[[#This Row],[Baseline Start]])&gt;0,Tasks[[#This Row],[Baseline Start]],Tasks[[#This Row],[_CalcStart]]))</f>
        <v/>
      </c>
      <c r="Q55" s="24" t="str">
        <f aca="false">IF(Tasks[[#This Row],[Task Name]]="","",IF(N(Tasks[[#This Row],[Baseline Finish]])&gt;0,Tasks[[#This Row],[Baseline Finish]],Tasks[[#This Row],[_CalcFinish]]))</f>
        <v/>
      </c>
      <c r="R55" s="29"/>
      <c r="S55" s="29"/>
      <c r="T5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5" s="31"/>
      <c r="AA5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5" s="41"/>
      <c r="AD55" s="31"/>
      <c r="AE5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5" s="41"/>
      <c r="AJ55" s="24" t="str">
        <f aca="false">IF(Tasks[[#This Row],[Task Name]]="","",Tasks[[#This Row],[Forecast Start]])</f>
        <v/>
      </c>
      <c r="AK55" s="24" t="str">
        <f aca="false">IF(Tasks[[#This Row],[Task Name]]="","",Tasks[[#This Row],[Forecast Finish]])</f>
        <v/>
      </c>
      <c r="AL5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5" s="43" t="str">
        <f aca="false">IF(Tasks[[#This Row],[Task Name]]="","",Tasks[[#This Row],[Work]])</f>
        <v/>
      </c>
      <c r="AN55" s="44" t="str">
        <f aca="false">IF(Tasks[[#This Row],[Task Name]]="","",Tasks[[#This Row],[Cost]])</f>
        <v/>
      </c>
      <c r="AO55" s="29"/>
      <c r="AP55" s="29"/>
      <c r="AQ55" s="39"/>
      <c r="AR55" s="45"/>
      <c r="AS55" s="46"/>
      <c r="AT55" s="40" t="str">
        <f aca="false">IF(OR(Tasks[[#This Row],[Task Name]]="",Tasks[[#This Row],[Baseline Duration]]=""),"",Tasks[[#This Row],[BL Source Duration]]-N(Tasks[[#This Row],[Baseline Duration]]))</f>
        <v/>
      </c>
      <c r="AU55" s="43" t="str">
        <f aca="false">IF(OR(Tasks[[#This Row],[Task Name]]="",Tasks[[#This Row],[Baseline Work]]=""),"",Tasks[[#This Row],[Work]]-N(Tasks[[#This Row],[Baseline Work]]))</f>
        <v/>
      </c>
      <c r="AV55" s="44" t="str">
        <f aca="false">IF(OR(Tasks[[#This Row],[Task Name]]="",Tasks[[#This Row],[Baseline Cost]]=""),"",Tasks[[#This Row],[Cost]]-N(Tasks[[#This Row],[Baseline Cost]]))</f>
        <v/>
      </c>
      <c r="AW55" s="47" t="str">
        <f aca="false">IF(Tasks[[#This Row],[Task Name]]="","",MAX(1,N(Tasks[[#This Row],[Level]])))</f>
        <v/>
      </c>
      <c r="AX55" s="47" t="n">
        <f aca="false">ROW()-ROW(Tasks[[#Headers],[ID]])</f>
        <v>50</v>
      </c>
      <c r="AY5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5" s="47" t="n">
        <f aca="false">IFERROR(N(INDEX(Tasks[_Level],Tasks[[#This Row],[_Row]]+1)),0)</f>
        <v>0</v>
      </c>
      <c r="BA55" s="48" t="b">
        <f aca="false">AND(Tasks[[#This Row],[Task Name]]&lt;&gt;"",Tasks[[#This Row],[_NextLevel]]&gt;Tasks[[#This Row],[_Level]])</f>
        <v>0</v>
      </c>
      <c r="BB55" s="47" t="n">
        <f aca="false">IF(Tasks[[#This Row],[_IsSummary]],COUNTIF(Tasks[WBS],Tasks[[#This Row],[WBS]]&amp;".*"),0)</f>
        <v>0</v>
      </c>
      <c r="BC55" s="47" t="n">
        <f aca="false">IF(AND(Tasks[[#This Row],[Task Name]]&lt;&gt;"",NOT(Tasks[[#This Row],[_IsSummary]])),1,0)</f>
        <v>0</v>
      </c>
      <c r="BD55" s="47" t="n">
        <f aca="false">IF(N(Tasks[[#This Row],[Pred1 UID]])=0,0,IFERROR(MATCH(Tasks[[#This Row],[Pred1 UID]],Tasks[UID],0),-1))</f>
        <v>0</v>
      </c>
      <c r="BE55" s="47" t="n">
        <f aca="false">IF(N(Tasks[[#This Row],[Pred2 UID]])=0,0,IFERROR(MATCH(Tasks[[#This Row],[Pred2 UID]],Tasks[UID],0),-1))</f>
        <v>0</v>
      </c>
      <c r="BF5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5" s="47" t="n">
        <f aca="false">IF(NOT(Tasks[[#This Row],[_IsLeaf]]=1),0,IF(N(Tasks[[#This Row],[Actual Finish]])&gt;0,1,MIN(1,N(Tasks[[#This Row],[% Complete]]))))</f>
        <v>0</v>
      </c>
      <c r="BK5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5" s="47" t="n">
        <f aca="false">IF(Tasks[[#This Row],[_LeafWork]]=0,0,Tasks[[#This Row],[_LeafWork]]*IFERROR(INDEX(res_Rate,MATCH(Tasks[[#This Row],[Resource]],res_Name,0)),0))</f>
        <v>0</v>
      </c>
      <c r="BM5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5" s="47" t="n">
        <f aca="false">IF(AND(Tasks[[#This Row],[_IsLeaf]]=1,Tasks[[#This Row],[_LeafWork]]&gt;0),NETWORKDAYS.INTL(ProjectStart,Tasks[[#This Row],[_LeafFcstStart]],WorkWeek,Holidays),0)</f>
        <v>0</v>
      </c>
      <c r="BV5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5" s="47" t="n">
        <f aca="false">IF(AND(Tasks[[#This Row],[_IsLeaf]]=1,Tasks[[#This Row],[_LeafWork]]&gt;0),Tasks[[#This Row],[_LeafWork]]/(Tasks[[#This Row],[_FinishWorkday]]-Tasks[[#This Row],[_StartWorkday]]+1),0)</f>
        <v>0</v>
      </c>
      <c r="BX55" s="47" t="n">
        <f aca="false">Tasks[[#This Row],[_WorkPerWorkday]]*(Tasks[[#This Row],[_StartWorkday]]-1)</f>
        <v>-0</v>
      </c>
      <c r="BY55" s="47" t="n">
        <f aca="false">IF(Tasks[[#This Row],[_IsLeaf]]=1,MAX(N(Tasks[[#This Row],[Duration]]),0.1),0)</f>
        <v>0</v>
      </c>
      <c r="BZ55" s="47" t="n">
        <f aca="false">Tasks[[#This Row],[_WeightDur]]*Tasks[[#This Row],[_LeafProgress]]</f>
        <v>0</v>
      </c>
      <c r="CA5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6" customFormat="false" ht="15" hidden="false" customHeight="false" outlineLevel="0" collapsed="false">
      <c r="A56" s="38" t="str">
        <f aca="false">IF(Tasks[[#This Row],[Task Name]]="","",COUNTA(Tasks[[#Headers],[Task Name]]:Tasks[[#This Row],[Task Name]])-1)</f>
        <v/>
      </c>
      <c r="B56" s="39" t="n">
        <v>51</v>
      </c>
      <c r="C5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6" s="39"/>
      <c r="E56" s="41"/>
      <c r="F56" s="39"/>
      <c r="G56" s="39"/>
      <c r="H56" s="39"/>
      <c r="I56" s="39"/>
      <c r="J56" s="39"/>
      <c r="K56" s="39"/>
      <c r="L56" s="39"/>
      <c r="M56" s="39"/>
      <c r="N56" s="29"/>
      <c r="O56" s="29"/>
      <c r="P56" s="24" t="str">
        <f aca="false">IF(Tasks[[#This Row],[Task Name]]="","",IF(N(Tasks[[#This Row],[Baseline Start]])&gt;0,Tasks[[#This Row],[Baseline Start]],Tasks[[#This Row],[_CalcStart]]))</f>
        <v/>
      </c>
      <c r="Q56" s="24" t="str">
        <f aca="false">IF(Tasks[[#This Row],[Task Name]]="","",IF(N(Tasks[[#This Row],[Baseline Finish]])&gt;0,Tasks[[#This Row],[Baseline Finish]],Tasks[[#This Row],[_CalcFinish]]))</f>
        <v/>
      </c>
      <c r="R56" s="29"/>
      <c r="S56" s="29"/>
      <c r="T5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6" s="31"/>
      <c r="AA5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6" s="41"/>
      <c r="AD56" s="31"/>
      <c r="AE5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6" s="41"/>
      <c r="AJ56" s="24" t="str">
        <f aca="false">IF(Tasks[[#This Row],[Task Name]]="","",Tasks[[#This Row],[Forecast Start]])</f>
        <v/>
      </c>
      <c r="AK56" s="24" t="str">
        <f aca="false">IF(Tasks[[#This Row],[Task Name]]="","",Tasks[[#This Row],[Forecast Finish]])</f>
        <v/>
      </c>
      <c r="AL5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6" s="43" t="str">
        <f aca="false">IF(Tasks[[#This Row],[Task Name]]="","",Tasks[[#This Row],[Work]])</f>
        <v/>
      </c>
      <c r="AN56" s="44" t="str">
        <f aca="false">IF(Tasks[[#This Row],[Task Name]]="","",Tasks[[#This Row],[Cost]])</f>
        <v/>
      </c>
      <c r="AO56" s="29"/>
      <c r="AP56" s="29"/>
      <c r="AQ56" s="39"/>
      <c r="AR56" s="45"/>
      <c r="AS56" s="46"/>
      <c r="AT56" s="40" t="str">
        <f aca="false">IF(OR(Tasks[[#This Row],[Task Name]]="",Tasks[[#This Row],[Baseline Duration]]=""),"",Tasks[[#This Row],[BL Source Duration]]-N(Tasks[[#This Row],[Baseline Duration]]))</f>
        <v/>
      </c>
      <c r="AU56" s="43" t="str">
        <f aca="false">IF(OR(Tasks[[#This Row],[Task Name]]="",Tasks[[#This Row],[Baseline Work]]=""),"",Tasks[[#This Row],[Work]]-N(Tasks[[#This Row],[Baseline Work]]))</f>
        <v/>
      </c>
      <c r="AV56" s="44" t="str">
        <f aca="false">IF(OR(Tasks[[#This Row],[Task Name]]="",Tasks[[#This Row],[Baseline Cost]]=""),"",Tasks[[#This Row],[Cost]]-N(Tasks[[#This Row],[Baseline Cost]]))</f>
        <v/>
      </c>
      <c r="AW56" s="47" t="str">
        <f aca="false">IF(Tasks[[#This Row],[Task Name]]="","",MAX(1,N(Tasks[[#This Row],[Level]])))</f>
        <v/>
      </c>
      <c r="AX56" s="47" t="n">
        <f aca="false">ROW()-ROW(Tasks[[#Headers],[ID]])</f>
        <v>51</v>
      </c>
      <c r="AY5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6" s="47" t="n">
        <f aca="false">IFERROR(N(INDEX(Tasks[_Level],Tasks[[#This Row],[_Row]]+1)),0)</f>
        <v>0</v>
      </c>
      <c r="BA56" s="48" t="b">
        <f aca="false">AND(Tasks[[#This Row],[Task Name]]&lt;&gt;"",Tasks[[#This Row],[_NextLevel]]&gt;Tasks[[#This Row],[_Level]])</f>
        <v>0</v>
      </c>
      <c r="BB56" s="47" t="n">
        <f aca="false">IF(Tasks[[#This Row],[_IsSummary]],COUNTIF(Tasks[WBS],Tasks[[#This Row],[WBS]]&amp;".*"),0)</f>
        <v>0</v>
      </c>
      <c r="BC56" s="47" t="n">
        <f aca="false">IF(AND(Tasks[[#This Row],[Task Name]]&lt;&gt;"",NOT(Tasks[[#This Row],[_IsSummary]])),1,0)</f>
        <v>0</v>
      </c>
      <c r="BD56" s="47" t="n">
        <f aca="false">IF(N(Tasks[[#This Row],[Pred1 UID]])=0,0,IFERROR(MATCH(Tasks[[#This Row],[Pred1 UID]],Tasks[UID],0),-1))</f>
        <v>0</v>
      </c>
      <c r="BE56" s="47" t="n">
        <f aca="false">IF(N(Tasks[[#This Row],[Pred2 UID]])=0,0,IFERROR(MATCH(Tasks[[#This Row],[Pred2 UID]],Tasks[UID],0),-1))</f>
        <v>0</v>
      </c>
      <c r="BF5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6" s="47" t="n">
        <f aca="false">IF(NOT(Tasks[[#This Row],[_IsLeaf]]=1),0,IF(N(Tasks[[#This Row],[Actual Finish]])&gt;0,1,MIN(1,N(Tasks[[#This Row],[% Complete]]))))</f>
        <v>0</v>
      </c>
      <c r="BK5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6" s="47" t="n">
        <f aca="false">IF(Tasks[[#This Row],[_LeafWork]]=0,0,Tasks[[#This Row],[_LeafWork]]*IFERROR(INDEX(res_Rate,MATCH(Tasks[[#This Row],[Resource]],res_Name,0)),0))</f>
        <v>0</v>
      </c>
      <c r="BM5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6" s="47" t="n">
        <f aca="false">IF(AND(Tasks[[#This Row],[_IsLeaf]]=1,Tasks[[#This Row],[_LeafWork]]&gt;0),NETWORKDAYS.INTL(ProjectStart,Tasks[[#This Row],[_LeafFcstStart]],WorkWeek,Holidays),0)</f>
        <v>0</v>
      </c>
      <c r="BV5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6" s="47" t="n">
        <f aca="false">IF(AND(Tasks[[#This Row],[_IsLeaf]]=1,Tasks[[#This Row],[_LeafWork]]&gt;0),Tasks[[#This Row],[_LeafWork]]/(Tasks[[#This Row],[_FinishWorkday]]-Tasks[[#This Row],[_StartWorkday]]+1),0)</f>
        <v>0</v>
      </c>
      <c r="BX56" s="47" t="n">
        <f aca="false">Tasks[[#This Row],[_WorkPerWorkday]]*(Tasks[[#This Row],[_StartWorkday]]-1)</f>
        <v>-0</v>
      </c>
      <c r="BY56" s="47" t="n">
        <f aca="false">IF(Tasks[[#This Row],[_IsLeaf]]=1,MAX(N(Tasks[[#This Row],[Duration]]),0.1),0)</f>
        <v>0</v>
      </c>
      <c r="BZ56" s="47" t="n">
        <f aca="false">Tasks[[#This Row],[_WeightDur]]*Tasks[[#This Row],[_LeafProgress]]</f>
        <v>0</v>
      </c>
      <c r="CA5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7" customFormat="false" ht="15" hidden="false" customHeight="false" outlineLevel="0" collapsed="false">
      <c r="A57" s="38" t="str">
        <f aca="false">IF(Tasks[[#This Row],[Task Name]]="","",COUNTA(Tasks[[#Headers],[Task Name]]:Tasks[[#This Row],[Task Name]])-1)</f>
        <v/>
      </c>
      <c r="B57" s="39" t="n">
        <v>52</v>
      </c>
      <c r="C5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7" s="39"/>
      <c r="E57" s="41"/>
      <c r="F57" s="39"/>
      <c r="G57" s="39"/>
      <c r="H57" s="39"/>
      <c r="I57" s="39"/>
      <c r="J57" s="39"/>
      <c r="K57" s="39"/>
      <c r="L57" s="39"/>
      <c r="M57" s="39"/>
      <c r="N57" s="29"/>
      <c r="O57" s="29"/>
      <c r="P57" s="24" t="str">
        <f aca="false">IF(Tasks[[#This Row],[Task Name]]="","",IF(N(Tasks[[#This Row],[Baseline Start]])&gt;0,Tasks[[#This Row],[Baseline Start]],Tasks[[#This Row],[_CalcStart]]))</f>
        <v/>
      </c>
      <c r="Q57" s="24" t="str">
        <f aca="false">IF(Tasks[[#This Row],[Task Name]]="","",IF(N(Tasks[[#This Row],[Baseline Finish]])&gt;0,Tasks[[#This Row],[Baseline Finish]],Tasks[[#This Row],[_CalcFinish]]))</f>
        <v/>
      </c>
      <c r="R57" s="29"/>
      <c r="S57" s="29"/>
      <c r="T5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7" s="31"/>
      <c r="AA5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7" s="41"/>
      <c r="AD57" s="31"/>
      <c r="AE5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7" s="41"/>
      <c r="AJ57" s="24" t="str">
        <f aca="false">IF(Tasks[[#This Row],[Task Name]]="","",Tasks[[#This Row],[Forecast Start]])</f>
        <v/>
      </c>
      <c r="AK57" s="24" t="str">
        <f aca="false">IF(Tasks[[#This Row],[Task Name]]="","",Tasks[[#This Row],[Forecast Finish]])</f>
        <v/>
      </c>
      <c r="AL5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7" s="43" t="str">
        <f aca="false">IF(Tasks[[#This Row],[Task Name]]="","",Tasks[[#This Row],[Work]])</f>
        <v/>
      </c>
      <c r="AN57" s="44" t="str">
        <f aca="false">IF(Tasks[[#This Row],[Task Name]]="","",Tasks[[#This Row],[Cost]])</f>
        <v/>
      </c>
      <c r="AO57" s="29"/>
      <c r="AP57" s="29"/>
      <c r="AQ57" s="39"/>
      <c r="AR57" s="45"/>
      <c r="AS57" s="46"/>
      <c r="AT57" s="40" t="str">
        <f aca="false">IF(OR(Tasks[[#This Row],[Task Name]]="",Tasks[[#This Row],[Baseline Duration]]=""),"",Tasks[[#This Row],[BL Source Duration]]-N(Tasks[[#This Row],[Baseline Duration]]))</f>
        <v/>
      </c>
      <c r="AU57" s="43" t="str">
        <f aca="false">IF(OR(Tasks[[#This Row],[Task Name]]="",Tasks[[#This Row],[Baseline Work]]=""),"",Tasks[[#This Row],[Work]]-N(Tasks[[#This Row],[Baseline Work]]))</f>
        <v/>
      </c>
      <c r="AV57" s="44" t="str">
        <f aca="false">IF(OR(Tasks[[#This Row],[Task Name]]="",Tasks[[#This Row],[Baseline Cost]]=""),"",Tasks[[#This Row],[Cost]]-N(Tasks[[#This Row],[Baseline Cost]]))</f>
        <v/>
      </c>
      <c r="AW57" s="47" t="str">
        <f aca="false">IF(Tasks[[#This Row],[Task Name]]="","",MAX(1,N(Tasks[[#This Row],[Level]])))</f>
        <v/>
      </c>
      <c r="AX57" s="47" t="n">
        <f aca="false">ROW()-ROW(Tasks[[#Headers],[ID]])</f>
        <v>52</v>
      </c>
      <c r="AY5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7" s="47" t="n">
        <f aca="false">IFERROR(N(INDEX(Tasks[_Level],Tasks[[#This Row],[_Row]]+1)),0)</f>
        <v>0</v>
      </c>
      <c r="BA57" s="48" t="b">
        <f aca="false">AND(Tasks[[#This Row],[Task Name]]&lt;&gt;"",Tasks[[#This Row],[_NextLevel]]&gt;Tasks[[#This Row],[_Level]])</f>
        <v>0</v>
      </c>
      <c r="BB57" s="47" t="n">
        <f aca="false">IF(Tasks[[#This Row],[_IsSummary]],COUNTIF(Tasks[WBS],Tasks[[#This Row],[WBS]]&amp;".*"),0)</f>
        <v>0</v>
      </c>
      <c r="BC57" s="47" t="n">
        <f aca="false">IF(AND(Tasks[[#This Row],[Task Name]]&lt;&gt;"",NOT(Tasks[[#This Row],[_IsSummary]])),1,0)</f>
        <v>0</v>
      </c>
      <c r="BD57" s="47" t="n">
        <f aca="false">IF(N(Tasks[[#This Row],[Pred1 UID]])=0,0,IFERROR(MATCH(Tasks[[#This Row],[Pred1 UID]],Tasks[UID],0),-1))</f>
        <v>0</v>
      </c>
      <c r="BE57" s="47" t="n">
        <f aca="false">IF(N(Tasks[[#This Row],[Pred2 UID]])=0,0,IFERROR(MATCH(Tasks[[#This Row],[Pred2 UID]],Tasks[UID],0),-1))</f>
        <v>0</v>
      </c>
      <c r="BF5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7" s="47" t="n">
        <f aca="false">IF(NOT(Tasks[[#This Row],[_IsLeaf]]=1),0,IF(N(Tasks[[#This Row],[Actual Finish]])&gt;0,1,MIN(1,N(Tasks[[#This Row],[% Complete]]))))</f>
        <v>0</v>
      </c>
      <c r="BK5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7" s="47" t="n">
        <f aca="false">IF(Tasks[[#This Row],[_LeafWork]]=0,0,Tasks[[#This Row],[_LeafWork]]*IFERROR(INDEX(res_Rate,MATCH(Tasks[[#This Row],[Resource]],res_Name,0)),0))</f>
        <v>0</v>
      </c>
      <c r="BM5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7" s="47" t="n">
        <f aca="false">IF(AND(Tasks[[#This Row],[_IsLeaf]]=1,Tasks[[#This Row],[_LeafWork]]&gt;0),NETWORKDAYS.INTL(ProjectStart,Tasks[[#This Row],[_LeafFcstStart]],WorkWeek,Holidays),0)</f>
        <v>0</v>
      </c>
      <c r="BV5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7" s="47" t="n">
        <f aca="false">IF(AND(Tasks[[#This Row],[_IsLeaf]]=1,Tasks[[#This Row],[_LeafWork]]&gt;0),Tasks[[#This Row],[_LeafWork]]/(Tasks[[#This Row],[_FinishWorkday]]-Tasks[[#This Row],[_StartWorkday]]+1),0)</f>
        <v>0</v>
      </c>
      <c r="BX57" s="47" t="n">
        <f aca="false">Tasks[[#This Row],[_WorkPerWorkday]]*(Tasks[[#This Row],[_StartWorkday]]-1)</f>
        <v>-0</v>
      </c>
      <c r="BY57" s="47" t="n">
        <f aca="false">IF(Tasks[[#This Row],[_IsLeaf]]=1,MAX(N(Tasks[[#This Row],[Duration]]),0.1),0)</f>
        <v>0</v>
      </c>
      <c r="BZ57" s="47" t="n">
        <f aca="false">Tasks[[#This Row],[_WeightDur]]*Tasks[[#This Row],[_LeafProgress]]</f>
        <v>0</v>
      </c>
      <c r="CA5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8" customFormat="false" ht="15" hidden="false" customHeight="false" outlineLevel="0" collapsed="false">
      <c r="A58" s="38" t="str">
        <f aca="false">IF(Tasks[[#This Row],[Task Name]]="","",COUNTA(Tasks[[#Headers],[Task Name]]:Tasks[[#This Row],[Task Name]])-1)</f>
        <v/>
      </c>
      <c r="B58" s="39" t="n">
        <v>53</v>
      </c>
      <c r="C5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8" s="39"/>
      <c r="E58" s="41"/>
      <c r="F58" s="39"/>
      <c r="G58" s="39"/>
      <c r="H58" s="39"/>
      <c r="I58" s="39"/>
      <c r="J58" s="39"/>
      <c r="K58" s="39"/>
      <c r="L58" s="39"/>
      <c r="M58" s="39"/>
      <c r="N58" s="29"/>
      <c r="O58" s="29"/>
      <c r="P58" s="24" t="str">
        <f aca="false">IF(Tasks[[#This Row],[Task Name]]="","",IF(N(Tasks[[#This Row],[Baseline Start]])&gt;0,Tasks[[#This Row],[Baseline Start]],Tasks[[#This Row],[_CalcStart]]))</f>
        <v/>
      </c>
      <c r="Q58" s="24" t="str">
        <f aca="false">IF(Tasks[[#This Row],[Task Name]]="","",IF(N(Tasks[[#This Row],[Baseline Finish]])&gt;0,Tasks[[#This Row],[Baseline Finish]],Tasks[[#This Row],[_CalcFinish]]))</f>
        <v/>
      </c>
      <c r="R58" s="29"/>
      <c r="S58" s="29"/>
      <c r="T5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8" s="31"/>
      <c r="AA5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8" s="41"/>
      <c r="AD58" s="31"/>
      <c r="AE5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8" s="41"/>
      <c r="AJ58" s="24" t="str">
        <f aca="false">IF(Tasks[[#This Row],[Task Name]]="","",Tasks[[#This Row],[Forecast Start]])</f>
        <v/>
      </c>
      <c r="AK58" s="24" t="str">
        <f aca="false">IF(Tasks[[#This Row],[Task Name]]="","",Tasks[[#This Row],[Forecast Finish]])</f>
        <v/>
      </c>
      <c r="AL5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8" s="43" t="str">
        <f aca="false">IF(Tasks[[#This Row],[Task Name]]="","",Tasks[[#This Row],[Work]])</f>
        <v/>
      </c>
      <c r="AN58" s="44" t="str">
        <f aca="false">IF(Tasks[[#This Row],[Task Name]]="","",Tasks[[#This Row],[Cost]])</f>
        <v/>
      </c>
      <c r="AO58" s="29"/>
      <c r="AP58" s="29"/>
      <c r="AQ58" s="39"/>
      <c r="AR58" s="45"/>
      <c r="AS58" s="46"/>
      <c r="AT58" s="40" t="str">
        <f aca="false">IF(OR(Tasks[[#This Row],[Task Name]]="",Tasks[[#This Row],[Baseline Duration]]=""),"",Tasks[[#This Row],[BL Source Duration]]-N(Tasks[[#This Row],[Baseline Duration]]))</f>
        <v/>
      </c>
      <c r="AU58" s="43" t="str">
        <f aca="false">IF(OR(Tasks[[#This Row],[Task Name]]="",Tasks[[#This Row],[Baseline Work]]=""),"",Tasks[[#This Row],[Work]]-N(Tasks[[#This Row],[Baseline Work]]))</f>
        <v/>
      </c>
      <c r="AV58" s="44" t="str">
        <f aca="false">IF(OR(Tasks[[#This Row],[Task Name]]="",Tasks[[#This Row],[Baseline Cost]]=""),"",Tasks[[#This Row],[Cost]]-N(Tasks[[#This Row],[Baseline Cost]]))</f>
        <v/>
      </c>
      <c r="AW58" s="47" t="str">
        <f aca="false">IF(Tasks[[#This Row],[Task Name]]="","",MAX(1,N(Tasks[[#This Row],[Level]])))</f>
        <v/>
      </c>
      <c r="AX58" s="47" t="n">
        <f aca="false">ROW()-ROW(Tasks[[#Headers],[ID]])</f>
        <v>53</v>
      </c>
      <c r="AY5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8" s="47" t="n">
        <f aca="false">IFERROR(N(INDEX(Tasks[_Level],Tasks[[#This Row],[_Row]]+1)),0)</f>
        <v>0</v>
      </c>
      <c r="BA58" s="48" t="b">
        <f aca="false">AND(Tasks[[#This Row],[Task Name]]&lt;&gt;"",Tasks[[#This Row],[_NextLevel]]&gt;Tasks[[#This Row],[_Level]])</f>
        <v>0</v>
      </c>
      <c r="BB58" s="47" t="n">
        <f aca="false">IF(Tasks[[#This Row],[_IsSummary]],COUNTIF(Tasks[WBS],Tasks[[#This Row],[WBS]]&amp;".*"),0)</f>
        <v>0</v>
      </c>
      <c r="BC58" s="47" t="n">
        <f aca="false">IF(AND(Tasks[[#This Row],[Task Name]]&lt;&gt;"",NOT(Tasks[[#This Row],[_IsSummary]])),1,0)</f>
        <v>0</v>
      </c>
      <c r="BD58" s="47" t="n">
        <f aca="false">IF(N(Tasks[[#This Row],[Pred1 UID]])=0,0,IFERROR(MATCH(Tasks[[#This Row],[Pred1 UID]],Tasks[UID],0),-1))</f>
        <v>0</v>
      </c>
      <c r="BE58" s="47" t="n">
        <f aca="false">IF(N(Tasks[[#This Row],[Pred2 UID]])=0,0,IFERROR(MATCH(Tasks[[#This Row],[Pred2 UID]],Tasks[UID],0),-1))</f>
        <v>0</v>
      </c>
      <c r="BF5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8" s="47" t="n">
        <f aca="false">IF(NOT(Tasks[[#This Row],[_IsLeaf]]=1),0,IF(N(Tasks[[#This Row],[Actual Finish]])&gt;0,1,MIN(1,N(Tasks[[#This Row],[% Complete]]))))</f>
        <v>0</v>
      </c>
      <c r="BK5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8" s="47" t="n">
        <f aca="false">IF(Tasks[[#This Row],[_LeafWork]]=0,0,Tasks[[#This Row],[_LeafWork]]*IFERROR(INDEX(res_Rate,MATCH(Tasks[[#This Row],[Resource]],res_Name,0)),0))</f>
        <v>0</v>
      </c>
      <c r="BM5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8" s="47" t="n">
        <f aca="false">IF(AND(Tasks[[#This Row],[_IsLeaf]]=1,Tasks[[#This Row],[_LeafWork]]&gt;0),NETWORKDAYS.INTL(ProjectStart,Tasks[[#This Row],[_LeafFcstStart]],WorkWeek,Holidays),0)</f>
        <v>0</v>
      </c>
      <c r="BV5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8" s="47" t="n">
        <f aca="false">IF(AND(Tasks[[#This Row],[_IsLeaf]]=1,Tasks[[#This Row],[_LeafWork]]&gt;0),Tasks[[#This Row],[_LeafWork]]/(Tasks[[#This Row],[_FinishWorkday]]-Tasks[[#This Row],[_StartWorkday]]+1),0)</f>
        <v>0</v>
      </c>
      <c r="BX58" s="47" t="n">
        <f aca="false">Tasks[[#This Row],[_WorkPerWorkday]]*(Tasks[[#This Row],[_StartWorkday]]-1)</f>
        <v>-0</v>
      </c>
      <c r="BY58" s="47" t="n">
        <f aca="false">IF(Tasks[[#This Row],[_IsLeaf]]=1,MAX(N(Tasks[[#This Row],[Duration]]),0.1),0)</f>
        <v>0</v>
      </c>
      <c r="BZ58" s="47" t="n">
        <f aca="false">Tasks[[#This Row],[_WeightDur]]*Tasks[[#This Row],[_LeafProgress]]</f>
        <v>0</v>
      </c>
      <c r="CA5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9" customFormat="false" ht="15" hidden="false" customHeight="false" outlineLevel="0" collapsed="false">
      <c r="A59" s="38" t="str">
        <f aca="false">IF(Tasks[[#This Row],[Task Name]]="","",COUNTA(Tasks[[#Headers],[Task Name]]:Tasks[[#This Row],[Task Name]])-1)</f>
        <v/>
      </c>
      <c r="B59" s="39" t="n">
        <v>54</v>
      </c>
      <c r="C5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9" s="39"/>
      <c r="E59" s="41"/>
      <c r="F59" s="39"/>
      <c r="G59" s="39"/>
      <c r="H59" s="39"/>
      <c r="I59" s="39"/>
      <c r="J59" s="39"/>
      <c r="K59" s="39"/>
      <c r="L59" s="39"/>
      <c r="M59" s="39"/>
      <c r="N59" s="29"/>
      <c r="O59" s="29"/>
      <c r="P59" s="24" t="str">
        <f aca="false">IF(Tasks[[#This Row],[Task Name]]="","",IF(N(Tasks[[#This Row],[Baseline Start]])&gt;0,Tasks[[#This Row],[Baseline Start]],Tasks[[#This Row],[_CalcStart]]))</f>
        <v/>
      </c>
      <c r="Q59" s="24" t="str">
        <f aca="false">IF(Tasks[[#This Row],[Task Name]]="","",IF(N(Tasks[[#This Row],[Baseline Finish]])&gt;0,Tasks[[#This Row],[Baseline Finish]],Tasks[[#This Row],[_CalcFinish]]))</f>
        <v/>
      </c>
      <c r="R59" s="29"/>
      <c r="S59" s="29"/>
      <c r="T5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9" s="31"/>
      <c r="AA5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9" s="41"/>
      <c r="AD59" s="31"/>
      <c r="AE5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9" s="41"/>
      <c r="AJ59" s="24" t="str">
        <f aca="false">IF(Tasks[[#This Row],[Task Name]]="","",Tasks[[#This Row],[Forecast Start]])</f>
        <v/>
      </c>
      <c r="AK59" s="24" t="str">
        <f aca="false">IF(Tasks[[#This Row],[Task Name]]="","",Tasks[[#This Row],[Forecast Finish]])</f>
        <v/>
      </c>
      <c r="AL5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9" s="43" t="str">
        <f aca="false">IF(Tasks[[#This Row],[Task Name]]="","",Tasks[[#This Row],[Work]])</f>
        <v/>
      </c>
      <c r="AN59" s="44" t="str">
        <f aca="false">IF(Tasks[[#This Row],[Task Name]]="","",Tasks[[#This Row],[Cost]])</f>
        <v/>
      </c>
      <c r="AO59" s="29"/>
      <c r="AP59" s="29"/>
      <c r="AQ59" s="39"/>
      <c r="AR59" s="45"/>
      <c r="AS59" s="46"/>
      <c r="AT59" s="40" t="str">
        <f aca="false">IF(OR(Tasks[[#This Row],[Task Name]]="",Tasks[[#This Row],[Baseline Duration]]=""),"",Tasks[[#This Row],[BL Source Duration]]-N(Tasks[[#This Row],[Baseline Duration]]))</f>
        <v/>
      </c>
      <c r="AU59" s="43" t="str">
        <f aca="false">IF(OR(Tasks[[#This Row],[Task Name]]="",Tasks[[#This Row],[Baseline Work]]=""),"",Tasks[[#This Row],[Work]]-N(Tasks[[#This Row],[Baseline Work]]))</f>
        <v/>
      </c>
      <c r="AV59" s="44" t="str">
        <f aca="false">IF(OR(Tasks[[#This Row],[Task Name]]="",Tasks[[#This Row],[Baseline Cost]]=""),"",Tasks[[#This Row],[Cost]]-N(Tasks[[#This Row],[Baseline Cost]]))</f>
        <v/>
      </c>
      <c r="AW59" s="47" t="str">
        <f aca="false">IF(Tasks[[#This Row],[Task Name]]="","",MAX(1,N(Tasks[[#This Row],[Level]])))</f>
        <v/>
      </c>
      <c r="AX59" s="47" t="n">
        <f aca="false">ROW()-ROW(Tasks[[#Headers],[ID]])</f>
        <v>54</v>
      </c>
      <c r="AY5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9" s="47" t="n">
        <f aca="false">IFERROR(N(INDEX(Tasks[_Level],Tasks[[#This Row],[_Row]]+1)),0)</f>
        <v>0</v>
      </c>
      <c r="BA59" s="48" t="b">
        <f aca="false">AND(Tasks[[#This Row],[Task Name]]&lt;&gt;"",Tasks[[#This Row],[_NextLevel]]&gt;Tasks[[#This Row],[_Level]])</f>
        <v>0</v>
      </c>
      <c r="BB59" s="47" t="n">
        <f aca="false">IF(Tasks[[#This Row],[_IsSummary]],COUNTIF(Tasks[WBS],Tasks[[#This Row],[WBS]]&amp;".*"),0)</f>
        <v>0</v>
      </c>
      <c r="BC59" s="47" t="n">
        <f aca="false">IF(AND(Tasks[[#This Row],[Task Name]]&lt;&gt;"",NOT(Tasks[[#This Row],[_IsSummary]])),1,0)</f>
        <v>0</v>
      </c>
      <c r="BD59" s="47" t="n">
        <f aca="false">IF(N(Tasks[[#This Row],[Pred1 UID]])=0,0,IFERROR(MATCH(Tasks[[#This Row],[Pred1 UID]],Tasks[UID],0),-1))</f>
        <v>0</v>
      </c>
      <c r="BE59" s="47" t="n">
        <f aca="false">IF(N(Tasks[[#This Row],[Pred2 UID]])=0,0,IFERROR(MATCH(Tasks[[#This Row],[Pred2 UID]],Tasks[UID],0),-1))</f>
        <v>0</v>
      </c>
      <c r="BF5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9" s="47" t="n">
        <f aca="false">IF(NOT(Tasks[[#This Row],[_IsLeaf]]=1),0,IF(N(Tasks[[#This Row],[Actual Finish]])&gt;0,1,MIN(1,N(Tasks[[#This Row],[% Complete]]))))</f>
        <v>0</v>
      </c>
      <c r="BK5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9" s="47" t="n">
        <f aca="false">IF(Tasks[[#This Row],[_LeafWork]]=0,0,Tasks[[#This Row],[_LeafWork]]*IFERROR(INDEX(res_Rate,MATCH(Tasks[[#This Row],[Resource]],res_Name,0)),0))</f>
        <v>0</v>
      </c>
      <c r="BM5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5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5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5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5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5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59" s="47" t="n">
        <f aca="false">IF(AND(Tasks[[#This Row],[_IsLeaf]]=1,Tasks[[#This Row],[_LeafWork]]&gt;0),NETWORKDAYS.INTL(ProjectStart,Tasks[[#This Row],[_LeafFcstStart]],WorkWeek,Holidays),0)</f>
        <v>0</v>
      </c>
      <c r="BV5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9" s="47" t="n">
        <f aca="false">IF(AND(Tasks[[#This Row],[_IsLeaf]]=1,Tasks[[#This Row],[_LeafWork]]&gt;0),Tasks[[#This Row],[_LeafWork]]/(Tasks[[#This Row],[_FinishWorkday]]-Tasks[[#This Row],[_StartWorkday]]+1),0)</f>
        <v>0</v>
      </c>
      <c r="BX59" s="47" t="n">
        <f aca="false">Tasks[[#This Row],[_WorkPerWorkday]]*(Tasks[[#This Row],[_StartWorkday]]-1)</f>
        <v>-0</v>
      </c>
      <c r="BY59" s="47" t="n">
        <f aca="false">IF(Tasks[[#This Row],[_IsLeaf]]=1,MAX(N(Tasks[[#This Row],[Duration]]),0.1),0)</f>
        <v>0</v>
      </c>
      <c r="BZ59" s="47" t="n">
        <f aca="false">Tasks[[#This Row],[_WeightDur]]*Tasks[[#This Row],[_LeafProgress]]</f>
        <v>0</v>
      </c>
      <c r="CA5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0" customFormat="false" ht="15" hidden="false" customHeight="false" outlineLevel="0" collapsed="false">
      <c r="A60" s="38" t="str">
        <f aca="false">IF(Tasks[[#This Row],[Task Name]]="","",COUNTA(Tasks[[#Headers],[Task Name]]:Tasks[[#This Row],[Task Name]])-1)</f>
        <v/>
      </c>
      <c r="B60" s="39" t="n">
        <v>55</v>
      </c>
      <c r="C6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0" s="39"/>
      <c r="E60" s="41"/>
      <c r="F60" s="39"/>
      <c r="G60" s="39"/>
      <c r="H60" s="39"/>
      <c r="I60" s="39"/>
      <c r="J60" s="39"/>
      <c r="K60" s="39"/>
      <c r="L60" s="39"/>
      <c r="M60" s="39"/>
      <c r="N60" s="29"/>
      <c r="O60" s="29"/>
      <c r="P60" s="24" t="str">
        <f aca="false">IF(Tasks[[#This Row],[Task Name]]="","",IF(N(Tasks[[#This Row],[Baseline Start]])&gt;0,Tasks[[#This Row],[Baseline Start]],Tasks[[#This Row],[_CalcStart]]))</f>
        <v/>
      </c>
      <c r="Q60" s="24" t="str">
        <f aca="false">IF(Tasks[[#This Row],[Task Name]]="","",IF(N(Tasks[[#This Row],[Baseline Finish]])&gt;0,Tasks[[#This Row],[Baseline Finish]],Tasks[[#This Row],[_CalcFinish]]))</f>
        <v/>
      </c>
      <c r="R60" s="29"/>
      <c r="S60" s="29"/>
      <c r="T6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0" s="31"/>
      <c r="AA6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0" s="41"/>
      <c r="AD60" s="31"/>
      <c r="AE6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0" s="41"/>
      <c r="AJ60" s="24" t="str">
        <f aca="false">IF(Tasks[[#This Row],[Task Name]]="","",Tasks[[#This Row],[Forecast Start]])</f>
        <v/>
      </c>
      <c r="AK60" s="24" t="str">
        <f aca="false">IF(Tasks[[#This Row],[Task Name]]="","",Tasks[[#This Row],[Forecast Finish]])</f>
        <v/>
      </c>
      <c r="AL6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0" s="43" t="str">
        <f aca="false">IF(Tasks[[#This Row],[Task Name]]="","",Tasks[[#This Row],[Work]])</f>
        <v/>
      </c>
      <c r="AN60" s="44" t="str">
        <f aca="false">IF(Tasks[[#This Row],[Task Name]]="","",Tasks[[#This Row],[Cost]])</f>
        <v/>
      </c>
      <c r="AO60" s="29"/>
      <c r="AP60" s="29"/>
      <c r="AQ60" s="39"/>
      <c r="AR60" s="45"/>
      <c r="AS60" s="46"/>
      <c r="AT60" s="40" t="str">
        <f aca="false">IF(OR(Tasks[[#This Row],[Task Name]]="",Tasks[[#This Row],[Baseline Duration]]=""),"",Tasks[[#This Row],[BL Source Duration]]-N(Tasks[[#This Row],[Baseline Duration]]))</f>
        <v/>
      </c>
      <c r="AU60" s="43" t="str">
        <f aca="false">IF(OR(Tasks[[#This Row],[Task Name]]="",Tasks[[#This Row],[Baseline Work]]=""),"",Tasks[[#This Row],[Work]]-N(Tasks[[#This Row],[Baseline Work]]))</f>
        <v/>
      </c>
      <c r="AV60" s="44" t="str">
        <f aca="false">IF(OR(Tasks[[#This Row],[Task Name]]="",Tasks[[#This Row],[Baseline Cost]]=""),"",Tasks[[#This Row],[Cost]]-N(Tasks[[#This Row],[Baseline Cost]]))</f>
        <v/>
      </c>
      <c r="AW60" s="47" t="str">
        <f aca="false">IF(Tasks[[#This Row],[Task Name]]="","",MAX(1,N(Tasks[[#This Row],[Level]])))</f>
        <v/>
      </c>
      <c r="AX60" s="47" t="n">
        <f aca="false">ROW()-ROW(Tasks[[#Headers],[ID]])</f>
        <v>55</v>
      </c>
      <c r="AY6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0" s="47" t="n">
        <f aca="false">IFERROR(N(INDEX(Tasks[_Level],Tasks[[#This Row],[_Row]]+1)),0)</f>
        <v>0</v>
      </c>
      <c r="BA60" s="48" t="b">
        <f aca="false">AND(Tasks[[#This Row],[Task Name]]&lt;&gt;"",Tasks[[#This Row],[_NextLevel]]&gt;Tasks[[#This Row],[_Level]])</f>
        <v>0</v>
      </c>
      <c r="BB60" s="47" t="n">
        <f aca="false">IF(Tasks[[#This Row],[_IsSummary]],COUNTIF(Tasks[WBS],Tasks[[#This Row],[WBS]]&amp;".*"),0)</f>
        <v>0</v>
      </c>
      <c r="BC60" s="47" t="n">
        <f aca="false">IF(AND(Tasks[[#This Row],[Task Name]]&lt;&gt;"",NOT(Tasks[[#This Row],[_IsSummary]])),1,0)</f>
        <v>0</v>
      </c>
      <c r="BD60" s="47" t="n">
        <f aca="false">IF(N(Tasks[[#This Row],[Pred1 UID]])=0,0,IFERROR(MATCH(Tasks[[#This Row],[Pred1 UID]],Tasks[UID],0),-1))</f>
        <v>0</v>
      </c>
      <c r="BE60" s="47" t="n">
        <f aca="false">IF(N(Tasks[[#This Row],[Pred2 UID]])=0,0,IFERROR(MATCH(Tasks[[#This Row],[Pred2 UID]],Tasks[UID],0),-1))</f>
        <v>0</v>
      </c>
      <c r="BF6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0" s="47" t="n">
        <f aca="false">IF(NOT(Tasks[[#This Row],[_IsLeaf]]=1),0,IF(N(Tasks[[#This Row],[Actual Finish]])&gt;0,1,MIN(1,N(Tasks[[#This Row],[% Complete]]))))</f>
        <v>0</v>
      </c>
      <c r="BK6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0" s="47" t="n">
        <f aca="false">IF(Tasks[[#This Row],[_LeafWork]]=0,0,Tasks[[#This Row],[_LeafWork]]*IFERROR(INDEX(res_Rate,MATCH(Tasks[[#This Row],[Resource]],res_Name,0)),0))</f>
        <v>0</v>
      </c>
      <c r="BM6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0" s="47" t="n">
        <f aca="false">IF(AND(Tasks[[#This Row],[_IsLeaf]]=1,Tasks[[#This Row],[_LeafWork]]&gt;0),NETWORKDAYS.INTL(ProjectStart,Tasks[[#This Row],[_LeafFcstStart]],WorkWeek,Holidays),0)</f>
        <v>0</v>
      </c>
      <c r="BV6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0" s="47" t="n">
        <f aca="false">IF(AND(Tasks[[#This Row],[_IsLeaf]]=1,Tasks[[#This Row],[_LeafWork]]&gt;0),Tasks[[#This Row],[_LeafWork]]/(Tasks[[#This Row],[_FinishWorkday]]-Tasks[[#This Row],[_StartWorkday]]+1),0)</f>
        <v>0</v>
      </c>
      <c r="BX60" s="47" t="n">
        <f aca="false">Tasks[[#This Row],[_WorkPerWorkday]]*(Tasks[[#This Row],[_StartWorkday]]-1)</f>
        <v>-0</v>
      </c>
      <c r="BY60" s="47" t="n">
        <f aca="false">IF(Tasks[[#This Row],[_IsLeaf]]=1,MAX(N(Tasks[[#This Row],[Duration]]),0.1),0)</f>
        <v>0</v>
      </c>
      <c r="BZ60" s="47" t="n">
        <f aca="false">Tasks[[#This Row],[_WeightDur]]*Tasks[[#This Row],[_LeafProgress]]</f>
        <v>0</v>
      </c>
      <c r="CA6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1" customFormat="false" ht="15" hidden="false" customHeight="false" outlineLevel="0" collapsed="false">
      <c r="A61" s="38" t="str">
        <f aca="false">IF(Tasks[[#This Row],[Task Name]]="","",COUNTA(Tasks[[#Headers],[Task Name]]:Tasks[[#This Row],[Task Name]])-1)</f>
        <v/>
      </c>
      <c r="B61" s="39" t="n">
        <v>56</v>
      </c>
      <c r="C6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1" s="39"/>
      <c r="E61" s="41"/>
      <c r="F61" s="39"/>
      <c r="G61" s="39"/>
      <c r="H61" s="39"/>
      <c r="I61" s="39"/>
      <c r="J61" s="39"/>
      <c r="K61" s="39"/>
      <c r="L61" s="39"/>
      <c r="M61" s="39"/>
      <c r="N61" s="29"/>
      <c r="O61" s="29"/>
      <c r="P61" s="24" t="str">
        <f aca="false">IF(Tasks[[#This Row],[Task Name]]="","",IF(N(Tasks[[#This Row],[Baseline Start]])&gt;0,Tasks[[#This Row],[Baseline Start]],Tasks[[#This Row],[_CalcStart]]))</f>
        <v/>
      </c>
      <c r="Q61" s="24" t="str">
        <f aca="false">IF(Tasks[[#This Row],[Task Name]]="","",IF(N(Tasks[[#This Row],[Baseline Finish]])&gt;0,Tasks[[#This Row],[Baseline Finish]],Tasks[[#This Row],[_CalcFinish]]))</f>
        <v/>
      </c>
      <c r="R61" s="29"/>
      <c r="S61" s="29"/>
      <c r="T6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1" s="31"/>
      <c r="AA6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1" s="41"/>
      <c r="AD61" s="31"/>
      <c r="AE6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1" s="41"/>
      <c r="AJ61" s="24" t="str">
        <f aca="false">IF(Tasks[[#This Row],[Task Name]]="","",Tasks[[#This Row],[Forecast Start]])</f>
        <v/>
      </c>
      <c r="AK61" s="24" t="str">
        <f aca="false">IF(Tasks[[#This Row],[Task Name]]="","",Tasks[[#This Row],[Forecast Finish]])</f>
        <v/>
      </c>
      <c r="AL6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1" s="43" t="str">
        <f aca="false">IF(Tasks[[#This Row],[Task Name]]="","",Tasks[[#This Row],[Work]])</f>
        <v/>
      </c>
      <c r="AN61" s="44" t="str">
        <f aca="false">IF(Tasks[[#This Row],[Task Name]]="","",Tasks[[#This Row],[Cost]])</f>
        <v/>
      </c>
      <c r="AO61" s="29"/>
      <c r="AP61" s="29"/>
      <c r="AQ61" s="39"/>
      <c r="AR61" s="45"/>
      <c r="AS61" s="46"/>
      <c r="AT61" s="40" t="str">
        <f aca="false">IF(OR(Tasks[[#This Row],[Task Name]]="",Tasks[[#This Row],[Baseline Duration]]=""),"",Tasks[[#This Row],[BL Source Duration]]-N(Tasks[[#This Row],[Baseline Duration]]))</f>
        <v/>
      </c>
      <c r="AU61" s="43" t="str">
        <f aca="false">IF(OR(Tasks[[#This Row],[Task Name]]="",Tasks[[#This Row],[Baseline Work]]=""),"",Tasks[[#This Row],[Work]]-N(Tasks[[#This Row],[Baseline Work]]))</f>
        <v/>
      </c>
      <c r="AV61" s="44" t="str">
        <f aca="false">IF(OR(Tasks[[#This Row],[Task Name]]="",Tasks[[#This Row],[Baseline Cost]]=""),"",Tasks[[#This Row],[Cost]]-N(Tasks[[#This Row],[Baseline Cost]]))</f>
        <v/>
      </c>
      <c r="AW61" s="47" t="str">
        <f aca="false">IF(Tasks[[#This Row],[Task Name]]="","",MAX(1,N(Tasks[[#This Row],[Level]])))</f>
        <v/>
      </c>
      <c r="AX61" s="47" t="n">
        <f aca="false">ROW()-ROW(Tasks[[#Headers],[ID]])</f>
        <v>56</v>
      </c>
      <c r="AY6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1" s="47" t="n">
        <f aca="false">IFERROR(N(INDEX(Tasks[_Level],Tasks[[#This Row],[_Row]]+1)),0)</f>
        <v>0</v>
      </c>
      <c r="BA61" s="48" t="b">
        <f aca="false">AND(Tasks[[#This Row],[Task Name]]&lt;&gt;"",Tasks[[#This Row],[_NextLevel]]&gt;Tasks[[#This Row],[_Level]])</f>
        <v>0</v>
      </c>
      <c r="BB61" s="47" t="n">
        <f aca="false">IF(Tasks[[#This Row],[_IsSummary]],COUNTIF(Tasks[WBS],Tasks[[#This Row],[WBS]]&amp;".*"),0)</f>
        <v>0</v>
      </c>
      <c r="BC61" s="47" t="n">
        <f aca="false">IF(AND(Tasks[[#This Row],[Task Name]]&lt;&gt;"",NOT(Tasks[[#This Row],[_IsSummary]])),1,0)</f>
        <v>0</v>
      </c>
      <c r="BD61" s="47" t="n">
        <f aca="false">IF(N(Tasks[[#This Row],[Pred1 UID]])=0,0,IFERROR(MATCH(Tasks[[#This Row],[Pred1 UID]],Tasks[UID],0),-1))</f>
        <v>0</v>
      </c>
      <c r="BE61" s="47" t="n">
        <f aca="false">IF(N(Tasks[[#This Row],[Pred2 UID]])=0,0,IFERROR(MATCH(Tasks[[#This Row],[Pred2 UID]],Tasks[UID],0),-1))</f>
        <v>0</v>
      </c>
      <c r="BF6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1" s="47" t="n">
        <f aca="false">IF(NOT(Tasks[[#This Row],[_IsLeaf]]=1),0,IF(N(Tasks[[#This Row],[Actual Finish]])&gt;0,1,MIN(1,N(Tasks[[#This Row],[% Complete]]))))</f>
        <v>0</v>
      </c>
      <c r="BK6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1" s="47" t="n">
        <f aca="false">IF(Tasks[[#This Row],[_LeafWork]]=0,0,Tasks[[#This Row],[_LeafWork]]*IFERROR(INDEX(res_Rate,MATCH(Tasks[[#This Row],[Resource]],res_Name,0)),0))</f>
        <v>0</v>
      </c>
      <c r="BM6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1" s="47" t="n">
        <f aca="false">IF(AND(Tasks[[#This Row],[_IsLeaf]]=1,Tasks[[#This Row],[_LeafWork]]&gt;0),NETWORKDAYS.INTL(ProjectStart,Tasks[[#This Row],[_LeafFcstStart]],WorkWeek,Holidays),0)</f>
        <v>0</v>
      </c>
      <c r="BV6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1" s="47" t="n">
        <f aca="false">IF(AND(Tasks[[#This Row],[_IsLeaf]]=1,Tasks[[#This Row],[_LeafWork]]&gt;0),Tasks[[#This Row],[_LeafWork]]/(Tasks[[#This Row],[_FinishWorkday]]-Tasks[[#This Row],[_StartWorkday]]+1),0)</f>
        <v>0</v>
      </c>
      <c r="BX61" s="47" t="n">
        <f aca="false">Tasks[[#This Row],[_WorkPerWorkday]]*(Tasks[[#This Row],[_StartWorkday]]-1)</f>
        <v>-0</v>
      </c>
      <c r="BY61" s="47" t="n">
        <f aca="false">IF(Tasks[[#This Row],[_IsLeaf]]=1,MAX(N(Tasks[[#This Row],[Duration]]),0.1),0)</f>
        <v>0</v>
      </c>
      <c r="BZ61" s="47" t="n">
        <f aca="false">Tasks[[#This Row],[_WeightDur]]*Tasks[[#This Row],[_LeafProgress]]</f>
        <v>0</v>
      </c>
      <c r="CA6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2" customFormat="false" ht="15" hidden="false" customHeight="false" outlineLevel="0" collapsed="false">
      <c r="A62" s="38" t="str">
        <f aca="false">IF(Tasks[[#This Row],[Task Name]]="","",COUNTA(Tasks[[#Headers],[Task Name]]:Tasks[[#This Row],[Task Name]])-1)</f>
        <v/>
      </c>
      <c r="B62" s="39" t="n">
        <v>57</v>
      </c>
      <c r="C6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2" s="39"/>
      <c r="E62" s="41"/>
      <c r="F62" s="39"/>
      <c r="G62" s="39"/>
      <c r="H62" s="39"/>
      <c r="I62" s="39"/>
      <c r="J62" s="39"/>
      <c r="K62" s="39"/>
      <c r="L62" s="39"/>
      <c r="M62" s="39"/>
      <c r="N62" s="29"/>
      <c r="O62" s="29"/>
      <c r="P62" s="24" t="str">
        <f aca="false">IF(Tasks[[#This Row],[Task Name]]="","",IF(N(Tasks[[#This Row],[Baseline Start]])&gt;0,Tasks[[#This Row],[Baseline Start]],Tasks[[#This Row],[_CalcStart]]))</f>
        <v/>
      </c>
      <c r="Q62" s="24" t="str">
        <f aca="false">IF(Tasks[[#This Row],[Task Name]]="","",IF(N(Tasks[[#This Row],[Baseline Finish]])&gt;0,Tasks[[#This Row],[Baseline Finish]],Tasks[[#This Row],[_CalcFinish]]))</f>
        <v/>
      </c>
      <c r="R62" s="29"/>
      <c r="S62" s="29"/>
      <c r="T6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2" s="31"/>
      <c r="AA6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2" s="41"/>
      <c r="AD62" s="31"/>
      <c r="AE6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2" s="41"/>
      <c r="AJ62" s="24" t="str">
        <f aca="false">IF(Tasks[[#This Row],[Task Name]]="","",Tasks[[#This Row],[Forecast Start]])</f>
        <v/>
      </c>
      <c r="AK62" s="24" t="str">
        <f aca="false">IF(Tasks[[#This Row],[Task Name]]="","",Tasks[[#This Row],[Forecast Finish]])</f>
        <v/>
      </c>
      <c r="AL6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2" s="43" t="str">
        <f aca="false">IF(Tasks[[#This Row],[Task Name]]="","",Tasks[[#This Row],[Work]])</f>
        <v/>
      </c>
      <c r="AN62" s="44" t="str">
        <f aca="false">IF(Tasks[[#This Row],[Task Name]]="","",Tasks[[#This Row],[Cost]])</f>
        <v/>
      </c>
      <c r="AO62" s="29"/>
      <c r="AP62" s="29"/>
      <c r="AQ62" s="39"/>
      <c r="AR62" s="45"/>
      <c r="AS62" s="46"/>
      <c r="AT62" s="40" t="str">
        <f aca="false">IF(OR(Tasks[[#This Row],[Task Name]]="",Tasks[[#This Row],[Baseline Duration]]=""),"",Tasks[[#This Row],[BL Source Duration]]-N(Tasks[[#This Row],[Baseline Duration]]))</f>
        <v/>
      </c>
      <c r="AU62" s="43" t="str">
        <f aca="false">IF(OR(Tasks[[#This Row],[Task Name]]="",Tasks[[#This Row],[Baseline Work]]=""),"",Tasks[[#This Row],[Work]]-N(Tasks[[#This Row],[Baseline Work]]))</f>
        <v/>
      </c>
      <c r="AV62" s="44" t="str">
        <f aca="false">IF(OR(Tasks[[#This Row],[Task Name]]="",Tasks[[#This Row],[Baseline Cost]]=""),"",Tasks[[#This Row],[Cost]]-N(Tasks[[#This Row],[Baseline Cost]]))</f>
        <v/>
      </c>
      <c r="AW62" s="47" t="str">
        <f aca="false">IF(Tasks[[#This Row],[Task Name]]="","",MAX(1,N(Tasks[[#This Row],[Level]])))</f>
        <v/>
      </c>
      <c r="AX62" s="47" t="n">
        <f aca="false">ROW()-ROW(Tasks[[#Headers],[ID]])</f>
        <v>57</v>
      </c>
      <c r="AY6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2" s="47" t="n">
        <f aca="false">IFERROR(N(INDEX(Tasks[_Level],Tasks[[#This Row],[_Row]]+1)),0)</f>
        <v>0</v>
      </c>
      <c r="BA62" s="48" t="b">
        <f aca="false">AND(Tasks[[#This Row],[Task Name]]&lt;&gt;"",Tasks[[#This Row],[_NextLevel]]&gt;Tasks[[#This Row],[_Level]])</f>
        <v>0</v>
      </c>
      <c r="BB62" s="47" t="n">
        <f aca="false">IF(Tasks[[#This Row],[_IsSummary]],COUNTIF(Tasks[WBS],Tasks[[#This Row],[WBS]]&amp;".*"),0)</f>
        <v>0</v>
      </c>
      <c r="BC62" s="47" t="n">
        <f aca="false">IF(AND(Tasks[[#This Row],[Task Name]]&lt;&gt;"",NOT(Tasks[[#This Row],[_IsSummary]])),1,0)</f>
        <v>0</v>
      </c>
      <c r="BD62" s="47" t="n">
        <f aca="false">IF(N(Tasks[[#This Row],[Pred1 UID]])=0,0,IFERROR(MATCH(Tasks[[#This Row],[Pred1 UID]],Tasks[UID],0),-1))</f>
        <v>0</v>
      </c>
      <c r="BE62" s="47" t="n">
        <f aca="false">IF(N(Tasks[[#This Row],[Pred2 UID]])=0,0,IFERROR(MATCH(Tasks[[#This Row],[Pred2 UID]],Tasks[UID],0),-1))</f>
        <v>0</v>
      </c>
      <c r="BF6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2" s="47" t="n">
        <f aca="false">IF(NOT(Tasks[[#This Row],[_IsLeaf]]=1),0,IF(N(Tasks[[#This Row],[Actual Finish]])&gt;0,1,MIN(1,N(Tasks[[#This Row],[% Complete]]))))</f>
        <v>0</v>
      </c>
      <c r="BK6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2" s="47" t="n">
        <f aca="false">IF(Tasks[[#This Row],[_LeafWork]]=0,0,Tasks[[#This Row],[_LeafWork]]*IFERROR(INDEX(res_Rate,MATCH(Tasks[[#This Row],[Resource]],res_Name,0)),0))</f>
        <v>0</v>
      </c>
      <c r="BM6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2" s="47" t="n">
        <f aca="false">IF(AND(Tasks[[#This Row],[_IsLeaf]]=1,Tasks[[#This Row],[_LeafWork]]&gt;0),NETWORKDAYS.INTL(ProjectStart,Tasks[[#This Row],[_LeafFcstStart]],WorkWeek,Holidays),0)</f>
        <v>0</v>
      </c>
      <c r="BV6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2" s="47" t="n">
        <f aca="false">IF(AND(Tasks[[#This Row],[_IsLeaf]]=1,Tasks[[#This Row],[_LeafWork]]&gt;0),Tasks[[#This Row],[_LeafWork]]/(Tasks[[#This Row],[_FinishWorkday]]-Tasks[[#This Row],[_StartWorkday]]+1),0)</f>
        <v>0</v>
      </c>
      <c r="BX62" s="47" t="n">
        <f aca="false">Tasks[[#This Row],[_WorkPerWorkday]]*(Tasks[[#This Row],[_StartWorkday]]-1)</f>
        <v>-0</v>
      </c>
      <c r="BY62" s="47" t="n">
        <f aca="false">IF(Tasks[[#This Row],[_IsLeaf]]=1,MAX(N(Tasks[[#This Row],[Duration]]),0.1),0)</f>
        <v>0</v>
      </c>
      <c r="BZ62" s="47" t="n">
        <f aca="false">Tasks[[#This Row],[_WeightDur]]*Tasks[[#This Row],[_LeafProgress]]</f>
        <v>0</v>
      </c>
      <c r="CA6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3" customFormat="false" ht="15" hidden="false" customHeight="false" outlineLevel="0" collapsed="false">
      <c r="A63" s="38" t="str">
        <f aca="false">IF(Tasks[[#This Row],[Task Name]]="","",COUNTA(Tasks[[#Headers],[Task Name]]:Tasks[[#This Row],[Task Name]])-1)</f>
        <v/>
      </c>
      <c r="B63" s="39" t="n">
        <v>58</v>
      </c>
      <c r="C6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3" s="39"/>
      <c r="E63" s="41"/>
      <c r="F63" s="39"/>
      <c r="G63" s="39"/>
      <c r="H63" s="39"/>
      <c r="I63" s="39"/>
      <c r="J63" s="39"/>
      <c r="K63" s="39"/>
      <c r="L63" s="39"/>
      <c r="M63" s="39"/>
      <c r="N63" s="29"/>
      <c r="O63" s="29"/>
      <c r="P63" s="24" t="str">
        <f aca="false">IF(Tasks[[#This Row],[Task Name]]="","",IF(N(Tasks[[#This Row],[Baseline Start]])&gt;0,Tasks[[#This Row],[Baseline Start]],Tasks[[#This Row],[_CalcStart]]))</f>
        <v/>
      </c>
      <c r="Q63" s="24" t="str">
        <f aca="false">IF(Tasks[[#This Row],[Task Name]]="","",IF(N(Tasks[[#This Row],[Baseline Finish]])&gt;0,Tasks[[#This Row],[Baseline Finish]],Tasks[[#This Row],[_CalcFinish]]))</f>
        <v/>
      </c>
      <c r="R63" s="29"/>
      <c r="S63" s="29"/>
      <c r="T6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3" s="31"/>
      <c r="AA6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3" s="41"/>
      <c r="AD63" s="31"/>
      <c r="AE6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3" s="41"/>
      <c r="AJ63" s="24" t="str">
        <f aca="false">IF(Tasks[[#This Row],[Task Name]]="","",Tasks[[#This Row],[Forecast Start]])</f>
        <v/>
      </c>
      <c r="AK63" s="24" t="str">
        <f aca="false">IF(Tasks[[#This Row],[Task Name]]="","",Tasks[[#This Row],[Forecast Finish]])</f>
        <v/>
      </c>
      <c r="AL6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3" s="43" t="str">
        <f aca="false">IF(Tasks[[#This Row],[Task Name]]="","",Tasks[[#This Row],[Work]])</f>
        <v/>
      </c>
      <c r="AN63" s="44" t="str">
        <f aca="false">IF(Tasks[[#This Row],[Task Name]]="","",Tasks[[#This Row],[Cost]])</f>
        <v/>
      </c>
      <c r="AO63" s="29"/>
      <c r="AP63" s="29"/>
      <c r="AQ63" s="39"/>
      <c r="AR63" s="45"/>
      <c r="AS63" s="46"/>
      <c r="AT63" s="40" t="str">
        <f aca="false">IF(OR(Tasks[[#This Row],[Task Name]]="",Tasks[[#This Row],[Baseline Duration]]=""),"",Tasks[[#This Row],[BL Source Duration]]-N(Tasks[[#This Row],[Baseline Duration]]))</f>
        <v/>
      </c>
      <c r="AU63" s="43" t="str">
        <f aca="false">IF(OR(Tasks[[#This Row],[Task Name]]="",Tasks[[#This Row],[Baseline Work]]=""),"",Tasks[[#This Row],[Work]]-N(Tasks[[#This Row],[Baseline Work]]))</f>
        <v/>
      </c>
      <c r="AV63" s="44" t="str">
        <f aca="false">IF(OR(Tasks[[#This Row],[Task Name]]="",Tasks[[#This Row],[Baseline Cost]]=""),"",Tasks[[#This Row],[Cost]]-N(Tasks[[#This Row],[Baseline Cost]]))</f>
        <v/>
      </c>
      <c r="AW63" s="47" t="str">
        <f aca="false">IF(Tasks[[#This Row],[Task Name]]="","",MAX(1,N(Tasks[[#This Row],[Level]])))</f>
        <v/>
      </c>
      <c r="AX63" s="47" t="n">
        <f aca="false">ROW()-ROW(Tasks[[#Headers],[ID]])</f>
        <v>58</v>
      </c>
      <c r="AY6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3" s="47" t="n">
        <f aca="false">IFERROR(N(INDEX(Tasks[_Level],Tasks[[#This Row],[_Row]]+1)),0)</f>
        <v>0</v>
      </c>
      <c r="BA63" s="48" t="b">
        <f aca="false">AND(Tasks[[#This Row],[Task Name]]&lt;&gt;"",Tasks[[#This Row],[_NextLevel]]&gt;Tasks[[#This Row],[_Level]])</f>
        <v>0</v>
      </c>
      <c r="BB63" s="47" t="n">
        <f aca="false">IF(Tasks[[#This Row],[_IsSummary]],COUNTIF(Tasks[WBS],Tasks[[#This Row],[WBS]]&amp;".*"),0)</f>
        <v>0</v>
      </c>
      <c r="BC63" s="47" t="n">
        <f aca="false">IF(AND(Tasks[[#This Row],[Task Name]]&lt;&gt;"",NOT(Tasks[[#This Row],[_IsSummary]])),1,0)</f>
        <v>0</v>
      </c>
      <c r="BD63" s="47" t="n">
        <f aca="false">IF(N(Tasks[[#This Row],[Pred1 UID]])=0,0,IFERROR(MATCH(Tasks[[#This Row],[Pred1 UID]],Tasks[UID],0),-1))</f>
        <v>0</v>
      </c>
      <c r="BE63" s="47" t="n">
        <f aca="false">IF(N(Tasks[[#This Row],[Pred2 UID]])=0,0,IFERROR(MATCH(Tasks[[#This Row],[Pred2 UID]],Tasks[UID],0),-1))</f>
        <v>0</v>
      </c>
      <c r="BF6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3" s="47" t="n">
        <f aca="false">IF(NOT(Tasks[[#This Row],[_IsLeaf]]=1),0,IF(N(Tasks[[#This Row],[Actual Finish]])&gt;0,1,MIN(1,N(Tasks[[#This Row],[% Complete]]))))</f>
        <v>0</v>
      </c>
      <c r="BK6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3" s="47" t="n">
        <f aca="false">IF(Tasks[[#This Row],[_LeafWork]]=0,0,Tasks[[#This Row],[_LeafWork]]*IFERROR(INDEX(res_Rate,MATCH(Tasks[[#This Row],[Resource]],res_Name,0)),0))</f>
        <v>0</v>
      </c>
      <c r="BM6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3" s="47" t="n">
        <f aca="false">IF(AND(Tasks[[#This Row],[_IsLeaf]]=1,Tasks[[#This Row],[_LeafWork]]&gt;0),NETWORKDAYS.INTL(ProjectStart,Tasks[[#This Row],[_LeafFcstStart]],WorkWeek,Holidays),0)</f>
        <v>0</v>
      </c>
      <c r="BV6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3" s="47" t="n">
        <f aca="false">IF(AND(Tasks[[#This Row],[_IsLeaf]]=1,Tasks[[#This Row],[_LeafWork]]&gt;0),Tasks[[#This Row],[_LeafWork]]/(Tasks[[#This Row],[_FinishWorkday]]-Tasks[[#This Row],[_StartWorkday]]+1),0)</f>
        <v>0</v>
      </c>
      <c r="BX63" s="47" t="n">
        <f aca="false">Tasks[[#This Row],[_WorkPerWorkday]]*(Tasks[[#This Row],[_StartWorkday]]-1)</f>
        <v>-0</v>
      </c>
      <c r="BY63" s="47" t="n">
        <f aca="false">IF(Tasks[[#This Row],[_IsLeaf]]=1,MAX(N(Tasks[[#This Row],[Duration]]),0.1),0)</f>
        <v>0</v>
      </c>
      <c r="BZ63" s="47" t="n">
        <f aca="false">Tasks[[#This Row],[_WeightDur]]*Tasks[[#This Row],[_LeafProgress]]</f>
        <v>0</v>
      </c>
      <c r="CA6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4" customFormat="false" ht="15" hidden="false" customHeight="false" outlineLevel="0" collapsed="false">
      <c r="A64" s="38" t="str">
        <f aca="false">IF(Tasks[[#This Row],[Task Name]]="","",COUNTA(Tasks[[#Headers],[Task Name]]:Tasks[[#This Row],[Task Name]])-1)</f>
        <v/>
      </c>
      <c r="B64" s="39" t="n">
        <v>59</v>
      </c>
      <c r="C6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4" s="39"/>
      <c r="E64" s="41"/>
      <c r="F64" s="39"/>
      <c r="G64" s="39"/>
      <c r="H64" s="39"/>
      <c r="I64" s="39"/>
      <c r="J64" s="39"/>
      <c r="K64" s="39"/>
      <c r="L64" s="39"/>
      <c r="M64" s="39"/>
      <c r="N64" s="29"/>
      <c r="O64" s="29"/>
      <c r="P64" s="24" t="str">
        <f aca="false">IF(Tasks[[#This Row],[Task Name]]="","",IF(N(Tasks[[#This Row],[Baseline Start]])&gt;0,Tasks[[#This Row],[Baseline Start]],Tasks[[#This Row],[_CalcStart]]))</f>
        <v/>
      </c>
      <c r="Q64" s="24" t="str">
        <f aca="false">IF(Tasks[[#This Row],[Task Name]]="","",IF(N(Tasks[[#This Row],[Baseline Finish]])&gt;0,Tasks[[#This Row],[Baseline Finish]],Tasks[[#This Row],[_CalcFinish]]))</f>
        <v/>
      </c>
      <c r="R64" s="29"/>
      <c r="S64" s="29"/>
      <c r="T6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4" s="31"/>
      <c r="AA6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4" s="41"/>
      <c r="AD64" s="31"/>
      <c r="AE6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4" s="41"/>
      <c r="AJ64" s="24" t="str">
        <f aca="false">IF(Tasks[[#This Row],[Task Name]]="","",Tasks[[#This Row],[Forecast Start]])</f>
        <v/>
      </c>
      <c r="AK64" s="24" t="str">
        <f aca="false">IF(Tasks[[#This Row],[Task Name]]="","",Tasks[[#This Row],[Forecast Finish]])</f>
        <v/>
      </c>
      <c r="AL6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4" s="43" t="str">
        <f aca="false">IF(Tasks[[#This Row],[Task Name]]="","",Tasks[[#This Row],[Work]])</f>
        <v/>
      </c>
      <c r="AN64" s="44" t="str">
        <f aca="false">IF(Tasks[[#This Row],[Task Name]]="","",Tasks[[#This Row],[Cost]])</f>
        <v/>
      </c>
      <c r="AO64" s="29"/>
      <c r="AP64" s="29"/>
      <c r="AQ64" s="39"/>
      <c r="AR64" s="45"/>
      <c r="AS64" s="46"/>
      <c r="AT64" s="40" t="str">
        <f aca="false">IF(OR(Tasks[[#This Row],[Task Name]]="",Tasks[[#This Row],[Baseline Duration]]=""),"",Tasks[[#This Row],[BL Source Duration]]-N(Tasks[[#This Row],[Baseline Duration]]))</f>
        <v/>
      </c>
      <c r="AU64" s="43" t="str">
        <f aca="false">IF(OR(Tasks[[#This Row],[Task Name]]="",Tasks[[#This Row],[Baseline Work]]=""),"",Tasks[[#This Row],[Work]]-N(Tasks[[#This Row],[Baseline Work]]))</f>
        <v/>
      </c>
      <c r="AV64" s="44" t="str">
        <f aca="false">IF(OR(Tasks[[#This Row],[Task Name]]="",Tasks[[#This Row],[Baseline Cost]]=""),"",Tasks[[#This Row],[Cost]]-N(Tasks[[#This Row],[Baseline Cost]]))</f>
        <v/>
      </c>
      <c r="AW64" s="47" t="str">
        <f aca="false">IF(Tasks[[#This Row],[Task Name]]="","",MAX(1,N(Tasks[[#This Row],[Level]])))</f>
        <v/>
      </c>
      <c r="AX64" s="47" t="n">
        <f aca="false">ROW()-ROW(Tasks[[#Headers],[ID]])</f>
        <v>59</v>
      </c>
      <c r="AY6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4" s="47" t="n">
        <f aca="false">IFERROR(N(INDEX(Tasks[_Level],Tasks[[#This Row],[_Row]]+1)),0)</f>
        <v>0</v>
      </c>
      <c r="BA64" s="48" t="b">
        <f aca="false">AND(Tasks[[#This Row],[Task Name]]&lt;&gt;"",Tasks[[#This Row],[_NextLevel]]&gt;Tasks[[#This Row],[_Level]])</f>
        <v>0</v>
      </c>
      <c r="BB64" s="47" t="n">
        <f aca="false">IF(Tasks[[#This Row],[_IsSummary]],COUNTIF(Tasks[WBS],Tasks[[#This Row],[WBS]]&amp;".*"),0)</f>
        <v>0</v>
      </c>
      <c r="BC64" s="47" t="n">
        <f aca="false">IF(AND(Tasks[[#This Row],[Task Name]]&lt;&gt;"",NOT(Tasks[[#This Row],[_IsSummary]])),1,0)</f>
        <v>0</v>
      </c>
      <c r="BD64" s="47" t="n">
        <f aca="false">IF(N(Tasks[[#This Row],[Pred1 UID]])=0,0,IFERROR(MATCH(Tasks[[#This Row],[Pred1 UID]],Tasks[UID],0),-1))</f>
        <v>0</v>
      </c>
      <c r="BE64" s="47" t="n">
        <f aca="false">IF(N(Tasks[[#This Row],[Pred2 UID]])=0,0,IFERROR(MATCH(Tasks[[#This Row],[Pred2 UID]],Tasks[UID],0),-1))</f>
        <v>0</v>
      </c>
      <c r="BF6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4" s="47" t="n">
        <f aca="false">IF(NOT(Tasks[[#This Row],[_IsLeaf]]=1),0,IF(N(Tasks[[#This Row],[Actual Finish]])&gt;0,1,MIN(1,N(Tasks[[#This Row],[% Complete]]))))</f>
        <v>0</v>
      </c>
      <c r="BK6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4" s="47" t="n">
        <f aca="false">IF(Tasks[[#This Row],[_LeafWork]]=0,0,Tasks[[#This Row],[_LeafWork]]*IFERROR(INDEX(res_Rate,MATCH(Tasks[[#This Row],[Resource]],res_Name,0)),0))</f>
        <v>0</v>
      </c>
      <c r="BM6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4" s="47" t="n">
        <f aca="false">IF(AND(Tasks[[#This Row],[_IsLeaf]]=1,Tasks[[#This Row],[_LeafWork]]&gt;0),NETWORKDAYS.INTL(ProjectStart,Tasks[[#This Row],[_LeafFcstStart]],WorkWeek,Holidays),0)</f>
        <v>0</v>
      </c>
      <c r="BV6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4" s="47" t="n">
        <f aca="false">IF(AND(Tasks[[#This Row],[_IsLeaf]]=1,Tasks[[#This Row],[_LeafWork]]&gt;0),Tasks[[#This Row],[_LeafWork]]/(Tasks[[#This Row],[_FinishWorkday]]-Tasks[[#This Row],[_StartWorkday]]+1),0)</f>
        <v>0</v>
      </c>
      <c r="BX64" s="47" t="n">
        <f aca="false">Tasks[[#This Row],[_WorkPerWorkday]]*(Tasks[[#This Row],[_StartWorkday]]-1)</f>
        <v>-0</v>
      </c>
      <c r="BY64" s="47" t="n">
        <f aca="false">IF(Tasks[[#This Row],[_IsLeaf]]=1,MAX(N(Tasks[[#This Row],[Duration]]),0.1),0)</f>
        <v>0</v>
      </c>
      <c r="BZ64" s="47" t="n">
        <f aca="false">Tasks[[#This Row],[_WeightDur]]*Tasks[[#This Row],[_LeafProgress]]</f>
        <v>0</v>
      </c>
      <c r="CA6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5" customFormat="false" ht="15" hidden="false" customHeight="false" outlineLevel="0" collapsed="false">
      <c r="A65" s="38" t="str">
        <f aca="false">IF(Tasks[[#This Row],[Task Name]]="","",COUNTA(Tasks[[#Headers],[Task Name]]:Tasks[[#This Row],[Task Name]])-1)</f>
        <v/>
      </c>
      <c r="B65" s="39" t="n">
        <v>60</v>
      </c>
      <c r="C6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5" s="39"/>
      <c r="E65" s="41"/>
      <c r="F65" s="39"/>
      <c r="G65" s="39"/>
      <c r="H65" s="39"/>
      <c r="I65" s="39"/>
      <c r="J65" s="39"/>
      <c r="K65" s="39"/>
      <c r="L65" s="39"/>
      <c r="M65" s="39"/>
      <c r="N65" s="29"/>
      <c r="O65" s="29"/>
      <c r="P65" s="24" t="str">
        <f aca="false">IF(Tasks[[#This Row],[Task Name]]="","",IF(N(Tasks[[#This Row],[Baseline Start]])&gt;0,Tasks[[#This Row],[Baseline Start]],Tasks[[#This Row],[_CalcStart]]))</f>
        <v/>
      </c>
      <c r="Q65" s="24" t="str">
        <f aca="false">IF(Tasks[[#This Row],[Task Name]]="","",IF(N(Tasks[[#This Row],[Baseline Finish]])&gt;0,Tasks[[#This Row],[Baseline Finish]],Tasks[[#This Row],[_CalcFinish]]))</f>
        <v/>
      </c>
      <c r="R65" s="29"/>
      <c r="S65" s="29"/>
      <c r="T6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5" s="31"/>
      <c r="AA6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5" s="41"/>
      <c r="AD65" s="31"/>
      <c r="AE6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5" s="41"/>
      <c r="AJ65" s="24" t="str">
        <f aca="false">IF(Tasks[[#This Row],[Task Name]]="","",Tasks[[#This Row],[Forecast Start]])</f>
        <v/>
      </c>
      <c r="AK65" s="24" t="str">
        <f aca="false">IF(Tasks[[#This Row],[Task Name]]="","",Tasks[[#This Row],[Forecast Finish]])</f>
        <v/>
      </c>
      <c r="AL6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5" s="43" t="str">
        <f aca="false">IF(Tasks[[#This Row],[Task Name]]="","",Tasks[[#This Row],[Work]])</f>
        <v/>
      </c>
      <c r="AN65" s="44" t="str">
        <f aca="false">IF(Tasks[[#This Row],[Task Name]]="","",Tasks[[#This Row],[Cost]])</f>
        <v/>
      </c>
      <c r="AO65" s="29"/>
      <c r="AP65" s="29"/>
      <c r="AQ65" s="39"/>
      <c r="AR65" s="45"/>
      <c r="AS65" s="46"/>
      <c r="AT65" s="40" t="str">
        <f aca="false">IF(OR(Tasks[[#This Row],[Task Name]]="",Tasks[[#This Row],[Baseline Duration]]=""),"",Tasks[[#This Row],[BL Source Duration]]-N(Tasks[[#This Row],[Baseline Duration]]))</f>
        <v/>
      </c>
      <c r="AU65" s="43" t="str">
        <f aca="false">IF(OR(Tasks[[#This Row],[Task Name]]="",Tasks[[#This Row],[Baseline Work]]=""),"",Tasks[[#This Row],[Work]]-N(Tasks[[#This Row],[Baseline Work]]))</f>
        <v/>
      </c>
      <c r="AV65" s="44" t="str">
        <f aca="false">IF(OR(Tasks[[#This Row],[Task Name]]="",Tasks[[#This Row],[Baseline Cost]]=""),"",Tasks[[#This Row],[Cost]]-N(Tasks[[#This Row],[Baseline Cost]]))</f>
        <v/>
      </c>
      <c r="AW65" s="47" t="str">
        <f aca="false">IF(Tasks[[#This Row],[Task Name]]="","",MAX(1,N(Tasks[[#This Row],[Level]])))</f>
        <v/>
      </c>
      <c r="AX65" s="47" t="n">
        <f aca="false">ROW()-ROW(Tasks[[#Headers],[ID]])</f>
        <v>60</v>
      </c>
      <c r="AY6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5" s="47" t="n">
        <f aca="false">IFERROR(N(INDEX(Tasks[_Level],Tasks[[#This Row],[_Row]]+1)),0)</f>
        <v>0</v>
      </c>
      <c r="BA65" s="48" t="b">
        <f aca="false">AND(Tasks[[#This Row],[Task Name]]&lt;&gt;"",Tasks[[#This Row],[_NextLevel]]&gt;Tasks[[#This Row],[_Level]])</f>
        <v>0</v>
      </c>
      <c r="BB65" s="47" t="n">
        <f aca="false">IF(Tasks[[#This Row],[_IsSummary]],COUNTIF(Tasks[WBS],Tasks[[#This Row],[WBS]]&amp;".*"),0)</f>
        <v>0</v>
      </c>
      <c r="BC65" s="47" t="n">
        <f aca="false">IF(AND(Tasks[[#This Row],[Task Name]]&lt;&gt;"",NOT(Tasks[[#This Row],[_IsSummary]])),1,0)</f>
        <v>0</v>
      </c>
      <c r="BD65" s="47" t="n">
        <f aca="false">IF(N(Tasks[[#This Row],[Pred1 UID]])=0,0,IFERROR(MATCH(Tasks[[#This Row],[Pred1 UID]],Tasks[UID],0),-1))</f>
        <v>0</v>
      </c>
      <c r="BE65" s="47" t="n">
        <f aca="false">IF(N(Tasks[[#This Row],[Pred2 UID]])=0,0,IFERROR(MATCH(Tasks[[#This Row],[Pred2 UID]],Tasks[UID],0),-1))</f>
        <v>0</v>
      </c>
      <c r="BF6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5" s="47" t="n">
        <f aca="false">IF(NOT(Tasks[[#This Row],[_IsLeaf]]=1),0,IF(N(Tasks[[#This Row],[Actual Finish]])&gt;0,1,MIN(1,N(Tasks[[#This Row],[% Complete]]))))</f>
        <v>0</v>
      </c>
      <c r="BK6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5" s="47" t="n">
        <f aca="false">IF(Tasks[[#This Row],[_LeafWork]]=0,0,Tasks[[#This Row],[_LeafWork]]*IFERROR(INDEX(res_Rate,MATCH(Tasks[[#This Row],[Resource]],res_Name,0)),0))</f>
        <v>0</v>
      </c>
      <c r="BM6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5" s="47" t="n">
        <f aca="false">IF(AND(Tasks[[#This Row],[_IsLeaf]]=1,Tasks[[#This Row],[_LeafWork]]&gt;0),NETWORKDAYS.INTL(ProjectStart,Tasks[[#This Row],[_LeafFcstStart]],WorkWeek,Holidays),0)</f>
        <v>0</v>
      </c>
      <c r="BV6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5" s="47" t="n">
        <f aca="false">IF(AND(Tasks[[#This Row],[_IsLeaf]]=1,Tasks[[#This Row],[_LeafWork]]&gt;0),Tasks[[#This Row],[_LeafWork]]/(Tasks[[#This Row],[_FinishWorkday]]-Tasks[[#This Row],[_StartWorkday]]+1),0)</f>
        <v>0</v>
      </c>
      <c r="BX65" s="47" t="n">
        <f aca="false">Tasks[[#This Row],[_WorkPerWorkday]]*(Tasks[[#This Row],[_StartWorkday]]-1)</f>
        <v>-0</v>
      </c>
      <c r="BY65" s="47" t="n">
        <f aca="false">IF(Tasks[[#This Row],[_IsLeaf]]=1,MAX(N(Tasks[[#This Row],[Duration]]),0.1),0)</f>
        <v>0</v>
      </c>
      <c r="BZ65" s="47" t="n">
        <f aca="false">Tasks[[#This Row],[_WeightDur]]*Tasks[[#This Row],[_LeafProgress]]</f>
        <v>0</v>
      </c>
      <c r="CA6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6" customFormat="false" ht="15" hidden="false" customHeight="false" outlineLevel="0" collapsed="false">
      <c r="A66" s="38" t="str">
        <f aca="false">IF(Tasks[[#This Row],[Task Name]]="","",COUNTA(Tasks[[#Headers],[Task Name]]:Tasks[[#This Row],[Task Name]])-1)</f>
        <v/>
      </c>
      <c r="B66" s="39" t="n">
        <v>61</v>
      </c>
      <c r="C6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6" s="39"/>
      <c r="E66" s="41"/>
      <c r="F66" s="39"/>
      <c r="G66" s="39"/>
      <c r="H66" s="39"/>
      <c r="I66" s="39"/>
      <c r="J66" s="39"/>
      <c r="K66" s="39"/>
      <c r="L66" s="39"/>
      <c r="M66" s="39"/>
      <c r="N66" s="29"/>
      <c r="O66" s="29"/>
      <c r="P66" s="24" t="str">
        <f aca="false">IF(Tasks[[#This Row],[Task Name]]="","",IF(N(Tasks[[#This Row],[Baseline Start]])&gt;0,Tasks[[#This Row],[Baseline Start]],Tasks[[#This Row],[_CalcStart]]))</f>
        <v/>
      </c>
      <c r="Q66" s="24" t="str">
        <f aca="false">IF(Tasks[[#This Row],[Task Name]]="","",IF(N(Tasks[[#This Row],[Baseline Finish]])&gt;0,Tasks[[#This Row],[Baseline Finish]],Tasks[[#This Row],[_CalcFinish]]))</f>
        <v/>
      </c>
      <c r="R66" s="29"/>
      <c r="S66" s="29"/>
      <c r="T6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6" s="31"/>
      <c r="AA6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6" s="41"/>
      <c r="AD66" s="31"/>
      <c r="AE6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6" s="41"/>
      <c r="AJ66" s="24" t="str">
        <f aca="false">IF(Tasks[[#This Row],[Task Name]]="","",Tasks[[#This Row],[Forecast Start]])</f>
        <v/>
      </c>
      <c r="AK66" s="24" t="str">
        <f aca="false">IF(Tasks[[#This Row],[Task Name]]="","",Tasks[[#This Row],[Forecast Finish]])</f>
        <v/>
      </c>
      <c r="AL6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6" s="43" t="str">
        <f aca="false">IF(Tasks[[#This Row],[Task Name]]="","",Tasks[[#This Row],[Work]])</f>
        <v/>
      </c>
      <c r="AN66" s="44" t="str">
        <f aca="false">IF(Tasks[[#This Row],[Task Name]]="","",Tasks[[#This Row],[Cost]])</f>
        <v/>
      </c>
      <c r="AO66" s="29"/>
      <c r="AP66" s="29"/>
      <c r="AQ66" s="39"/>
      <c r="AR66" s="45"/>
      <c r="AS66" s="46"/>
      <c r="AT66" s="40" t="str">
        <f aca="false">IF(OR(Tasks[[#This Row],[Task Name]]="",Tasks[[#This Row],[Baseline Duration]]=""),"",Tasks[[#This Row],[BL Source Duration]]-N(Tasks[[#This Row],[Baseline Duration]]))</f>
        <v/>
      </c>
      <c r="AU66" s="43" t="str">
        <f aca="false">IF(OR(Tasks[[#This Row],[Task Name]]="",Tasks[[#This Row],[Baseline Work]]=""),"",Tasks[[#This Row],[Work]]-N(Tasks[[#This Row],[Baseline Work]]))</f>
        <v/>
      </c>
      <c r="AV66" s="44" t="str">
        <f aca="false">IF(OR(Tasks[[#This Row],[Task Name]]="",Tasks[[#This Row],[Baseline Cost]]=""),"",Tasks[[#This Row],[Cost]]-N(Tasks[[#This Row],[Baseline Cost]]))</f>
        <v/>
      </c>
      <c r="AW66" s="47" t="str">
        <f aca="false">IF(Tasks[[#This Row],[Task Name]]="","",MAX(1,N(Tasks[[#This Row],[Level]])))</f>
        <v/>
      </c>
      <c r="AX66" s="47" t="n">
        <f aca="false">ROW()-ROW(Tasks[[#Headers],[ID]])</f>
        <v>61</v>
      </c>
      <c r="AY6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6" s="47" t="n">
        <f aca="false">IFERROR(N(INDEX(Tasks[_Level],Tasks[[#This Row],[_Row]]+1)),0)</f>
        <v>0</v>
      </c>
      <c r="BA66" s="48" t="b">
        <f aca="false">AND(Tasks[[#This Row],[Task Name]]&lt;&gt;"",Tasks[[#This Row],[_NextLevel]]&gt;Tasks[[#This Row],[_Level]])</f>
        <v>0</v>
      </c>
      <c r="BB66" s="47" t="n">
        <f aca="false">IF(Tasks[[#This Row],[_IsSummary]],COUNTIF(Tasks[WBS],Tasks[[#This Row],[WBS]]&amp;".*"),0)</f>
        <v>0</v>
      </c>
      <c r="BC66" s="47" t="n">
        <f aca="false">IF(AND(Tasks[[#This Row],[Task Name]]&lt;&gt;"",NOT(Tasks[[#This Row],[_IsSummary]])),1,0)</f>
        <v>0</v>
      </c>
      <c r="BD66" s="47" t="n">
        <f aca="false">IF(N(Tasks[[#This Row],[Pred1 UID]])=0,0,IFERROR(MATCH(Tasks[[#This Row],[Pred1 UID]],Tasks[UID],0),-1))</f>
        <v>0</v>
      </c>
      <c r="BE66" s="47" t="n">
        <f aca="false">IF(N(Tasks[[#This Row],[Pred2 UID]])=0,0,IFERROR(MATCH(Tasks[[#This Row],[Pred2 UID]],Tasks[UID],0),-1))</f>
        <v>0</v>
      </c>
      <c r="BF6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6" s="47" t="n">
        <f aca="false">IF(NOT(Tasks[[#This Row],[_IsLeaf]]=1),0,IF(N(Tasks[[#This Row],[Actual Finish]])&gt;0,1,MIN(1,N(Tasks[[#This Row],[% Complete]]))))</f>
        <v>0</v>
      </c>
      <c r="BK6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6" s="47" t="n">
        <f aca="false">IF(Tasks[[#This Row],[_LeafWork]]=0,0,Tasks[[#This Row],[_LeafWork]]*IFERROR(INDEX(res_Rate,MATCH(Tasks[[#This Row],[Resource]],res_Name,0)),0))</f>
        <v>0</v>
      </c>
      <c r="BM6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6" s="47" t="n">
        <f aca="false">IF(AND(Tasks[[#This Row],[_IsLeaf]]=1,Tasks[[#This Row],[_LeafWork]]&gt;0),NETWORKDAYS.INTL(ProjectStart,Tasks[[#This Row],[_LeafFcstStart]],WorkWeek,Holidays),0)</f>
        <v>0</v>
      </c>
      <c r="BV6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6" s="47" t="n">
        <f aca="false">IF(AND(Tasks[[#This Row],[_IsLeaf]]=1,Tasks[[#This Row],[_LeafWork]]&gt;0),Tasks[[#This Row],[_LeafWork]]/(Tasks[[#This Row],[_FinishWorkday]]-Tasks[[#This Row],[_StartWorkday]]+1),0)</f>
        <v>0</v>
      </c>
      <c r="BX66" s="47" t="n">
        <f aca="false">Tasks[[#This Row],[_WorkPerWorkday]]*(Tasks[[#This Row],[_StartWorkday]]-1)</f>
        <v>-0</v>
      </c>
      <c r="BY66" s="47" t="n">
        <f aca="false">IF(Tasks[[#This Row],[_IsLeaf]]=1,MAX(N(Tasks[[#This Row],[Duration]]),0.1),0)</f>
        <v>0</v>
      </c>
      <c r="BZ66" s="47" t="n">
        <f aca="false">Tasks[[#This Row],[_WeightDur]]*Tasks[[#This Row],[_LeafProgress]]</f>
        <v>0</v>
      </c>
      <c r="CA6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7" customFormat="false" ht="15" hidden="false" customHeight="false" outlineLevel="0" collapsed="false">
      <c r="A67" s="38" t="str">
        <f aca="false">IF(Tasks[[#This Row],[Task Name]]="","",COUNTA(Tasks[[#Headers],[Task Name]]:Tasks[[#This Row],[Task Name]])-1)</f>
        <v/>
      </c>
      <c r="B67" s="39" t="n">
        <v>62</v>
      </c>
      <c r="C6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7" s="39"/>
      <c r="E67" s="41"/>
      <c r="F67" s="39"/>
      <c r="G67" s="39"/>
      <c r="H67" s="39"/>
      <c r="I67" s="39"/>
      <c r="J67" s="39"/>
      <c r="K67" s="39"/>
      <c r="L67" s="39"/>
      <c r="M67" s="39"/>
      <c r="N67" s="29"/>
      <c r="O67" s="29"/>
      <c r="P67" s="24" t="str">
        <f aca="false">IF(Tasks[[#This Row],[Task Name]]="","",IF(N(Tasks[[#This Row],[Baseline Start]])&gt;0,Tasks[[#This Row],[Baseline Start]],Tasks[[#This Row],[_CalcStart]]))</f>
        <v/>
      </c>
      <c r="Q67" s="24" t="str">
        <f aca="false">IF(Tasks[[#This Row],[Task Name]]="","",IF(N(Tasks[[#This Row],[Baseline Finish]])&gt;0,Tasks[[#This Row],[Baseline Finish]],Tasks[[#This Row],[_CalcFinish]]))</f>
        <v/>
      </c>
      <c r="R67" s="29"/>
      <c r="S67" s="29"/>
      <c r="T6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7" s="31"/>
      <c r="AA6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7" s="41"/>
      <c r="AD67" s="31"/>
      <c r="AE6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7" s="41"/>
      <c r="AJ67" s="24" t="str">
        <f aca="false">IF(Tasks[[#This Row],[Task Name]]="","",Tasks[[#This Row],[Forecast Start]])</f>
        <v/>
      </c>
      <c r="AK67" s="24" t="str">
        <f aca="false">IF(Tasks[[#This Row],[Task Name]]="","",Tasks[[#This Row],[Forecast Finish]])</f>
        <v/>
      </c>
      <c r="AL6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7" s="43" t="str">
        <f aca="false">IF(Tasks[[#This Row],[Task Name]]="","",Tasks[[#This Row],[Work]])</f>
        <v/>
      </c>
      <c r="AN67" s="44" t="str">
        <f aca="false">IF(Tasks[[#This Row],[Task Name]]="","",Tasks[[#This Row],[Cost]])</f>
        <v/>
      </c>
      <c r="AO67" s="29"/>
      <c r="AP67" s="29"/>
      <c r="AQ67" s="39"/>
      <c r="AR67" s="45"/>
      <c r="AS67" s="46"/>
      <c r="AT67" s="40" t="str">
        <f aca="false">IF(OR(Tasks[[#This Row],[Task Name]]="",Tasks[[#This Row],[Baseline Duration]]=""),"",Tasks[[#This Row],[BL Source Duration]]-N(Tasks[[#This Row],[Baseline Duration]]))</f>
        <v/>
      </c>
      <c r="AU67" s="43" t="str">
        <f aca="false">IF(OR(Tasks[[#This Row],[Task Name]]="",Tasks[[#This Row],[Baseline Work]]=""),"",Tasks[[#This Row],[Work]]-N(Tasks[[#This Row],[Baseline Work]]))</f>
        <v/>
      </c>
      <c r="AV67" s="44" t="str">
        <f aca="false">IF(OR(Tasks[[#This Row],[Task Name]]="",Tasks[[#This Row],[Baseline Cost]]=""),"",Tasks[[#This Row],[Cost]]-N(Tasks[[#This Row],[Baseline Cost]]))</f>
        <v/>
      </c>
      <c r="AW67" s="47" t="str">
        <f aca="false">IF(Tasks[[#This Row],[Task Name]]="","",MAX(1,N(Tasks[[#This Row],[Level]])))</f>
        <v/>
      </c>
      <c r="AX67" s="47" t="n">
        <f aca="false">ROW()-ROW(Tasks[[#Headers],[ID]])</f>
        <v>62</v>
      </c>
      <c r="AY6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7" s="47" t="n">
        <f aca="false">IFERROR(N(INDEX(Tasks[_Level],Tasks[[#This Row],[_Row]]+1)),0)</f>
        <v>0</v>
      </c>
      <c r="BA67" s="48" t="b">
        <f aca="false">AND(Tasks[[#This Row],[Task Name]]&lt;&gt;"",Tasks[[#This Row],[_NextLevel]]&gt;Tasks[[#This Row],[_Level]])</f>
        <v>0</v>
      </c>
      <c r="BB67" s="47" t="n">
        <f aca="false">IF(Tasks[[#This Row],[_IsSummary]],COUNTIF(Tasks[WBS],Tasks[[#This Row],[WBS]]&amp;".*"),0)</f>
        <v>0</v>
      </c>
      <c r="BC67" s="47" t="n">
        <f aca="false">IF(AND(Tasks[[#This Row],[Task Name]]&lt;&gt;"",NOT(Tasks[[#This Row],[_IsSummary]])),1,0)</f>
        <v>0</v>
      </c>
      <c r="BD67" s="47" t="n">
        <f aca="false">IF(N(Tasks[[#This Row],[Pred1 UID]])=0,0,IFERROR(MATCH(Tasks[[#This Row],[Pred1 UID]],Tasks[UID],0),-1))</f>
        <v>0</v>
      </c>
      <c r="BE67" s="47" t="n">
        <f aca="false">IF(N(Tasks[[#This Row],[Pred2 UID]])=0,0,IFERROR(MATCH(Tasks[[#This Row],[Pred2 UID]],Tasks[UID],0),-1))</f>
        <v>0</v>
      </c>
      <c r="BF6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7" s="47" t="n">
        <f aca="false">IF(NOT(Tasks[[#This Row],[_IsLeaf]]=1),0,IF(N(Tasks[[#This Row],[Actual Finish]])&gt;0,1,MIN(1,N(Tasks[[#This Row],[% Complete]]))))</f>
        <v>0</v>
      </c>
      <c r="BK6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7" s="47" t="n">
        <f aca="false">IF(Tasks[[#This Row],[_LeafWork]]=0,0,Tasks[[#This Row],[_LeafWork]]*IFERROR(INDEX(res_Rate,MATCH(Tasks[[#This Row],[Resource]],res_Name,0)),0))</f>
        <v>0</v>
      </c>
      <c r="BM6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7" s="47" t="n">
        <f aca="false">IF(AND(Tasks[[#This Row],[_IsLeaf]]=1,Tasks[[#This Row],[_LeafWork]]&gt;0),NETWORKDAYS.INTL(ProjectStart,Tasks[[#This Row],[_LeafFcstStart]],WorkWeek,Holidays),0)</f>
        <v>0</v>
      </c>
      <c r="BV6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7" s="47" t="n">
        <f aca="false">IF(AND(Tasks[[#This Row],[_IsLeaf]]=1,Tasks[[#This Row],[_LeafWork]]&gt;0),Tasks[[#This Row],[_LeafWork]]/(Tasks[[#This Row],[_FinishWorkday]]-Tasks[[#This Row],[_StartWorkday]]+1),0)</f>
        <v>0</v>
      </c>
      <c r="BX67" s="47" t="n">
        <f aca="false">Tasks[[#This Row],[_WorkPerWorkday]]*(Tasks[[#This Row],[_StartWorkday]]-1)</f>
        <v>-0</v>
      </c>
      <c r="BY67" s="47" t="n">
        <f aca="false">IF(Tasks[[#This Row],[_IsLeaf]]=1,MAX(N(Tasks[[#This Row],[Duration]]),0.1),0)</f>
        <v>0</v>
      </c>
      <c r="BZ67" s="47" t="n">
        <f aca="false">Tasks[[#This Row],[_WeightDur]]*Tasks[[#This Row],[_LeafProgress]]</f>
        <v>0</v>
      </c>
      <c r="CA6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8" customFormat="false" ht="15" hidden="false" customHeight="false" outlineLevel="0" collapsed="false">
      <c r="A68" s="38" t="str">
        <f aca="false">IF(Tasks[[#This Row],[Task Name]]="","",COUNTA(Tasks[[#Headers],[Task Name]]:Tasks[[#This Row],[Task Name]])-1)</f>
        <v/>
      </c>
      <c r="B68" s="39" t="n">
        <v>63</v>
      </c>
      <c r="C6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8" s="39"/>
      <c r="E68" s="41"/>
      <c r="F68" s="39"/>
      <c r="G68" s="39"/>
      <c r="H68" s="39"/>
      <c r="I68" s="39"/>
      <c r="J68" s="39"/>
      <c r="K68" s="39"/>
      <c r="L68" s="39"/>
      <c r="M68" s="39"/>
      <c r="N68" s="29"/>
      <c r="O68" s="29"/>
      <c r="P68" s="24" t="str">
        <f aca="false">IF(Tasks[[#This Row],[Task Name]]="","",IF(N(Tasks[[#This Row],[Baseline Start]])&gt;0,Tasks[[#This Row],[Baseline Start]],Tasks[[#This Row],[_CalcStart]]))</f>
        <v/>
      </c>
      <c r="Q68" s="24" t="str">
        <f aca="false">IF(Tasks[[#This Row],[Task Name]]="","",IF(N(Tasks[[#This Row],[Baseline Finish]])&gt;0,Tasks[[#This Row],[Baseline Finish]],Tasks[[#This Row],[_CalcFinish]]))</f>
        <v/>
      </c>
      <c r="R68" s="29"/>
      <c r="S68" s="29"/>
      <c r="T6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8" s="31"/>
      <c r="AA6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8" s="41"/>
      <c r="AD68" s="31"/>
      <c r="AE6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8" s="41"/>
      <c r="AJ68" s="24" t="str">
        <f aca="false">IF(Tasks[[#This Row],[Task Name]]="","",Tasks[[#This Row],[Forecast Start]])</f>
        <v/>
      </c>
      <c r="AK68" s="24" t="str">
        <f aca="false">IF(Tasks[[#This Row],[Task Name]]="","",Tasks[[#This Row],[Forecast Finish]])</f>
        <v/>
      </c>
      <c r="AL6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8" s="43" t="str">
        <f aca="false">IF(Tasks[[#This Row],[Task Name]]="","",Tasks[[#This Row],[Work]])</f>
        <v/>
      </c>
      <c r="AN68" s="44" t="str">
        <f aca="false">IF(Tasks[[#This Row],[Task Name]]="","",Tasks[[#This Row],[Cost]])</f>
        <v/>
      </c>
      <c r="AO68" s="29"/>
      <c r="AP68" s="29"/>
      <c r="AQ68" s="39"/>
      <c r="AR68" s="45"/>
      <c r="AS68" s="46"/>
      <c r="AT68" s="40" t="str">
        <f aca="false">IF(OR(Tasks[[#This Row],[Task Name]]="",Tasks[[#This Row],[Baseline Duration]]=""),"",Tasks[[#This Row],[BL Source Duration]]-N(Tasks[[#This Row],[Baseline Duration]]))</f>
        <v/>
      </c>
      <c r="AU68" s="43" t="str">
        <f aca="false">IF(OR(Tasks[[#This Row],[Task Name]]="",Tasks[[#This Row],[Baseline Work]]=""),"",Tasks[[#This Row],[Work]]-N(Tasks[[#This Row],[Baseline Work]]))</f>
        <v/>
      </c>
      <c r="AV68" s="44" t="str">
        <f aca="false">IF(OR(Tasks[[#This Row],[Task Name]]="",Tasks[[#This Row],[Baseline Cost]]=""),"",Tasks[[#This Row],[Cost]]-N(Tasks[[#This Row],[Baseline Cost]]))</f>
        <v/>
      </c>
      <c r="AW68" s="47" t="str">
        <f aca="false">IF(Tasks[[#This Row],[Task Name]]="","",MAX(1,N(Tasks[[#This Row],[Level]])))</f>
        <v/>
      </c>
      <c r="AX68" s="47" t="n">
        <f aca="false">ROW()-ROW(Tasks[[#Headers],[ID]])</f>
        <v>63</v>
      </c>
      <c r="AY6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8" s="47" t="n">
        <f aca="false">IFERROR(N(INDEX(Tasks[_Level],Tasks[[#This Row],[_Row]]+1)),0)</f>
        <v>0</v>
      </c>
      <c r="BA68" s="48" t="b">
        <f aca="false">AND(Tasks[[#This Row],[Task Name]]&lt;&gt;"",Tasks[[#This Row],[_NextLevel]]&gt;Tasks[[#This Row],[_Level]])</f>
        <v>0</v>
      </c>
      <c r="BB68" s="47" t="n">
        <f aca="false">IF(Tasks[[#This Row],[_IsSummary]],COUNTIF(Tasks[WBS],Tasks[[#This Row],[WBS]]&amp;".*"),0)</f>
        <v>0</v>
      </c>
      <c r="BC68" s="47" t="n">
        <f aca="false">IF(AND(Tasks[[#This Row],[Task Name]]&lt;&gt;"",NOT(Tasks[[#This Row],[_IsSummary]])),1,0)</f>
        <v>0</v>
      </c>
      <c r="BD68" s="47" t="n">
        <f aca="false">IF(N(Tasks[[#This Row],[Pred1 UID]])=0,0,IFERROR(MATCH(Tasks[[#This Row],[Pred1 UID]],Tasks[UID],0),-1))</f>
        <v>0</v>
      </c>
      <c r="BE68" s="47" t="n">
        <f aca="false">IF(N(Tasks[[#This Row],[Pred2 UID]])=0,0,IFERROR(MATCH(Tasks[[#This Row],[Pred2 UID]],Tasks[UID],0),-1))</f>
        <v>0</v>
      </c>
      <c r="BF6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8" s="47" t="n">
        <f aca="false">IF(NOT(Tasks[[#This Row],[_IsLeaf]]=1),0,IF(N(Tasks[[#This Row],[Actual Finish]])&gt;0,1,MIN(1,N(Tasks[[#This Row],[% Complete]]))))</f>
        <v>0</v>
      </c>
      <c r="BK6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8" s="47" t="n">
        <f aca="false">IF(Tasks[[#This Row],[_LeafWork]]=0,0,Tasks[[#This Row],[_LeafWork]]*IFERROR(INDEX(res_Rate,MATCH(Tasks[[#This Row],[Resource]],res_Name,0)),0))</f>
        <v>0</v>
      </c>
      <c r="BM6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8" s="47" t="n">
        <f aca="false">IF(AND(Tasks[[#This Row],[_IsLeaf]]=1,Tasks[[#This Row],[_LeafWork]]&gt;0),NETWORKDAYS.INTL(ProjectStart,Tasks[[#This Row],[_LeafFcstStart]],WorkWeek,Holidays),0)</f>
        <v>0</v>
      </c>
      <c r="BV6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8" s="47" t="n">
        <f aca="false">IF(AND(Tasks[[#This Row],[_IsLeaf]]=1,Tasks[[#This Row],[_LeafWork]]&gt;0),Tasks[[#This Row],[_LeafWork]]/(Tasks[[#This Row],[_FinishWorkday]]-Tasks[[#This Row],[_StartWorkday]]+1),0)</f>
        <v>0</v>
      </c>
      <c r="BX68" s="47" t="n">
        <f aca="false">Tasks[[#This Row],[_WorkPerWorkday]]*(Tasks[[#This Row],[_StartWorkday]]-1)</f>
        <v>-0</v>
      </c>
      <c r="BY68" s="47" t="n">
        <f aca="false">IF(Tasks[[#This Row],[_IsLeaf]]=1,MAX(N(Tasks[[#This Row],[Duration]]),0.1),0)</f>
        <v>0</v>
      </c>
      <c r="BZ68" s="47" t="n">
        <f aca="false">Tasks[[#This Row],[_WeightDur]]*Tasks[[#This Row],[_LeafProgress]]</f>
        <v>0</v>
      </c>
      <c r="CA6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9" customFormat="false" ht="15" hidden="false" customHeight="false" outlineLevel="0" collapsed="false">
      <c r="A69" s="38" t="str">
        <f aca="false">IF(Tasks[[#This Row],[Task Name]]="","",COUNTA(Tasks[[#Headers],[Task Name]]:Tasks[[#This Row],[Task Name]])-1)</f>
        <v/>
      </c>
      <c r="B69" s="39" t="n">
        <v>64</v>
      </c>
      <c r="C6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9" s="39"/>
      <c r="E69" s="41"/>
      <c r="F69" s="39"/>
      <c r="G69" s="39"/>
      <c r="H69" s="39"/>
      <c r="I69" s="39"/>
      <c r="J69" s="39"/>
      <c r="K69" s="39"/>
      <c r="L69" s="39"/>
      <c r="M69" s="39"/>
      <c r="N69" s="29"/>
      <c r="O69" s="29"/>
      <c r="P69" s="24" t="str">
        <f aca="false">IF(Tasks[[#This Row],[Task Name]]="","",IF(N(Tasks[[#This Row],[Baseline Start]])&gt;0,Tasks[[#This Row],[Baseline Start]],Tasks[[#This Row],[_CalcStart]]))</f>
        <v/>
      </c>
      <c r="Q69" s="24" t="str">
        <f aca="false">IF(Tasks[[#This Row],[Task Name]]="","",IF(N(Tasks[[#This Row],[Baseline Finish]])&gt;0,Tasks[[#This Row],[Baseline Finish]],Tasks[[#This Row],[_CalcFinish]]))</f>
        <v/>
      </c>
      <c r="R69" s="29"/>
      <c r="S69" s="29"/>
      <c r="T6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9" s="31"/>
      <c r="AA6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9" s="41"/>
      <c r="AD69" s="31"/>
      <c r="AE6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9" s="41"/>
      <c r="AJ69" s="24" t="str">
        <f aca="false">IF(Tasks[[#This Row],[Task Name]]="","",Tasks[[#This Row],[Forecast Start]])</f>
        <v/>
      </c>
      <c r="AK69" s="24" t="str">
        <f aca="false">IF(Tasks[[#This Row],[Task Name]]="","",Tasks[[#This Row],[Forecast Finish]])</f>
        <v/>
      </c>
      <c r="AL6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9" s="43" t="str">
        <f aca="false">IF(Tasks[[#This Row],[Task Name]]="","",Tasks[[#This Row],[Work]])</f>
        <v/>
      </c>
      <c r="AN69" s="44" t="str">
        <f aca="false">IF(Tasks[[#This Row],[Task Name]]="","",Tasks[[#This Row],[Cost]])</f>
        <v/>
      </c>
      <c r="AO69" s="29"/>
      <c r="AP69" s="29"/>
      <c r="AQ69" s="39"/>
      <c r="AR69" s="45"/>
      <c r="AS69" s="46"/>
      <c r="AT69" s="40" t="str">
        <f aca="false">IF(OR(Tasks[[#This Row],[Task Name]]="",Tasks[[#This Row],[Baseline Duration]]=""),"",Tasks[[#This Row],[BL Source Duration]]-N(Tasks[[#This Row],[Baseline Duration]]))</f>
        <v/>
      </c>
      <c r="AU69" s="43" t="str">
        <f aca="false">IF(OR(Tasks[[#This Row],[Task Name]]="",Tasks[[#This Row],[Baseline Work]]=""),"",Tasks[[#This Row],[Work]]-N(Tasks[[#This Row],[Baseline Work]]))</f>
        <v/>
      </c>
      <c r="AV69" s="44" t="str">
        <f aca="false">IF(OR(Tasks[[#This Row],[Task Name]]="",Tasks[[#This Row],[Baseline Cost]]=""),"",Tasks[[#This Row],[Cost]]-N(Tasks[[#This Row],[Baseline Cost]]))</f>
        <v/>
      </c>
      <c r="AW69" s="47" t="str">
        <f aca="false">IF(Tasks[[#This Row],[Task Name]]="","",MAX(1,N(Tasks[[#This Row],[Level]])))</f>
        <v/>
      </c>
      <c r="AX69" s="47" t="n">
        <f aca="false">ROW()-ROW(Tasks[[#Headers],[ID]])</f>
        <v>64</v>
      </c>
      <c r="AY6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9" s="47" t="n">
        <f aca="false">IFERROR(N(INDEX(Tasks[_Level],Tasks[[#This Row],[_Row]]+1)),0)</f>
        <v>0</v>
      </c>
      <c r="BA69" s="48" t="b">
        <f aca="false">AND(Tasks[[#This Row],[Task Name]]&lt;&gt;"",Tasks[[#This Row],[_NextLevel]]&gt;Tasks[[#This Row],[_Level]])</f>
        <v>0</v>
      </c>
      <c r="BB69" s="47" t="n">
        <f aca="false">IF(Tasks[[#This Row],[_IsSummary]],COUNTIF(Tasks[WBS],Tasks[[#This Row],[WBS]]&amp;".*"),0)</f>
        <v>0</v>
      </c>
      <c r="BC69" s="47" t="n">
        <f aca="false">IF(AND(Tasks[[#This Row],[Task Name]]&lt;&gt;"",NOT(Tasks[[#This Row],[_IsSummary]])),1,0)</f>
        <v>0</v>
      </c>
      <c r="BD69" s="47" t="n">
        <f aca="false">IF(N(Tasks[[#This Row],[Pred1 UID]])=0,0,IFERROR(MATCH(Tasks[[#This Row],[Pred1 UID]],Tasks[UID],0),-1))</f>
        <v>0</v>
      </c>
      <c r="BE69" s="47" t="n">
        <f aca="false">IF(N(Tasks[[#This Row],[Pred2 UID]])=0,0,IFERROR(MATCH(Tasks[[#This Row],[Pred2 UID]],Tasks[UID],0),-1))</f>
        <v>0</v>
      </c>
      <c r="BF6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9" s="47" t="n">
        <f aca="false">IF(NOT(Tasks[[#This Row],[_IsLeaf]]=1),0,IF(N(Tasks[[#This Row],[Actual Finish]])&gt;0,1,MIN(1,N(Tasks[[#This Row],[% Complete]]))))</f>
        <v>0</v>
      </c>
      <c r="BK6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9" s="47" t="n">
        <f aca="false">IF(Tasks[[#This Row],[_LeafWork]]=0,0,Tasks[[#This Row],[_LeafWork]]*IFERROR(INDEX(res_Rate,MATCH(Tasks[[#This Row],[Resource]],res_Name,0)),0))</f>
        <v>0</v>
      </c>
      <c r="BM6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6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6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6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6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6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69" s="47" t="n">
        <f aca="false">IF(AND(Tasks[[#This Row],[_IsLeaf]]=1,Tasks[[#This Row],[_LeafWork]]&gt;0),NETWORKDAYS.INTL(ProjectStart,Tasks[[#This Row],[_LeafFcstStart]],WorkWeek,Holidays),0)</f>
        <v>0</v>
      </c>
      <c r="BV6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9" s="47" t="n">
        <f aca="false">IF(AND(Tasks[[#This Row],[_IsLeaf]]=1,Tasks[[#This Row],[_LeafWork]]&gt;0),Tasks[[#This Row],[_LeafWork]]/(Tasks[[#This Row],[_FinishWorkday]]-Tasks[[#This Row],[_StartWorkday]]+1),0)</f>
        <v>0</v>
      </c>
      <c r="BX69" s="47" t="n">
        <f aca="false">Tasks[[#This Row],[_WorkPerWorkday]]*(Tasks[[#This Row],[_StartWorkday]]-1)</f>
        <v>-0</v>
      </c>
      <c r="BY69" s="47" t="n">
        <f aca="false">IF(Tasks[[#This Row],[_IsLeaf]]=1,MAX(N(Tasks[[#This Row],[Duration]]),0.1),0)</f>
        <v>0</v>
      </c>
      <c r="BZ69" s="47" t="n">
        <f aca="false">Tasks[[#This Row],[_WeightDur]]*Tasks[[#This Row],[_LeafProgress]]</f>
        <v>0</v>
      </c>
      <c r="CA6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0" customFormat="false" ht="15" hidden="false" customHeight="false" outlineLevel="0" collapsed="false">
      <c r="A70" s="38" t="str">
        <f aca="false">IF(Tasks[[#This Row],[Task Name]]="","",COUNTA(Tasks[[#Headers],[Task Name]]:Tasks[[#This Row],[Task Name]])-1)</f>
        <v/>
      </c>
      <c r="B70" s="39" t="n">
        <v>65</v>
      </c>
      <c r="C7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0" s="39"/>
      <c r="E70" s="41"/>
      <c r="F70" s="39"/>
      <c r="G70" s="39"/>
      <c r="H70" s="39"/>
      <c r="I70" s="39"/>
      <c r="J70" s="39"/>
      <c r="K70" s="39"/>
      <c r="L70" s="39"/>
      <c r="M70" s="39"/>
      <c r="N70" s="29"/>
      <c r="O70" s="29"/>
      <c r="P70" s="24" t="str">
        <f aca="false">IF(Tasks[[#This Row],[Task Name]]="","",IF(N(Tasks[[#This Row],[Baseline Start]])&gt;0,Tasks[[#This Row],[Baseline Start]],Tasks[[#This Row],[_CalcStart]]))</f>
        <v/>
      </c>
      <c r="Q70" s="24" t="str">
        <f aca="false">IF(Tasks[[#This Row],[Task Name]]="","",IF(N(Tasks[[#This Row],[Baseline Finish]])&gt;0,Tasks[[#This Row],[Baseline Finish]],Tasks[[#This Row],[_CalcFinish]]))</f>
        <v/>
      </c>
      <c r="R70" s="29"/>
      <c r="S70" s="29"/>
      <c r="T7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0" s="31"/>
      <c r="AA7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0" s="41"/>
      <c r="AD70" s="31"/>
      <c r="AE7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0" s="41"/>
      <c r="AJ70" s="24" t="str">
        <f aca="false">IF(Tasks[[#This Row],[Task Name]]="","",Tasks[[#This Row],[Forecast Start]])</f>
        <v/>
      </c>
      <c r="AK70" s="24" t="str">
        <f aca="false">IF(Tasks[[#This Row],[Task Name]]="","",Tasks[[#This Row],[Forecast Finish]])</f>
        <v/>
      </c>
      <c r="AL7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0" s="43" t="str">
        <f aca="false">IF(Tasks[[#This Row],[Task Name]]="","",Tasks[[#This Row],[Work]])</f>
        <v/>
      </c>
      <c r="AN70" s="44" t="str">
        <f aca="false">IF(Tasks[[#This Row],[Task Name]]="","",Tasks[[#This Row],[Cost]])</f>
        <v/>
      </c>
      <c r="AO70" s="29"/>
      <c r="AP70" s="29"/>
      <c r="AQ70" s="39"/>
      <c r="AR70" s="45"/>
      <c r="AS70" s="46"/>
      <c r="AT70" s="40" t="str">
        <f aca="false">IF(OR(Tasks[[#This Row],[Task Name]]="",Tasks[[#This Row],[Baseline Duration]]=""),"",Tasks[[#This Row],[BL Source Duration]]-N(Tasks[[#This Row],[Baseline Duration]]))</f>
        <v/>
      </c>
      <c r="AU70" s="43" t="str">
        <f aca="false">IF(OR(Tasks[[#This Row],[Task Name]]="",Tasks[[#This Row],[Baseline Work]]=""),"",Tasks[[#This Row],[Work]]-N(Tasks[[#This Row],[Baseline Work]]))</f>
        <v/>
      </c>
      <c r="AV70" s="44" t="str">
        <f aca="false">IF(OR(Tasks[[#This Row],[Task Name]]="",Tasks[[#This Row],[Baseline Cost]]=""),"",Tasks[[#This Row],[Cost]]-N(Tasks[[#This Row],[Baseline Cost]]))</f>
        <v/>
      </c>
      <c r="AW70" s="47" t="str">
        <f aca="false">IF(Tasks[[#This Row],[Task Name]]="","",MAX(1,N(Tasks[[#This Row],[Level]])))</f>
        <v/>
      </c>
      <c r="AX70" s="47" t="n">
        <f aca="false">ROW()-ROW(Tasks[[#Headers],[ID]])</f>
        <v>65</v>
      </c>
      <c r="AY7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0" s="47" t="n">
        <f aca="false">IFERROR(N(INDEX(Tasks[_Level],Tasks[[#This Row],[_Row]]+1)),0)</f>
        <v>0</v>
      </c>
      <c r="BA70" s="48" t="b">
        <f aca="false">AND(Tasks[[#This Row],[Task Name]]&lt;&gt;"",Tasks[[#This Row],[_NextLevel]]&gt;Tasks[[#This Row],[_Level]])</f>
        <v>0</v>
      </c>
      <c r="BB70" s="47" t="n">
        <f aca="false">IF(Tasks[[#This Row],[_IsSummary]],COUNTIF(Tasks[WBS],Tasks[[#This Row],[WBS]]&amp;".*"),0)</f>
        <v>0</v>
      </c>
      <c r="BC70" s="47" t="n">
        <f aca="false">IF(AND(Tasks[[#This Row],[Task Name]]&lt;&gt;"",NOT(Tasks[[#This Row],[_IsSummary]])),1,0)</f>
        <v>0</v>
      </c>
      <c r="BD70" s="47" t="n">
        <f aca="false">IF(N(Tasks[[#This Row],[Pred1 UID]])=0,0,IFERROR(MATCH(Tasks[[#This Row],[Pred1 UID]],Tasks[UID],0),-1))</f>
        <v>0</v>
      </c>
      <c r="BE70" s="47" t="n">
        <f aca="false">IF(N(Tasks[[#This Row],[Pred2 UID]])=0,0,IFERROR(MATCH(Tasks[[#This Row],[Pred2 UID]],Tasks[UID],0),-1))</f>
        <v>0</v>
      </c>
      <c r="BF7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0" s="47" t="n">
        <f aca="false">IF(NOT(Tasks[[#This Row],[_IsLeaf]]=1),0,IF(N(Tasks[[#This Row],[Actual Finish]])&gt;0,1,MIN(1,N(Tasks[[#This Row],[% Complete]]))))</f>
        <v>0</v>
      </c>
      <c r="BK7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0" s="47" t="n">
        <f aca="false">IF(Tasks[[#This Row],[_LeafWork]]=0,0,Tasks[[#This Row],[_LeafWork]]*IFERROR(INDEX(res_Rate,MATCH(Tasks[[#This Row],[Resource]],res_Name,0)),0))</f>
        <v>0</v>
      </c>
      <c r="BM7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0" s="47" t="n">
        <f aca="false">IF(AND(Tasks[[#This Row],[_IsLeaf]]=1,Tasks[[#This Row],[_LeafWork]]&gt;0),NETWORKDAYS.INTL(ProjectStart,Tasks[[#This Row],[_LeafFcstStart]],WorkWeek,Holidays),0)</f>
        <v>0</v>
      </c>
      <c r="BV7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0" s="47" t="n">
        <f aca="false">IF(AND(Tasks[[#This Row],[_IsLeaf]]=1,Tasks[[#This Row],[_LeafWork]]&gt;0),Tasks[[#This Row],[_LeafWork]]/(Tasks[[#This Row],[_FinishWorkday]]-Tasks[[#This Row],[_StartWorkday]]+1),0)</f>
        <v>0</v>
      </c>
      <c r="BX70" s="47" t="n">
        <f aca="false">Tasks[[#This Row],[_WorkPerWorkday]]*(Tasks[[#This Row],[_StartWorkday]]-1)</f>
        <v>-0</v>
      </c>
      <c r="BY70" s="47" t="n">
        <f aca="false">IF(Tasks[[#This Row],[_IsLeaf]]=1,MAX(N(Tasks[[#This Row],[Duration]]),0.1),0)</f>
        <v>0</v>
      </c>
      <c r="BZ70" s="47" t="n">
        <f aca="false">Tasks[[#This Row],[_WeightDur]]*Tasks[[#This Row],[_LeafProgress]]</f>
        <v>0</v>
      </c>
      <c r="CA7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1" customFormat="false" ht="15" hidden="false" customHeight="false" outlineLevel="0" collapsed="false">
      <c r="A71" s="38" t="str">
        <f aca="false">IF(Tasks[[#This Row],[Task Name]]="","",COUNTA(Tasks[[#Headers],[Task Name]]:Tasks[[#This Row],[Task Name]])-1)</f>
        <v/>
      </c>
      <c r="B71" s="39" t="n">
        <v>66</v>
      </c>
      <c r="C7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1" s="39"/>
      <c r="E71" s="41"/>
      <c r="F71" s="39"/>
      <c r="G71" s="39"/>
      <c r="H71" s="39"/>
      <c r="I71" s="39"/>
      <c r="J71" s="39"/>
      <c r="K71" s="39"/>
      <c r="L71" s="39"/>
      <c r="M71" s="39"/>
      <c r="N71" s="29"/>
      <c r="O71" s="29"/>
      <c r="P71" s="24" t="str">
        <f aca="false">IF(Tasks[[#This Row],[Task Name]]="","",IF(N(Tasks[[#This Row],[Baseline Start]])&gt;0,Tasks[[#This Row],[Baseline Start]],Tasks[[#This Row],[_CalcStart]]))</f>
        <v/>
      </c>
      <c r="Q71" s="24" t="str">
        <f aca="false">IF(Tasks[[#This Row],[Task Name]]="","",IF(N(Tasks[[#This Row],[Baseline Finish]])&gt;0,Tasks[[#This Row],[Baseline Finish]],Tasks[[#This Row],[_CalcFinish]]))</f>
        <v/>
      </c>
      <c r="R71" s="29"/>
      <c r="S71" s="29"/>
      <c r="T7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1" s="31"/>
      <c r="AA7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1" s="41"/>
      <c r="AD71" s="31"/>
      <c r="AE7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1" s="41"/>
      <c r="AJ71" s="24" t="str">
        <f aca="false">IF(Tasks[[#This Row],[Task Name]]="","",Tasks[[#This Row],[Forecast Start]])</f>
        <v/>
      </c>
      <c r="AK71" s="24" t="str">
        <f aca="false">IF(Tasks[[#This Row],[Task Name]]="","",Tasks[[#This Row],[Forecast Finish]])</f>
        <v/>
      </c>
      <c r="AL7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1" s="43" t="str">
        <f aca="false">IF(Tasks[[#This Row],[Task Name]]="","",Tasks[[#This Row],[Work]])</f>
        <v/>
      </c>
      <c r="AN71" s="44" t="str">
        <f aca="false">IF(Tasks[[#This Row],[Task Name]]="","",Tasks[[#This Row],[Cost]])</f>
        <v/>
      </c>
      <c r="AO71" s="29"/>
      <c r="AP71" s="29"/>
      <c r="AQ71" s="39"/>
      <c r="AR71" s="45"/>
      <c r="AS71" s="46"/>
      <c r="AT71" s="40" t="str">
        <f aca="false">IF(OR(Tasks[[#This Row],[Task Name]]="",Tasks[[#This Row],[Baseline Duration]]=""),"",Tasks[[#This Row],[BL Source Duration]]-N(Tasks[[#This Row],[Baseline Duration]]))</f>
        <v/>
      </c>
      <c r="AU71" s="43" t="str">
        <f aca="false">IF(OR(Tasks[[#This Row],[Task Name]]="",Tasks[[#This Row],[Baseline Work]]=""),"",Tasks[[#This Row],[Work]]-N(Tasks[[#This Row],[Baseline Work]]))</f>
        <v/>
      </c>
      <c r="AV71" s="44" t="str">
        <f aca="false">IF(OR(Tasks[[#This Row],[Task Name]]="",Tasks[[#This Row],[Baseline Cost]]=""),"",Tasks[[#This Row],[Cost]]-N(Tasks[[#This Row],[Baseline Cost]]))</f>
        <v/>
      </c>
      <c r="AW71" s="47" t="str">
        <f aca="false">IF(Tasks[[#This Row],[Task Name]]="","",MAX(1,N(Tasks[[#This Row],[Level]])))</f>
        <v/>
      </c>
      <c r="AX71" s="47" t="n">
        <f aca="false">ROW()-ROW(Tasks[[#Headers],[ID]])</f>
        <v>66</v>
      </c>
      <c r="AY7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1" s="47" t="n">
        <f aca="false">IFERROR(N(INDEX(Tasks[_Level],Tasks[[#This Row],[_Row]]+1)),0)</f>
        <v>0</v>
      </c>
      <c r="BA71" s="48" t="b">
        <f aca="false">AND(Tasks[[#This Row],[Task Name]]&lt;&gt;"",Tasks[[#This Row],[_NextLevel]]&gt;Tasks[[#This Row],[_Level]])</f>
        <v>0</v>
      </c>
      <c r="BB71" s="47" t="n">
        <f aca="false">IF(Tasks[[#This Row],[_IsSummary]],COUNTIF(Tasks[WBS],Tasks[[#This Row],[WBS]]&amp;".*"),0)</f>
        <v>0</v>
      </c>
      <c r="BC71" s="47" t="n">
        <f aca="false">IF(AND(Tasks[[#This Row],[Task Name]]&lt;&gt;"",NOT(Tasks[[#This Row],[_IsSummary]])),1,0)</f>
        <v>0</v>
      </c>
      <c r="BD71" s="47" t="n">
        <f aca="false">IF(N(Tasks[[#This Row],[Pred1 UID]])=0,0,IFERROR(MATCH(Tasks[[#This Row],[Pred1 UID]],Tasks[UID],0),-1))</f>
        <v>0</v>
      </c>
      <c r="BE71" s="47" t="n">
        <f aca="false">IF(N(Tasks[[#This Row],[Pred2 UID]])=0,0,IFERROR(MATCH(Tasks[[#This Row],[Pred2 UID]],Tasks[UID],0),-1))</f>
        <v>0</v>
      </c>
      <c r="BF7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1" s="47" t="n">
        <f aca="false">IF(NOT(Tasks[[#This Row],[_IsLeaf]]=1),0,IF(N(Tasks[[#This Row],[Actual Finish]])&gt;0,1,MIN(1,N(Tasks[[#This Row],[% Complete]]))))</f>
        <v>0</v>
      </c>
      <c r="BK7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1" s="47" t="n">
        <f aca="false">IF(Tasks[[#This Row],[_LeafWork]]=0,0,Tasks[[#This Row],[_LeafWork]]*IFERROR(INDEX(res_Rate,MATCH(Tasks[[#This Row],[Resource]],res_Name,0)),0))</f>
        <v>0</v>
      </c>
      <c r="BM7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1" s="47" t="n">
        <f aca="false">IF(AND(Tasks[[#This Row],[_IsLeaf]]=1,Tasks[[#This Row],[_LeafWork]]&gt;0),NETWORKDAYS.INTL(ProjectStart,Tasks[[#This Row],[_LeafFcstStart]],WorkWeek,Holidays),0)</f>
        <v>0</v>
      </c>
      <c r="BV7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1" s="47" t="n">
        <f aca="false">IF(AND(Tasks[[#This Row],[_IsLeaf]]=1,Tasks[[#This Row],[_LeafWork]]&gt;0),Tasks[[#This Row],[_LeafWork]]/(Tasks[[#This Row],[_FinishWorkday]]-Tasks[[#This Row],[_StartWorkday]]+1),0)</f>
        <v>0</v>
      </c>
      <c r="BX71" s="47" t="n">
        <f aca="false">Tasks[[#This Row],[_WorkPerWorkday]]*(Tasks[[#This Row],[_StartWorkday]]-1)</f>
        <v>-0</v>
      </c>
      <c r="BY71" s="47" t="n">
        <f aca="false">IF(Tasks[[#This Row],[_IsLeaf]]=1,MAX(N(Tasks[[#This Row],[Duration]]),0.1),0)</f>
        <v>0</v>
      </c>
      <c r="BZ71" s="47" t="n">
        <f aca="false">Tasks[[#This Row],[_WeightDur]]*Tasks[[#This Row],[_LeafProgress]]</f>
        <v>0</v>
      </c>
      <c r="CA7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2" customFormat="false" ht="15" hidden="false" customHeight="false" outlineLevel="0" collapsed="false">
      <c r="A72" s="38" t="str">
        <f aca="false">IF(Tasks[[#This Row],[Task Name]]="","",COUNTA(Tasks[[#Headers],[Task Name]]:Tasks[[#This Row],[Task Name]])-1)</f>
        <v/>
      </c>
      <c r="B72" s="39" t="n">
        <v>67</v>
      </c>
      <c r="C7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2" s="39"/>
      <c r="E72" s="41"/>
      <c r="F72" s="39"/>
      <c r="G72" s="39"/>
      <c r="H72" s="39"/>
      <c r="I72" s="39"/>
      <c r="J72" s="39"/>
      <c r="K72" s="39"/>
      <c r="L72" s="39"/>
      <c r="M72" s="39"/>
      <c r="N72" s="29"/>
      <c r="O72" s="29"/>
      <c r="P72" s="24" t="str">
        <f aca="false">IF(Tasks[[#This Row],[Task Name]]="","",IF(N(Tasks[[#This Row],[Baseline Start]])&gt;0,Tasks[[#This Row],[Baseline Start]],Tasks[[#This Row],[_CalcStart]]))</f>
        <v/>
      </c>
      <c r="Q72" s="24" t="str">
        <f aca="false">IF(Tasks[[#This Row],[Task Name]]="","",IF(N(Tasks[[#This Row],[Baseline Finish]])&gt;0,Tasks[[#This Row],[Baseline Finish]],Tasks[[#This Row],[_CalcFinish]]))</f>
        <v/>
      </c>
      <c r="R72" s="29"/>
      <c r="S72" s="29"/>
      <c r="T7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2" s="31"/>
      <c r="AA7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2" s="41"/>
      <c r="AD72" s="31"/>
      <c r="AE7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2" s="41"/>
      <c r="AJ72" s="24" t="str">
        <f aca="false">IF(Tasks[[#This Row],[Task Name]]="","",Tasks[[#This Row],[Forecast Start]])</f>
        <v/>
      </c>
      <c r="AK72" s="24" t="str">
        <f aca="false">IF(Tasks[[#This Row],[Task Name]]="","",Tasks[[#This Row],[Forecast Finish]])</f>
        <v/>
      </c>
      <c r="AL7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2" s="43" t="str">
        <f aca="false">IF(Tasks[[#This Row],[Task Name]]="","",Tasks[[#This Row],[Work]])</f>
        <v/>
      </c>
      <c r="AN72" s="44" t="str">
        <f aca="false">IF(Tasks[[#This Row],[Task Name]]="","",Tasks[[#This Row],[Cost]])</f>
        <v/>
      </c>
      <c r="AO72" s="29"/>
      <c r="AP72" s="29"/>
      <c r="AQ72" s="39"/>
      <c r="AR72" s="45"/>
      <c r="AS72" s="46"/>
      <c r="AT72" s="40" t="str">
        <f aca="false">IF(OR(Tasks[[#This Row],[Task Name]]="",Tasks[[#This Row],[Baseline Duration]]=""),"",Tasks[[#This Row],[BL Source Duration]]-N(Tasks[[#This Row],[Baseline Duration]]))</f>
        <v/>
      </c>
      <c r="AU72" s="43" t="str">
        <f aca="false">IF(OR(Tasks[[#This Row],[Task Name]]="",Tasks[[#This Row],[Baseline Work]]=""),"",Tasks[[#This Row],[Work]]-N(Tasks[[#This Row],[Baseline Work]]))</f>
        <v/>
      </c>
      <c r="AV72" s="44" t="str">
        <f aca="false">IF(OR(Tasks[[#This Row],[Task Name]]="",Tasks[[#This Row],[Baseline Cost]]=""),"",Tasks[[#This Row],[Cost]]-N(Tasks[[#This Row],[Baseline Cost]]))</f>
        <v/>
      </c>
      <c r="AW72" s="47" t="str">
        <f aca="false">IF(Tasks[[#This Row],[Task Name]]="","",MAX(1,N(Tasks[[#This Row],[Level]])))</f>
        <v/>
      </c>
      <c r="AX72" s="47" t="n">
        <f aca="false">ROW()-ROW(Tasks[[#Headers],[ID]])</f>
        <v>67</v>
      </c>
      <c r="AY7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2" s="47" t="n">
        <f aca="false">IFERROR(N(INDEX(Tasks[_Level],Tasks[[#This Row],[_Row]]+1)),0)</f>
        <v>0</v>
      </c>
      <c r="BA72" s="48" t="b">
        <f aca="false">AND(Tasks[[#This Row],[Task Name]]&lt;&gt;"",Tasks[[#This Row],[_NextLevel]]&gt;Tasks[[#This Row],[_Level]])</f>
        <v>0</v>
      </c>
      <c r="BB72" s="47" t="n">
        <f aca="false">IF(Tasks[[#This Row],[_IsSummary]],COUNTIF(Tasks[WBS],Tasks[[#This Row],[WBS]]&amp;".*"),0)</f>
        <v>0</v>
      </c>
      <c r="BC72" s="47" t="n">
        <f aca="false">IF(AND(Tasks[[#This Row],[Task Name]]&lt;&gt;"",NOT(Tasks[[#This Row],[_IsSummary]])),1,0)</f>
        <v>0</v>
      </c>
      <c r="BD72" s="47" t="n">
        <f aca="false">IF(N(Tasks[[#This Row],[Pred1 UID]])=0,0,IFERROR(MATCH(Tasks[[#This Row],[Pred1 UID]],Tasks[UID],0),-1))</f>
        <v>0</v>
      </c>
      <c r="BE72" s="47" t="n">
        <f aca="false">IF(N(Tasks[[#This Row],[Pred2 UID]])=0,0,IFERROR(MATCH(Tasks[[#This Row],[Pred2 UID]],Tasks[UID],0),-1))</f>
        <v>0</v>
      </c>
      <c r="BF7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2" s="47" t="n">
        <f aca="false">IF(NOT(Tasks[[#This Row],[_IsLeaf]]=1),0,IF(N(Tasks[[#This Row],[Actual Finish]])&gt;0,1,MIN(1,N(Tasks[[#This Row],[% Complete]]))))</f>
        <v>0</v>
      </c>
      <c r="BK7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2" s="47" t="n">
        <f aca="false">IF(Tasks[[#This Row],[_LeafWork]]=0,0,Tasks[[#This Row],[_LeafWork]]*IFERROR(INDEX(res_Rate,MATCH(Tasks[[#This Row],[Resource]],res_Name,0)),0))</f>
        <v>0</v>
      </c>
      <c r="BM7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2" s="47" t="n">
        <f aca="false">IF(AND(Tasks[[#This Row],[_IsLeaf]]=1,Tasks[[#This Row],[_LeafWork]]&gt;0),NETWORKDAYS.INTL(ProjectStart,Tasks[[#This Row],[_LeafFcstStart]],WorkWeek,Holidays),0)</f>
        <v>0</v>
      </c>
      <c r="BV7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2" s="47" t="n">
        <f aca="false">IF(AND(Tasks[[#This Row],[_IsLeaf]]=1,Tasks[[#This Row],[_LeafWork]]&gt;0),Tasks[[#This Row],[_LeafWork]]/(Tasks[[#This Row],[_FinishWorkday]]-Tasks[[#This Row],[_StartWorkday]]+1),0)</f>
        <v>0</v>
      </c>
      <c r="BX72" s="47" t="n">
        <f aca="false">Tasks[[#This Row],[_WorkPerWorkday]]*(Tasks[[#This Row],[_StartWorkday]]-1)</f>
        <v>-0</v>
      </c>
      <c r="BY72" s="47" t="n">
        <f aca="false">IF(Tasks[[#This Row],[_IsLeaf]]=1,MAX(N(Tasks[[#This Row],[Duration]]),0.1),0)</f>
        <v>0</v>
      </c>
      <c r="BZ72" s="47" t="n">
        <f aca="false">Tasks[[#This Row],[_WeightDur]]*Tasks[[#This Row],[_LeafProgress]]</f>
        <v>0</v>
      </c>
      <c r="CA7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3" customFormat="false" ht="15" hidden="false" customHeight="false" outlineLevel="0" collapsed="false">
      <c r="A73" s="38" t="str">
        <f aca="false">IF(Tasks[[#This Row],[Task Name]]="","",COUNTA(Tasks[[#Headers],[Task Name]]:Tasks[[#This Row],[Task Name]])-1)</f>
        <v/>
      </c>
      <c r="B73" s="39" t="n">
        <v>68</v>
      </c>
      <c r="C7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3" s="39"/>
      <c r="E73" s="41"/>
      <c r="F73" s="39"/>
      <c r="G73" s="39"/>
      <c r="H73" s="39"/>
      <c r="I73" s="39"/>
      <c r="J73" s="39"/>
      <c r="K73" s="39"/>
      <c r="L73" s="39"/>
      <c r="M73" s="39"/>
      <c r="N73" s="29"/>
      <c r="O73" s="29"/>
      <c r="P73" s="24" t="str">
        <f aca="false">IF(Tasks[[#This Row],[Task Name]]="","",IF(N(Tasks[[#This Row],[Baseline Start]])&gt;0,Tasks[[#This Row],[Baseline Start]],Tasks[[#This Row],[_CalcStart]]))</f>
        <v/>
      </c>
      <c r="Q73" s="24" t="str">
        <f aca="false">IF(Tasks[[#This Row],[Task Name]]="","",IF(N(Tasks[[#This Row],[Baseline Finish]])&gt;0,Tasks[[#This Row],[Baseline Finish]],Tasks[[#This Row],[_CalcFinish]]))</f>
        <v/>
      </c>
      <c r="R73" s="29"/>
      <c r="S73" s="29"/>
      <c r="T7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3" s="31"/>
      <c r="AA7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3" s="41"/>
      <c r="AD73" s="31"/>
      <c r="AE7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3" s="41"/>
      <c r="AJ73" s="24" t="str">
        <f aca="false">IF(Tasks[[#This Row],[Task Name]]="","",Tasks[[#This Row],[Forecast Start]])</f>
        <v/>
      </c>
      <c r="AK73" s="24" t="str">
        <f aca="false">IF(Tasks[[#This Row],[Task Name]]="","",Tasks[[#This Row],[Forecast Finish]])</f>
        <v/>
      </c>
      <c r="AL7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3" s="43" t="str">
        <f aca="false">IF(Tasks[[#This Row],[Task Name]]="","",Tasks[[#This Row],[Work]])</f>
        <v/>
      </c>
      <c r="AN73" s="44" t="str">
        <f aca="false">IF(Tasks[[#This Row],[Task Name]]="","",Tasks[[#This Row],[Cost]])</f>
        <v/>
      </c>
      <c r="AO73" s="29"/>
      <c r="AP73" s="29"/>
      <c r="AQ73" s="39"/>
      <c r="AR73" s="45"/>
      <c r="AS73" s="46"/>
      <c r="AT73" s="40" t="str">
        <f aca="false">IF(OR(Tasks[[#This Row],[Task Name]]="",Tasks[[#This Row],[Baseline Duration]]=""),"",Tasks[[#This Row],[BL Source Duration]]-N(Tasks[[#This Row],[Baseline Duration]]))</f>
        <v/>
      </c>
      <c r="AU73" s="43" t="str">
        <f aca="false">IF(OR(Tasks[[#This Row],[Task Name]]="",Tasks[[#This Row],[Baseline Work]]=""),"",Tasks[[#This Row],[Work]]-N(Tasks[[#This Row],[Baseline Work]]))</f>
        <v/>
      </c>
      <c r="AV73" s="44" t="str">
        <f aca="false">IF(OR(Tasks[[#This Row],[Task Name]]="",Tasks[[#This Row],[Baseline Cost]]=""),"",Tasks[[#This Row],[Cost]]-N(Tasks[[#This Row],[Baseline Cost]]))</f>
        <v/>
      </c>
      <c r="AW73" s="47" t="str">
        <f aca="false">IF(Tasks[[#This Row],[Task Name]]="","",MAX(1,N(Tasks[[#This Row],[Level]])))</f>
        <v/>
      </c>
      <c r="AX73" s="47" t="n">
        <f aca="false">ROW()-ROW(Tasks[[#Headers],[ID]])</f>
        <v>68</v>
      </c>
      <c r="AY7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3" s="47" t="n">
        <f aca="false">IFERROR(N(INDEX(Tasks[_Level],Tasks[[#This Row],[_Row]]+1)),0)</f>
        <v>0</v>
      </c>
      <c r="BA73" s="48" t="b">
        <f aca="false">AND(Tasks[[#This Row],[Task Name]]&lt;&gt;"",Tasks[[#This Row],[_NextLevel]]&gt;Tasks[[#This Row],[_Level]])</f>
        <v>0</v>
      </c>
      <c r="BB73" s="47" t="n">
        <f aca="false">IF(Tasks[[#This Row],[_IsSummary]],COUNTIF(Tasks[WBS],Tasks[[#This Row],[WBS]]&amp;".*"),0)</f>
        <v>0</v>
      </c>
      <c r="BC73" s="47" t="n">
        <f aca="false">IF(AND(Tasks[[#This Row],[Task Name]]&lt;&gt;"",NOT(Tasks[[#This Row],[_IsSummary]])),1,0)</f>
        <v>0</v>
      </c>
      <c r="BD73" s="47" t="n">
        <f aca="false">IF(N(Tasks[[#This Row],[Pred1 UID]])=0,0,IFERROR(MATCH(Tasks[[#This Row],[Pred1 UID]],Tasks[UID],0),-1))</f>
        <v>0</v>
      </c>
      <c r="BE73" s="47" t="n">
        <f aca="false">IF(N(Tasks[[#This Row],[Pred2 UID]])=0,0,IFERROR(MATCH(Tasks[[#This Row],[Pred2 UID]],Tasks[UID],0),-1))</f>
        <v>0</v>
      </c>
      <c r="BF7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3" s="47" t="n">
        <f aca="false">IF(NOT(Tasks[[#This Row],[_IsLeaf]]=1),0,IF(N(Tasks[[#This Row],[Actual Finish]])&gt;0,1,MIN(1,N(Tasks[[#This Row],[% Complete]]))))</f>
        <v>0</v>
      </c>
      <c r="BK7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3" s="47" t="n">
        <f aca="false">IF(Tasks[[#This Row],[_LeafWork]]=0,0,Tasks[[#This Row],[_LeafWork]]*IFERROR(INDEX(res_Rate,MATCH(Tasks[[#This Row],[Resource]],res_Name,0)),0))</f>
        <v>0</v>
      </c>
      <c r="BM7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3" s="47" t="n">
        <f aca="false">IF(AND(Tasks[[#This Row],[_IsLeaf]]=1,Tasks[[#This Row],[_LeafWork]]&gt;0),NETWORKDAYS.INTL(ProjectStart,Tasks[[#This Row],[_LeafFcstStart]],WorkWeek,Holidays),0)</f>
        <v>0</v>
      </c>
      <c r="BV7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3" s="47" t="n">
        <f aca="false">IF(AND(Tasks[[#This Row],[_IsLeaf]]=1,Tasks[[#This Row],[_LeafWork]]&gt;0),Tasks[[#This Row],[_LeafWork]]/(Tasks[[#This Row],[_FinishWorkday]]-Tasks[[#This Row],[_StartWorkday]]+1),0)</f>
        <v>0</v>
      </c>
      <c r="BX73" s="47" t="n">
        <f aca="false">Tasks[[#This Row],[_WorkPerWorkday]]*(Tasks[[#This Row],[_StartWorkday]]-1)</f>
        <v>-0</v>
      </c>
      <c r="BY73" s="47" t="n">
        <f aca="false">IF(Tasks[[#This Row],[_IsLeaf]]=1,MAX(N(Tasks[[#This Row],[Duration]]),0.1),0)</f>
        <v>0</v>
      </c>
      <c r="BZ73" s="47" t="n">
        <f aca="false">Tasks[[#This Row],[_WeightDur]]*Tasks[[#This Row],[_LeafProgress]]</f>
        <v>0</v>
      </c>
      <c r="CA7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4" customFormat="false" ht="15" hidden="false" customHeight="false" outlineLevel="0" collapsed="false">
      <c r="A74" s="38" t="str">
        <f aca="false">IF(Tasks[[#This Row],[Task Name]]="","",COUNTA(Tasks[[#Headers],[Task Name]]:Tasks[[#This Row],[Task Name]])-1)</f>
        <v/>
      </c>
      <c r="B74" s="39" t="n">
        <v>69</v>
      </c>
      <c r="C7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4" s="39"/>
      <c r="E74" s="41"/>
      <c r="F74" s="39"/>
      <c r="G74" s="39"/>
      <c r="H74" s="39"/>
      <c r="I74" s="39"/>
      <c r="J74" s="39"/>
      <c r="K74" s="39"/>
      <c r="L74" s="39"/>
      <c r="M74" s="39"/>
      <c r="N74" s="29"/>
      <c r="O74" s="29"/>
      <c r="P74" s="24" t="str">
        <f aca="false">IF(Tasks[[#This Row],[Task Name]]="","",IF(N(Tasks[[#This Row],[Baseline Start]])&gt;0,Tasks[[#This Row],[Baseline Start]],Tasks[[#This Row],[_CalcStart]]))</f>
        <v/>
      </c>
      <c r="Q74" s="24" t="str">
        <f aca="false">IF(Tasks[[#This Row],[Task Name]]="","",IF(N(Tasks[[#This Row],[Baseline Finish]])&gt;0,Tasks[[#This Row],[Baseline Finish]],Tasks[[#This Row],[_CalcFinish]]))</f>
        <v/>
      </c>
      <c r="R74" s="29"/>
      <c r="S74" s="29"/>
      <c r="T7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4" s="31"/>
      <c r="AA7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4" s="41"/>
      <c r="AD74" s="31"/>
      <c r="AE7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4" s="41"/>
      <c r="AJ74" s="24" t="str">
        <f aca="false">IF(Tasks[[#This Row],[Task Name]]="","",Tasks[[#This Row],[Forecast Start]])</f>
        <v/>
      </c>
      <c r="AK74" s="24" t="str">
        <f aca="false">IF(Tasks[[#This Row],[Task Name]]="","",Tasks[[#This Row],[Forecast Finish]])</f>
        <v/>
      </c>
      <c r="AL7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4" s="43" t="str">
        <f aca="false">IF(Tasks[[#This Row],[Task Name]]="","",Tasks[[#This Row],[Work]])</f>
        <v/>
      </c>
      <c r="AN74" s="44" t="str">
        <f aca="false">IF(Tasks[[#This Row],[Task Name]]="","",Tasks[[#This Row],[Cost]])</f>
        <v/>
      </c>
      <c r="AO74" s="29"/>
      <c r="AP74" s="29"/>
      <c r="AQ74" s="39"/>
      <c r="AR74" s="45"/>
      <c r="AS74" s="46"/>
      <c r="AT74" s="40" t="str">
        <f aca="false">IF(OR(Tasks[[#This Row],[Task Name]]="",Tasks[[#This Row],[Baseline Duration]]=""),"",Tasks[[#This Row],[BL Source Duration]]-N(Tasks[[#This Row],[Baseline Duration]]))</f>
        <v/>
      </c>
      <c r="AU74" s="43" t="str">
        <f aca="false">IF(OR(Tasks[[#This Row],[Task Name]]="",Tasks[[#This Row],[Baseline Work]]=""),"",Tasks[[#This Row],[Work]]-N(Tasks[[#This Row],[Baseline Work]]))</f>
        <v/>
      </c>
      <c r="AV74" s="44" t="str">
        <f aca="false">IF(OR(Tasks[[#This Row],[Task Name]]="",Tasks[[#This Row],[Baseline Cost]]=""),"",Tasks[[#This Row],[Cost]]-N(Tasks[[#This Row],[Baseline Cost]]))</f>
        <v/>
      </c>
      <c r="AW74" s="47" t="str">
        <f aca="false">IF(Tasks[[#This Row],[Task Name]]="","",MAX(1,N(Tasks[[#This Row],[Level]])))</f>
        <v/>
      </c>
      <c r="AX74" s="47" t="n">
        <f aca="false">ROW()-ROW(Tasks[[#Headers],[ID]])</f>
        <v>69</v>
      </c>
      <c r="AY7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4" s="47" t="n">
        <f aca="false">IFERROR(N(INDEX(Tasks[_Level],Tasks[[#This Row],[_Row]]+1)),0)</f>
        <v>0</v>
      </c>
      <c r="BA74" s="48" t="b">
        <f aca="false">AND(Tasks[[#This Row],[Task Name]]&lt;&gt;"",Tasks[[#This Row],[_NextLevel]]&gt;Tasks[[#This Row],[_Level]])</f>
        <v>0</v>
      </c>
      <c r="BB74" s="47" t="n">
        <f aca="false">IF(Tasks[[#This Row],[_IsSummary]],COUNTIF(Tasks[WBS],Tasks[[#This Row],[WBS]]&amp;".*"),0)</f>
        <v>0</v>
      </c>
      <c r="BC74" s="47" t="n">
        <f aca="false">IF(AND(Tasks[[#This Row],[Task Name]]&lt;&gt;"",NOT(Tasks[[#This Row],[_IsSummary]])),1,0)</f>
        <v>0</v>
      </c>
      <c r="BD74" s="47" t="n">
        <f aca="false">IF(N(Tasks[[#This Row],[Pred1 UID]])=0,0,IFERROR(MATCH(Tasks[[#This Row],[Pred1 UID]],Tasks[UID],0),-1))</f>
        <v>0</v>
      </c>
      <c r="BE74" s="47" t="n">
        <f aca="false">IF(N(Tasks[[#This Row],[Pred2 UID]])=0,0,IFERROR(MATCH(Tasks[[#This Row],[Pred2 UID]],Tasks[UID],0),-1))</f>
        <v>0</v>
      </c>
      <c r="BF7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4" s="47" t="n">
        <f aca="false">IF(NOT(Tasks[[#This Row],[_IsLeaf]]=1),0,IF(N(Tasks[[#This Row],[Actual Finish]])&gt;0,1,MIN(1,N(Tasks[[#This Row],[% Complete]]))))</f>
        <v>0</v>
      </c>
      <c r="BK7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4" s="47" t="n">
        <f aca="false">IF(Tasks[[#This Row],[_LeafWork]]=0,0,Tasks[[#This Row],[_LeafWork]]*IFERROR(INDEX(res_Rate,MATCH(Tasks[[#This Row],[Resource]],res_Name,0)),0))</f>
        <v>0</v>
      </c>
      <c r="BM7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4" s="47" t="n">
        <f aca="false">IF(AND(Tasks[[#This Row],[_IsLeaf]]=1,Tasks[[#This Row],[_LeafWork]]&gt;0),NETWORKDAYS.INTL(ProjectStart,Tasks[[#This Row],[_LeafFcstStart]],WorkWeek,Holidays),0)</f>
        <v>0</v>
      </c>
      <c r="BV7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4" s="47" t="n">
        <f aca="false">IF(AND(Tasks[[#This Row],[_IsLeaf]]=1,Tasks[[#This Row],[_LeafWork]]&gt;0),Tasks[[#This Row],[_LeafWork]]/(Tasks[[#This Row],[_FinishWorkday]]-Tasks[[#This Row],[_StartWorkday]]+1),0)</f>
        <v>0</v>
      </c>
      <c r="BX74" s="47" t="n">
        <f aca="false">Tasks[[#This Row],[_WorkPerWorkday]]*(Tasks[[#This Row],[_StartWorkday]]-1)</f>
        <v>-0</v>
      </c>
      <c r="BY74" s="47" t="n">
        <f aca="false">IF(Tasks[[#This Row],[_IsLeaf]]=1,MAX(N(Tasks[[#This Row],[Duration]]),0.1),0)</f>
        <v>0</v>
      </c>
      <c r="BZ74" s="47" t="n">
        <f aca="false">Tasks[[#This Row],[_WeightDur]]*Tasks[[#This Row],[_LeafProgress]]</f>
        <v>0</v>
      </c>
      <c r="CA7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5" customFormat="false" ht="15" hidden="false" customHeight="false" outlineLevel="0" collapsed="false">
      <c r="A75" s="38" t="str">
        <f aca="false">IF(Tasks[[#This Row],[Task Name]]="","",COUNTA(Tasks[[#Headers],[Task Name]]:Tasks[[#This Row],[Task Name]])-1)</f>
        <v/>
      </c>
      <c r="B75" s="39" t="n">
        <v>70</v>
      </c>
      <c r="C7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5" s="39"/>
      <c r="E75" s="41"/>
      <c r="F75" s="39"/>
      <c r="G75" s="39"/>
      <c r="H75" s="39"/>
      <c r="I75" s="39"/>
      <c r="J75" s="39"/>
      <c r="K75" s="39"/>
      <c r="L75" s="39"/>
      <c r="M75" s="39"/>
      <c r="N75" s="29"/>
      <c r="O75" s="29"/>
      <c r="P75" s="24" t="str">
        <f aca="false">IF(Tasks[[#This Row],[Task Name]]="","",IF(N(Tasks[[#This Row],[Baseline Start]])&gt;0,Tasks[[#This Row],[Baseline Start]],Tasks[[#This Row],[_CalcStart]]))</f>
        <v/>
      </c>
      <c r="Q75" s="24" t="str">
        <f aca="false">IF(Tasks[[#This Row],[Task Name]]="","",IF(N(Tasks[[#This Row],[Baseline Finish]])&gt;0,Tasks[[#This Row],[Baseline Finish]],Tasks[[#This Row],[_CalcFinish]]))</f>
        <v/>
      </c>
      <c r="R75" s="29"/>
      <c r="S75" s="29"/>
      <c r="T7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5" s="31"/>
      <c r="AA7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5" s="41"/>
      <c r="AD75" s="31"/>
      <c r="AE7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5" s="41"/>
      <c r="AJ75" s="24" t="str">
        <f aca="false">IF(Tasks[[#This Row],[Task Name]]="","",Tasks[[#This Row],[Forecast Start]])</f>
        <v/>
      </c>
      <c r="AK75" s="24" t="str">
        <f aca="false">IF(Tasks[[#This Row],[Task Name]]="","",Tasks[[#This Row],[Forecast Finish]])</f>
        <v/>
      </c>
      <c r="AL7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5" s="43" t="str">
        <f aca="false">IF(Tasks[[#This Row],[Task Name]]="","",Tasks[[#This Row],[Work]])</f>
        <v/>
      </c>
      <c r="AN75" s="44" t="str">
        <f aca="false">IF(Tasks[[#This Row],[Task Name]]="","",Tasks[[#This Row],[Cost]])</f>
        <v/>
      </c>
      <c r="AO75" s="29"/>
      <c r="AP75" s="29"/>
      <c r="AQ75" s="39"/>
      <c r="AR75" s="45"/>
      <c r="AS75" s="46"/>
      <c r="AT75" s="40" t="str">
        <f aca="false">IF(OR(Tasks[[#This Row],[Task Name]]="",Tasks[[#This Row],[Baseline Duration]]=""),"",Tasks[[#This Row],[BL Source Duration]]-N(Tasks[[#This Row],[Baseline Duration]]))</f>
        <v/>
      </c>
      <c r="AU75" s="43" t="str">
        <f aca="false">IF(OR(Tasks[[#This Row],[Task Name]]="",Tasks[[#This Row],[Baseline Work]]=""),"",Tasks[[#This Row],[Work]]-N(Tasks[[#This Row],[Baseline Work]]))</f>
        <v/>
      </c>
      <c r="AV75" s="44" t="str">
        <f aca="false">IF(OR(Tasks[[#This Row],[Task Name]]="",Tasks[[#This Row],[Baseline Cost]]=""),"",Tasks[[#This Row],[Cost]]-N(Tasks[[#This Row],[Baseline Cost]]))</f>
        <v/>
      </c>
      <c r="AW75" s="47" t="str">
        <f aca="false">IF(Tasks[[#This Row],[Task Name]]="","",MAX(1,N(Tasks[[#This Row],[Level]])))</f>
        <v/>
      </c>
      <c r="AX75" s="47" t="n">
        <f aca="false">ROW()-ROW(Tasks[[#Headers],[ID]])</f>
        <v>70</v>
      </c>
      <c r="AY7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5" s="47" t="n">
        <f aca="false">IFERROR(N(INDEX(Tasks[_Level],Tasks[[#This Row],[_Row]]+1)),0)</f>
        <v>0</v>
      </c>
      <c r="BA75" s="48" t="b">
        <f aca="false">AND(Tasks[[#This Row],[Task Name]]&lt;&gt;"",Tasks[[#This Row],[_NextLevel]]&gt;Tasks[[#This Row],[_Level]])</f>
        <v>0</v>
      </c>
      <c r="BB75" s="47" t="n">
        <f aca="false">IF(Tasks[[#This Row],[_IsSummary]],COUNTIF(Tasks[WBS],Tasks[[#This Row],[WBS]]&amp;".*"),0)</f>
        <v>0</v>
      </c>
      <c r="BC75" s="47" t="n">
        <f aca="false">IF(AND(Tasks[[#This Row],[Task Name]]&lt;&gt;"",NOT(Tasks[[#This Row],[_IsSummary]])),1,0)</f>
        <v>0</v>
      </c>
      <c r="BD75" s="47" t="n">
        <f aca="false">IF(N(Tasks[[#This Row],[Pred1 UID]])=0,0,IFERROR(MATCH(Tasks[[#This Row],[Pred1 UID]],Tasks[UID],0),-1))</f>
        <v>0</v>
      </c>
      <c r="BE75" s="47" t="n">
        <f aca="false">IF(N(Tasks[[#This Row],[Pred2 UID]])=0,0,IFERROR(MATCH(Tasks[[#This Row],[Pred2 UID]],Tasks[UID],0),-1))</f>
        <v>0</v>
      </c>
      <c r="BF7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5" s="47" t="n">
        <f aca="false">IF(NOT(Tasks[[#This Row],[_IsLeaf]]=1),0,IF(N(Tasks[[#This Row],[Actual Finish]])&gt;0,1,MIN(1,N(Tasks[[#This Row],[% Complete]]))))</f>
        <v>0</v>
      </c>
      <c r="BK7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5" s="47" t="n">
        <f aca="false">IF(Tasks[[#This Row],[_LeafWork]]=0,0,Tasks[[#This Row],[_LeafWork]]*IFERROR(INDEX(res_Rate,MATCH(Tasks[[#This Row],[Resource]],res_Name,0)),0))</f>
        <v>0</v>
      </c>
      <c r="BM7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5" s="47" t="n">
        <f aca="false">IF(AND(Tasks[[#This Row],[_IsLeaf]]=1,Tasks[[#This Row],[_LeafWork]]&gt;0),NETWORKDAYS.INTL(ProjectStart,Tasks[[#This Row],[_LeafFcstStart]],WorkWeek,Holidays),0)</f>
        <v>0</v>
      </c>
      <c r="BV7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5" s="47" t="n">
        <f aca="false">IF(AND(Tasks[[#This Row],[_IsLeaf]]=1,Tasks[[#This Row],[_LeafWork]]&gt;0),Tasks[[#This Row],[_LeafWork]]/(Tasks[[#This Row],[_FinishWorkday]]-Tasks[[#This Row],[_StartWorkday]]+1),0)</f>
        <v>0</v>
      </c>
      <c r="BX75" s="47" t="n">
        <f aca="false">Tasks[[#This Row],[_WorkPerWorkday]]*(Tasks[[#This Row],[_StartWorkday]]-1)</f>
        <v>-0</v>
      </c>
      <c r="BY75" s="47" t="n">
        <f aca="false">IF(Tasks[[#This Row],[_IsLeaf]]=1,MAX(N(Tasks[[#This Row],[Duration]]),0.1),0)</f>
        <v>0</v>
      </c>
      <c r="BZ75" s="47" t="n">
        <f aca="false">Tasks[[#This Row],[_WeightDur]]*Tasks[[#This Row],[_LeafProgress]]</f>
        <v>0</v>
      </c>
      <c r="CA7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6" customFormat="false" ht="15" hidden="false" customHeight="false" outlineLevel="0" collapsed="false">
      <c r="A76" s="38" t="str">
        <f aca="false">IF(Tasks[[#This Row],[Task Name]]="","",COUNTA(Tasks[[#Headers],[Task Name]]:Tasks[[#This Row],[Task Name]])-1)</f>
        <v/>
      </c>
      <c r="B76" s="39" t="n">
        <v>71</v>
      </c>
      <c r="C7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6" s="39"/>
      <c r="E76" s="41"/>
      <c r="F76" s="39"/>
      <c r="G76" s="39"/>
      <c r="H76" s="39"/>
      <c r="I76" s="39"/>
      <c r="J76" s="39"/>
      <c r="K76" s="39"/>
      <c r="L76" s="39"/>
      <c r="M76" s="39"/>
      <c r="N76" s="29"/>
      <c r="O76" s="29"/>
      <c r="P76" s="24" t="str">
        <f aca="false">IF(Tasks[[#This Row],[Task Name]]="","",IF(N(Tasks[[#This Row],[Baseline Start]])&gt;0,Tasks[[#This Row],[Baseline Start]],Tasks[[#This Row],[_CalcStart]]))</f>
        <v/>
      </c>
      <c r="Q76" s="24" t="str">
        <f aca="false">IF(Tasks[[#This Row],[Task Name]]="","",IF(N(Tasks[[#This Row],[Baseline Finish]])&gt;0,Tasks[[#This Row],[Baseline Finish]],Tasks[[#This Row],[_CalcFinish]]))</f>
        <v/>
      </c>
      <c r="R76" s="29"/>
      <c r="S76" s="29"/>
      <c r="T7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6" s="31"/>
      <c r="AA7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6" s="41"/>
      <c r="AD76" s="31"/>
      <c r="AE7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6" s="41"/>
      <c r="AJ76" s="24" t="str">
        <f aca="false">IF(Tasks[[#This Row],[Task Name]]="","",Tasks[[#This Row],[Forecast Start]])</f>
        <v/>
      </c>
      <c r="AK76" s="24" t="str">
        <f aca="false">IF(Tasks[[#This Row],[Task Name]]="","",Tasks[[#This Row],[Forecast Finish]])</f>
        <v/>
      </c>
      <c r="AL7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6" s="43" t="str">
        <f aca="false">IF(Tasks[[#This Row],[Task Name]]="","",Tasks[[#This Row],[Work]])</f>
        <v/>
      </c>
      <c r="AN76" s="44" t="str">
        <f aca="false">IF(Tasks[[#This Row],[Task Name]]="","",Tasks[[#This Row],[Cost]])</f>
        <v/>
      </c>
      <c r="AO76" s="29"/>
      <c r="AP76" s="29"/>
      <c r="AQ76" s="39"/>
      <c r="AR76" s="45"/>
      <c r="AS76" s="46"/>
      <c r="AT76" s="40" t="str">
        <f aca="false">IF(OR(Tasks[[#This Row],[Task Name]]="",Tasks[[#This Row],[Baseline Duration]]=""),"",Tasks[[#This Row],[BL Source Duration]]-N(Tasks[[#This Row],[Baseline Duration]]))</f>
        <v/>
      </c>
      <c r="AU76" s="43" t="str">
        <f aca="false">IF(OR(Tasks[[#This Row],[Task Name]]="",Tasks[[#This Row],[Baseline Work]]=""),"",Tasks[[#This Row],[Work]]-N(Tasks[[#This Row],[Baseline Work]]))</f>
        <v/>
      </c>
      <c r="AV76" s="44" t="str">
        <f aca="false">IF(OR(Tasks[[#This Row],[Task Name]]="",Tasks[[#This Row],[Baseline Cost]]=""),"",Tasks[[#This Row],[Cost]]-N(Tasks[[#This Row],[Baseline Cost]]))</f>
        <v/>
      </c>
      <c r="AW76" s="47" t="str">
        <f aca="false">IF(Tasks[[#This Row],[Task Name]]="","",MAX(1,N(Tasks[[#This Row],[Level]])))</f>
        <v/>
      </c>
      <c r="AX76" s="47" t="n">
        <f aca="false">ROW()-ROW(Tasks[[#Headers],[ID]])</f>
        <v>71</v>
      </c>
      <c r="AY7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6" s="47" t="n">
        <f aca="false">IFERROR(N(INDEX(Tasks[_Level],Tasks[[#This Row],[_Row]]+1)),0)</f>
        <v>0</v>
      </c>
      <c r="BA76" s="48" t="b">
        <f aca="false">AND(Tasks[[#This Row],[Task Name]]&lt;&gt;"",Tasks[[#This Row],[_NextLevel]]&gt;Tasks[[#This Row],[_Level]])</f>
        <v>0</v>
      </c>
      <c r="BB76" s="47" t="n">
        <f aca="false">IF(Tasks[[#This Row],[_IsSummary]],COUNTIF(Tasks[WBS],Tasks[[#This Row],[WBS]]&amp;".*"),0)</f>
        <v>0</v>
      </c>
      <c r="BC76" s="47" t="n">
        <f aca="false">IF(AND(Tasks[[#This Row],[Task Name]]&lt;&gt;"",NOT(Tasks[[#This Row],[_IsSummary]])),1,0)</f>
        <v>0</v>
      </c>
      <c r="BD76" s="47" t="n">
        <f aca="false">IF(N(Tasks[[#This Row],[Pred1 UID]])=0,0,IFERROR(MATCH(Tasks[[#This Row],[Pred1 UID]],Tasks[UID],0),-1))</f>
        <v>0</v>
      </c>
      <c r="BE76" s="47" t="n">
        <f aca="false">IF(N(Tasks[[#This Row],[Pred2 UID]])=0,0,IFERROR(MATCH(Tasks[[#This Row],[Pred2 UID]],Tasks[UID],0),-1))</f>
        <v>0</v>
      </c>
      <c r="BF7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6" s="47" t="n">
        <f aca="false">IF(NOT(Tasks[[#This Row],[_IsLeaf]]=1),0,IF(N(Tasks[[#This Row],[Actual Finish]])&gt;0,1,MIN(1,N(Tasks[[#This Row],[% Complete]]))))</f>
        <v>0</v>
      </c>
      <c r="BK7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6" s="47" t="n">
        <f aca="false">IF(Tasks[[#This Row],[_LeafWork]]=0,0,Tasks[[#This Row],[_LeafWork]]*IFERROR(INDEX(res_Rate,MATCH(Tasks[[#This Row],[Resource]],res_Name,0)),0))</f>
        <v>0</v>
      </c>
      <c r="BM7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6" s="47" t="n">
        <f aca="false">IF(AND(Tasks[[#This Row],[_IsLeaf]]=1,Tasks[[#This Row],[_LeafWork]]&gt;0),NETWORKDAYS.INTL(ProjectStart,Tasks[[#This Row],[_LeafFcstStart]],WorkWeek,Holidays),0)</f>
        <v>0</v>
      </c>
      <c r="BV7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6" s="47" t="n">
        <f aca="false">IF(AND(Tasks[[#This Row],[_IsLeaf]]=1,Tasks[[#This Row],[_LeafWork]]&gt;0),Tasks[[#This Row],[_LeafWork]]/(Tasks[[#This Row],[_FinishWorkday]]-Tasks[[#This Row],[_StartWorkday]]+1),0)</f>
        <v>0</v>
      </c>
      <c r="BX76" s="47" t="n">
        <f aca="false">Tasks[[#This Row],[_WorkPerWorkday]]*(Tasks[[#This Row],[_StartWorkday]]-1)</f>
        <v>-0</v>
      </c>
      <c r="BY76" s="47" t="n">
        <f aca="false">IF(Tasks[[#This Row],[_IsLeaf]]=1,MAX(N(Tasks[[#This Row],[Duration]]),0.1),0)</f>
        <v>0</v>
      </c>
      <c r="BZ76" s="47" t="n">
        <f aca="false">Tasks[[#This Row],[_WeightDur]]*Tasks[[#This Row],[_LeafProgress]]</f>
        <v>0</v>
      </c>
      <c r="CA7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7" customFormat="false" ht="15" hidden="false" customHeight="false" outlineLevel="0" collapsed="false">
      <c r="A77" s="38" t="str">
        <f aca="false">IF(Tasks[[#This Row],[Task Name]]="","",COUNTA(Tasks[[#Headers],[Task Name]]:Tasks[[#This Row],[Task Name]])-1)</f>
        <v/>
      </c>
      <c r="B77" s="39" t="n">
        <v>72</v>
      </c>
      <c r="C7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7" s="39"/>
      <c r="E77" s="41"/>
      <c r="F77" s="39"/>
      <c r="G77" s="39"/>
      <c r="H77" s="39"/>
      <c r="I77" s="39"/>
      <c r="J77" s="39"/>
      <c r="K77" s="39"/>
      <c r="L77" s="39"/>
      <c r="M77" s="39"/>
      <c r="N77" s="29"/>
      <c r="O77" s="29"/>
      <c r="P77" s="24" t="str">
        <f aca="false">IF(Tasks[[#This Row],[Task Name]]="","",IF(N(Tasks[[#This Row],[Baseline Start]])&gt;0,Tasks[[#This Row],[Baseline Start]],Tasks[[#This Row],[_CalcStart]]))</f>
        <v/>
      </c>
      <c r="Q77" s="24" t="str">
        <f aca="false">IF(Tasks[[#This Row],[Task Name]]="","",IF(N(Tasks[[#This Row],[Baseline Finish]])&gt;0,Tasks[[#This Row],[Baseline Finish]],Tasks[[#This Row],[_CalcFinish]]))</f>
        <v/>
      </c>
      <c r="R77" s="29"/>
      <c r="S77" s="29"/>
      <c r="T7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7" s="31"/>
      <c r="AA7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7" s="41"/>
      <c r="AD77" s="31"/>
      <c r="AE7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7" s="41"/>
      <c r="AJ77" s="24" t="str">
        <f aca="false">IF(Tasks[[#This Row],[Task Name]]="","",Tasks[[#This Row],[Forecast Start]])</f>
        <v/>
      </c>
      <c r="AK77" s="24" t="str">
        <f aca="false">IF(Tasks[[#This Row],[Task Name]]="","",Tasks[[#This Row],[Forecast Finish]])</f>
        <v/>
      </c>
      <c r="AL7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7" s="43" t="str">
        <f aca="false">IF(Tasks[[#This Row],[Task Name]]="","",Tasks[[#This Row],[Work]])</f>
        <v/>
      </c>
      <c r="AN77" s="44" t="str">
        <f aca="false">IF(Tasks[[#This Row],[Task Name]]="","",Tasks[[#This Row],[Cost]])</f>
        <v/>
      </c>
      <c r="AO77" s="29"/>
      <c r="AP77" s="29"/>
      <c r="AQ77" s="39"/>
      <c r="AR77" s="45"/>
      <c r="AS77" s="46"/>
      <c r="AT77" s="40" t="str">
        <f aca="false">IF(OR(Tasks[[#This Row],[Task Name]]="",Tasks[[#This Row],[Baseline Duration]]=""),"",Tasks[[#This Row],[BL Source Duration]]-N(Tasks[[#This Row],[Baseline Duration]]))</f>
        <v/>
      </c>
      <c r="AU77" s="43" t="str">
        <f aca="false">IF(OR(Tasks[[#This Row],[Task Name]]="",Tasks[[#This Row],[Baseline Work]]=""),"",Tasks[[#This Row],[Work]]-N(Tasks[[#This Row],[Baseline Work]]))</f>
        <v/>
      </c>
      <c r="AV77" s="44" t="str">
        <f aca="false">IF(OR(Tasks[[#This Row],[Task Name]]="",Tasks[[#This Row],[Baseline Cost]]=""),"",Tasks[[#This Row],[Cost]]-N(Tasks[[#This Row],[Baseline Cost]]))</f>
        <v/>
      </c>
      <c r="AW77" s="47" t="str">
        <f aca="false">IF(Tasks[[#This Row],[Task Name]]="","",MAX(1,N(Tasks[[#This Row],[Level]])))</f>
        <v/>
      </c>
      <c r="AX77" s="47" t="n">
        <f aca="false">ROW()-ROW(Tasks[[#Headers],[ID]])</f>
        <v>72</v>
      </c>
      <c r="AY7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7" s="47" t="n">
        <f aca="false">IFERROR(N(INDEX(Tasks[_Level],Tasks[[#This Row],[_Row]]+1)),0)</f>
        <v>0</v>
      </c>
      <c r="BA77" s="48" t="b">
        <f aca="false">AND(Tasks[[#This Row],[Task Name]]&lt;&gt;"",Tasks[[#This Row],[_NextLevel]]&gt;Tasks[[#This Row],[_Level]])</f>
        <v>0</v>
      </c>
      <c r="BB77" s="47" t="n">
        <f aca="false">IF(Tasks[[#This Row],[_IsSummary]],COUNTIF(Tasks[WBS],Tasks[[#This Row],[WBS]]&amp;".*"),0)</f>
        <v>0</v>
      </c>
      <c r="BC77" s="47" t="n">
        <f aca="false">IF(AND(Tasks[[#This Row],[Task Name]]&lt;&gt;"",NOT(Tasks[[#This Row],[_IsSummary]])),1,0)</f>
        <v>0</v>
      </c>
      <c r="BD77" s="47" t="n">
        <f aca="false">IF(N(Tasks[[#This Row],[Pred1 UID]])=0,0,IFERROR(MATCH(Tasks[[#This Row],[Pred1 UID]],Tasks[UID],0),-1))</f>
        <v>0</v>
      </c>
      <c r="BE77" s="47" t="n">
        <f aca="false">IF(N(Tasks[[#This Row],[Pred2 UID]])=0,0,IFERROR(MATCH(Tasks[[#This Row],[Pred2 UID]],Tasks[UID],0),-1))</f>
        <v>0</v>
      </c>
      <c r="BF7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7" s="47" t="n">
        <f aca="false">IF(NOT(Tasks[[#This Row],[_IsLeaf]]=1),0,IF(N(Tasks[[#This Row],[Actual Finish]])&gt;0,1,MIN(1,N(Tasks[[#This Row],[% Complete]]))))</f>
        <v>0</v>
      </c>
      <c r="BK7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7" s="47" t="n">
        <f aca="false">IF(Tasks[[#This Row],[_LeafWork]]=0,0,Tasks[[#This Row],[_LeafWork]]*IFERROR(INDEX(res_Rate,MATCH(Tasks[[#This Row],[Resource]],res_Name,0)),0))</f>
        <v>0</v>
      </c>
      <c r="BM7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7" s="47" t="n">
        <f aca="false">IF(AND(Tasks[[#This Row],[_IsLeaf]]=1,Tasks[[#This Row],[_LeafWork]]&gt;0),NETWORKDAYS.INTL(ProjectStart,Tasks[[#This Row],[_LeafFcstStart]],WorkWeek,Holidays),0)</f>
        <v>0</v>
      </c>
      <c r="BV7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7" s="47" t="n">
        <f aca="false">IF(AND(Tasks[[#This Row],[_IsLeaf]]=1,Tasks[[#This Row],[_LeafWork]]&gt;0),Tasks[[#This Row],[_LeafWork]]/(Tasks[[#This Row],[_FinishWorkday]]-Tasks[[#This Row],[_StartWorkday]]+1),0)</f>
        <v>0</v>
      </c>
      <c r="BX77" s="47" t="n">
        <f aca="false">Tasks[[#This Row],[_WorkPerWorkday]]*(Tasks[[#This Row],[_StartWorkday]]-1)</f>
        <v>-0</v>
      </c>
      <c r="BY77" s="47" t="n">
        <f aca="false">IF(Tasks[[#This Row],[_IsLeaf]]=1,MAX(N(Tasks[[#This Row],[Duration]]),0.1),0)</f>
        <v>0</v>
      </c>
      <c r="BZ77" s="47" t="n">
        <f aca="false">Tasks[[#This Row],[_WeightDur]]*Tasks[[#This Row],[_LeafProgress]]</f>
        <v>0</v>
      </c>
      <c r="CA7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8" customFormat="false" ht="15" hidden="false" customHeight="false" outlineLevel="0" collapsed="false">
      <c r="A78" s="38" t="str">
        <f aca="false">IF(Tasks[[#This Row],[Task Name]]="","",COUNTA(Tasks[[#Headers],[Task Name]]:Tasks[[#This Row],[Task Name]])-1)</f>
        <v/>
      </c>
      <c r="B78" s="39" t="n">
        <v>73</v>
      </c>
      <c r="C7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8" s="39"/>
      <c r="E78" s="41"/>
      <c r="F78" s="39"/>
      <c r="G78" s="39"/>
      <c r="H78" s="39"/>
      <c r="I78" s="39"/>
      <c r="J78" s="39"/>
      <c r="K78" s="39"/>
      <c r="L78" s="39"/>
      <c r="M78" s="39"/>
      <c r="N78" s="29"/>
      <c r="O78" s="29"/>
      <c r="P78" s="24" t="str">
        <f aca="false">IF(Tasks[[#This Row],[Task Name]]="","",IF(N(Tasks[[#This Row],[Baseline Start]])&gt;0,Tasks[[#This Row],[Baseline Start]],Tasks[[#This Row],[_CalcStart]]))</f>
        <v/>
      </c>
      <c r="Q78" s="24" t="str">
        <f aca="false">IF(Tasks[[#This Row],[Task Name]]="","",IF(N(Tasks[[#This Row],[Baseline Finish]])&gt;0,Tasks[[#This Row],[Baseline Finish]],Tasks[[#This Row],[_CalcFinish]]))</f>
        <v/>
      </c>
      <c r="R78" s="29"/>
      <c r="S78" s="29"/>
      <c r="T7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8" s="31"/>
      <c r="AA7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8" s="41"/>
      <c r="AD78" s="31"/>
      <c r="AE7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8" s="41"/>
      <c r="AJ78" s="24" t="str">
        <f aca="false">IF(Tasks[[#This Row],[Task Name]]="","",Tasks[[#This Row],[Forecast Start]])</f>
        <v/>
      </c>
      <c r="AK78" s="24" t="str">
        <f aca="false">IF(Tasks[[#This Row],[Task Name]]="","",Tasks[[#This Row],[Forecast Finish]])</f>
        <v/>
      </c>
      <c r="AL7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8" s="43" t="str">
        <f aca="false">IF(Tasks[[#This Row],[Task Name]]="","",Tasks[[#This Row],[Work]])</f>
        <v/>
      </c>
      <c r="AN78" s="44" t="str">
        <f aca="false">IF(Tasks[[#This Row],[Task Name]]="","",Tasks[[#This Row],[Cost]])</f>
        <v/>
      </c>
      <c r="AO78" s="29"/>
      <c r="AP78" s="29"/>
      <c r="AQ78" s="39"/>
      <c r="AR78" s="45"/>
      <c r="AS78" s="46"/>
      <c r="AT78" s="40" t="str">
        <f aca="false">IF(OR(Tasks[[#This Row],[Task Name]]="",Tasks[[#This Row],[Baseline Duration]]=""),"",Tasks[[#This Row],[BL Source Duration]]-N(Tasks[[#This Row],[Baseline Duration]]))</f>
        <v/>
      </c>
      <c r="AU78" s="43" t="str">
        <f aca="false">IF(OR(Tasks[[#This Row],[Task Name]]="",Tasks[[#This Row],[Baseline Work]]=""),"",Tasks[[#This Row],[Work]]-N(Tasks[[#This Row],[Baseline Work]]))</f>
        <v/>
      </c>
      <c r="AV78" s="44" t="str">
        <f aca="false">IF(OR(Tasks[[#This Row],[Task Name]]="",Tasks[[#This Row],[Baseline Cost]]=""),"",Tasks[[#This Row],[Cost]]-N(Tasks[[#This Row],[Baseline Cost]]))</f>
        <v/>
      </c>
      <c r="AW78" s="47" t="str">
        <f aca="false">IF(Tasks[[#This Row],[Task Name]]="","",MAX(1,N(Tasks[[#This Row],[Level]])))</f>
        <v/>
      </c>
      <c r="AX78" s="47" t="n">
        <f aca="false">ROW()-ROW(Tasks[[#Headers],[ID]])</f>
        <v>73</v>
      </c>
      <c r="AY7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8" s="47" t="n">
        <f aca="false">IFERROR(N(INDEX(Tasks[_Level],Tasks[[#This Row],[_Row]]+1)),0)</f>
        <v>0</v>
      </c>
      <c r="BA78" s="48" t="b">
        <f aca="false">AND(Tasks[[#This Row],[Task Name]]&lt;&gt;"",Tasks[[#This Row],[_NextLevel]]&gt;Tasks[[#This Row],[_Level]])</f>
        <v>0</v>
      </c>
      <c r="BB78" s="47" t="n">
        <f aca="false">IF(Tasks[[#This Row],[_IsSummary]],COUNTIF(Tasks[WBS],Tasks[[#This Row],[WBS]]&amp;".*"),0)</f>
        <v>0</v>
      </c>
      <c r="BC78" s="47" t="n">
        <f aca="false">IF(AND(Tasks[[#This Row],[Task Name]]&lt;&gt;"",NOT(Tasks[[#This Row],[_IsSummary]])),1,0)</f>
        <v>0</v>
      </c>
      <c r="BD78" s="47" t="n">
        <f aca="false">IF(N(Tasks[[#This Row],[Pred1 UID]])=0,0,IFERROR(MATCH(Tasks[[#This Row],[Pred1 UID]],Tasks[UID],0),-1))</f>
        <v>0</v>
      </c>
      <c r="BE78" s="47" t="n">
        <f aca="false">IF(N(Tasks[[#This Row],[Pred2 UID]])=0,0,IFERROR(MATCH(Tasks[[#This Row],[Pred2 UID]],Tasks[UID],0),-1))</f>
        <v>0</v>
      </c>
      <c r="BF7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8" s="47" t="n">
        <f aca="false">IF(NOT(Tasks[[#This Row],[_IsLeaf]]=1),0,IF(N(Tasks[[#This Row],[Actual Finish]])&gt;0,1,MIN(1,N(Tasks[[#This Row],[% Complete]]))))</f>
        <v>0</v>
      </c>
      <c r="BK7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8" s="47" t="n">
        <f aca="false">IF(Tasks[[#This Row],[_LeafWork]]=0,0,Tasks[[#This Row],[_LeafWork]]*IFERROR(INDEX(res_Rate,MATCH(Tasks[[#This Row],[Resource]],res_Name,0)),0))</f>
        <v>0</v>
      </c>
      <c r="BM7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8" s="47" t="n">
        <f aca="false">IF(AND(Tasks[[#This Row],[_IsLeaf]]=1,Tasks[[#This Row],[_LeafWork]]&gt;0),NETWORKDAYS.INTL(ProjectStart,Tasks[[#This Row],[_LeafFcstStart]],WorkWeek,Holidays),0)</f>
        <v>0</v>
      </c>
      <c r="BV7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8" s="47" t="n">
        <f aca="false">IF(AND(Tasks[[#This Row],[_IsLeaf]]=1,Tasks[[#This Row],[_LeafWork]]&gt;0),Tasks[[#This Row],[_LeafWork]]/(Tasks[[#This Row],[_FinishWorkday]]-Tasks[[#This Row],[_StartWorkday]]+1),0)</f>
        <v>0</v>
      </c>
      <c r="BX78" s="47" t="n">
        <f aca="false">Tasks[[#This Row],[_WorkPerWorkday]]*(Tasks[[#This Row],[_StartWorkday]]-1)</f>
        <v>-0</v>
      </c>
      <c r="BY78" s="47" t="n">
        <f aca="false">IF(Tasks[[#This Row],[_IsLeaf]]=1,MAX(N(Tasks[[#This Row],[Duration]]),0.1),0)</f>
        <v>0</v>
      </c>
      <c r="BZ78" s="47" t="n">
        <f aca="false">Tasks[[#This Row],[_WeightDur]]*Tasks[[#This Row],[_LeafProgress]]</f>
        <v>0</v>
      </c>
      <c r="CA7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9" customFormat="false" ht="15" hidden="false" customHeight="false" outlineLevel="0" collapsed="false">
      <c r="A79" s="38" t="str">
        <f aca="false">IF(Tasks[[#This Row],[Task Name]]="","",COUNTA(Tasks[[#Headers],[Task Name]]:Tasks[[#This Row],[Task Name]])-1)</f>
        <v/>
      </c>
      <c r="B79" s="39" t="n">
        <v>74</v>
      </c>
      <c r="C7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9" s="39"/>
      <c r="E79" s="41"/>
      <c r="F79" s="39"/>
      <c r="G79" s="39"/>
      <c r="H79" s="39"/>
      <c r="I79" s="39"/>
      <c r="J79" s="39"/>
      <c r="K79" s="39"/>
      <c r="L79" s="39"/>
      <c r="M79" s="39"/>
      <c r="N79" s="29"/>
      <c r="O79" s="29"/>
      <c r="P79" s="24" t="str">
        <f aca="false">IF(Tasks[[#This Row],[Task Name]]="","",IF(N(Tasks[[#This Row],[Baseline Start]])&gt;0,Tasks[[#This Row],[Baseline Start]],Tasks[[#This Row],[_CalcStart]]))</f>
        <v/>
      </c>
      <c r="Q79" s="24" t="str">
        <f aca="false">IF(Tasks[[#This Row],[Task Name]]="","",IF(N(Tasks[[#This Row],[Baseline Finish]])&gt;0,Tasks[[#This Row],[Baseline Finish]],Tasks[[#This Row],[_CalcFinish]]))</f>
        <v/>
      </c>
      <c r="R79" s="29"/>
      <c r="S79" s="29"/>
      <c r="T7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9" s="31"/>
      <c r="AA7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9" s="41"/>
      <c r="AD79" s="31"/>
      <c r="AE7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9" s="41"/>
      <c r="AJ79" s="24" t="str">
        <f aca="false">IF(Tasks[[#This Row],[Task Name]]="","",Tasks[[#This Row],[Forecast Start]])</f>
        <v/>
      </c>
      <c r="AK79" s="24" t="str">
        <f aca="false">IF(Tasks[[#This Row],[Task Name]]="","",Tasks[[#This Row],[Forecast Finish]])</f>
        <v/>
      </c>
      <c r="AL7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9" s="43" t="str">
        <f aca="false">IF(Tasks[[#This Row],[Task Name]]="","",Tasks[[#This Row],[Work]])</f>
        <v/>
      </c>
      <c r="AN79" s="44" t="str">
        <f aca="false">IF(Tasks[[#This Row],[Task Name]]="","",Tasks[[#This Row],[Cost]])</f>
        <v/>
      </c>
      <c r="AO79" s="29"/>
      <c r="AP79" s="29"/>
      <c r="AQ79" s="39"/>
      <c r="AR79" s="45"/>
      <c r="AS79" s="46"/>
      <c r="AT79" s="40" t="str">
        <f aca="false">IF(OR(Tasks[[#This Row],[Task Name]]="",Tasks[[#This Row],[Baseline Duration]]=""),"",Tasks[[#This Row],[BL Source Duration]]-N(Tasks[[#This Row],[Baseline Duration]]))</f>
        <v/>
      </c>
      <c r="AU79" s="43" t="str">
        <f aca="false">IF(OR(Tasks[[#This Row],[Task Name]]="",Tasks[[#This Row],[Baseline Work]]=""),"",Tasks[[#This Row],[Work]]-N(Tasks[[#This Row],[Baseline Work]]))</f>
        <v/>
      </c>
      <c r="AV79" s="44" t="str">
        <f aca="false">IF(OR(Tasks[[#This Row],[Task Name]]="",Tasks[[#This Row],[Baseline Cost]]=""),"",Tasks[[#This Row],[Cost]]-N(Tasks[[#This Row],[Baseline Cost]]))</f>
        <v/>
      </c>
      <c r="AW79" s="47" t="str">
        <f aca="false">IF(Tasks[[#This Row],[Task Name]]="","",MAX(1,N(Tasks[[#This Row],[Level]])))</f>
        <v/>
      </c>
      <c r="AX79" s="47" t="n">
        <f aca="false">ROW()-ROW(Tasks[[#Headers],[ID]])</f>
        <v>74</v>
      </c>
      <c r="AY7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9" s="47" t="n">
        <f aca="false">IFERROR(N(INDEX(Tasks[_Level],Tasks[[#This Row],[_Row]]+1)),0)</f>
        <v>0</v>
      </c>
      <c r="BA79" s="48" t="b">
        <f aca="false">AND(Tasks[[#This Row],[Task Name]]&lt;&gt;"",Tasks[[#This Row],[_NextLevel]]&gt;Tasks[[#This Row],[_Level]])</f>
        <v>0</v>
      </c>
      <c r="BB79" s="47" t="n">
        <f aca="false">IF(Tasks[[#This Row],[_IsSummary]],COUNTIF(Tasks[WBS],Tasks[[#This Row],[WBS]]&amp;".*"),0)</f>
        <v>0</v>
      </c>
      <c r="BC79" s="47" t="n">
        <f aca="false">IF(AND(Tasks[[#This Row],[Task Name]]&lt;&gt;"",NOT(Tasks[[#This Row],[_IsSummary]])),1,0)</f>
        <v>0</v>
      </c>
      <c r="BD79" s="47" t="n">
        <f aca="false">IF(N(Tasks[[#This Row],[Pred1 UID]])=0,0,IFERROR(MATCH(Tasks[[#This Row],[Pred1 UID]],Tasks[UID],0),-1))</f>
        <v>0</v>
      </c>
      <c r="BE79" s="47" t="n">
        <f aca="false">IF(N(Tasks[[#This Row],[Pred2 UID]])=0,0,IFERROR(MATCH(Tasks[[#This Row],[Pred2 UID]],Tasks[UID],0),-1))</f>
        <v>0</v>
      </c>
      <c r="BF7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9" s="47" t="n">
        <f aca="false">IF(NOT(Tasks[[#This Row],[_IsLeaf]]=1),0,IF(N(Tasks[[#This Row],[Actual Finish]])&gt;0,1,MIN(1,N(Tasks[[#This Row],[% Complete]]))))</f>
        <v>0</v>
      </c>
      <c r="BK7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9" s="47" t="n">
        <f aca="false">IF(Tasks[[#This Row],[_LeafWork]]=0,0,Tasks[[#This Row],[_LeafWork]]*IFERROR(INDEX(res_Rate,MATCH(Tasks[[#This Row],[Resource]],res_Name,0)),0))</f>
        <v>0</v>
      </c>
      <c r="BM7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7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7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7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7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7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79" s="47" t="n">
        <f aca="false">IF(AND(Tasks[[#This Row],[_IsLeaf]]=1,Tasks[[#This Row],[_LeafWork]]&gt;0),NETWORKDAYS.INTL(ProjectStart,Tasks[[#This Row],[_LeafFcstStart]],WorkWeek,Holidays),0)</f>
        <v>0</v>
      </c>
      <c r="BV7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9" s="47" t="n">
        <f aca="false">IF(AND(Tasks[[#This Row],[_IsLeaf]]=1,Tasks[[#This Row],[_LeafWork]]&gt;0),Tasks[[#This Row],[_LeafWork]]/(Tasks[[#This Row],[_FinishWorkday]]-Tasks[[#This Row],[_StartWorkday]]+1),0)</f>
        <v>0</v>
      </c>
      <c r="BX79" s="47" t="n">
        <f aca="false">Tasks[[#This Row],[_WorkPerWorkday]]*(Tasks[[#This Row],[_StartWorkday]]-1)</f>
        <v>-0</v>
      </c>
      <c r="BY79" s="47" t="n">
        <f aca="false">IF(Tasks[[#This Row],[_IsLeaf]]=1,MAX(N(Tasks[[#This Row],[Duration]]),0.1),0)</f>
        <v>0</v>
      </c>
      <c r="BZ79" s="47" t="n">
        <f aca="false">Tasks[[#This Row],[_WeightDur]]*Tasks[[#This Row],[_LeafProgress]]</f>
        <v>0</v>
      </c>
      <c r="CA7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0" customFormat="false" ht="15" hidden="false" customHeight="false" outlineLevel="0" collapsed="false">
      <c r="A80" s="38" t="str">
        <f aca="false">IF(Tasks[[#This Row],[Task Name]]="","",COUNTA(Tasks[[#Headers],[Task Name]]:Tasks[[#This Row],[Task Name]])-1)</f>
        <v/>
      </c>
      <c r="B80" s="39" t="n">
        <v>75</v>
      </c>
      <c r="C8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0" s="39"/>
      <c r="E80" s="41"/>
      <c r="F80" s="39"/>
      <c r="G80" s="39"/>
      <c r="H80" s="39"/>
      <c r="I80" s="39"/>
      <c r="J80" s="39"/>
      <c r="K80" s="39"/>
      <c r="L80" s="39"/>
      <c r="M80" s="39"/>
      <c r="N80" s="29"/>
      <c r="O80" s="29"/>
      <c r="P80" s="24" t="str">
        <f aca="false">IF(Tasks[[#This Row],[Task Name]]="","",IF(N(Tasks[[#This Row],[Baseline Start]])&gt;0,Tasks[[#This Row],[Baseline Start]],Tasks[[#This Row],[_CalcStart]]))</f>
        <v/>
      </c>
      <c r="Q80" s="24" t="str">
        <f aca="false">IF(Tasks[[#This Row],[Task Name]]="","",IF(N(Tasks[[#This Row],[Baseline Finish]])&gt;0,Tasks[[#This Row],[Baseline Finish]],Tasks[[#This Row],[_CalcFinish]]))</f>
        <v/>
      </c>
      <c r="R80" s="29"/>
      <c r="S80" s="29"/>
      <c r="T8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0" s="31"/>
      <c r="AA8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0" s="41"/>
      <c r="AD80" s="31"/>
      <c r="AE8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0" s="41"/>
      <c r="AJ80" s="24" t="str">
        <f aca="false">IF(Tasks[[#This Row],[Task Name]]="","",Tasks[[#This Row],[Forecast Start]])</f>
        <v/>
      </c>
      <c r="AK80" s="24" t="str">
        <f aca="false">IF(Tasks[[#This Row],[Task Name]]="","",Tasks[[#This Row],[Forecast Finish]])</f>
        <v/>
      </c>
      <c r="AL8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0" s="43" t="str">
        <f aca="false">IF(Tasks[[#This Row],[Task Name]]="","",Tasks[[#This Row],[Work]])</f>
        <v/>
      </c>
      <c r="AN80" s="44" t="str">
        <f aca="false">IF(Tasks[[#This Row],[Task Name]]="","",Tasks[[#This Row],[Cost]])</f>
        <v/>
      </c>
      <c r="AO80" s="29"/>
      <c r="AP80" s="29"/>
      <c r="AQ80" s="39"/>
      <c r="AR80" s="45"/>
      <c r="AS80" s="46"/>
      <c r="AT80" s="40" t="str">
        <f aca="false">IF(OR(Tasks[[#This Row],[Task Name]]="",Tasks[[#This Row],[Baseline Duration]]=""),"",Tasks[[#This Row],[BL Source Duration]]-N(Tasks[[#This Row],[Baseline Duration]]))</f>
        <v/>
      </c>
      <c r="AU80" s="43" t="str">
        <f aca="false">IF(OR(Tasks[[#This Row],[Task Name]]="",Tasks[[#This Row],[Baseline Work]]=""),"",Tasks[[#This Row],[Work]]-N(Tasks[[#This Row],[Baseline Work]]))</f>
        <v/>
      </c>
      <c r="AV80" s="44" t="str">
        <f aca="false">IF(OR(Tasks[[#This Row],[Task Name]]="",Tasks[[#This Row],[Baseline Cost]]=""),"",Tasks[[#This Row],[Cost]]-N(Tasks[[#This Row],[Baseline Cost]]))</f>
        <v/>
      </c>
      <c r="AW80" s="47" t="str">
        <f aca="false">IF(Tasks[[#This Row],[Task Name]]="","",MAX(1,N(Tasks[[#This Row],[Level]])))</f>
        <v/>
      </c>
      <c r="AX80" s="47" t="n">
        <f aca="false">ROW()-ROW(Tasks[[#Headers],[ID]])</f>
        <v>75</v>
      </c>
      <c r="AY8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0" s="47" t="n">
        <f aca="false">IFERROR(N(INDEX(Tasks[_Level],Tasks[[#This Row],[_Row]]+1)),0)</f>
        <v>0</v>
      </c>
      <c r="BA80" s="48" t="b">
        <f aca="false">AND(Tasks[[#This Row],[Task Name]]&lt;&gt;"",Tasks[[#This Row],[_NextLevel]]&gt;Tasks[[#This Row],[_Level]])</f>
        <v>0</v>
      </c>
      <c r="BB80" s="47" t="n">
        <f aca="false">IF(Tasks[[#This Row],[_IsSummary]],COUNTIF(Tasks[WBS],Tasks[[#This Row],[WBS]]&amp;".*"),0)</f>
        <v>0</v>
      </c>
      <c r="BC80" s="47" t="n">
        <f aca="false">IF(AND(Tasks[[#This Row],[Task Name]]&lt;&gt;"",NOT(Tasks[[#This Row],[_IsSummary]])),1,0)</f>
        <v>0</v>
      </c>
      <c r="BD80" s="47" t="n">
        <f aca="false">IF(N(Tasks[[#This Row],[Pred1 UID]])=0,0,IFERROR(MATCH(Tasks[[#This Row],[Pred1 UID]],Tasks[UID],0),-1))</f>
        <v>0</v>
      </c>
      <c r="BE80" s="47" t="n">
        <f aca="false">IF(N(Tasks[[#This Row],[Pred2 UID]])=0,0,IFERROR(MATCH(Tasks[[#This Row],[Pred2 UID]],Tasks[UID],0),-1))</f>
        <v>0</v>
      </c>
      <c r="BF8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0" s="47" t="n">
        <f aca="false">IF(NOT(Tasks[[#This Row],[_IsLeaf]]=1),0,IF(N(Tasks[[#This Row],[Actual Finish]])&gt;0,1,MIN(1,N(Tasks[[#This Row],[% Complete]]))))</f>
        <v>0</v>
      </c>
      <c r="BK8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0" s="47" t="n">
        <f aca="false">IF(Tasks[[#This Row],[_LeafWork]]=0,0,Tasks[[#This Row],[_LeafWork]]*IFERROR(INDEX(res_Rate,MATCH(Tasks[[#This Row],[Resource]],res_Name,0)),0))</f>
        <v>0</v>
      </c>
      <c r="BM8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0" s="47" t="n">
        <f aca="false">IF(AND(Tasks[[#This Row],[_IsLeaf]]=1,Tasks[[#This Row],[_LeafWork]]&gt;0),NETWORKDAYS.INTL(ProjectStart,Tasks[[#This Row],[_LeafFcstStart]],WorkWeek,Holidays),0)</f>
        <v>0</v>
      </c>
      <c r="BV8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0" s="47" t="n">
        <f aca="false">IF(AND(Tasks[[#This Row],[_IsLeaf]]=1,Tasks[[#This Row],[_LeafWork]]&gt;0),Tasks[[#This Row],[_LeafWork]]/(Tasks[[#This Row],[_FinishWorkday]]-Tasks[[#This Row],[_StartWorkday]]+1),0)</f>
        <v>0</v>
      </c>
      <c r="BX80" s="47" t="n">
        <f aca="false">Tasks[[#This Row],[_WorkPerWorkday]]*(Tasks[[#This Row],[_StartWorkday]]-1)</f>
        <v>-0</v>
      </c>
      <c r="BY80" s="47" t="n">
        <f aca="false">IF(Tasks[[#This Row],[_IsLeaf]]=1,MAX(N(Tasks[[#This Row],[Duration]]),0.1),0)</f>
        <v>0</v>
      </c>
      <c r="BZ80" s="47" t="n">
        <f aca="false">Tasks[[#This Row],[_WeightDur]]*Tasks[[#This Row],[_LeafProgress]]</f>
        <v>0</v>
      </c>
      <c r="CA8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1" customFormat="false" ht="15" hidden="false" customHeight="false" outlineLevel="0" collapsed="false">
      <c r="A81" s="38" t="str">
        <f aca="false">IF(Tasks[[#This Row],[Task Name]]="","",COUNTA(Tasks[[#Headers],[Task Name]]:Tasks[[#This Row],[Task Name]])-1)</f>
        <v/>
      </c>
      <c r="B81" s="39" t="n">
        <v>76</v>
      </c>
      <c r="C8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1" s="39"/>
      <c r="E81" s="41"/>
      <c r="F81" s="39"/>
      <c r="G81" s="39"/>
      <c r="H81" s="39"/>
      <c r="I81" s="39"/>
      <c r="J81" s="39"/>
      <c r="K81" s="39"/>
      <c r="L81" s="39"/>
      <c r="M81" s="39"/>
      <c r="N81" s="29"/>
      <c r="O81" s="29"/>
      <c r="P81" s="24" t="str">
        <f aca="false">IF(Tasks[[#This Row],[Task Name]]="","",IF(N(Tasks[[#This Row],[Baseline Start]])&gt;0,Tasks[[#This Row],[Baseline Start]],Tasks[[#This Row],[_CalcStart]]))</f>
        <v/>
      </c>
      <c r="Q81" s="24" t="str">
        <f aca="false">IF(Tasks[[#This Row],[Task Name]]="","",IF(N(Tasks[[#This Row],[Baseline Finish]])&gt;0,Tasks[[#This Row],[Baseline Finish]],Tasks[[#This Row],[_CalcFinish]]))</f>
        <v/>
      </c>
      <c r="R81" s="29"/>
      <c r="S81" s="29"/>
      <c r="T8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1" s="31"/>
      <c r="AA8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1" s="41"/>
      <c r="AD81" s="31"/>
      <c r="AE8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1" s="41"/>
      <c r="AJ81" s="24" t="str">
        <f aca="false">IF(Tasks[[#This Row],[Task Name]]="","",Tasks[[#This Row],[Forecast Start]])</f>
        <v/>
      </c>
      <c r="AK81" s="24" t="str">
        <f aca="false">IF(Tasks[[#This Row],[Task Name]]="","",Tasks[[#This Row],[Forecast Finish]])</f>
        <v/>
      </c>
      <c r="AL8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1" s="43" t="str">
        <f aca="false">IF(Tasks[[#This Row],[Task Name]]="","",Tasks[[#This Row],[Work]])</f>
        <v/>
      </c>
      <c r="AN81" s="44" t="str">
        <f aca="false">IF(Tasks[[#This Row],[Task Name]]="","",Tasks[[#This Row],[Cost]])</f>
        <v/>
      </c>
      <c r="AO81" s="29"/>
      <c r="AP81" s="29"/>
      <c r="AQ81" s="39"/>
      <c r="AR81" s="45"/>
      <c r="AS81" s="46"/>
      <c r="AT81" s="40" t="str">
        <f aca="false">IF(OR(Tasks[[#This Row],[Task Name]]="",Tasks[[#This Row],[Baseline Duration]]=""),"",Tasks[[#This Row],[BL Source Duration]]-N(Tasks[[#This Row],[Baseline Duration]]))</f>
        <v/>
      </c>
      <c r="AU81" s="43" t="str">
        <f aca="false">IF(OR(Tasks[[#This Row],[Task Name]]="",Tasks[[#This Row],[Baseline Work]]=""),"",Tasks[[#This Row],[Work]]-N(Tasks[[#This Row],[Baseline Work]]))</f>
        <v/>
      </c>
      <c r="AV81" s="44" t="str">
        <f aca="false">IF(OR(Tasks[[#This Row],[Task Name]]="",Tasks[[#This Row],[Baseline Cost]]=""),"",Tasks[[#This Row],[Cost]]-N(Tasks[[#This Row],[Baseline Cost]]))</f>
        <v/>
      </c>
      <c r="AW81" s="47" t="str">
        <f aca="false">IF(Tasks[[#This Row],[Task Name]]="","",MAX(1,N(Tasks[[#This Row],[Level]])))</f>
        <v/>
      </c>
      <c r="AX81" s="47" t="n">
        <f aca="false">ROW()-ROW(Tasks[[#Headers],[ID]])</f>
        <v>76</v>
      </c>
      <c r="AY8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1" s="47" t="n">
        <f aca="false">IFERROR(N(INDEX(Tasks[_Level],Tasks[[#This Row],[_Row]]+1)),0)</f>
        <v>0</v>
      </c>
      <c r="BA81" s="48" t="b">
        <f aca="false">AND(Tasks[[#This Row],[Task Name]]&lt;&gt;"",Tasks[[#This Row],[_NextLevel]]&gt;Tasks[[#This Row],[_Level]])</f>
        <v>0</v>
      </c>
      <c r="BB81" s="47" t="n">
        <f aca="false">IF(Tasks[[#This Row],[_IsSummary]],COUNTIF(Tasks[WBS],Tasks[[#This Row],[WBS]]&amp;".*"),0)</f>
        <v>0</v>
      </c>
      <c r="BC81" s="47" t="n">
        <f aca="false">IF(AND(Tasks[[#This Row],[Task Name]]&lt;&gt;"",NOT(Tasks[[#This Row],[_IsSummary]])),1,0)</f>
        <v>0</v>
      </c>
      <c r="BD81" s="47" t="n">
        <f aca="false">IF(N(Tasks[[#This Row],[Pred1 UID]])=0,0,IFERROR(MATCH(Tasks[[#This Row],[Pred1 UID]],Tasks[UID],0),-1))</f>
        <v>0</v>
      </c>
      <c r="BE81" s="47" t="n">
        <f aca="false">IF(N(Tasks[[#This Row],[Pred2 UID]])=0,0,IFERROR(MATCH(Tasks[[#This Row],[Pred2 UID]],Tasks[UID],0),-1))</f>
        <v>0</v>
      </c>
      <c r="BF8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1" s="47" t="n">
        <f aca="false">IF(NOT(Tasks[[#This Row],[_IsLeaf]]=1),0,IF(N(Tasks[[#This Row],[Actual Finish]])&gt;0,1,MIN(1,N(Tasks[[#This Row],[% Complete]]))))</f>
        <v>0</v>
      </c>
      <c r="BK8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1" s="47" t="n">
        <f aca="false">IF(Tasks[[#This Row],[_LeafWork]]=0,0,Tasks[[#This Row],[_LeafWork]]*IFERROR(INDEX(res_Rate,MATCH(Tasks[[#This Row],[Resource]],res_Name,0)),0))</f>
        <v>0</v>
      </c>
      <c r="BM8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1" s="47" t="n">
        <f aca="false">IF(AND(Tasks[[#This Row],[_IsLeaf]]=1,Tasks[[#This Row],[_LeafWork]]&gt;0),NETWORKDAYS.INTL(ProjectStart,Tasks[[#This Row],[_LeafFcstStart]],WorkWeek,Holidays),0)</f>
        <v>0</v>
      </c>
      <c r="BV8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1" s="47" t="n">
        <f aca="false">IF(AND(Tasks[[#This Row],[_IsLeaf]]=1,Tasks[[#This Row],[_LeafWork]]&gt;0),Tasks[[#This Row],[_LeafWork]]/(Tasks[[#This Row],[_FinishWorkday]]-Tasks[[#This Row],[_StartWorkday]]+1),0)</f>
        <v>0</v>
      </c>
      <c r="BX81" s="47" t="n">
        <f aca="false">Tasks[[#This Row],[_WorkPerWorkday]]*(Tasks[[#This Row],[_StartWorkday]]-1)</f>
        <v>-0</v>
      </c>
      <c r="BY81" s="47" t="n">
        <f aca="false">IF(Tasks[[#This Row],[_IsLeaf]]=1,MAX(N(Tasks[[#This Row],[Duration]]),0.1),0)</f>
        <v>0</v>
      </c>
      <c r="BZ81" s="47" t="n">
        <f aca="false">Tasks[[#This Row],[_WeightDur]]*Tasks[[#This Row],[_LeafProgress]]</f>
        <v>0</v>
      </c>
      <c r="CA8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2" customFormat="false" ht="15" hidden="false" customHeight="false" outlineLevel="0" collapsed="false">
      <c r="A82" s="38" t="str">
        <f aca="false">IF(Tasks[[#This Row],[Task Name]]="","",COUNTA(Tasks[[#Headers],[Task Name]]:Tasks[[#This Row],[Task Name]])-1)</f>
        <v/>
      </c>
      <c r="B82" s="39" t="n">
        <v>77</v>
      </c>
      <c r="C8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2" s="39"/>
      <c r="E82" s="41"/>
      <c r="F82" s="39"/>
      <c r="G82" s="39"/>
      <c r="H82" s="39"/>
      <c r="I82" s="39"/>
      <c r="J82" s="39"/>
      <c r="K82" s="39"/>
      <c r="L82" s="39"/>
      <c r="M82" s="39"/>
      <c r="N82" s="29"/>
      <c r="O82" s="29"/>
      <c r="P82" s="24" t="str">
        <f aca="false">IF(Tasks[[#This Row],[Task Name]]="","",IF(N(Tasks[[#This Row],[Baseline Start]])&gt;0,Tasks[[#This Row],[Baseline Start]],Tasks[[#This Row],[_CalcStart]]))</f>
        <v/>
      </c>
      <c r="Q82" s="24" t="str">
        <f aca="false">IF(Tasks[[#This Row],[Task Name]]="","",IF(N(Tasks[[#This Row],[Baseline Finish]])&gt;0,Tasks[[#This Row],[Baseline Finish]],Tasks[[#This Row],[_CalcFinish]]))</f>
        <v/>
      </c>
      <c r="R82" s="29"/>
      <c r="S82" s="29"/>
      <c r="T8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2" s="31"/>
      <c r="AA8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2" s="41"/>
      <c r="AD82" s="31"/>
      <c r="AE8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2" s="41"/>
      <c r="AJ82" s="24" t="str">
        <f aca="false">IF(Tasks[[#This Row],[Task Name]]="","",Tasks[[#This Row],[Forecast Start]])</f>
        <v/>
      </c>
      <c r="AK82" s="24" t="str">
        <f aca="false">IF(Tasks[[#This Row],[Task Name]]="","",Tasks[[#This Row],[Forecast Finish]])</f>
        <v/>
      </c>
      <c r="AL8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2" s="43" t="str">
        <f aca="false">IF(Tasks[[#This Row],[Task Name]]="","",Tasks[[#This Row],[Work]])</f>
        <v/>
      </c>
      <c r="AN82" s="44" t="str">
        <f aca="false">IF(Tasks[[#This Row],[Task Name]]="","",Tasks[[#This Row],[Cost]])</f>
        <v/>
      </c>
      <c r="AO82" s="29"/>
      <c r="AP82" s="29"/>
      <c r="AQ82" s="39"/>
      <c r="AR82" s="45"/>
      <c r="AS82" s="46"/>
      <c r="AT82" s="40" t="str">
        <f aca="false">IF(OR(Tasks[[#This Row],[Task Name]]="",Tasks[[#This Row],[Baseline Duration]]=""),"",Tasks[[#This Row],[BL Source Duration]]-N(Tasks[[#This Row],[Baseline Duration]]))</f>
        <v/>
      </c>
      <c r="AU82" s="43" t="str">
        <f aca="false">IF(OR(Tasks[[#This Row],[Task Name]]="",Tasks[[#This Row],[Baseline Work]]=""),"",Tasks[[#This Row],[Work]]-N(Tasks[[#This Row],[Baseline Work]]))</f>
        <v/>
      </c>
      <c r="AV82" s="44" t="str">
        <f aca="false">IF(OR(Tasks[[#This Row],[Task Name]]="",Tasks[[#This Row],[Baseline Cost]]=""),"",Tasks[[#This Row],[Cost]]-N(Tasks[[#This Row],[Baseline Cost]]))</f>
        <v/>
      </c>
      <c r="AW82" s="47" t="str">
        <f aca="false">IF(Tasks[[#This Row],[Task Name]]="","",MAX(1,N(Tasks[[#This Row],[Level]])))</f>
        <v/>
      </c>
      <c r="AX82" s="47" t="n">
        <f aca="false">ROW()-ROW(Tasks[[#Headers],[ID]])</f>
        <v>77</v>
      </c>
      <c r="AY8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2" s="47" t="n">
        <f aca="false">IFERROR(N(INDEX(Tasks[_Level],Tasks[[#This Row],[_Row]]+1)),0)</f>
        <v>0</v>
      </c>
      <c r="BA82" s="48" t="b">
        <f aca="false">AND(Tasks[[#This Row],[Task Name]]&lt;&gt;"",Tasks[[#This Row],[_NextLevel]]&gt;Tasks[[#This Row],[_Level]])</f>
        <v>0</v>
      </c>
      <c r="BB82" s="47" t="n">
        <f aca="false">IF(Tasks[[#This Row],[_IsSummary]],COUNTIF(Tasks[WBS],Tasks[[#This Row],[WBS]]&amp;".*"),0)</f>
        <v>0</v>
      </c>
      <c r="BC82" s="47" t="n">
        <f aca="false">IF(AND(Tasks[[#This Row],[Task Name]]&lt;&gt;"",NOT(Tasks[[#This Row],[_IsSummary]])),1,0)</f>
        <v>0</v>
      </c>
      <c r="BD82" s="47" t="n">
        <f aca="false">IF(N(Tasks[[#This Row],[Pred1 UID]])=0,0,IFERROR(MATCH(Tasks[[#This Row],[Pred1 UID]],Tasks[UID],0),-1))</f>
        <v>0</v>
      </c>
      <c r="BE82" s="47" t="n">
        <f aca="false">IF(N(Tasks[[#This Row],[Pred2 UID]])=0,0,IFERROR(MATCH(Tasks[[#This Row],[Pred2 UID]],Tasks[UID],0),-1))</f>
        <v>0</v>
      </c>
      <c r="BF8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2" s="47" t="n">
        <f aca="false">IF(NOT(Tasks[[#This Row],[_IsLeaf]]=1),0,IF(N(Tasks[[#This Row],[Actual Finish]])&gt;0,1,MIN(1,N(Tasks[[#This Row],[% Complete]]))))</f>
        <v>0</v>
      </c>
      <c r="BK8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2" s="47" t="n">
        <f aca="false">IF(Tasks[[#This Row],[_LeafWork]]=0,0,Tasks[[#This Row],[_LeafWork]]*IFERROR(INDEX(res_Rate,MATCH(Tasks[[#This Row],[Resource]],res_Name,0)),0))</f>
        <v>0</v>
      </c>
      <c r="BM8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2" s="47" t="n">
        <f aca="false">IF(AND(Tasks[[#This Row],[_IsLeaf]]=1,Tasks[[#This Row],[_LeafWork]]&gt;0),NETWORKDAYS.INTL(ProjectStart,Tasks[[#This Row],[_LeafFcstStart]],WorkWeek,Holidays),0)</f>
        <v>0</v>
      </c>
      <c r="BV8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2" s="47" t="n">
        <f aca="false">IF(AND(Tasks[[#This Row],[_IsLeaf]]=1,Tasks[[#This Row],[_LeafWork]]&gt;0),Tasks[[#This Row],[_LeafWork]]/(Tasks[[#This Row],[_FinishWorkday]]-Tasks[[#This Row],[_StartWorkday]]+1),0)</f>
        <v>0</v>
      </c>
      <c r="BX82" s="47" t="n">
        <f aca="false">Tasks[[#This Row],[_WorkPerWorkday]]*(Tasks[[#This Row],[_StartWorkday]]-1)</f>
        <v>-0</v>
      </c>
      <c r="BY82" s="47" t="n">
        <f aca="false">IF(Tasks[[#This Row],[_IsLeaf]]=1,MAX(N(Tasks[[#This Row],[Duration]]),0.1),0)</f>
        <v>0</v>
      </c>
      <c r="BZ82" s="47" t="n">
        <f aca="false">Tasks[[#This Row],[_WeightDur]]*Tasks[[#This Row],[_LeafProgress]]</f>
        <v>0</v>
      </c>
      <c r="CA8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3" customFormat="false" ht="15" hidden="false" customHeight="false" outlineLevel="0" collapsed="false">
      <c r="A83" s="38" t="str">
        <f aca="false">IF(Tasks[[#This Row],[Task Name]]="","",COUNTA(Tasks[[#Headers],[Task Name]]:Tasks[[#This Row],[Task Name]])-1)</f>
        <v/>
      </c>
      <c r="B83" s="39" t="n">
        <v>78</v>
      </c>
      <c r="C8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3" s="39"/>
      <c r="E83" s="41"/>
      <c r="F83" s="39"/>
      <c r="G83" s="39"/>
      <c r="H83" s="39"/>
      <c r="I83" s="39"/>
      <c r="J83" s="39"/>
      <c r="K83" s="39"/>
      <c r="L83" s="39"/>
      <c r="M83" s="39"/>
      <c r="N83" s="29"/>
      <c r="O83" s="29"/>
      <c r="P83" s="24" t="str">
        <f aca="false">IF(Tasks[[#This Row],[Task Name]]="","",IF(N(Tasks[[#This Row],[Baseline Start]])&gt;0,Tasks[[#This Row],[Baseline Start]],Tasks[[#This Row],[_CalcStart]]))</f>
        <v/>
      </c>
      <c r="Q83" s="24" t="str">
        <f aca="false">IF(Tasks[[#This Row],[Task Name]]="","",IF(N(Tasks[[#This Row],[Baseline Finish]])&gt;0,Tasks[[#This Row],[Baseline Finish]],Tasks[[#This Row],[_CalcFinish]]))</f>
        <v/>
      </c>
      <c r="R83" s="29"/>
      <c r="S83" s="29"/>
      <c r="T8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3" s="31"/>
      <c r="AA8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3" s="41"/>
      <c r="AD83" s="31"/>
      <c r="AE8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3" s="41"/>
      <c r="AJ83" s="24" t="str">
        <f aca="false">IF(Tasks[[#This Row],[Task Name]]="","",Tasks[[#This Row],[Forecast Start]])</f>
        <v/>
      </c>
      <c r="AK83" s="24" t="str">
        <f aca="false">IF(Tasks[[#This Row],[Task Name]]="","",Tasks[[#This Row],[Forecast Finish]])</f>
        <v/>
      </c>
      <c r="AL8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3" s="43" t="str">
        <f aca="false">IF(Tasks[[#This Row],[Task Name]]="","",Tasks[[#This Row],[Work]])</f>
        <v/>
      </c>
      <c r="AN83" s="44" t="str">
        <f aca="false">IF(Tasks[[#This Row],[Task Name]]="","",Tasks[[#This Row],[Cost]])</f>
        <v/>
      </c>
      <c r="AO83" s="29"/>
      <c r="AP83" s="29"/>
      <c r="AQ83" s="39"/>
      <c r="AR83" s="45"/>
      <c r="AS83" s="46"/>
      <c r="AT83" s="40" t="str">
        <f aca="false">IF(OR(Tasks[[#This Row],[Task Name]]="",Tasks[[#This Row],[Baseline Duration]]=""),"",Tasks[[#This Row],[BL Source Duration]]-N(Tasks[[#This Row],[Baseline Duration]]))</f>
        <v/>
      </c>
      <c r="AU83" s="43" t="str">
        <f aca="false">IF(OR(Tasks[[#This Row],[Task Name]]="",Tasks[[#This Row],[Baseline Work]]=""),"",Tasks[[#This Row],[Work]]-N(Tasks[[#This Row],[Baseline Work]]))</f>
        <v/>
      </c>
      <c r="AV83" s="44" t="str">
        <f aca="false">IF(OR(Tasks[[#This Row],[Task Name]]="",Tasks[[#This Row],[Baseline Cost]]=""),"",Tasks[[#This Row],[Cost]]-N(Tasks[[#This Row],[Baseline Cost]]))</f>
        <v/>
      </c>
      <c r="AW83" s="47" t="str">
        <f aca="false">IF(Tasks[[#This Row],[Task Name]]="","",MAX(1,N(Tasks[[#This Row],[Level]])))</f>
        <v/>
      </c>
      <c r="AX83" s="47" t="n">
        <f aca="false">ROW()-ROW(Tasks[[#Headers],[ID]])</f>
        <v>78</v>
      </c>
      <c r="AY8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3" s="47" t="n">
        <f aca="false">IFERROR(N(INDEX(Tasks[_Level],Tasks[[#This Row],[_Row]]+1)),0)</f>
        <v>0</v>
      </c>
      <c r="BA83" s="48" t="b">
        <f aca="false">AND(Tasks[[#This Row],[Task Name]]&lt;&gt;"",Tasks[[#This Row],[_NextLevel]]&gt;Tasks[[#This Row],[_Level]])</f>
        <v>0</v>
      </c>
      <c r="BB83" s="47" t="n">
        <f aca="false">IF(Tasks[[#This Row],[_IsSummary]],COUNTIF(Tasks[WBS],Tasks[[#This Row],[WBS]]&amp;".*"),0)</f>
        <v>0</v>
      </c>
      <c r="BC83" s="47" t="n">
        <f aca="false">IF(AND(Tasks[[#This Row],[Task Name]]&lt;&gt;"",NOT(Tasks[[#This Row],[_IsSummary]])),1,0)</f>
        <v>0</v>
      </c>
      <c r="BD83" s="47" t="n">
        <f aca="false">IF(N(Tasks[[#This Row],[Pred1 UID]])=0,0,IFERROR(MATCH(Tasks[[#This Row],[Pred1 UID]],Tasks[UID],0),-1))</f>
        <v>0</v>
      </c>
      <c r="BE83" s="47" t="n">
        <f aca="false">IF(N(Tasks[[#This Row],[Pred2 UID]])=0,0,IFERROR(MATCH(Tasks[[#This Row],[Pred2 UID]],Tasks[UID],0),-1))</f>
        <v>0</v>
      </c>
      <c r="BF8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3" s="47" t="n">
        <f aca="false">IF(NOT(Tasks[[#This Row],[_IsLeaf]]=1),0,IF(N(Tasks[[#This Row],[Actual Finish]])&gt;0,1,MIN(1,N(Tasks[[#This Row],[% Complete]]))))</f>
        <v>0</v>
      </c>
      <c r="BK8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3" s="47" t="n">
        <f aca="false">IF(Tasks[[#This Row],[_LeafWork]]=0,0,Tasks[[#This Row],[_LeafWork]]*IFERROR(INDEX(res_Rate,MATCH(Tasks[[#This Row],[Resource]],res_Name,0)),0))</f>
        <v>0</v>
      </c>
      <c r="BM8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3" s="47" t="n">
        <f aca="false">IF(AND(Tasks[[#This Row],[_IsLeaf]]=1,Tasks[[#This Row],[_LeafWork]]&gt;0),NETWORKDAYS.INTL(ProjectStart,Tasks[[#This Row],[_LeafFcstStart]],WorkWeek,Holidays),0)</f>
        <v>0</v>
      </c>
      <c r="BV8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3" s="47" t="n">
        <f aca="false">IF(AND(Tasks[[#This Row],[_IsLeaf]]=1,Tasks[[#This Row],[_LeafWork]]&gt;0),Tasks[[#This Row],[_LeafWork]]/(Tasks[[#This Row],[_FinishWorkday]]-Tasks[[#This Row],[_StartWorkday]]+1),0)</f>
        <v>0</v>
      </c>
      <c r="BX83" s="47" t="n">
        <f aca="false">Tasks[[#This Row],[_WorkPerWorkday]]*(Tasks[[#This Row],[_StartWorkday]]-1)</f>
        <v>-0</v>
      </c>
      <c r="BY83" s="47" t="n">
        <f aca="false">IF(Tasks[[#This Row],[_IsLeaf]]=1,MAX(N(Tasks[[#This Row],[Duration]]),0.1),0)</f>
        <v>0</v>
      </c>
      <c r="BZ83" s="47" t="n">
        <f aca="false">Tasks[[#This Row],[_WeightDur]]*Tasks[[#This Row],[_LeafProgress]]</f>
        <v>0</v>
      </c>
      <c r="CA8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4" customFormat="false" ht="15" hidden="false" customHeight="false" outlineLevel="0" collapsed="false">
      <c r="A84" s="38" t="str">
        <f aca="false">IF(Tasks[[#This Row],[Task Name]]="","",COUNTA(Tasks[[#Headers],[Task Name]]:Tasks[[#This Row],[Task Name]])-1)</f>
        <v/>
      </c>
      <c r="B84" s="39" t="n">
        <v>79</v>
      </c>
      <c r="C8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4" s="39"/>
      <c r="E84" s="41"/>
      <c r="F84" s="39"/>
      <c r="G84" s="39"/>
      <c r="H84" s="39"/>
      <c r="I84" s="39"/>
      <c r="J84" s="39"/>
      <c r="K84" s="39"/>
      <c r="L84" s="39"/>
      <c r="M84" s="39"/>
      <c r="N84" s="29"/>
      <c r="O84" s="29"/>
      <c r="P84" s="24" t="str">
        <f aca="false">IF(Tasks[[#This Row],[Task Name]]="","",IF(N(Tasks[[#This Row],[Baseline Start]])&gt;0,Tasks[[#This Row],[Baseline Start]],Tasks[[#This Row],[_CalcStart]]))</f>
        <v/>
      </c>
      <c r="Q84" s="24" t="str">
        <f aca="false">IF(Tasks[[#This Row],[Task Name]]="","",IF(N(Tasks[[#This Row],[Baseline Finish]])&gt;0,Tasks[[#This Row],[Baseline Finish]],Tasks[[#This Row],[_CalcFinish]]))</f>
        <v/>
      </c>
      <c r="R84" s="29"/>
      <c r="S84" s="29"/>
      <c r="T8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4" s="31"/>
      <c r="AA8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4" s="41"/>
      <c r="AD84" s="31"/>
      <c r="AE8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4" s="41"/>
      <c r="AJ84" s="24" t="str">
        <f aca="false">IF(Tasks[[#This Row],[Task Name]]="","",Tasks[[#This Row],[Forecast Start]])</f>
        <v/>
      </c>
      <c r="AK84" s="24" t="str">
        <f aca="false">IF(Tasks[[#This Row],[Task Name]]="","",Tasks[[#This Row],[Forecast Finish]])</f>
        <v/>
      </c>
      <c r="AL8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4" s="43" t="str">
        <f aca="false">IF(Tasks[[#This Row],[Task Name]]="","",Tasks[[#This Row],[Work]])</f>
        <v/>
      </c>
      <c r="AN84" s="44" t="str">
        <f aca="false">IF(Tasks[[#This Row],[Task Name]]="","",Tasks[[#This Row],[Cost]])</f>
        <v/>
      </c>
      <c r="AO84" s="29"/>
      <c r="AP84" s="29"/>
      <c r="AQ84" s="39"/>
      <c r="AR84" s="45"/>
      <c r="AS84" s="46"/>
      <c r="AT84" s="40" t="str">
        <f aca="false">IF(OR(Tasks[[#This Row],[Task Name]]="",Tasks[[#This Row],[Baseline Duration]]=""),"",Tasks[[#This Row],[BL Source Duration]]-N(Tasks[[#This Row],[Baseline Duration]]))</f>
        <v/>
      </c>
      <c r="AU84" s="43" t="str">
        <f aca="false">IF(OR(Tasks[[#This Row],[Task Name]]="",Tasks[[#This Row],[Baseline Work]]=""),"",Tasks[[#This Row],[Work]]-N(Tasks[[#This Row],[Baseline Work]]))</f>
        <v/>
      </c>
      <c r="AV84" s="44" t="str">
        <f aca="false">IF(OR(Tasks[[#This Row],[Task Name]]="",Tasks[[#This Row],[Baseline Cost]]=""),"",Tasks[[#This Row],[Cost]]-N(Tasks[[#This Row],[Baseline Cost]]))</f>
        <v/>
      </c>
      <c r="AW84" s="47" t="str">
        <f aca="false">IF(Tasks[[#This Row],[Task Name]]="","",MAX(1,N(Tasks[[#This Row],[Level]])))</f>
        <v/>
      </c>
      <c r="AX84" s="47" t="n">
        <f aca="false">ROW()-ROW(Tasks[[#Headers],[ID]])</f>
        <v>79</v>
      </c>
      <c r="AY8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4" s="47" t="n">
        <f aca="false">IFERROR(N(INDEX(Tasks[_Level],Tasks[[#This Row],[_Row]]+1)),0)</f>
        <v>0</v>
      </c>
      <c r="BA84" s="48" t="b">
        <f aca="false">AND(Tasks[[#This Row],[Task Name]]&lt;&gt;"",Tasks[[#This Row],[_NextLevel]]&gt;Tasks[[#This Row],[_Level]])</f>
        <v>0</v>
      </c>
      <c r="BB84" s="47" t="n">
        <f aca="false">IF(Tasks[[#This Row],[_IsSummary]],COUNTIF(Tasks[WBS],Tasks[[#This Row],[WBS]]&amp;".*"),0)</f>
        <v>0</v>
      </c>
      <c r="BC84" s="47" t="n">
        <f aca="false">IF(AND(Tasks[[#This Row],[Task Name]]&lt;&gt;"",NOT(Tasks[[#This Row],[_IsSummary]])),1,0)</f>
        <v>0</v>
      </c>
      <c r="BD84" s="47" t="n">
        <f aca="false">IF(N(Tasks[[#This Row],[Pred1 UID]])=0,0,IFERROR(MATCH(Tasks[[#This Row],[Pred1 UID]],Tasks[UID],0),-1))</f>
        <v>0</v>
      </c>
      <c r="BE84" s="47" t="n">
        <f aca="false">IF(N(Tasks[[#This Row],[Pred2 UID]])=0,0,IFERROR(MATCH(Tasks[[#This Row],[Pred2 UID]],Tasks[UID],0),-1))</f>
        <v>0</v>
      </c>
      <c r="BF8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4" s="47" t="n">
        <f aca="false">IF(NOT(Tasks[[#This Row],[_IsLeaf]]=1),0,IF(N(Tasks[[#This Row],[Actual Finish]])&gt;0,1,MIN(1,N(Tasks[[#This Row],[% Complete]]))))</f>
        <v>0</v>
      </c>
      <c r="BK8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4" s="47" t="n">
        <f aca="false">IF(Tasks[[#This Row],[_LeafWork]]=0,0,Tasks[[#This Row],[_LeafWork]]*IFERROR(INDEX(res_Rate,MATCH(Tasks[[#This Row],[Resource]],res_Name,0)),0))</f>
        <v>0</v>
      </c>
      <c r="BM8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4" s="47" t="n">
        <f aca="false">IF(AND(Tasks[[#This Row],[_IsLeaf]]=1,Tasks[[#This Row],[_LeafWork]]&gt;0),NETWORKDAYS.INTL(ProjectStart,Tasks[[#This Row],[_LeafFcstStart]],WorkWeek,Holidays),0)</f>
        <v>0</v>
      </c>
      <c r="BV8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4" s="47" t="n">
        <f aca="false">IF(AND(Tasks[[#This Row],[_IsLeaf]]=1,Tasks[[#This Row],[_LeafWork]]&gt;0),Tasks[[#This Row],[_LeafWork]]/(Tasks[[#This Row],[_FinishWorkday]]-Tasks[[#This Row],[_StartWorkday]]+1),0)</f>
        <v>0</v>
      </c>
      <c r="BX84" s="47" t="n">
        <f aca="false">Tasks[[#This Row],[_WorkPerWorkday]]*(Tasks[[#This Row],[_StartWorkday]]-1)</f>
        <v>-0</v>
      </c>
      <c r="BY84" s="47" t="n">
        <f aca="false">IF(Tasks[[#This Row],[_IsLeaf]]=1,MAX(N(Tasks[[#This Row],[Duration]]),0.1),0)</f>
        <v>0</v>
      </c>
      <c r="BZ84" s="47" t="n">
        <f aca="false">Tasks[[#This Row],[_WeightDur]]*Tasks[[#This Row],[_LeafProgress]]</f>
        <v>0</v>
      </c>
      <c r="CA8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5" customFormat="false" ht="15" hidden="false" customHeight="false" outlineLevel="0" collapsed="false">
      <c r="A85" s="38" t="str">
        <f aca="false">IF(Tasks[[#This Row],[Task Name]]="","",COUNTA(Tasks[[#Headers],[Task Name]]:Tasks[[#This Row],[Task Name]])-1)</f>
        <v/>
      </c>
      <c r="B85" s="39" t="n">
        <v>80</v>
      </c>
      <c r="C8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5" s="39"/>
      <c r="E85" s="41"/>
      <c r="F85" s="39"/>
      <c r="G85" s="39"/>
      <c r="H85" s="39"/>
      <c r="I85" s="39"/>
      <c r="J85" s="39"/>
      <c r="K85" s="39"/>
      <c r="L85" s="39"/>
      <c r="M85" s="39"/>
      <c r="N85" s="29"/>
      <c r="O85" s="29"/>
      <c r="P85" s="24" t="str">
        <f aca="false">IF(Tasks[[#This Row],[Task Name]]="","",IF(N(Tasks[[#This Row],[Baseline Start]])&gt;0,Tasks[[#This Row],[Baseline Start]],Tasks[[#This Row],[_CalcStart]]))</f>
        <v/>
      </c>
      <c r="Q85" s="24" t="str">
        <f aca="false">IF(Tasks[[#This Row],[Task Name]]="","",IF(N(Tasks[[#This Row],[Baseline Finish]])&gt;0,Tasks[[#This Row],[Baseline Finish]],Tasks[[#This Row],[_CalcFinish]]))</f>
        <v/>
      </c>
      <c r="R85" s="29"/>
      <c r="S85" s="29"/>
      <c r="T8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5" s="31"/>
      <c r="AA8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5" s="41"/>
      <c r="AD85" s="31"/>
      <c r="AE8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5" s="41"/>
      <c r="AJ85" s="24" t="str">
        <f aca="false">IF(Tasks[[#This Row],[Task Name]]="","",Tasks[[#This Row],[Forecast Start]])</f>
        <v/>
      </c>
      <c r="AK85" s="24" t="str">
        <f aca="false">IF(Tasks[[#This Row],[Task Name]]="","",Tasks[[#This Row],[Forecast Finish]])</f>
        <v/>
      </c>
      <c r="AL8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5" s="43" t="str">
        <f aca="false">IF(Tasks[[#This Row],[Task Name]]="","",Tasks[[#This Row],[Work]])</f>
        <v/>
      </c>
      <c r="AN85" s="44" t="str">
        <f aca="false">IF(Tasks[[#This Row],[Task Name]]="","",Tasks[[#This Row],[Cost]])</f>
        <v/>
      </c>
      <c r="AO85" s="29"/>
      <c r="AP85" s="29"/>
      <c r="AQ85" s="39"/>
      <c r="AR85" s="45"/>
      <c r="AS85" s="46"/>
      <c r="AT85" s="40" t="str">
        <f aca="false">IF(OR(Tasks[[#This Row],[Task Name]]="",Tasks[[#This Row],[Baseline Duration]]=""),"",Tasks[[#This Row],[BL Source Duration]]-N(Tasks[[#This Row],[Baseline Duration]]))</f>
        <v/>
      </c>
      <c r="AU85" s="43" t="str">
        <f aca="false">IF(OR(Tasks[[#This Row],[Task Name]]="",Tasks[[#This Row],[Baseline Work]]=""),"",Tasks[[#This Row],[Work]]-N(Tasks[[#This Row],[Baseline Work]]))</f>
        <v/>
      </c>
      <c r="AV85" s="44" t="str">
        <f aca="false">IF(OR(Tasks[[#This Row],[Task Name]]="",Tasks[[#This Row],[Baseline Cost]]=""),"",Tasks[[#This Row],[Cost]]-N(Tasks[[#This Row],[Baseline Cost]]))</f>
        <v/>
      </c>
      <c r="AW85" s="47" t="str">
        <f aca="false">IF(Tasks[[#This Row],[Task Name]]="","",MAX(1,N(Tasks[[#This Row],[Level]])))</f>
        <v/>
      </c>
      <c r="AX85" s="47" t="n">
        <f aca="false">ROW()-ROW(Tasks[[#Headers],[ID]])</f>
        <v>80</v>
      </c>
      <c r="AY8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5" s="47" t="n">
        <f aca="false">IFERROR(N(INDEX(Tasks[_Level],Tasks[[#This Row],[_Row]]+1)),0)</f>
        <v>0</v>
      </c>
      <c r="BA85" s="48" t="b">
        <f aca="false">AND(Tasks[[#This Row],[Task Name]]&lt;&gt;"",Tasks[[#This Row],[_NextLevel]]&gt;Tasks[[#This Row],[_Level]])</f>
        <v>0</v>
      </c>
      <c r="BB85" s="47" t="n">
        <f aca="false">IF(Tasks[[#This Row],[_IsSummary]],COUNTIF(Tasks[WBS],Tasks[[#This Row],[WBS]]&amp;".*"),0)</f>
        <v>0</v>
      </c>
      <c r="BC85" s="47" t="n">
        <f aca="false">IF(AND(Tasks[[#This Row],[Task Name]]&lt;&gt;"",NOT(Tasks[[#This Row],[_IsSummary]])),1,0)</f>
        <v>0</v>
      </c>
      <c r="BD85" s="47" t="n">
        <f aca="false">IF(N(Tasks[[#This Row],[Pred1 UID]])=0,0,IFERROR(MATCH(Tasks[[#This Row],[Pred1 UID]],Tasks[UID],0),-1))</f>
        <v>0</v>
      </c>
      <c r="BE85" s="47" t="n">
        <f aca="false">IF(N(Tasks[[#This Row],[Pred2 UID]])=0,0,IFERROR(MATCH(Tasks[[#This Row],[Pred2 UID]],Tasks[UID],0),-1))</f>
        <v>0</v>
      </c>
      <c r="BF8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5" s="47" t="n">
        <f aca="false">IF(NOT(Tasks[[#This Row],[_IsLeaf]]=1),0,IF(N(Tasks[[#This Row],[Actual Finish]])&gt;0,1,MIN(1,N(Tasks[[#This Row],[% Complete]]))))</f>
        <v>0</v>
      </c>
      <c r="BK8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5" s="47" t="n">
        <f aca="false">IF(Tasks[[#This Row],[_LeafWork]]=0,0,Tasks[[#This Row],[_LeafWork]]*IFERROR(INDEX(res_Rate,MATCH(Tasks[[#This Row],[Resource]],res_Name,0)),0))</f>
        <v>0</v>
      </c>
      <c r="BM8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5" s="47" t="n">
        <f aca="false">IF(AND(Tasks[[#This Row],[_IsLeaf]]=1,Tasks[[#This Row],[_LeafWork]]&gt;0),NETWORKDAYS.INTL(ProjectStart,Tasks[[#This Row],[_LeafFcstStart]],WorkWeek,Holidays),0)</f>
        <v>0</v>
      </c>
      <c r="BV8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5" s="47" t="n">
        <f aca="false">IF(AND(Tasks[[#This Row],[_IsLeaf]]=1,Tasks[[#This Row],[_LeafWork]]&gt;0),Tasks[[#This Row],[_LeafWork]]/(Tasks[[#This Row],[_FinishWorkday]]-Tasks[[#This Row],[_StartWorkday]]+1),0)</f>
        <v>0</v>
      </c>
      <c r="BX85" s="47" t="n">
        <f aca="false">Tasks[[#This Row],[_WorkPerWorkday]]*(Tasks[[#This Row],[_StartWorkday]]-1)</f>
        <v>-0</v>
      </c>
      <c r="BY85" s="47" t="n">
        <f aca="false">IF(Tasks[[#This Row],[_IsLeaf]]=1,MAX(N(Tasks[[#This Row],[Duration]]),0.1),0)</f>
        <v>0</v>
      </c>
      <c r="BZ85" s="47" t="n">
        <f aca="false">Tasks[[#This Row],[_WeightDur]]*Tasks[[#This Row],[_LeafProgress]]</f>
        <v>0</v>
      </c>
      <c r="CA8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6" customFormat="false" ht="15" hidden="false" customHeight="false" outlineLevel="0" collapsed="false">
      <c r="A86" s="38" t="str">
        <f aca="false">IF(Tasks[[#This Row],[Task Name]]="","",COUNTA(Tasks[[#Headers],[Task Name]]:Tasks[[#This Row],[Task Name]])-1)</f>
        <v/>
      </c>
      <c r="B86" s="39" t="n">
        <v>81</v>
      </c>
      <c r="C8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6" s="39"/>
      <c r="E86" s="41"/>
      <c r="F86" s="39"/>
      <c r="G86" s="39"/>
      <c r="H86" s="39"/>
      <c r="I86" s="39"/>
      <c r="J86" s="39"/>
      <c r="K86" s="39"/>
      <c r="L86" s="39"/>
      <c r="M86" s="39"/>
      <c r="N86" s="29"/>
      <c r="O86" s="29"/>
      <c r="P86" s="24" t="str">
        <f aca="false">IF(Tasks[[#This Row],[Task Name]]="","",IF(N(Tasks[[#This Row],[Baseline Start]])&gt;0,Tasks[[#This Row],[Baseline Start]],Tasks[[#This Row],[_CalcStart]]))</f>
        <v/>
      </c>
      <c r="Q86" s="24" t="str">
        <f aca="false">IF(Tasks[[#This Row],[Task Name]]="","",IF(N(Tasks[[#This Row],[Baseline Finish]])&gt;0,Tasks[[#This Row],[Baseline Finish]],Tasks[[#This Row],[_CalcFinish]]))</f>
        <v/>
      </c>
      <c r="R86" s="29"/>
      <c r="S86" s="29"/>
      <c r="T8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6" s="31"/>
      <c r="AA8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6" s="41"/>
      <c r="AD86" s="31"/>
      <c r="AE8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6" s="41"/>
      <c r="AJ86" s="24" t="str">
        <f aca="false">IF(Tasks[[#This Row],[Task Name]]="","",Tasks[[#This Row],[Forecast Start]])</f>
        <v/>
      </c>
      <c r="AK86" s="24" t="str">
        <f aca="false">IF(Tasks[[#This Row],[Task Name]]="","",Tasks[[#This Row],[Forecast Finish]])</f>
        <v/>
      </c>
      <c r="AL8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6" s="43" t="str">
        <f aca="false">IF(Tasks[[#This Row],[Task Name]]="","",Tasks[[#This Row],[Work]])</f>
        <v/>
      </c>
      <c r="AN86" s="44" t="str">
        <f aca="false">IF(Tasks[[#This Row],[Task Name]]="","",Tasks[[#This Row],[Cost]])</f>
        <v/>
      </c>
      <c r="AO86" s="29"/>
      <c r="AP86" s="29"/>
      <c r="AQ86" s="39"/>
      <c r="AR86" s="45"/>
      <c r="AS86" s="46"/>
      <c r="AT86" s="40" t="str">
        <f aca="false">IF(OR(Tasks[[#This Row],[Task Name]]="",Tasks[[#This Row],[Baseline Duration]]=""),"",Tasks[[#This Row],[BL Source Duration]]-N(Tasks[[#This Row],[Baseline Duration]]))</f>
        <v/>
      </c>
      <c r="AU86" s="43" t="str">
        <f aca="false">IF(OR(Tasks[[#This Row],[Task Name]]="",Tasks[[#This Row],[Baseline Work]]=""),"",Tasks[[#This Row],[Work]]-N(Tasks[[#This Row],[Baseline Work]]))</f>
        <v/>
      </c>
      <c r="AV86" s="44" t="str">
        <f aca="false">IF(OR(Tasks[[#This Row],[Task Name]]="",Tasks[[#This Row],[Baseline Cost]]=""),"",Tasks[[#This Row],[Cost]]-N(Tasks[[#This Row],[Baseline Cost]]))</f>
        <v/>
      </c>
      <c r="AW86" s="47" t="str">
        <f aca="false">IF(Tasks[[#This Row],[Task Name]]="","",MAX(1,N(Tasks[[#This Row],[Level]])))</f>
        <v/>
      </c>
      <c r="AX86" s="47" t="n">
        <f aca="false">ROW()-ROW(Tasks[[#Headers],[ID]])</f>
        <v>81</v>
      </c>
      <c r="AY8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6" s="47" t="n">
        <f aca="false">IFERROR(N(INDEX(Tasks[_Level],Tasks[[#This Row],[_Row]]+1)),0)</f>
        <v>0</v>
      </c>
      <c r="BA86" s="48" t="b">
        <f aca="false">AND(Tasks[[#This Row],[Task Name]]&lt;&gt;"",Tasks[[#This Row],[_NextLevel]]&gt;Tasks[[#This Row],[_Level]])</f>
        <v>0</v>
      </c>
      <c r="BB86" s="47" t="n">
        <f aca="false">IF(Tasks[[#This Row],[_IsSummary]],COUNTIF(Tasks[WBS],Tasks[[#This Row],[WBS]]&amp;".*"),0)</f>
        <v>0</v>
      </c>
      <c r="BC86" s="47" t="n">
        <f aca="false">IF(AND(Tasks[[#This Row],[Task Name]]&lt;&gt;"",NOT(Tasks[[#This Row],[_IsSummary]])),1,0)</f>
        <v>0</v>
      </c>
      <c r="BD86" s="47" t="n">
        <f aca="false">IF(N(Tasks[[#This Row],[Pred1 UID]])=0,0,IFERROR(MATCH(Tasks[[#This Row],[Pred1 UID]],Tasks[UID],0),-1))</f>
        <v>0</v>
      </c>
      <c r="BE86" s="47" t="n">
        <f aca="false">IF(N(Tasks[[#This Row],[Pred2 UID]])=0,0,IFERROR(MATCH(Tasks[[#This Row],[Pred2 UID]],Tasks[UID],0),-1))</f>
        <v>0</v>
      </c>
      <c r="BF8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6" s="47" t="n">
        <f aca="false">IF(NOT(Tasks[[#This Row],[_IsLeaf]]=1),0,IF(N(Tasks[[#This Row],[Actual Finish]])&gt;0,1,MIN(1,N(Tasks[[#This Row],[% Complete]]))))</f>
        <v>0</v>
      </c>
      <c r="BK8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6" s="47" t="n">
        <f aca="false">IF(Tasks[[#This Row],[_LeafWork]]=0,0,Tasks[[#This Row],[_LeafWork]]*IFERROR(INDEX(res_Rate,MATCH(Tasks[[#This Row],[Resource]],res_Name,0)),0))</f>
        <v>0</v>
      </c>
      <c r="BM8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6" s="47" t="n">
        <f aca="false">IF(AND(Tasks[[#This Row],[_IsLeaf]]=1,Tasks[[#This Row],[_LeafWork]]&gt;0),NETWORKDAYS.INTL(ProjectStart,Tasks[[#This Row],[_LeafFcstStart]],WorkWeek,Holidays),0)</f>
        <v>0</v>
      </c>
      <c r="BV8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6" s="47" t="n">
        <f aca="false">IF(AND(Tasks[[#This Row],[_IsLeaf]]=1,Tasks[[#This Row],[_LeafWork]]&gt;0),Tasks[[#This Row],[_LeafWork]]/(Tasks[[#This Row],[_FinishWorkday]]-Tasks[[#This Row],[_StartWorkday]]+1),0)</f>
        <v>0</v>
      </c>
      <c r="BX86" s="47" t="n">
        <f aca="false">Tasks[[#This Row],[_WorkPerWorkday]]*(Tasks[[#This Row],[_StartWorkday]]-1)</f>
        <v>-0</v>
      </c>
      <c r="BY86" s="47" t="n">
        <f aca="false">IF(Tasks[[#This Row],[_IsLeaf]]=1,MAX(N(Tasks[[#This Row],[Duration]]),0.1),0)</f>
        <v>0</v>
      </c>
      <c r="BZ86" s="47" t="n">
        <f aca="false">Tasks[[#This Row],[_WeightDur]]*Tasks[[#This Row],[_LeafProgress]]</f>
        <v>0</v>
      </c>
      <c r="CA8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7" customFormat="false" ht="15" hidden="false" customHeight="false" outlineLevel="0" collapsed="false">
      <c r="A87" s="38" t="str">
        <f aca="false">IF(Tasks[[#This Row],[Task Name]]="","",COUNTA(Tasks[[#Headers],[Task Name]]:Tasks[[#This Row],[Task Name]])-1)</f>
        <v/>
      </c>
      <c r="B87" s="39" t="n">
        <v>82</v>
      </c>
      <c r="C8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7" s="39"/>
      <c r="E87" s="41"/>
      <c r="F87" s="39"/>
      <c r="G87" s="39"/>
      <c r="H87" s="39"/>
      <c r="I87" s="39"/>
      <c r="J87" s="39"/>
      <c r="K87" s="39"/>
      <c r="L87" s="39"/>
      <c r="M87" s="39"/>
      <c r="N87" s="29"/>
      <c r="O87" s="29"/>
      <c r="P87" s="24" t="str">
        <f aca="false">IF(Tasks[[#This Row],[Task Name]]="","",IF(N(Tasks[[#This Row],[Baseline Start]])&gt;0,Tasks[[#This Row],[Baseline Start]],Tasks[[#This Row],[_CalcStart]]))</f>
        <v/>
      </c>
      <c r="Q87" s="24" t="str">
        <f aca="false">IF(Tasks[[#This Row],[Task Name]]="","",IF(N(Tasks[[#This Row],[Baseline Finish]])&gt;0,Tasks[[#This Row],[Baseline Finish]],Tasks[[#This Row],[_CalcFinish]]))</f>
        <v/>
      </c>
      <c r="R87" s="29"/>
      <c r="S87" s="29"/>
      <c r="T8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7" s="31"/>
      <c r="AA8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7" s="41"/>
      <c r="AD87" s="31"/>
      <c r="AE8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7" s="41"/>
      <c r="AJ87" s="24" t="str">
        <f aca="false">IF(Tasks[[#This Row],[Task Name]]="","",Tasks[[#This Row],[Forecast Start]])</f>
        <v/>
      </c>
      <c r="AK87" s="24" t="str">
        <f aca="false">IF(Tasks[[#This Row],[Task Name]]="","",Tasks[[#This Row],[Forecast Finish]])</f>
        <v/>
      </c>
      <c r="AL8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7" s="43" t="str">
        <f aca="false">IF(Tasks[[#This Row],[Task Name]]="","",Tasks[[#This Row],[Work]])</f>
        <v/>
      </c>
      <c r="AN87" s="44" t="str">
        <f aca="false">IF(Tasks[[#This Row],[Task Name]]="","",Tasks[[#This Row],[Cost]])</f>
        <v/>
      </c>
      <c r="AO87" s="29"/>
      <c r="AP87" s="29"/>
      <c r="AQ87" s="39"/>
      <c r="AR87" s="45"/>
      <c r="AS87" s="46"/>
      <c r="AT87" s="40" t="str">
        <f aca="false">IF(OR(Tasks[[#This Row],[Task Name]]="",Tasks[[#This Row],[Baseline Duration]]=""),"",Tasks[[#This Row],[BL Source Duration]]-N(Tasks[[#This Row],[Baseline Duration]]))</f>
        <v/>
      </c>
      <c r="AU87" s="43" t="str">
        <f aca="false">IF(OR(Tasks[[#This Row],[Task Name]]="",Tasks[[#This Row],[Baseline Work]]=""),"",Tasks[[#This Row],[Work]]-N(Tasks[[#This Row],[Baseline Work]]))</f>
        <v/>
      </c>
      <c r="AV87" s="44" t="str">
        <f aca="false">IF(OR(Tasks[[#This Row],[Task Name]]="",Tasks[[#This Row],[Baseline Cost]]=""),"",Tasks[[#This Row],[Cost]]-N(Tasks[[#This Row],[Baseline Cost]]))</f>
        <v/>
      </c>
      <c r="AW87" s="47" t="str">
        <f aca="false">IF(Tasks[[#This Row],[Task Name]]="","",MAX(1,N(Tasks[[#This Row],[Level]])))</f>
        <v/>
      </c>
      <c r="AX87" s="47" t="n">
        <f aca="false">ROW()-ROW(Tasks[[#Headers],[ID]])</f>
        <v>82</v>
      </c>
      <c r="AY8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7" s="47" t="n">
        <f aca="false">IFERROR(N(INDEX(Tasks[_Level],Tasks[[#This Row],[_Row]]+1)),0)</f>
        <v>0</v>
      </c>
      <c r="BA87" s="48" t="b">
        <f aca="false">AND(Tasks[[#This Row],[Task Name]]&lt;&gt;"",Tasks[[#This Row],[_NextLevel]]&gt;Tasks[[#This Row],[_Level]])</f>
        <v>0</v>
      </c>
      <c r="BB87" s="47" t="n">
        <f aca="false">IF(Tasks[[#This Row],[_IsSummary]],COUNTIF(Tasks[WBS],Tasks[[#This Row],[WBS]]&amp;".*"),0)</f>
        <v>0</v>
      </c>
      <c r="BC87" s="47" t="n">
        <f aca="false">IF(AND(Tasks[[#This Row],[Task Name]]&lt;&gt;"",NOT(Tasks[[#This Row],[_IsSummary]])),1,0)</f>
        <v>0</v>
      </c>
      <c r="BD87" s="47" t="n">
        <f aca="false">IF(N(Tasks[[#This Row],[Pred1 UID]])=0,0,IFERROR(MATCH(Tasks[[#This Row],[Pred1 UID]],Tasks[UID],0),-1))</f>
        <v>0</v>
      </c>
      <c r="BE87" s="47" t="n">
        <f aca="false">IF(N(Tasks[[#This Row],[Pred2 UID]])=0,0,IFERROR(MATCH(Tasks[[#This Row],[Pred2 UID]],Tasks[UID],0),-1))</f>
        <v>0</v>
      </c>
      <c r="BF8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7" s="47" t="n">
        <f aca="false">IF(NOT(Tasks[[#This Row],[_IsLeaf]]=1),0,IF(N(Tasks[[#This Row],[Actual Finish]])&gt;0,1,MIN(1,N(Tasks[[#This Row],[% Complete]]))))</f>
        <v>0</v>
      </c>
      <c r="BK8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7" s="47" t="n">
        <f aca="false">IF(Tasks[[#This Row],[_LeafWork]]=0,0,Tasks[[#This Row],[_LeafWork]]*IFERROR(INDEX(res_Rate,MATCH(Tasks[[#This Row],[Resource]],res_Name,0)),0))</f>
        <v>0</v>
      </c>
      <c r="BM8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7" s="47" t="n">
        <f aca="false">IF(AND(Tasks[[#This Row],[_IsLeaf]]=1,Tasks[[#This Row],[_LeafWork]]&gt;0),NETWORKDAYS.INTL(ProjectStart,Tasks[[#This Row],[_LeafFcstStart]],WorkWeek,Holidays),0)</f>
        <v>0</v>
      </c>
      <c r="BV8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7" s="47" t="n">
        <f aca="false">IF(AND(Tasks[[#This Row],[_IsLeaf]]=1,Tasks[[#This Row],[_LeafWork]]&gt;0),Tasks[[#This Row],[_LeafWork]]/(Tasks[[#This Row],[_FinishWorkday]]-Tasks[[#This Row],[_StartWorkday]]+1),0)</f>
        <v>0</v>
      </c>
      <c r="BX87" s="47" t="n">
        <f aca="false">Tasks[[#This Row],[_WorkPerWorkday]]*(Tasks[[#This Row],[_StartWorkday]]-1)</f>
        <v>-0</v>
      </c>
      <c r="BY87" s="47" t="n">
        <f aca="false">IF(Tasks[[#This Row],[_IsLeaf]]=1,MAX(N(Tasks[[#This Row],[Duration]]),0.1),0)</f>
        <v>0</v>
      </c>
      <c r="BZ87" s="47" t="n">
        <f aca="false">Tasks[[#This Row],[_WeightDur]]*Tasks[[#This Row],[_LeafProgress]]</f>
        <v>0</v>
      </c>
      <c r="CA8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8" customFormat="false" ht="15" hidden="false" customHeight="false" outlineLevel="0" collapsed="false">
      <c r="A88" s="38" t="str">
        <f aca="false">IF(Tasks[[#This Row],[Task Name]]="","",COUNTA(Tasks[[#Headers],[Task Name]]:Tasks[[#This Row],[Task Name]])-1)</f>
        <v/>
      </c>
      <c r="B88" s="39" t="n">
        <v>83</v>
      </c>
      <c r="C8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8" s="39"/>
      <c r="E88" s="41"/>
      <c r="F88" s="39"/>
      <c r="G88" s="39"/>
      <c r="H88" s="39"/>
      <c r="I88" s="39"/>
      <c r="J88" s="39"/>
      <c r="K88" s="39"/>
      <c r="L88" s="39"/>
      <c r="M88" s="39"/>
      <c r="N88" s="29"/>
      <c r="O88" s="29"/>
      <c r="P88" s="24" t="str">
        <f aca="false">IF(Tasks[[#This Row],[Task Name]]="","",IF(N(Tasks[[#This Row],[Baseline Start]])&gt;0,Tasks[[#This Row],[Baseline Start]],Tasks[[#This Row],[_CalcStart]]))</f>
        <v/>
      </c>
      <c r="Q88" s="24" t="str">
        <f aca="false">IF(Tasks[[#This Row],[Task Name]]="","",IF(N(Tasks[[#This Row],[Baseline Finish]])&gt;0,Tasks[[#This Row],[Baseline Finish]],Tasks[[#This Row],[_CalcFinish]]))</f>
        <v/>
      </c>
      <c r="R88" s="29"/>
      <c r="S88" s="29"/>
      <c r="T8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8" s="31"/>
      <c r="AA8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8" s="41"/>
      <c r="AD88" s="31"/>
      <c r="AE8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8" s="41"/>
      <c r="AJ88" s="24" t="str">
        <f aca="false">IF(Tasks[[#This Row],[Task Name]]="","",Tasks[[#This Row],[Forecast Start]])</f>
        <v/>
      </c>
      <c r="AK88" s="24" t="str">
        <f aca="false">IF(Tasks[[#This Row],[Task Name]]="","",Tasks[[#This Row],[Forecast Finish]])</f>
        <v/>
      </c>
      <c r="AL8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8" s="43" t="str">
        <f aca="false">IF(Tasks[[#This Row],[Task Name]]="","",Tasks[[#This Row],[Work]])</f>
        <v/>
      </c>
      <c r="AN88" s="44" t="str">
        <f aca="false">IF(Tasks[[#This Row],[Task Name]]="","",Tasks[[#This Row],[Cost]])</f>
        <v/>
      </c>
      <c r="AO88" s="29"/>
      <c r="AP88" s="29"/>
      <c r="AQ88" s="39"/>
      <c r="AR88" s="45"/>
      <c r="AS88" s="46"/>
      <c r="AT88" s="40" t="str">
        <f aca="false">IF(OR(Tasks[[#This Row],[Task Name]]="",Tasks[[#This Row],[Baseline Duration]]=""),"",Tasks[[#This Row],[BL Source Duration]]-N(Tasks[[#This Row],[Baseline Duration]]))</f>
        <v/>
      </c>
      <c r="AU88" s="43" t="str">
        <f aca="false">IF(OR(Tasks[[#This Row],[Task Name]]="",Tasks[[#This Row],[Baseline Work]]=""),"",Tasks[[#This Row],[Work]]-N(Tasks[[#This Row],[Baseline Work]]))</f>
        <v/>
      </c>
      <c r="AV88" s="44" t="str">
        <f aca="false">IF(OR(Tasks[[#This Row],[Task Name]]="",Tasks[[#This Row],[Baseline Cost]]=""),"",Tasks[[#This Row],[Cost]]-N(Tasks[[#This Row],[Baseline Cost]]))</f>
        <v/>
      </c>
      <c r="AW88" s="47" t="str">
        <f aca="false">IF(Tasks[[#This Row],[Task Name]]="","",MAX(1,N(Tasks[[#This Row],[Level]])))</f>
        <v/>
      </c>
      <c r="AX88" s="47" t="n">
        <f aca="false">ROW()-ROW(Tasks[[#Headers],[ID]])</f>
        <v>83</v>
      </c>
      <c r="AY8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8" s="47" t="n">
        <f aca="false">IFERROR(N(INDEX(Tasks[_Level],Tasks[[#This Row],[_Row]]+1)),0)</f>
        <v>0</v>
      </c>
      <c r="BA88" s="48" t="b">
        <f aca="false">AND(Tasks[[#This Row],[Task Name]]&lt;&gt;"",Tasks[[#This Row],[_NextLevel]]&gt;Tasks[[#This Row],[_Level]])</f>
        <v>0</v>
      </c>
      <c r="BB88" s="47" t="n">
        <f aca="false">IF(Tasks[[#This Row],[_IsSummary]],COUNTIF(Tasks[WBS],Tasks[[#This Row],[WBS]]&amp;".*"),0)</f>
        <v>0</v>
      </c>
      <c r="BC88" s="47" t="n">
        <f aca="false">IF(AND(Tasks[[#This Row],[Task Name]]&lt;&gt;"",NOT(Tasks[[#This Row],[_IsSummary]])),1,0)</f>
        <v>0</v>
      </c>
      <c r="BD88" s="47" t="n">
        <f aca="false">IF(N(Tasks[[#This Row],[Pred1 UID]])=0,0,IFERROR(MATCH(Tasks[[#This Row],[Pred1 UID]],Tasks[UID],0),-1))</f>
        <v>0</v>
      </c>
      <c r="BE88" s="47" t="n">
        <f aca="false">IF(N(Tasks[[#This Row],[Pred2 UID]])=0,0,IFERROR(MATCH(Tasks[[#This Row],[Pred2 UID]],Tasks[UID],0),-1))</f>
        <v>0</v>
      </c>
      <c r="BF8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8" s="47" t="n">
        <f aca="false">IF(NOT(Tasks[[#This Row],[_IsLeaf]]=1),0,IF(N(Tasks[[#This Row],[Actual Finish]])&gt;0,1,MIN(1,N(Tasks[[#This Row],[% Complete]]))))</f>
        <v>0</v>
      </c>
      <c r="BK8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8" s="47" t="n">
        <f aca="false">IF(Tasks[[#This Row],[_LeafWork]]=0,0,Tasks[[#This Row],[_LeafWork]]*IFERROR(INDEX(res_Rate,MATCH(Tasks[[#This Row],[Resource]],res_Name,0)),0))</f>
        <v>0</v>
      </c>
      <c r="BM8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8" s="47" t="n">
        <f aca="false">IF(AND(Tasks[[#This Row],[_IsLeaf]]=1,Tasks[[#This Row],[_LeafWork]]&gt;0),NETWORKDAYS.INTL(ProjectStart,Tasks[[#This Row],[_LeafFcstStart]],WorkWeek,Holidays),0)</f>
        <v>0</v>
      </c>
      <c r="BV8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8" s="47" t="n">
        <f aca="false">IF(AND(Tasks[[#This Row],[_IsLeaf]]=1,Tasks[[#This Row],[_LeafWork]]&gt;0),Tasks[[#This Row],[_LeafWork]]/(Tasks[[#This Row],[_FinishWorkday]]-Tasks[[#This Row],[_StartWorkday]]+1),0)</f>
        <v>0</v>
      </c>
      <c r="BX88" s="47" t="n">
        <f aca="false">Tasks[[#This Row],[_WorkPerWorkday]]*(Tasks[[#This Row],[_StartWorkday]]-1)</f>
        <v>-0</v>
      </c>
      <c r="BY88" s="47" t="n">
        <f aca="false">IF(Tasks[[#This Row],[_IsLeaf]]=1,MAX(N(Tasks[[#This Row],[Duration]]),0.1),0)</f>
        <v>0</v>
      </c>
      <c r="BZ88" s="47" t="n">
        <f aca="false">Tasks[[#This Row],[_WeightDur]]*Tasks[[#This Row],[_LeafProgress]]</f>
        <v>0</v>
      </c>
      <c r="CA8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9" customFormat="false" ht="15" hidden="false" customHeight="false" outlineLevel="0" collapsed="false">
      <c r="A89" s="38" t="str">
        <f aca="false">IF(Tasks[[#This Row],[Task Name]]="","",COUNTA(Tasks[[#Headers],[Task Name]]:Tasks[[#This Row],[Task Name]])-1)</f>
        <v/>
      </c>
      <c r="B89" s="39" t="n">
        <v>84</v>
      </c>
      <c r="C8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9" s="39"/>
      <c r="E89" s="41"/>
      <c r="F89" s="39"/>
      <c r="G89" s="39"/>
      <c r="H89" s="39"/>
      <c r="I89" s="39"/>
      <c r="J89" s="39"/>
      <c r="K89" s="39"/>
      <c r="L89" s="39"/>
      <c r="M89" s="39"/>
      <c r="N89" s="29"/>
      <c r="O89" s="29"/>
      <c r="P89" s="24" t="str">
        <f aca="false">IF(Tasks[[#This Row],[Task Name]]="","",IF(N(Tasks[[#This Row],[Baseline Start]])&gt;0,Tasks[[#This Row],[Baseline Start]],Tasks[[#This Row],[_CalcStart]]))</f>
        <v/>
      </c>
      <c r="Q89" s="24" t="str">
        <f aca="false">IF(Tasks[[#This Row],[Task Name]]="","",IF(N(Tasks[[#This Row],[Baseline Finish]])&gt;0,Tasks[[#This Row],[Baseline Finish]],Tasks[[#This Row],[_CalcFinish]]))</f>
        <v/>
      </c>
      <c r="R89" s="29"/>
      <c r="S89" s="29"/>
      <c r="T8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9" s="31"/>
      <c r="AA8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9" s="41"/>
      <c r="AD89" s="31"/>
      <c r="AE8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9" s="41"/>
      <c r="AJ89" s="24" t="str">
        <f aca="false">IF(Tasks[[#This Row],[Task Name]]="","",Tasks[[#This Row],[Forecast Start]])</f>
        <v/>
      </c>
      <c r="AK89" s="24" t="str">
        <f aca="false">IF(Tasks[[#This Row],[Task Name]]="","",Tasks[[#This Row],[Forecast Finish]])</f>
        <v/>
      </c>
      <c r="AL8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9" s="43" t="str">
        <f aca="false">IF(Tasks[[#This Row],[Task Name]]="","",Tasks[[#This Row],[Work]])</f>
        <v/>
      </c>
      <c r="AN89" s="44" t="str">
        <f aca="false">IF(Tasks[[#This Row],[Task Name]]="","",Tasks[[#This Row],[Cost]])</f>
        <v/>
      </c>
      <c r="AO89" s="29"/>
      <c r="AP89" s="29"/>
      <c r="AQ89" s="39"/>
      <c r="AR89" s="45"/>
      <c r="AS89" s="46"/>
      <c r="AT89" s="40" t="str">
        <f aca="false">IF(OR(Tasks[[#This Row],[Task Name]]="",Tasks[[#This Row],[Baseline Duration]]=""),"",Tasks[[#This Row],[BL Source Duration]]-N(Tasks[[#This Row],[Baseline Duration]]))</f>
        <v/>
      </c>
      <c r="AU89" s="43" t="str">
        <f aca="false">IF(OR(Tasks[[#This Row],[Task Name]]="",Tasks[[#This Row],[Baseline Work]]=""),"",Tasks[[#This Row],[Work]]-N(Tasks[[#This Row],[Baseline Work]]))</f>
        <v/>
      </c>
      <c r="AV89" s="44" t="str">
        <f aca="false">IF(OR(Tasks[[#This Row],[Task Name]]="",Tasks[[#This Row],[Baseline Cost]]=""),"",Tasks[[#This Row],[Cost]]-N(Tasks[[#This Row],[Baseline Cost]]))</f>
        <v/>
      </c>
      <c r="AW89" s="47" t="str">
        <f aca="false">IF(Tasks[[#This Row],[Task Name]]="","",MAX(1,N(Tasks[[#This Row],[Level]])))</f>
        <v/>
      </c>
      <c r="AX89" s="47" t="n">
        <f aca="false">ROW()-ROW(Tasks[[#Headers],[ID]])</f>
        <v>84</v>
      </c>
      <c r="AY8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9" s="47" t="n">
        <f aca="false">IFERROR(N(INDEX(Tasks[_Level],Tasks[[#This Row],[_Row]]+1)),0)</f>
        <v>0</v>
      </c>
      <c r="BA89" s="48" t="b">
        <f aca="false">AND(Tasks[[#This Row],[Task Name]]&lt;&gt;"",Tasks[[#This Row],[_NextLevel]]&gt;Tasks[[#This Row],[_Level]])</f>
        <v>0</v>
      </c>
      <c r="BB89" s="47" t="n">
        <f aca="false">IF(Tasks[[#This Row],[_IsSummary]],COUNTIF(Tasks[WBS],Tasks[[#This Row],[WBS]]&amp;".*"),0)</f>
        <v>0</v>
      </c>
      <c r="BC89" s="47" t="n">
        <f aca="false">IF(AND(Tasks[[#This Row],[Task Name]]&lt;&gt;"",NOT(Tasks[[#This Row],[_IsSummary]])),1,0)</f>
        <v>0</v>
      </c>
      <c r="BD89" s="47" t="n">
        <f aca="false">IF(N(Tasks[[#This Row],[Pred1 UID]])=0,0,IFERROR(MATCH(Tasks[[#This Row],[Pred1 UID]],Tasks[UID],0),-1))</f>
        <v>0</v>
      </c>
      <c r="BE89" s="47" t="n">
        <f aca="false">IF(N(Tasks[[#This Row],[Pred2 UID]])=0,0,IFERROR(MATCH(Tasks[[#This Row],[Pred2 UID]],Tasks[UID],0),-1))</f>
        <v>0</v>
      </c>
      <c r="BF8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9" s="47" t="n">
        <f aca="false">IF(NOT(Tasks[[#This Row],[_IsLeaf]]=1),0,IF(N(Tasks[[#This Row],[Actual Finish]])&gt;0,1,MIN(1,N(Tasks[[#This Row],[% Complete]]))))</f>
        <v>0</v>
      </c>
      <c r="BK8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9" s="47" t="n">
        <f aca="false">IF(Tasks[[#This Row],[_LeafWork]]=0,0,Tasks[[#This Row],[_LeafWork]]*IFERROR(INDEX(res_Rate,MATCH(Tasks[[#This Row],[Resource]],res_Name,0)),0))</f>
        <v>0</v>
      </c>
      <c r="BM8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8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8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8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8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8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89" s="47" t="n">
        <f aca="false">IF(AND(Tasks[[#This Row],[_IsLeaf]]=1,Tasks[[#This Row],[_LeafWork]]&gt;0),NETWORKDAYS.INTL(ProjectStart,Tasks[[#This Row],[_LeafFcstStart]],WorkWeek,Holidays),0)</f>
        <v>0</v>
      </c>
      <c r="BV8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9" s="47" t="n">
        <f aca="false">IF(AND(Tasks[[#This Row],[_IsLeaf]]=1,Tasks[[#This Row],[_LeafWork]]&gt;0),Tasks[[#This Row],[_LeafWork]]/(Tasks[[#This Row],[_FinishWorkday]]-Tasks[[#This Row],[_StartWorkday]]+1),0)</f>
        <v>0</v>
      </c>
      <c r="BX89" s="47" t="n">
        <f aca="false">Tasks[[#This Row],[_WorkPerWorkday]]*(Tasks[[#This Row],[_StartWorkday]]-1)</f>
        <v>-0</v>
      </c>
      <c r="BY89" s="47" t="n">
        <f aca="false">IF(Tasks[[#This Row],[_IsLeaf]]=1,MAX(N(Tasks[[#This Row],[Duration]]),0.1),0)</f>
        <v>0</v>
      </c>
      <c r="BZ89" s="47" t="n">
        <f aca="false">Tasks[[#This Row],[_WeightDur]]*Tasks[[#This Row],[_LeafProgress]]</f>
        <v>0</v>
      </c>
      <c r="CA8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0" customFormat="false" ht="15" hidden="false" customHeight="false" outlineLevel="0" collapsed="false">
      <c r="A90" s="38" t="str">
        <f aca="false">IF(Tasks[[#This Row],[Task Name]]="","",COUNTA(Tasks[[#Headers],[Task Name]]:Tasks[[#This Row],[Task Name]])-1)</f>
        <v/>
      </c>
      <c r="B90" s="39" t="n">
        <v>85</v>
      </c>
      <c r="C9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0" s="39"/>
      <c r="E90" s="41"/>
      <c r="F90" s="39"/>
      <c r="G90" s="39"/>
      <c r="H90" s="39"/>
      <c r="I90" s="39"/>
      <c r="J90" s="39"/>
      <c r="K90" s="39"/>
      <c r="L90" s="39"/>
      <c r="M90" s="39"/>
      <c r="N90" s="29"/>
      <c r="O90" s="29"/>
      <c r="P90" s="24" t="str">
        <f aca="false">IF(Tasks[[#This Row],[Task Name]]="","",IF(N(Tasks[[#This Row],[Baseline Start]])&gt;0,Tasks[[#This Row],[Baseline Start]],Tasks[[#This Row],[_CalcStart]]))</f>
        <v/>
      </c>
      <c r="Q90" s="24" t="str">
        <f aca="false">IF(Tasks[[#This Row],[Task Name]]="","",IF(N(Tasks[[#This Row],[Baseline Finish]])&gt;0,Tasks[[#This Row],[Baseline Finish]],Tasks[[#This Row],[_CalcFinish]]))</f>
        <v/>
      </c>
      <c r="R90" s="29"/>
      <c r="S90" s="29"/>
      <c r="T9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0" s="31"/>
      <c r="AA9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0" s="41"/>
      <c r="AD90" s="31"/>
      <c r="AE9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0" s="41"/>
      <c r="AJ90" s="24" t="str">
        <f aca="false">IF(Tasks[[#This Row],[Task Name]]="","",Tasks[[#This Row],[Forecast Start]])</f>
        <v/>
      </c>
      <c r="AK90" s="24" t="str">
        <f aca="false">IF(Tasks[[#This Row],[Task Name]]="","",Tasks[[#This Row],[Forecast Finish]])</f>
        <v/>
      </c>
      <c r="AL9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0" s="43" t="str">
        <f aca="false">IF(Tasks[[#This Row],[Task Name]]="","",Tasks[[#This Row],[Work]])</f>
        <v/>
      </c>
      <c r="AN90" s="44" t="str">
        <f aca="false">IF(Tasks[[#This Row],[Task Name]]="","",Tasks[[#This Row],[Cost]])</f>
        <v/>
      </c>
      <c r="AO90" s="29"/>
      <c r="AP90" s="29"/>
      <c r="AQ90" s="39"/>
      <c r="AR90" s="45"/>
      <c r="AS90" s="46"/>
      <c r="AT90" s="40" t="str">
        <f aca="false">IF(OR(Tasks[[#This Row],[Task Name]]="",Tasks[[#This Row],[Baseline Duration]]=""),"",Tasks[[#This Row],[BL Source Duration]]-N(Tasks[[#This Row],[Baseline Duration]]))</f>
        <v/>
      </c>
      <c r="AU90" s="43" t="str">
        <f aca="false">IF(OR(Tasks[[#This Row],[Task Name]]="",Tasks[[#This Row],[Baseline Work]]=""),"",Tasks[[#This Row],[Work]]-N(Tasks[[#This Row],[Baseline Work]]))</f>
        <v/>
      </c>
      <c r="AV90" s="44" t="str">
        <f aca="false">IF(OR(Tasks[[#This Row],[Task Name]]="",Tasks[[#This Row],[Baseline Cost]]=""),"",Tasks[[#This Row],[Cost]]-N(Tasks[[#This Row],[Baseline Cost]]))</f>
        <v/>
      </c>
      <c r="AW90" s="47" t="str">
        <f aca="false">IF(Tasks[[#This Row],[Task Name]]="","",MAX(1,N(Tasks[[#This Row],[Level]])))</f>
        <v/>
      </c>
      <c r="AX90" s="47" t="n">
        <f aca="false">ROW()-ROW(Tasks[[#Headers],[ID]])</f>
        <v>85</v>
      </c>
      <c r="AY9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0" s="47" t="n">
        <f aca="false">IFERROR(N(INDEX(Tasks[_Level],Tasks[[#This Row],[_Row]]+1)),0)</f>
        <v>0</v>
      </c>
      <c r="BA90" s="48" t="b">
        <f aca="false">AND(Tasks[[#This Row],[Task Name]]&lt;&gt;"",Tasks[[#This Row],[_NextLevel]]&gt;Tasks[[#This Row],[_Level]])</f>
        <v>0</v>
      </c>
      <c r="BB90" s="47" t="n">
        <f aca="false">IF(Tasks[[#This Row],[_IsSummary]],COUNTIF(Tasks[WBS],Tasks[[#This Row],[WBS]]&amp;".*"),0)</f>
        <v>0</v>
      </c>
      <c r="BC90" s="47" t="n">
        <f aca="false">IF(AND(Tasks[[#This Row],[Task Name]]&lt;&gt;"",NOT(Tasks[[#This Row],[_IsSummary]])),1,0)</f>
        <v>0</v>
      </c>
      <c r="BD90" s="47" t="n">
        <f aca="false">IF(N(Tasks[[#This Row],[Pred1 UID]])=0,0,IFERROR(MATCH(Tasks[[#This Row],[Pred1 UID]],Tasks[UID],0),-1))</f>
        <v>0</v>
      </c>
      <c r="BE90" s="47" t="n">
        <f aca="false">IF(N(Tasks[[#This Row],[Pred2 UID]])=0,0,IFERROR(MATCH(Tasks[[#This Row],[Pred2 UID]],Tasks[UID],0),-1))</f>
        <v>0</v>
      </c>
      <c r="BF9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0" s="47" t="n">
        <f aca="false">IF(NOT(Tasks[[#This Row],[_IsLeaf]]=1),0,IF(N(Tasks[[#This Row],[Actual Finish]])&gt;0,1,MIN(1,N(Tasks[[#This Row],[% Complete]]))))</f>
        <v>0</v>
      </c>
      <c r="BK9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0" s="47" t="n">
        <f aca="false">IF(Tasks[[#This Row],[_LeafWork]]=0,0,Tasks[[#This Row],[_LeafWork]]*IFERROR(INDEX(res_Rate,MATCH(Tasks[[#This Row],[Resource]],res_Name,0)),0))</f>
        <v>0</v>
      </c>
      <c r="BM9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0" s="47" t="n">
        <f aca="false">IF(AND(Tasks[[#This Row],[_IsLeaf]]=1,Tasks[[#This Row],[_LeafWork]]&gt;0),NETWORKDAYS.INTL(ProjectStart,Tasks[[#This Row],[_LeafFcstStart]],WorkWeek,Holidays),0)</f>
        <v>0</v>
      </c>
      <c r="BV9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0" s="47" t="n">
        <f aca="false">IF(AND(Tasks[[#This Row],[_IsLeaf]]=1,Tasks[[#This Row],[_LeafWork]]&gt;0),Tasks[[#This Row],[_LeafWork]]/(Tasks[[#This Row],[_FinishWorkday]]-Tasks[[#This Row],[_StartWorkday]]+1),0)</f>
        <v>0</v>
      </c>
      <c r="BX90" s="47" t="n">
        <f aca="false">Tasks[[#This Row],[_WorkPerWorkday]]*(Tasks[[#This Row],[_StartWorkday]]-1)</f>
        <v>-0</v>
      </c>
      <c r="BY90" s="47" t="n">
        <f aca="false">IF(Tasks[[#This Row],[_IsLeaf]]=1,MAX(N(Tasks[[#This Row],[Duration]]),0.1),0)</f>
        <v>0</v>
      </c>
      <c r="BZ90" s="47" t="n">
        <f aca="false">Tasks[[#This Row],[_WeightDur]]*Tasks[[#This Row],[_LeafProgress]]</f>
        <v>0</v>
      </c>
      <c r="CA9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1" customFormat="false" ht="15" hidden="false" customHeight="false" outlineLevel="0" collapsed="false">
      <c r="A91" s="38" t="str">
        <f aca="false">IF(Tasks[[#This Row],[Task Name]]="","",COUNTA(Tasks[[#Headers],[Task Name]]:Tasks[[#This Row],[Task Name]])-1)</f>
        <v/>
      </c>
      <c r="B91" s="39" t="n">
        <v>86</v>
      </c>
      <c r="C9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1" s="39"/>
      <c r="E91" s="41"/>
      <c r="F91" s="39"/>
      <c r="G91" s="39"/>
      <c r="H91" s="39"/>
      <c r="I91" s="39"/>
      <c r="J91" s="39"/>
      <c r="K91" s="39"/>
      <c r="L91" s="39"/>
      <c r="M91" s="39"/>
      <c r="N91" s="29"/>
      <c r="O91" s="29"/>
      <c r="P91" s="24" t="str">
        <f aca="false">IF(Tasks[[#This Row],[Task Name]]="","",IF(N(Tasks[[#This Row],[Baseline Start]])&gt;0,Tasks[[#This Row],[Baseline Start]],Tasks[[#This Row],[_CalcStart]]))</f>
        <v/>
      </c>
      <c r="Q91" s="24" t="str">
        <f aca="false">IF(Tasks[[#This Row],[Task Name]]="","",IF(N(Tasks[[#This Row],[Baseline Finish]])&gt;0,Tasks[[#This Row],[Baseline Finish]],Tasks[[#This Row],[_CalcFinish]]))</f>
        <v/>
      </c>
      <c r="R91" s="29"/>
      <c r="S91" s="29"/>
      <c r="T9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1" s="31"/>
      <c r="AA9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1" s="41"/>
      <c r="AD91" s="31"/>
      <c r="AE9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1" s="41"/>
      <c r="AJ91" s="24" t="str">
        <f aca="false">IF(Tasks[[#This Row],[Task Name]]="","",Tasks[[#This Row],[Forecast Start]])</f>
        <v/>
      </c>
      <c r="AK91" s="24" t="str">
        <f aca="false">IF(Tasks[[#This Row],[Task Name]]="","",Tasks[[#This Row],[Forecast Finish]])</f>
        <v/>
      </c>
      <c r="AL9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1" s="43" t="str">
        <f aca="false">IF(Tasks[[#This Row],[Task Name]]="","",Tasks[[#This Row],[Work]])</f>
        <v/>
      </c>
      <c r="AN91" s="44" t="str">
        <f aca="false">IF(Tasks[[#This Row],[Task Name]]="","",Tasks[[#This Row],[Cost]])</f>
        <v/>
      </c>
      <c r="AO91" s="29"/>
      <c r="AP91" s="29"/>
      <c r="AQ91" s="39"/>
      <c r="AR91" s="45"/>
      <c r="AS91" s="46"/>
      <c r="AT91" s="40" t="str">
        <f aca="false">IF(OR(Tasks[[#This Row],[Task Name]]="",Tasks[[#This Row],[Baseline Duration]]=""),"",Tasks[[#This Row],[BL Source Duration]]-N(Tasks[[#This Row],[Baseline Duration]]))</f>
        <v/>
      </c>
      <c r="AU91" s="43" t="str">
        <f aca="false">IF(OR(Tasks[[#This Row],[Task Name]]="",Tasks[[#This Row],[Baseline Work]]=""),"",Tasks[[#This Row],[Work]]-N(Tasks[[#This Row],[Baseline Work]]))</f>
        <v/>
      </c>
      <c r="AV91" s="44" t="str">
        <f aca="false">IF(OR(Tasks[[#This Row],[Task Name]]="",Tasks[[#This Row],[Baseline Cost]]=""),"",Tasks[[#This Row],[Cost]]-N(Tasks[[#This Row],[Baseline Cost]]))</f>
        <v/>
      </c>
      <c r="AW91" s="47" t="str">
        <f aca="false">IF(Tasks[[#This Row],[Task Name]]="","",MAX(1,N(Tasks[[#This Row],[Level]])))</f>
        <v/>
      </c>
      <c r="AX91" s="47" t="n">
        <f aca="false">ROW()-ROW(Tasks[[#Headers],[ID]])</f>
        <v>86</v>
      </c>
      <c r="AY9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1" s="47" t="n">
        <f aca="false">IFERROR(N(INDEX(Tasks[_Level],Tasks[[#This Row],[_Row]]+1)),0)</f>
        <v>0</v>
      </c>
      <c r="BA91" s="48" t="b">
        <f aca="false">AND(Tasks[[#This Row],[Task Name]]&lt;&gt;"",Tasks[[#This Row],[_NextLevel]]&gt;Tasks[[#This Row],[_Level]])</f>
        <v>0</v>
      </c>
      <c r="BB91" s="47" t="n">
        <f aca="false">IF(Tasks[[#This Row],[_IsSummary]],COUNTIF(Tasks[WBS],Tasks[[#This Row],[WBS]]&amp;".*"),0)</f>
        <v>0</v>
      </c>
      <c r="BC91" s="47" t="n">
        <f aca="false">IF(AND(Tasks[[#This Row],[Task Name]]&lt;&gt;"",NOT(Tasks[[#This Row],[_IsSummary]])),1,0)</f>
        <v>0</v>
      </c>
      <c r="BD91" s="47" t="n">
        <f aca="false">IF(N(Tasks[[#This Row],[Pred1 UID]])=0,0,IFERROR(MATCH(Tasks[[#This Row],[Pred1 UID]],Tasks[UID],0),-1))</f>
        <v>0</v>
      </c>
      <c r="BE91" s="47" t="n">
        <f aca="false">IF(N(Tasks[[#This Row],[Pred2 UID]])=0,0,IFERROR(MATCH(Tasks[[#This Row],[Pred2 UID]],Tasks[UID],0),-1))</f>
        <v>0</v>
      </c>
      <c r="BF9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1" s="47" t="n">
        <f aca="false">IF(NOT(Tasks[[#This Row],[_IsLeaf]]=1),0,IF(N(Tasks[[#This Row],[Actual Finish]])&gt;0,1,MIN(1,N(Tasks[[#This Row],[% Complete]]))))</f>
        <v>0</v>
      </c>
      <c r="BK9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1" s="47" t="n">
        <f aca="false">IF(Tasks[[#This Row],[_LeafWork]]=0,0,Tasks[[#This Row],[_LeafWork]]*IFERROR(INDEX(res_Rate,MATCH(Tasks[[#This Row],[Resource]],res_Name,0)),0))</f>
        <v>0</v>
      </c>
      <c r="BM9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1" s="47" t="n">
        <f aca="false">IF(AND(Tasks[[#This Row],[_IsLeaf]]=1,Tasks[[#This Row],[_LeafWork]]&gt;0),NETWORKDAYS.INTL(ProjectStart,Tasks[[#This Row],[_LeafFcstStart]],WorkWeek,Holidays),0)</f>
        <v>0</v>
      </c>
      <c r="BV9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1" s="47" t="n">
        <f aca="false">IF(AND(Tasks[[#This Row],[_IsLeaf]]=1,Tasks[[#This Row],[_LeafWork]]&gt;0),Tasks[[#This Row],[_LeafWork]]/(Tasks[[#This Row],[_FinishWorkday]]-Tasks[[#This Row],[_StartWorkday]]+1),0)</f>
        <v>0</v>
      </c>
      <c r="BX91" s="47" t="n">
        <f aca="false">Tasks[[#This Row],[_WorkPerWorkday]]*(Tasks[[#This Row],[_StartWorkday]]-1)</f>
        <v>-0</v>
      </c>
      <c r="BY91" s="47" t="n">
        <f aca="false">IF(Tasks[[#This Row],[_IsLeaf]]=1,MAX(N(Tasks[[#This Row],[Duration]]),0.1),0)</f>
        <v>0</v>
      </c>
      <c r="BZ91" s="47" t="n">
        <f aca="false">Tasks[[#This Row],[_WeightDur]]*Tasks[[#This Row],[_LeafProgress]]</f>
        <v>0</v>
      </c>
      <c r="CA9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2" customFormat="false" ht="15" hidden="false" customHeight="false" outlineLevel="0" collapsed="false">
      <c r="A92" s="38" t="str">
        <f aca="false">IF(Tasks[[#This Row],[Task Name]]="","",COUNTA(Tasks[[#Headers],[Task Name]]:Tasks[[#This Row],[Task Name]])-1)</f>
        <v/>
      </c>
      <c r="B92" s="39" t="n">
        <v>87</v>
      </c>
      <c r="C9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2" s="39"/>
      <c r="E92" s="41"/>
      <c r="F92" s="39"/>
      <c r="G92" s="39"/>
      <c r="H92" s="39"/>
      <c r="I92" s="39"/>
      <c r="J92" s="39"/>
      <c r="K92" s="39"/>
      <c r="L92" s="39"/>
      <c r="M92" s="39"/>
      <c r="N92" s="29"/>
      <c r="O92" s="29"/>
      <c r="P92" s="24" t="str">
        <f aca="false">IF(Tasks[[#This Row],[Task Name]]="","",IF(N(Tasks[[#This Row],[Baseline Start]])&gt;0,Tasks[[#This Row],[Baseline Start]],Tasks[[#This Row],[_CalcStart]]))</f>
        <v/>
      </c>
      <c r="Q92" s="24" t="str">
        <f aca="false">IF(Tasks[[#This Row],[Task Name]]="","",IF(N(Tasks[[#This Row],[Baseline Finish]])&gt;0,Tasks[[#This Row],[Baseline Finish]],Tasks[[#This Row],[_CalcFinish]]))</f>
        <v/>
      </c>
      <c r="R92" s="29"/>
      <c r="S92" s="29"/>
      <c r="T9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2" s="31"/>
      <c r="AA9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2" s="41"/>
      <c r="AD92" s="31"/>
      <c r="AE9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2" s="41"/>
      <c r="AJ92" s="24" t="str">
        <f aca="false">IF(Tasks[[#This Row],[Task Name]]="","",Tasks[[#This Row],[Forecast Start]])</f>
        <v/>
      </c>
      <c r="AK92" s="24" t="str">
        <f aca="false">IF(Tasks[[#This Row],[Task Name]]="","",Tasks[[#This Row],[Forecast Finish]])</f>
        <v/>
      </c>
      <c r="AL9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2" s="43" t="str">
        <f aca="false">IF(Tasks[[#This Row],[Task Name]]="","",Tasks[[#This Row],[Work]])</f>
        <v/>
      </c>
      <c r="AN92" s="44" t="str">
        <f aca="false">IF(Tasks[[#This Row],[Task Name]]="","",Tasks[[#This Row],[Cost]])</f>
        <v/>
      </c>
      <c r="AO92" s="29"/>
      <c r="AP92" s="29"/>
      <c r="AQ92" s="39"/>
      <c r="AR92" s="45"/>
      <c r="AS92" s="46"/>
      <c r="AT92" s="40" t="str">
        <f aca="false">IF(OR(Tasks[[#This Row],[Task Name]]="",Tasks[[#This Row],[Baseline Duration]]=""),"",Tasks[[#This Row],[BL Source Duration]]-N(Tasks[[#This Row],[Baseline Duration]]))</f>
        <v/>
      </c>
      <c r="AU92" s="43" t="str">
        <f aca="false">IF(OR(Tasks[[#This Row],[Task Name]]="",Tasks[[#This Row],[Baseline Work]]=""),"",Tasks[[#This Row],[Work]]-N(Tasks[[#This Row],[Baseline Work]]))</f>
        <v/>
      </c>
      <c r="AV92" s="44" t="str">
        <f aca="false">IF(OR(Tasks[[#This Row],[Task Name]]="",Tasks[[#This Row],[Baseline Cost]]=""),"",Tasks[[#This Row],[Cost]]-N(Tasks[[#This Row],[Baseline Cost]]))</f>
        <v/>
      </c>
      <c r="AW92" s="47" t="str">
        <f aca="false">IF(Tasks[[#This Row],[Task Name]]="","",MAX(1,N(Tasks[[#This Row],[Level]])))</f>
        <v/>
      </c>
      <c r="AX92" s="47" t="n">
        <f aca="false">ROW()-ROW(Tasks[[#Headers],[ID]])</f>
        <v>87</v>
      </c>
      <c r="AY9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2" s="47" t="n">
        <f aca="false">IFERROR(N(INDEX(Tasks[_Level],Tasks[[#This Row],[_Row]]+1)),0)</f>
        <v>0</v>
      </c>
      <c r="BA92" s="48" t="b">
        <f aca="false">AND(Tasks[[#This Row],[Task Name]]&lt;&gt;"",Tasks[[#This Row],[_NextLevel]]&gt;Tasks[[#This Row],[_Level]])</f>
        <v>0</v>
      </c>
      <c r="BB92" s="47" t="n">
        <f aca="false">IF(Tasks[[#This Row],[_IsSummary]],COUNTIF(Tasks[WBS],Tasks[[#This Row],[WBS]]&amp;".*"),0)</f>
        <v>0</v>
      </c>
      <c r="BC92" s="47" t="n">
        <f aca="false">IF(AND(Tasks[[#This Row],[Task Name]]&lt;&gt;"",NOT(Tasks[[#This Row],[_IsSummary]])),1,0)</f>
        <v>0</v>
      </c>
      <c r="BD92" s="47" t="n">
        <f aca="false">IF(N(Tasks[[#This Row],[Pred1 UID]])=0,0,IFERROR(MATCH(Tasks[[#This Row],[Pred1 UID]],Tasks[UID],0),-1))</f>
        <v>0</v>
      </c>
      <c r="BE92" s="47" t="n">
        <f aca="false">IF(N(Tasks[[#This Row],[Pred2 UID]])=0,0,IFERROR(MATCH(Tasks[[#This Row],[Pred2 UID]],Tasks[UID],0),-1))</f>
        <v>0</v>
      </c>
      <c r="BF9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2" s="47" t="n">
        <f aca="false">IF(NOT(Tasks[[#This Row],[_IsLeaf]]=1),0,IF(N(Tasks[[#This Row],[Actual Finish]])&gt;0,1,MIN(1,N(Tasks[[#This Row],[% Complete]]))))</f>
        <v>0</v>
      </c>
      <c r="BK9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2" s="47" t="n">
        <f aca="false">IF(Tasks[[#This Row],[_LeafWork]]=0,0,Tasks[[#This Row],[_LeafWork]]*IFERROR(INDEX(res_Rate,MATCH(Tasks[[#This Row],[Resource]],res_Name,0)),0))</f>
        <v>0</v>
      </c>
      <c r="BM9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2" s="47" t="n">
        <f aca="false">IF(AND(Tasks[[#This Row],[_IsLeaf]]=1,Tasks[[#This Row],[_LeafWork]]&gt;0),NETWORKDAYS.INTL(ProjectStart,Tasks[[#This Row],[_LeafFcstStart]],WorkWeek,Holidays),0)</f>
        <v>0</v>
      </c>
      <c r="BV9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2" s="47" t="n">
        <f aca="false">IF(AND(Tasks[[#This Row],[_IsLeaf]]=1,Tasks[[#This Row],[_LeafWork]]&gt;0),Tasks[[#This Row],[_LeafWork]]/(Tasks[[#This Row],[_FinishWorkday]]-Tasks[[#This Row],[_StartWorkday]]+1),0)</f>
        <v>0</v>
      </c>
      <c r="BX92" s="47" t="n">
        <f aca="false">Tasks[[#This Row],[_WorkPerWorkday]]*(Tasks[[#This Row],[_StartWorkday]]-1)</f>
        <v>-0</v>
      </c>
      <c r="BY92" s="47" t="n">
        <f aca="false">IF(Tasks[[#This Row],[_IsLeaf]]=1,MAX(N(Tasks[[#This Row],[Duration]]),0.1),0)</f>
        <v>0</v>
      </c>
      <c r="BZ92" s="47" t="n">
        <f aca="false">Tasks[[#This Row],[_WeightDur]]*Tasks[[#This Row],[_LeafProgress]]</f>
        <v>0</v>
      </c>
      <c r="CA9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3" customFormat="false" ht="15" hidden="false" customHeight="false" outlineLevel="0" collapsed="false">
      <c r="A93" s="38" t="str">
        <f aca="false">IF(Tasks[[#This Row],[Task Name]]="","",COUNTA(Tasks[[#Headers],[Task Name]]:Tasks[[#This Row],[Task Name]])-1)</f>
        <v/>
      </c>
      <c r="B93" s="39" t="n">
        <v>88</v>
      </c>
      <c r="C9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3" s="39"/>
      <c r="E93" s="41"/>
      <c r="F93" s="39"/>
      <c r="G93" s="39"/>
      <c r="H93" s="39"/>
      <c r="I93" s="39"/>
      <c r="J93" s="39"/>
      <c r="K93" s="39"/>
      <c r="L93" s="39"/>
      <c r="M93" s="39"/>
      <c r="N93" s="29"/>
      <c r="O93" s="29"/>
      <c r="P93" s="24" t="str">
        <f aca="false">IF(Tasks[[#This Row],[Task Name]]="","",IF(N(Tasks[[#This Row],[Baseline Start]])&gt;0,Tasks[[#This Row],[Baseline Start]],Tasks[[#This Row],[_CalcStart]]))</f>
        <v/>
      </c>
      <c r="Q93" s="24" t="str">
        <f aca="false">IF(Tasks[[#This Row],[Task Name]]="","",IF(N(Tasks[[#This Row],[Baseline Finish]])&gt;0,Tasks[[#This Row],[Baseline Finish]],Tasks[[#This Row],[_CalcFinish]]))</f>
        <v/>
      </c>
      <c r="R93" s="29"/>
      <c r="S93" s="29"/>
      <c r="T9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3" s="31"/>
      <c r="AA9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3" s="41"/>
      <c r="AD93" s="31"/>
      <c r="AE9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3" s="41"/>
      <c r="AJ93" s="24" t="str">
        <f aca="false">IF(Tasks[[#This Row],[Task Name]]="","",Tasks[[#This Row],[Forecast Start]])</f>
        <v/>
      </c>
      <c r="AK93" s="24" t="str">
        <f aca="false">IF(Tasks[[#This Row],[Task Name]]="","",Tasks[[#This Row],[Forecast Finish]])</f>
        <v/>
      </c>
      <c r="AL9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3" s="43" t="str">
        <f aca="false">IF(Tasks[[#This Row],[Task Name]]="","",Tasks[[#This Row],[Work]])</f>
        <v/>
      </c>
      <c r="AN93" s="44" t="str">
        <f aca="false">IF(Tasks[[#This Row],[Task Name]]="","",Tasks[[#This Row],[Cost]])</f>
        <v/>
      </c>
      <c r="AO93" s="29"/>
      <c r="AP93" s="29"/>
      <c r="AQ93" s="39"/>
      <c r="AR93" s="45"/>
      <c r="AS93" s="46"/>
      <c r="AT93" s="40" t="str">
        <f aca="false">IF(OR(Tasks[[#This Row],[Task Name]]="",Tasks[[#This Row],[Baseline Duration]]=""),"",Tasks[[#This Row],[BL Source Duration]]-N(Tasks[[#This Row],[Baseline Duration]]))</f>
        <v/>
      </c>
      <c r="AU93" s="43" t="str">
        <f aca="false">IF(OR(Tasks[[#This Row],[Task Name]]="",Tasks[[#This Row],[Baseline Work]]=""),"",Tasks[[#This Row],[Work]]-N(Tasks[[#This Row],[Baseline Work]]))</f>
        <v/>
      </c>
      <c r="AV93" s="44" t="str">
        <f aca="false">IF(OR(Tasks[[#This Row],[Task Name]]="",Tasks[[#This Row],[Baseline Cost]]=""),"",Tasks[[#This Row],[Cost]]-N(Tasks[[#This Row],[Baseline Cost]]))</f>
        <v/>
      </c>
      <c r="AW93" s="47" t="str">
        <f aca="false">IF(Tasks[[#This Row],[Task Name]]="","",MAX(1,N(Tasks[[#This Row],[Level]])))</f>
        <v/>
      </c>
      <c r="AX93" s="47" t="n">
        <f aca="false">ROW()-ROW(Tasks[[#Headers],[ID]])</f>
        <v>88</v>
      </c>
      <c r="AY9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3" s="47" t="n">
        <f aca="false">IFERROR(N(INDEX(Tasks[_Level],Tasks[[#This Row],[_Row]]+1)),0)</f>
        <v>0</v>
      </c>
      <c r="BA93" s="48" t="b">
        <f aca="false">AND(Tasks[[#This Row],[Task Name]]&lt;&gt;"",Tasks[[#This Row],[_NextLevel]]&gt;Tasks[[#This Row],[_Level]])</f>
        <v>0</v>
      </c>
      <c r="BB93" s="47" t="n">
        <f aca="false">IF(Tasks[[#This Row],[_IsSummary]],COUNTIF(Tasks[WBS],Tasks[[#This Row],[WBS]]&amp;".*"),0)</f>
        <v>0</v>
      </c>
      <c r="BC93" s="47" t="n">
        <f aca="false">IF(AND(Tasks[[#This Row],[Task Name]]&lt;&gt;"",NOT(Tasks[[#This Row],[_IsSummary]])),1,0)</f>
        <v>0</v>
      </c>
      <c r="BD93" s="47" t="n">
        <f aca="false">IF(N(Tasks[[#This Row],[Pred1 UID]])=0,0,IFERROR(MATCH(Tasks[[#This Row],[Pred1 UID]],Tasks[UID],0),-1))</f>
        <v>0</v>
      </c>
      <c r="BE93" s="47" t="n">
        <f aca="false">IF(N(Tasks[[#This Row],[Pred2 UID]])=0,0,IFERROR(MATCH(Tasks[[#This Row],[Pred2 UID]],Tasks[UID],0),-1))</f>
        <v>0</v>
      </c>
      <c r="BF9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3" s="47" t="n">
        <f aca="false">IF(NOT(Tasks[[#This Row],[_IsLeaf]]=1),0,IF(N(Tasks[[#This Row],[Actual Finish]])&gt;0,1,MIN(1,N(Tasks[[#This Row],[% Complete]]))))</f>
        <v>0</v>
      </c>
      <c r="BK9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3" s="47" t="n">
        <f aca="false">IF(Tasks[[#This Row],[_LeafWork]]=0,0,Tasks[[#This Row],[_LeafWork]]*IFERROR(INDEX(res_Rate,MATCH(Tasks[[#This Row],[Resource]],res_Name,0)),0))</f>
        <v>0</v>
      </c>
      <c r="BM9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3" s="47" t="n">
        <f aca="false">IF(AND(Tasks[[#This Row],[_IsLeaf]]=1,Tasks[[#This Row],[_LeafWork]]&gt;0),NETWORKDAYS.INTL(ProjectStart,Tasks[[#This Row],[_LeafFcstStart]],WorkWeek,Holidays),0)</f>
        <v>0</v>
      </c>
      <c r="BV9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3" s="47" t="n">
        <f aca="false">IF(AND(Tasks[[#This Row],[_IsLeaf]]=1,Tasks[[#This Row],[_LeafWork]]&gt;0),Tasks[[#This Row],[_LeafWork]]/(Tasks[[#This Row],[_FinishWorkday]]-Tasks[[#This Row],[_StartWorkday]]+1),0)</f>
        <v>0</v>
      </c>
      <c r="BX93" s="47" t="n">
        <f aca="false">Tasks[[#This Row],[_WorkPerWorkday]]*(Tasks[[#This Row],[_StartWorkday]]-1)</f>
        <v>-0</v>
      </c>
      <c r="BY93" s="47" t="n">
        <f aca="false">IF(Tasks[[#This Row],[_IsLeaf]]=1,MAX(N(Tasks[[#This Row],[Duration]]),0.1),0)</f>
        <v>0</v>
      </c>
      <c r="BZ93" s="47" t="n">
        <f aca="false">Tasks[[#This Row],[_WeightDur]]*Tasks[[#This Row],[_LeafProgress]]</f>
        <v>0</v>
      </c>
      <c r="CA9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4" customFormat="false" ht="15" hidden="false" customHeight="false" outlineLevel="0" collapsed="false">
      <c r="A94" s="38" t="str">
        <f aca="false">IF(Tasks[[#This Row],[Task Name]]="","",COUNTA(Tasks[[#Headers],[Task Name]]:Tasks[[#This Row],[Task Name]])-1)</f>
        <v/>
      </c>
      <c r="B94" s="39" t="n">
        <v>89</v>
      </c>
      <c r="C9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4" s="39"/>
      <c r="E94" s="41"/>
      <c r="F94" s="39"/>
      <c r="G94" s="39"/>
      <c r="H94" s="39"/>
      <c r="I94" s="39"/>
      <c r="J94" s="39"/>
      <c r="K94" s="39"/>
      <c r="L94" s="39"/>
      <c r="M94" s="39"/>
      <c r="N94" s="29"/>
      <c r="O94" s="29"/>
      <c r="P94" s="24" t="str">
        <f aca="false">IF(Tasks[[#This Row],[Task Name]]="","",IF(N(Tasks[[#This Row],[Baseline Start]])&gt;0,Tasks[[#This Row],[Baseline Start]],Tasks[[#This Row],[_CalcStart]]))</f>
        <v/>
      </c>
      <c r="Q94" s="24" t="str">
        <f aca="false">IF(Tasks[[#This Row],[Task Name]]="","",IF(N(Tasks[[#This Row],[Baseline Finish]])&gt;0,Tasks[[#This Row],[Baseline Finish]],Tasks[[#This Row],[_CalcFinish]]))</f>
        <v/>
      </c>
      <c r="R94" s="29"/>
      <c r="S94" s="29"/>
      <c r="T9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4" s="31"/>
      <c r="AA9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4" s="41"/>
      <c r="AD94" s="31"/>
      <c r="AE9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4" s="41"/>
      <c r="AJ94" s="24" t="str">
        <f aca="false">IF(Tasks[[#This Row],[Task Name]]="","",Tasks[[#This Row],[Forecast Start]])</f>
        <v/>
      </c>
      <c r="AK94" s="24" t="str">
        <f aca="false">IF(Tasks[[#This Row],[Task Name]]="","",Tasks[[#This Row],[Forecast Finish]])</f>
        <v/>
      </c>
      <c r="AL9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4" s="43" t="str">
        <f aca="false">IF(Tasks[[#This Row],[Task Name]]="","",Tasks[[#This Row],[Work]])</f>
        <v/>
      </c>
      <c r="AN94" s="44" t="str">
        <f aca="false">IF(Tasks[[#This Row],[Task Name]]="","",Tasks[[#This Row],[Cost]])</f>
        <v/>
      </c>
      <c r="AO94" s="29"/>
      <c r="AP94" s="29"/>
      <c r="AQ94" s="39"/>
      <c r="AR94" s="45"/>
      <c r="AS94" s="46"/>
      <c r="AT94" s="40" t="str">
        <f aca="false">IF(OR(Tasks[[#This Row],[Task Name]]="",Tasks[[#This Row],[Baseline Duration]]=""),"",Tasks[[#This Row],[BL Source Duration]]-N(Tasks[[#This Row],[Baseline Duration]]))</f>
        <v/>
      </c>
      <c r="AU94" s="43" t="str">
        <f aca="false">IF(OR(Tasks[[#This Row],[Task Name]]="",Tasks[[#This Row],[Baseline Work]]=""),"",Tasks[[#This Row],[Work]]-N(Tasks[[#This Row],[Baseline Work]]))</f>
        <v/>
      </c>
      <c r="AV94" s="44" t="str">
        <f aca="false">IF(OR(Tasks[[#This Row],[Task Name]]="",Tasks[[#This Row],[Baseline Cost]]=""),"",Tasks[[#This Row],[Cost]]-N(Tasks[[#This Row],[Baseline Cost]]))</f>
        <v/>
      </c>
      <c r="AW94" s="47" t="str">
        <f aca="false">IF(Tasks[[#This Row],[Task Name]]="","",MAX(1,N(Tasks[[#This Row],[Level]])))</f>
        <v/>
      </c>
      <c r="AX94" s="47" t="n">
        <f aca="false">ROW()-ROW(Tasks[[#Headers],[ID]])</f>
        <v>89</v>
      </c>
      <c r="AY9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4" s="47" t="n">
        <f aca="false">IFERROR(N(INDEX(Tasks[_Level],Tasks[[#This Row],[_Row]]+1)),0)</f>
        <v>0</v>
      </c>
      <c r="BA94" s="48" t="b">
        <f aca="false">AND(Tasks[[#This Row],[Task Name]]&lt;&gt;"",Tasks[[#This Row],[_NextLevel]]&gt;Tasks[[#This Row],[_Level]])</f>
        <v>0</v>
      </c>
      <c r="BB94" s="47" t="n">
        <f aca="false">IF(Tasks[[#This Row],[_IsSummary]],COUNTIF(Tasks[WBS],Tasks[[#This Row],[WBS]]&amp;".*"),0)</f>
        <v>0</v>
      </c>
      <c r="BC94" s="47" t="n">
        <f aca="false">IF(AND(Tasks[[#This Row],[Task Name]]&lt;&gt;"",NOT(Tasks[[#This Row],[_IsSummary]])),1,0)</f>
        <v>0</v>
      </c>
      <c r="BD94" s="47" t="n">
        <f aca="false">IF(N(Tasks[[#This Row],[Pred1 UID]])=0,0,IFERROR(MATCH(Tasks[[#This Row],[Pred1 UID]],Tasks[UID],0),-1))</f>
        <v>0</v>
      </c>
      <c r="BE94" s="47" t="n">
        <f aca="false">IF(N(Tasks[[#This Row],[Pred2 UID]])=0,0,IFERROR(MATCH(Tasks[[#This Row],[Pred2 UID]],Tasks[UID],0),-1))</f>
        <v>0</v>
      </c>
      <c r="BF9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4" s="47" t="n">
        <f aca="false">IF(NOT(Tasks[[#This Row],[_IsLeaf]]=1),0,IF(N(Tasks[[#This Row],[Actual Finish]])&gt;0,1,MIN(1,N(Tasks[[#This Row],[% Complete]]))))</f>
        <v>0</v>
      </c>
      <c r="BK9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4" s="47" t="n">
        <f aca="false">IF(Tasks[[#This Row],[_LeafWork]]=0,0,Tasks[[#This Row],[_LeafWork]]*IFERROR(INDEX(res_Rate,MATCH(Tasks[[#This Row],[Resource]],res_Name,0)),0))</f>
        <v>0</v>
      </c>
      <c r="BM9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4" s="47" t="n">
        <f aca="false">IF(AND(Tasks[[#This Row],[_IsLeaf]]=1,Tasks[[#This Row],[_LeafWork]]&gt;0),NETWORKDAYS.INTL(ProjectStart,Tasks[[#This Row],[_LeafFcstStart]],WorkWeek,Holidays),0)</f>
        <v>0</v>
      </c>
      <c r="BV9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4" s="47" t="n">
        <f aca="false">IF(AND(Tasks[[#This Row],[_IsLeaf]]=1,Tasks[[#This Row],[_LeafWork]]&gt;0),Tasks[[#This Row],[_LeafWork]]/(Tasks[[#This Row],[_FinishWorkday]]-Tasks[[#This Row],[_StartWorkday]]+1),0)</f>
        <v>0</v>
      </c>
      <c r="BX94" s="47" t="n">
        <f aca="false">Tasks[[#This Row],[_WorkPerWorkday]]*(Tasks[[#This Row],[_StartWorkday]]-1)</f>
        <v>-0</v>
      </c>
      <c r="BY94" s="47" t="n">
        <f aca="false">IF(Tasks[[#This Row],[_IsLeaf]]=1,MAX(N(Tasks[[#This Row],[Duration]]),0.1),0)</f>
        <v>0</v>
      </c>
      <c r="BZ94" s="47" t="n">
        <f aca="false">Tasks[[#This Row],[_WeightDur]]*Tasks[[#This Row],[_LeafProgress]]</f>
        <v>0</v>
      </c>
      <c r="CA9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5" customFormat="false" ht="15" hidden="false" customHeight="false" outlineLevel="0" collapsed="false">
      <c r="A95" s="38" t="str">
        <f aca="false">IF(Tasks[[#This Row],[Task Name]]="","",COUNTA(Tasks[[#Headers],[Task Name]]:Tasks[[#This Row],[Task Name]])-1)</f>
        <v/>
      </c>
      <c r="B95" s="39" t="n">
        <v>90</v>
      </c>
      <c r="C9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5" s="39"/>
      <c r="E95" s="41"/>
      <c r="F95" s="39"/>
      <c r="G95" s="39"/>
      <c r="H95" s="39"/>
      <c r="I95" s="39"/>
      <c r="J95" s="39"/>
      <c r="K95" s="39"/>
      <c r="L95" s="39"/>
      <c r="M95" s="39"/>
      <c r="N95" s="29"/>
      <c r="O95" s="29"/>
      <c r="P95" s="24" t="str">
        <f aca="false">IF(Tasks[[#This Row],[Task Name]]="","",IF(N(Tasks[[#This Row],[Baseline Start]])&gt;0,Tasks[[#This Row],[Baseline Start]],Tasks[[#This Row],[_CalcStart]]))</f>
        <v/>
      </c>
      <c r="Q95" s="24" t="str">
        <f aca="false">IF(Tasks[[#This Row],[Task Name]]="","",IF(N(Tasks[[#This Row],[Baseline Finish]])&gt;0,Tasks[[#This Row],[Baseline Finish]],Tasks[[#This Row],[_CalcFinish]]))</f>
        <v/>
      </c>
      <c r="R95" s="29"/>
      <c r="S95" s="29"/>
      <c r="T9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5" s="31"/>
      <c r="AA9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5" s="41"/>
      <c r="AD95" s="31"/>
      <c r="AE9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5" s="41"/>
      <c r="AJ95" s="24" t="str">
        <f aca="false">IF(Tasks[[#This Row],[Task Name]]="","",Tasks[[#This Row],[Forecast Start]])</f>
        <v/>
      </c>
      <c r="AK95" s="24" t="str">
        <f aca="false">IF(Tasks[[#This Row],[Task Name]]="","",Tasks[[#This Row],[Forecast Finish]])</f>
        <v/>
      </c>
      <c r="AL9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5" s="43" t="str">
        <f aca="false">IF(Tasks[[#This Row],[Task Name]]="","",Tasks[[#This Row],[Work]])</f>
        <v/>
      </c>
      <c r="AN95" s="44" t="str">
        <f aca="false">IF(Tasks[[#This Row],[Task Name]]="","",Tasks[[#This Row],[Cost]])</f>
        <v/>
      </c>
      <c r="AO95" s="29"/>
      <c r="AP95" s="29"/>
      <c r="AQ95" s="39"/>
      <c r="AR95" s="45"/>
      <c r="AS95" s="46"/>
      <c r="AT95" s="40" t="str">
        <f aca="false">IF(OR(Tasks[[#This Row],[Task Name]]="",Tasks[[#This Row],[Baseline Duration]]=""),"",Tasks[[#This Row],[BL Source Duration]]-N(Tasks[[#This Row],[Baseline Duration]]))</f>
        <v/>
      </c>
      <c r="AU95" s="43" t="str">
        <f aca="false">IF(OR(Tasks[[#This Row],[Task Name]]="",Tasks[[#This Row],[Baseline Work]]=""),"",Tasks[[#This Row],[Work]]-N(Tasks[[#This Row],[Baseline Work]]))</f>
        <v/>
      </c>
      <c r="AV95" s="44" t="str">
        <f aca="false">IF(OR(Tasks[[#This Row],[Task Name]]="",Tasks[[#This Row],[Baseline Cost]]=""),"",Tasks[[#This Row],[Cost]]-N(Tasks[[#This Row],[Baseline Cost]]))</f>
        <v/>
      </c>
      <c r="AW95" s="47" t="str">
        <f aca="false">IF(Tasks[[#This Row],[Task Name]]="","",MAX(1,N(Tasks[[#This Row],[Level]])))</f>
        <v/>
      </c>
      <c r="AX95" s="47" t="n">
        <f aca="false">ROW()-ROW(Tasks[[#Headers],[ID]])</f>
        <v>90</v>
      </c>
      <c r="AY9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5" s="47" t="n">
        <f aca="false">IFERROR(N(INDEX(Tasks[_Level],Tasks[[#This Row],[_Row]]+1)),0)</f>
        <v>0</v>
      </c>
      <c r="BA95" s="48" t="b">
        <f aca="false">AND(Tasks[[#This Row],[Task Name]]&lt;&gt;"",Tasks[[#This Row],[_NextLevel]]&gt;Tasks[[#This Row],[_Level]])</f>
        <v>0</v>
      </c>
      <c r="BB95" s="47" t="n">
        <f aca="false">IF(Tasks[[#This Row],[_IsSummary]],COUNTIF(Tasks[WBS],Tasks[[#This Row],[WBS]]&amp;".*"),0)</f>
        <v>0</v>
      </c>
      <c r="BC95" s="47" t="n">
        <f aca="false">IF(AND(Tasks[[#This Row],[Task Name]]&lt;&gt;"",NOT(Tasks[[#This Row],[_IsSummary]])),1,0)</f>
        <v>0</v>
      </c>
      <c r="BD95" s="47" t="n">
        <f aca="false">IF(N(Tasks[[#This Row],[Pred1 UID]])=0,0,IFERROR(MATCH(Tasks[[#This Row],[Pred1 UID]],Tasks[UID],0),-1))</f>
        <v>0</v>
      </c>
      <c r="BE95" s="47" t="n">
        <f aca="false">IF(N(Tasks[[#This Row],[Pred2 UID]])=0,0,IFERROR(MATCH(Tasks[[#This Row],[Pred2 UID]],Tasks[UID],0),-1))</f>
        <v>0</v>
      </c>
      <c r="BF9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5" s="47" t="n">
        <f aca="false">IF(NOT(Tasks[[#This Row],[_IsLeaf]]=1),0,IF(N(Tasks[[#This Row],[Actual Finish]])&gt;0,1,MIN(1,N(Tasks[[#This Row],[% Complete]]))))</f>
        <v>0</v>
      </c>
      <c r="BK9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5" s="47" t="n">
        <f aca="false">IF(Tasks[[#This Row],[_LeafWork]]=0,0,Tasks[[#This Row],[_LeafWork]]*IFERROR(INDEX(res_Rate,MATCH(Tasks[[#This Row],[Resource]],res_Name,0)),0))</f>
        <v>0</v>
      </c>
      <c r="BM9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5" s="47" t="n">
        <f aca="false">IF(AND(Tasks[[#This Row],[_IsLeaf]]=1,Tasks[[#This Row],[_LeafWork]]&gt;0),NETWORKDAYS.INTL(ProjectStart,Tasks[[#This Row],[_LeafFcstStart]],WorkWeek,Holidays),0)</f>
        <v>0</v>
      </c>
      <c r="BV9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5" s="47" t="n">
        <f aca="false">IF(AND(Tasks[[#This Row],[_IsLeaf]]=1,Tasks[[#This Row],[_LeafWork]]&gt;0),Tasks[[#This Row],[_LeafWork]]/(Tasks[[#This Row],[_FinishWorkday]]-Tasks[[#This Row],[_StartWorkday]]+1),0)</f>
        <v>0</v>
      </c>
      <c r="BX95" s="47" t="n">
        <f aca="false">Tasks[[#This Row],[_WorkPerWorkday]]*(Tasks[[#This Row],[_StartWorkday]]-1)</f>
        <v>-0</v>
      </c>
      <c r="BY95" s="47" t="n">
        <f aca="false">IF(Tasks[[#This Row],[_IsLeaf]]=1,MAX(N(Tasks[[#This Row],[Duration]]),0.1),0)</f>
        <v>0</v>
      </c>
      <c r="BZ95" s="47" t="n">
        <f aca="false">Tasks[[#This Row],[_WeightDur]]*Tasks[[#This Row],[_LeafProgress]]</f>
        <v>0</v>
      </c>
      <c r="CA9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6" customFormat="false" ht="15" hidden="false" customHeight="false" outlineLevel="0" collapsed="false">
      <c r="A96" s="38" t="str">
        <f aca="false">IF(Tasks[[#This Row],[Task Name]]="","",COUNTA(Tasks[[#Headers],[Task Name]]:Tasks[[#This Row],[Task Name]])-1)</f>
        <v/>
      </c>
      <c r="B96" s="39" t="n">
        <v>91</v>
      </c>
      <c r="C9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6" s="39"/>
      <c r="E96" s="41"/>
      <c r="F96" s="39"/>
      <c r="G96" s="39"/>
      <c r="H96" s="39"/>
      <c r="I96" s="39"/>
      <c r="J96" s="39"/>
      <c r="K96" s="39"/>
      <c r="L96" s="39"/>
      <c r="M96" s="39"/>
      <c r="N96" s="29"/>
      <c r="O96" s="29"/>
      <c r="P96" s="24" t="str">
        <f aca="false">IF(Tasks[[#This Row],[Task Name]]="","",IF(N(Tasks[[#This Row],[Baseline Start]])&gt;0,Tasks[[#This Row],[Baseline Start]],Tasks[[#This Row],[_CalcStart]]))</f>
        <v/>
      </c>
      <c r="Q96" s="24" t="str">
        <f aca="false">IF(Tasks[[#This Row],[Task Name]]="","",IF(N(Tasks[[#This Row],[Baseline Finish]])&gt;0,Tasks[[#This Row],[Baseline Finish]],Tasks[[#This Row],[_CalcFinish]]))</f>
        <v/>
      </c>
      <c r="R96" s="29"/>
      <c r="S96" s="29"/>
      <c r="T9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6" s="31"/>
      <c r="AA9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6" s="41"/>
      <c r="AD96" s="31"/>
      <c r="AE9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6" s="41"/>
      <c r="AJ96" s="24" t="str">
        <f aca="false">IF(Tasks[[#This Row],[Task Name]]="","",Tasks[[#This Row],[Forecast Start]])</f>
        <v/>
      </c>
      <c r="AK96" s="24" t="str">
        <f aca="false">IF(Tasks[[#This Row],[Task Name]]="","",Tasks[[#This Row],[Forecast Finish]])</f>
        <v/>
      </c>
      <c r="AL9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6" s="43" t="str">
        <f aca="false">IF(Tasks[[#This Row],[Task Name]]="","",Tasks[[#This Row],[Work]])</f>
        <v/>
      </c>
      <c r="AN96" s="44" t="str">
        <f aca="false">IF(Tasks[[#This Row],[Task Name]]="","",Tasks[[#This Row],[Cost]])</f>
        <v/>
      </c>
      <c r="AO96" s="29"/>
      <c r="AP96" s="29"/>
      <c r="AQ96" s="39"/>
      <c r="AR96" s="45"/>
      <c r="AS96" s="46"/>
      <c r="AT96" s="40" t="str">
        <f aca="false">IF(OR(Tasks[[#This Row],[Task Name]]="",Tasks[[#This Row],[Baseline Duration]]=""),"",Tasks[[#This Row],[BL Source Duration]]-N(Tasks[[#This Row],[Baseline Duration]]))</f>
        <v/>
      </c>
      <c r="AU96" s="43" t="str">
        <f aca="false">IF(OR(Tasks[[#This Row],[Task Name]]="",Tasks[[#This Row],[Baseline Work]]=""),"",Tasks[[#This Row],[Work]]-N(Tasks[[#This Row],[Baseline Work]]))</f>
        <v/>
      </c>
      <c r="AV96" s="44" t="str">
        <f aca="false">IF(OR(Tasks[[#This Row],[Task Name]]="",Tasks[[#This Row],[Baseline Cost]]=""),"",Tasks[[#This Row],[Cost]]-N(Tasks[[#This Row],[Baseline Cost]]))</f>
        <v/>
      </c>
      <c r="AW96" s="47" t="str">
        <f aca="false">IF(Tasks[[#This Row],[Task Name]]="","",MAX(1,N(Tasks[[#This Row],[Level]])))</f>
        <v/>
      </c>
      <c r="AX96" s="47" t="n">
        <f aca="false">ROW()-ROW(Tasks[[#Headers],[ID]])</f>
        <v>91</v>
      </c>
      <c r="AY9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6" s="47" t="n">
        <f aca="false">IFERROR(N(INDEX(Tasks[_Level],Tasks[[#This Row],[_Row]]+1)),0)</f>
        <v>0</v>
      </c>
      <c r="BA96" s="48" t="b">
        <f aca="false">AND(Tasks[[#This Row],[Task Name]]&lt;&gt;"",Tasks[[#This Row],[_NextLevel]]&gt;Tasks[[#This Row],[_Level]])</f>
        <v>0</v>
      </c>
      <c r="BB96" s="47" t="n">
        <f aca="false">IF(Tasks[[#This Row],[_IsSummary]],COUNTIF(Tasks[WBS],Tasks[[#This Row],[WBS]]&amp;".*"),0)</f>
        <v>0</v>
      </c>
      <c r="BC96" s="47" t="n">
        <f aca="false">IF(AND(Tasks[[#This Row],[Task Name]]&lt;&gt;"",NOT(Tasks[[#This Row],[_IsSummary]])),1,0)</f>
        <v>0</v>
      </c>
      <c r="BD96" s="47" t="n">
        <f aca="false">IF(N(Tasks[[#This Row],[Pred1 UID]])=0,0,IFERROR(MATCH(Tasks[[#This Row],[Pred1 UID]],Tasks[UID],0),-1))</f>
        <v>0</v>
      </c>
      <c r="BE96" s="47" t="n">
        <f aca="false">IF(N(Tasks[[#This Row],[Pred2 UID]])=0,0,IFERROR(MATCH(Tasks[[#This Row],[Pred2 UID]],Tasks[UID],0),-1))</f>
        <v>0</v>
      </c>
      <c r="BF9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6" s="47" t="n">
        <f aca="false">IF(NOT(Tasks[[#This Row],[_IsLeaf]]=1),0,IF(N(Tasks[[#This Row],[Actual Finish]])&gt;0,1,MIN(1,N(Tasks[[#This Row],[% Complete]]))))</f>
        <v>0</v>
      </c>
      <c r="BK9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6" s="47" t="n">
        <f aca="false">IF(Tasks[[#This Row],[_LeafWork]]=0,0,Tasks[[#This Row],[_LeafWork]]*IFERROR(INDEX(res_Rate,MATCH(Tasks[[#This Row],[Resource]],res_Name,0)),0))</f>
        <v>0</v>
      </c>
      <c r="BM9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6" s="47" t="n">
        <f aca="false">IF(AND(Tasks[[#This Row],[_IsLeaf]]=1,Tasks[[#This Row],[_LeafWork]]&gt;0),NETWORKDAYS.INTL(ProjectStart,Tasks[[#This Row],[_LeafFcstStart]],WorkWeek,Holidays),0)</f>
        <v>0</v>
      </c>
      <c r="BV9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6" s="47" t="n">
        <f aca="false">IF(AND(Tasks[[#This Row],[_IsLeaf]]=1,Tasks[[#This Row],[_LeafWork]]&gt;0),Tasks[[#This Row],[_LeafWork]]/(Tasks[[#This Row],[_FinishWorkday]]-Tasks[[#This Row],[_StartWorkday]]+1),0)</f>
        <v>0</v>
      </c>
      <c r="BX96" s="47" t="n">
        <f aca="false">Tasks[[#This Row],[_WorkPerWorkday]]*(Tasks[[#This Row],[_StartWorkday]]-1)</f>
        <v>-0</v>
      </c>
      <c r="BY96" s="47" t="n">
        <f aca="false">IF(Tasks[[#This Row],[_IsLeaf]]=1,MAX(N(Tasks[[#This Row],[Duration]]),0.1),0)</f>
        <v>0</v>
      </c>
      <c r="BZ96" s="47" t="n">
        <f aca="false">Tasks[[#This Row],[_WeightDur]]*Tasks[[#This Row],[_LeafProgress]]</f>
        <v>0</v>
      </c>
      <c r="CA9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7" customFormat="false" ht="15" hidden="false" customHeight="false" outlineLevel="0" collapsed="false">
      <c r="A97" s="38" t="str">
        <f aca="false">IF(Tasks[[#This Row],[Task Name]]="","",COUNTA(Tasks[[#Headers],[Task Name]]:Tasks[[#This Row],[Task Name]])-1)</f>
        <v/>
      </c>
      <c r="B97" s="39" t="n">
        <v>92</v>
      </c>
      <c r="C9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7" s="39"/>
      <c r="E97" s="41"/>
      <c r="F97" s="39"/>
      <c r="G97" s="39"/>
      <c r="H97" s="39"/>
      <c r="I97" s="39"/>
      <c r="J97" s="39"/>
      <c r="K97" s="39"/>
      <c r="L97" s="39"/>
      <c r="M97" s="39"/>
      <c r="N97" s="29"/>
      <c r="O97" s="29"/>
      <c r="P97" s="24" t="str">
        <f aca="false">IF(Tasks[[#This Row],[Task Name]]="","",IF(N(Tasks[[#This Row],[Baseline Start]])&gt;0,Tasks[[#This Row],[Baseline Start]],Tasks[[#This Row],[_CalcStart]]))</f>
        <v/>
      </c>
      <c r="Q97" s="24" t="str">
        <f aca="false">IF(Tasks[[#This Row],[Task Name]]="","",IF(N(Tasks[[#This Row],[Baseline Finish]])&gt;0,Tasks[[#This Row],[Baseline Finish]],Tasks[[#This Row],[_CalcFinish]]))</f>
        <v/>
      </c>
      <c r="R97" s="29"/>
      <c r="S97" s="29"/>
      <c r="T9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7" s="31"/>
      <c r="AA9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7" s="41"/>
      <c r="AD97" s="31"/>
      <c r="AE9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7" s="41"/>
      <c r="AJ97" s="24" t="str">
        <f aca="false">IF(Tasks[[#This Row],[Task Name]]="","",Tasks[[#This Row],[Forecast Start]])</f>
        <v/>
      </c>
      <c r="AK97" s="24" t="str">
        <f aca="false">IF(Tasks[[#This Row],[Task Name]]="","",Tasks[[#This Row],[Forecast Finish]])</f>
        <v/>
      </c>
      <c r="AL9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7" s="43" t="str">
        <f aca="false">IF(Tasks[[#This Row],[Task Name]]="","",Tasks[[#This Row],[Work]])</f>
        <v/>
      </c>
      <c r="AN97" s="44" t="str">
        <f aca="false">IF(Tasks[[#This Row],[Task Name]]="","",Tasks[[#This Row],[Cost]])</f>
        <v/>
      </c>
      <c r="AO97" s="29"/>
      <c r="AP97" s="29"/>
      <c r="AQ97" s="39"/>
      <c r="AR97" s="45"/>
      <c r="AS97" s="46"/>
      <c r="AT97" s="40" t="str">
        <f aca="false">IF(OR(Tasks[[#This Row],[Task Name]]="",Tasks[[#This Row],[Baseline Duration]]=""),"",Tasks[[#This Row],[BL Source Duration]]-N(Tasks[[#This Row],[Baseline Duration]]))</f>
        <v/>
      </c>
      <c r="AU97" s="43" t="str">
        <f aca="false">IF(OR(Tasks[[#This Row],[Task Name]]="",Tasks[[#This Row],[Baseline Work]]=""),"",Tasks[[#This Row],[Work]]-N(Tasks[[#This Row],[Baseline Work]]))</f>
        <v/>
      </c>
      <c r="AV97" s="44" t="str">
        <f aca="false">IF(OR(Tasks[[#This Row],[Task Name]]="",Tasks[[#This Row],[Baseline Cost]]=""),"",Tasks[[#This Row],[Cost]]-N(Tasks[[#This Row],[Baseline Cost]]))</f>
        <v/>
      </c>
      <c r="AW97" s="47" t="str">
        <f aca="false">IF(Tasks[[#This Row],[Task Name]]="","",MAX(1,N(Tasks[[#This Row],[Level]])))</f>
        <v/>
      </c>
      <c r="AX97" s="47" t="n">
        <f aca="false">ROW()-ROW(Tasks[[#Headers],[ID]])</f>
        <v>92</v>
      </c>
      <c r="AY9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7" s="47" t="n">
        <f aca="false">IFERROR(N(INDEX(Tasks[_Level],Tasks[[#This Row],[_Row]]+1)),0)</f>
        <v>0</v>
      </c>
      <c r="BA97" s="48" t="b">
        <f aca="false">AND(Tasks[[#This Row],[Task Name]]&lt;&gt;"",Tasks[[#This Row],[_NextLevel]]&gt;Tasks[[#This Row],[_Level]])</f>
        <v>0</v>
      </c>
      <c r="BB97" s="47" t="n">
        <f aca="false">IF(Tasks[[#This Row],[_IsSummary]],COUNTIF(Tasks[WBS],Tasks[[#This Row],[WBS]]&amp;".*"),0)</f>
        <v>0</v>
      </c>
      <c r="BC97" s="47" t="n">
        <f aca="false">IF(AND(Tasks[[#This Row],[Task Name]]&lt;&gt;"",NOT(Tasks[[#This Row],[_IsSummary]])),1,0)</f>
        <v>0</v>
      </c>
      <c r="BD97" s="47" t="n">
        <f aca="false">IF(N(Tasks[[#This Row],[Pred1 UID]])=0,0,IFERROR(MATCH(Tasks[[#This Row],[Pred1 UID]],Tasks[UID],0),-1))</f>
        <v>0</v>
      </c>
      <c r="BE97" s="47" t="n">
        <f aca="false">IF(N(Tasks[[#This Row],[Pred2 UID]])=0,0,IFERROR(MATCH(Tasks[[#This Row],[Pred2 UID]],Tasks[UID],0),-1))</f>
        <v>0</v>
      </c>
      <c r="BF9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7" s="47" t="n">
        <f aca="false">IF(NOT(Tasks[[#This Row],[_IsLeaf]]=1),0,IF(N(Tasks[[#This Row],[Actual Finish]])&gt;0,1,MIN(1,N(Tasks[[#This Row],[% Complete]]))))</f>
        <v>0</v>
      </c>
      <c r="BK9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7" s="47" t="n">
        <f aca="false">IF(Tasks[[#This Row],[_LeafWork]]=0,0,Tasks[[#This Row],[_LeafWork]]*IFERROR(INDEX(res_Rate,MATCH(Tasks[[#This Row],[Resource]],res_Name,0)),0))</f>
        <v>0</v>
      </c>
      <c r="BM9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7" s="47" t="n">
        <f aca="false">IF(AND(Tasks[[#This Row],[_IsLeaf]]=1,Tasks[[#This Row],[_LeafWork]]&gt;0),NETWORKDAYS.INTL(ProjectStart,Tasks[[#This Row],[_LeafFcstStart]],WorkWeek,Holidays),0)</f>
        <v>0</v>
      </c>
      <c r="BV9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7" s="47" t="n">
        <f aca="false">IF(AND(Tasks[[#This Row],[_IsLeaf]]=1,Tasks[[#This Row],[_LeafWork]]&gt;0),Tasks[[#This Row],[_LeafWork]]/(Tasks[[#This Row],[_FinishWorkday]]-Tasks[[#This Row],[_StartWorkday]]+1),0)</f>
        <v>0</v>
      </c>
      <c r="BX97" s="47" t="n">
        <f aca="false">Tasks[[#This Row],[_WorkPerWorkday]]*(Tasks[[#This Row],[_StartWorkday]]-1)</f>
        <v>-0</v>
      </c>
      <c r="BY97" s="47" t="n">
        <f aca="false">IF(Tasks[[#This Row],[_IsLeaf]]=1,MAX(N(Tasks[[#This Row],[Duration]]),0.1),0)</f>
        <v>0</v>
      </c>
      <c r="BZ97" s="47" t="n">
        <f aca="false">Tasks[[#This Row],[_WeightDur]]*Tasks[[#This Row],[_LeafProgress]]</f>
        <v>0</v>
      </c>
      <c r="CA9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8" customFormat="false" ht="15" hidden="false" customHeight="false" outlineLevel="0" collapsed="false">
      <c r="A98" s="38" t="str">
        <f aca="false">IF(Tasks[[#This Row],[Task Name]]="","",COUNTA(Tasks[[#Headers],[Task Name]]:Tasks[[#This Row],[Task Name]])-1)</f>
        <v/>
      </c>
      <c r="B98" s="39" t="n">
        <v>93</v>
      </c>
      <c r="C9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8" s="39"/>
      <c r="E98" s="41"/>
      <c r="F98" s="39"/>
      <c r="G98" s="39"/>
      <c r="H98" s="39"/>
      <c r="I98" s="39"/>
      <c r="J98" s="39"/>
      <c r="K98" s="39"/>
      <c r="L98" s="39"/>
      <c r="M98" s="39"/>
      <c r="N98" s="29"/>
      <c r="O98" s="29"/>
      <c r="P98" s="24" t="str">
        <f aca="false">IF(Tasks[[#This Row],[Task Name]]="","",IF(N(Tasks[[#This Row],[Baseline Start]])&gt;0,Tasks[[#This Row],[Baseline Start]],Tasks[[#This Row],[_CalcStart]]))</f>
        <v/>
      </c>
      <c r="Q98" s="24" t="str">
        <f aca="false">IF(Tasks[[#This Row],[Task Name]]="","",IF(N(Tasks[[#This Row],[Baseline Finish]])&gt;0,Tasks[[#This Row],[Baseline Finish]],Tasks[[#This Row],[_CalcFinish]]))</f>
        <v/>
      </c>
      <c r="R98" s="29"/>
      <c r="S98" s="29"/>
      <c r="T9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8" s="31"/>
      <c r="AA9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8" s="41"/>
      <c r="AD98" s="31"/>
      <c r="AE9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8" s="41"/>
      <c r="AJ98" s="24" t="str">
        <f aca="false">IF(Tasks[[#This Row],[Task Name]]="","",Tasks[[#This Row],[Forecast Start]])</f>
        <v/>
      </c>
      <c r="AK98" s="24" t="str">
        <f aca="false">IF(Tasks[[#This Row],[Task Name]]="","",Tasks[[#This Row],[Forecast Finish]])</f>
        <v/>
      </c>
      <c r="AL9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8" s="43" t="str">
        <f aca="false">IF(Tasks[[#This Row],[Task Name]]="","",Tasks[[#This Row],[Work]])</f>
        <v/>
      </c>
      <c r="AN98" s="44" t="str">
        <f aca="false">IF(Tasks[[#This Row],[Task Name]]="","",Tasks[[#This Row],[Cost]])</f>
        <v/>
      </c>
      <c r="AO98" s="29"/>
      <c r="AP98" s="29"/>
      <c r="AQ98" s="39"/>
      <c r="AR98" s="45"/>
      <c r="AS98" s="46"/>
      <c r="AT98" s="40" t="str">
        <f aca="false">IF(OR(Tasks[[#This Row],[Task Name]]="",Tasks[[#This Row],[Baseline Duration]]=""),"",Tasks[[#This Row],[BL Source Duration]]-N(Tasks[[#This Row],[Baseline Duration]]))</f>
        <v/>
      </c>
      <c r="AU98" s="43" t="str">
        <f aca="false">IF(OR(Tasks[[#This Row],[Task Name]]="",Tasks[[#This Row],[Baseline Work]]=""),"",Tasks[[#This Row],[Work]]-N(Tasks[[#This Row],[Baseline Work]]))</f>
        <v/>
      </c>
      <c r="AV98" s="44" t="str">
        <f aca="false">IF(OR(Tasks[[#This Row],[Task Name]]="",Tasks[[#This Row],[Baseline Cost]]=""),"",Tasks[[#This Row],[Cost]]-N(Tasks[[#This Row],[Baseline Cost]]))</f>
        <v/>
      </c>
      <c r="AW98" s="47" t="str">
        <f aca="false">IF(Tasks[[#This Row],[Task Name]]="","",MAX(1,N(Tasks[[#This Row],[Level]])))</f>
        <v/>
      </c>
      <c r="AX98" s="47" t="n">
        <f aca="false">ROW()-ROW(Tasks[[#Headers],[ID]])</f>
        <v>93</v>
      </c>
      <c r="AY9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8" s="47" t="n">
        <f aca="false">IFERROR(N(INDEX(Tasks[_Level],Tasks[[#This Row],[_Row]]+1)),0)</f>
        <v>0</v>
      </c>
      <c r="BA98" s="48" t="b">
        <f aca="false">AND(Tasks[[#This Row],[Task Name]]&lt;&gt;"",Tasks[[#This Row],[_NextLevel]]&gt;Tasks[[#This Row],[_Level]])</f>
        <v>0</v>
      </c>
      <c r="BB98" s="47" t="n">
        <f aca="false">IF(Tasks[[#This Row],[_IsSummary]],COUNTIF(Tasks[WBS],Tasks[[#This Row],[WBS]]&amp;".*"),0)</f>
        <v>0</v>
      </c>
      <c r="BC98" s="47" t="n">
        <f aca="false">IF(AND(Tasks[[#This Row],[Task Name]]&lt;&gt;"",NOT(Tasks[[#This Row],[_IsSummary]])),1,0)</f>
        <v>0</v>
      </c>
      <c r="BD98" s="47" t="n">
        <f aca="false">IF(N(Tasks[[#This Row],[Pred1 UID]])=0,0,IFERROR(MATCH(Tasks[[#This Row],[Pred1 UID]],Tasks[UID],0),-1))</f>
        <v>0</v>
      </c>
      <c r="BE98" s="47" t="n">
        <f aca="false">IF(N(Tasks[[#This Row],[Pred2 UID]])=0,0,IFERROR(MATCH(Tasks[[#This Row],[Pred2 UID]],Tasks[UID],0),-1))</f>
        <v>0</v>
      </c>
      <c r="BF9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8" s="47" t="n">
        <f aca="false">IF(NOT(Tasks[[#This Row],[_IsLeaf]]=1),0,IF(N(Tasks[[#This Row],[Actual Finish]])&gt;0,1,MIN(1,N(Tasks[[#This Row],[% Complete]]))))</f>
        <v>0</v>
      </c>
      <c r="BK9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8" s="47" t="n">
        <f aca="false">IF(Tasks[[#This Row],[_LeafWork]]=0,0,Tasks[[#This Row],[_LeafWork]]*IFERROR(INDEX(res_Rate,MATCH(Tasks[[#This Row],[Resource]],res_Name,0)),0))</f>
        <v>0</v>
      </c>
      <c r="BM9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8" s="47" t="n">
        <f aca="false">IF(AND(Tasks[[#This Row],[_IsLeaf]]=1,Tasks[[#This Row],[_LeafWork]]&gt;0),NETWORKDAYS.INTL(ProjectStart,Tasks[[#This Row],[_LeafFcstStart]],WorkWeek,Holidays),0)</f>
        <v>0</v>
      </c>
      <c r="BV9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8" s="47" t="n">
        <f aca="false">IF(AND(Tasks[[#This Row],[_IsLeaf]]=1,Tasks[[#This Row],[_LeafWork]]&gt;0),Tasks[[#This Row],[_LeafWork]]/(Tasks[[#This Row],[_FinishWorkday]]-Tasks[[#This Row],[_StartWorkday]]+1),0)</f>
        <v>0</v>
      </c>
      <c r="BX98" s="47" t="n">
        <f aca="false">Tasks[[#This Row],[_WorkPerWorkday]]*(Tasks[[#This Row],[_StartWorkday]]-1)</f>
        <v>-0</v>
      </c>
      <c r="BY98" s="47" t="n">
        <f aca="false">IF(Tasks[[#This Row],[_IsLeaf]]=1,MAX(N(Tasks[[#This Row],[Duration]]),0.1),0)</f>
        <v>0</v>
      </c>
      <c r="BZ98" s="47" t="n">
        <f aca="false">Tasks[[#This Row],[_WeightDur]]*Tasks[[#This Row],[_LeafProgress]]</f>
        <v>0</v>
      </c>
      <c r="CA9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9" customFormat="false" ht="15" hidden="false" customHeight="false" outlineLevel="0" collapsed="false">
      <c r="A99" s="38" t="str">
        <f aca="false">IF(Tasks[[#This Row],[Task Name]]="","",COUNTA(Tasks[[#Headers],[Task Name]]:Tasks[[#This Row],[Task Name]])-1)</f>
        <v/>
      </c>
      <c r="B99" s="39" t="n">
        <v>94</v>
      </c>
      <c r="C9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9" s="39"/>
      <c r="E99" s="41"/>
      <c r="F99" s="39"/>
      <c r="G99" s="39"/>
      <c r="H99" s="39"/>
      <c r="I99" s="39"/>
      <c r="J99" s="39"/>
      <c r="K99" s="39"/>
      <c r="L99" s="39"/>
      <c r="M99" s="39"/>
      <c r="N99" s="29"/>
      <c r="O99" s="29"/>
      <c r="P99" s="24" t="str">
        <f aca="false">IF(Tasks[[#This Row],[Task Name]]="","",IF(N(Tasks[[#This Row],[Baseline Start]])&gt;0,Tasks[[#This Row],[Baseline Start]],Tasks[[#This Row],[_CalcStart]]))</f>
        <v/>
      </c>
      <c r="Q99" s="24" t="str">
        <f aca="false">IF(Tasks[[#This Row],[Task Name]]="","",IF(N(Tasks[[#This Row],[Baseline Finish]])&gt;0,Tasks[[#This Row],[Baseline Finish]],Tasks[[#This Row],[_CalcFinish]]))</f>
        <v/>
      </c>
      <c r="R99" s="29"/>
      <c r="S99" s="29"/>
      <c r="T9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9" s="31"/>
      <c r="AA9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9" s="41"/>
      <c r="AD99" s="31"/>
      <c r="AE9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9" s="41"/>
      <c r="AJ99" s="24" t="str">
        <f aca="false">IF(Tasks[[#This Row],[Task Name]]="","",Tasks[[#This Row],[Forecast Start]])</f>
        <v/>
      </c>
      <c r="AK99" s="24" t="str">
        <f aca="false">IF(Tasks[[#This Row],[Task Name]]="","",Tasks[[#This Row],[Forecast Finish]])</f>
        <v/>
      </c>
      <c r="AL9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9" s="43" t="str">
        <f aca="false">IF(Tasks[[#This Row],[Task Name]]="","",Tasks[[#This Row],[Work]])</f>
        <v/>
      </c>
      <c r="AN99" s="44" t="str">
        <f aca="false">IF(Tasks[[#This Row],[Task Name]]="","",Tasks[[#This Row],[Cost]])</f>
        <v/>
      </c>
      <c r="AO99" s="29"/>
      <c r="AP99" s="29"/>
      <c r="AQ99" s="39"/>
      <c r="AR99" s="45"/>
      <c r="AS99" s="46"/>
      <c r="AT99" s="40" t="str">
        <f aca="false">IF(OR(Tasks[[#This Row],[Task Name]]="",Tasks[[#This Row],[Baseline Duration]]=""),"",Tasks[[#This Row],[BL Source Duration]]-N(Tasks[[#This Row],[Baseline Duration]]))</f>
        <v/>
      </c>
      <c r="AU99" s="43" t="str">
        <f aca="false">IF(OR(Tasks[[#This Row],[Task Name]]="",Tasks[[#This Row],[Baseline Work]]=""),"",Tasks[[#This Row],[Work]]-N(Tasks[[#This Row],[Baseline Work]]))</f>
        <v/>
      </c>
      <c r="AV99" s="44" t="str">
        <f aca="false">IF(OR(Tasks[[#This Row],[Task Name]]="",Tasks[[#This Row],[Baseline Cost]]=""),"",Tasks[[#This Row],[Cost]]-N(Tasks[[#This Row],[Baseline Cost]]))</f>
        <v/>
      </c>
      <c r="AW99" s="47" t="str">
        <f aca="false">IF(Tasks[[#This Row],[Task Name]]="","",MAX(1,N(Tasks[[#This Row],[Level]])))</f>
        <v/>
      </c>
      <c r="AX99" s="47" t="n">
        <f aca="false">ROW()-ROW(Tasks[[#Headers],[ID]])</f>
        <v>94</v>
      </c>
      <c r="AY9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9" s="47" t="n">
        <f aca="false">IFERROR(N(INDEX(Tasks[_Level],Tasks[[#This Row],[_Row]]+1)),0)</f>
        <v>0</v>
      </c>
      <c r="BA99" s="48" t="b">
        <f aca="false">AND(Tasks[[#This Row],[Task Name]]&lt;&gt;"",Tasks[[#This Row],[_NextLevel]]&gt;Tasks[[#This Row],[_Level]])</f>
        <v>0</v>
      </c>
      <c r="BB99" s="47" t="n">
        <f aca="false">IF(Tasks[[#This Row],[_IsSummary]],COUNTIF(Tasks[WBS],Tasks[[#This Row],[WBS]]&amp;".*"),0)</f>
        <v>0</v>
      </c>
      <c r="BC99" s="47" t="n">
        <f aca="false">IF(AND(Tasks[[#This Row],[Task Name]]&lt;&gt;"",NOT(Tasks[[#This Row],[_IsSummary]])),1,0)</f>
        <v>0</v>
      </c>
      <c r="BD99" s="47" t="n">
        <f aca="false">IF(N(Tasks[[#This Row],[Pred1 UID]])=0,0,IFERROR(MATCH(Tasks[[#This Row],[Pred1 UID]],Tasks[UID],0),-1))</f>
        <v>0</v>
      </c>
      <c r="BE99" s="47" t="n">
        <f aca="false">IF(N(Tasks[[#This Row],[Pred2 UID]])=0,0,IFERROR(MATCH(Tasks[[#This Row],[Pred2 UID]],Tasks[UID],0),-1))</f>
        <v>0</v>
      </c>
      <c r="BF9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9" s="47" t="n">
        <f aca="false">IF(NOT(Tasks[[#This Row],[_IsLeaf]]=1),0,IF(N(Tasks[[#This Row],[Actual Finish]])&gt;0,1,MIN(1,N(Tasks[[#This Row],[% Complete]]))))</f>
        <v>0</v>
      </c>
      <c r="BK9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9" s="47" t="n">
        <f aca="false">IF(Tasks[[#This Row],[_LeafWork]]=0,0,Tasks[[#This Row],[_LeafWork]]*IFERROR(INDEX(res_Rate,MATCH(Tasks[[#This Row],[Resource]],res_Name,0)),0))</f>
        <v>0</v>
      </c>
      <c r="BM9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9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9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9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9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9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99" s="47" t="n">
        <f aca="false">IF(AND(Tasks[[#This Row],[_IsLeaf]]=1,Tasks[[#This Row],[_LeafWork]]&gt;0),NETWORKDAYS.INTL(ProjectStart,Tasks[[#This Row],[_LeafFcstStart]],WorkWeek,Holidays),0)</f>
        <v>0</v>
      </c>
      <c r="BV9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9" s="47" t="n">
        <f aca="false">IF(AND(Tasks[[#This Row],[_IsLeaf]]=1,Tasks[[#This Row],[_LeafWork]]&gt;0),Tasks[[#This Row],[_LeafWork]]/(Tasks[[#This Row],[_FinishWorkday]]-Tasks[[#This Row],[_StartWorkday]]+1),0)</f>
        <v>0</v>
      </c>
      <c r="BX99" s="47" t="n">
        <f aca="false">Tasks[[#This Row],[_WorkPerWorkday]]*(Tasks[[#This Row],[_StartWorkday]]-1)</f>
        <v>-0</v>
      </c>
      <c r="BY99" s="47" t="n">
        <f aca="false">IF(Tasks[[#This Row],[_IsLeaf]]=1,MAX(N(Tasks[[#This Row],[Duration]]),0.1),0)</f>
        <v>0</v>
      </c>
      <c r="BZ99" s="47" t="n">
        <f aca="false">Tasks[[#This Row],[_WeightDur]]*Tasks[[#This Row],[_LeafProgress]]</f>
        <v>0</v>
      </c>
      <c r="CA9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0" customFormat="false" ht="15" hidden="false" customHeight="false" outlineLevel="0" collapsed="false">
      <c r="A100" s="38" t="str">
        <f aca="false">IF(Tasks[[#This Row],[Task Name]]="","",COUNTA(Tasks[[#Headers],[Task Name]]:Tasks[[#This Row],[Task Name]])-1)</f>
        <v/>
      </c>
      <c r="B100" s="39" t="n">
        <v>95</v>
      </c>
      <c r="C10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0" s="39"/>
      <c r="E100" s="41"/>
      <c r="F100" s="39"/>
      <c r="G100" s="39"/>
      <c r="H100" s="39"/>
      <c r="I100" s="39"/>
      <c r="J100" s="39"/>
      <c r="K100" s="39"/>
      <c r="L100" s="39"/>
      <c r="M100" s="39"/>
      <c r="N100" s="29"/>
      <c r="O100" s="29"/>
      <c r="P100" s="24" t="str">
        <f aca="false">IF(Tasks[[#This Row],[Task Name]]="","",IF(N(Tasks[[#This Row],[Baseline Start]])&gt;0,Tasks[[#This Row],[Baseline Start]],Tasks[[#This Row],[_CalcStart]]))</f>
        <v/>
      </c>
      <c r="Q100" s="24" t="str">
        <f aca="false">IF(Tasks[[#This Row],[Task Name]]="","",IF(N(Tasks[[#This Row],[Baseline Finish]])&gt;0,Tasks[[#This Row],[Baseline Finish]],Tasks[[#This Row],[_CalcFinish]]))</f>
        <v/>
      </c>
      <c r="R100" s="29"/>
      <c r="S100" s="29"/>
      <c r="T10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0" s="31"/>
      <c r="AA10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0" s="41"/>
      <c r="AD100" s="31"/>
      <c r="AE10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0" s="41"/>
      <c r="AJ100" s="24" t="str">
        <f aca="false">IF(Tasks[[#This Row],[Task Name]]="","",Tasks[[#This Row],[Forecast Start]])</f>
        <v/>
      </c>
      <c r="AK100" s="24" t="str">
        <f aca="false">IF(Tasks[[#This Row],[Task Name]]="","",Tasks[[#This Row],[Forecast Finish]])</f>
        <v/>
      </c>
      <c r="AL10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0" s="43" t="str">
        <f aca="false">IF(Tasks[[#This Row],[Task Name]]="","",Tasks[[#This Row],[Work]])</f>
        <v/>
      </c>
      <c r="AN100" s="44" t="str">
        <f aca="false">IF(Tasks[[#This Row],[Task Name]]="","",Tasks[[#This Row],[Cost]])</f>
        <v/>
      </c>
      <c r="AO100" s="29"/>
      <c r="AP100" s="29"/>
      <c r="AQ100" s="39"/>
      <c r="AR100" s="45"/>
      <c r="AS100" s="46"/>
      <c r="AT100" s="40" t="str">
        <f aca="false">IF(OR(Tasks[[#This Row],[Task Name]]="",Tasks[[#This Row],[Baseline Duration]]=""),"",Tasks[[#This Row],[BL Source Duration]]-N(Tasks[[#This Row],[Baseline Duration]]))</f>
        <v/>
      </c>
      <c r="AU100" s="43" t="str">
        <f aca="false">IF(OR(Tasks[[#This Row],[Task Name]]="",Tasks[[#This Row],[Baseline Work]]=""),"",Tasks[[#This Row],[Work]]-N(Tasks[[#This Row],[Baseline Work]]))</f>
        <v/>
      </c>
      <c r="AV100" s="44" t="str">
        <f aca="false">IF(OR(Tasks[[#This Row],[Task Name]]="",Tasks[[#This Row],[Baseline Cost]]=""),"",Tasks[[#This Row],[Cost]]-N(Tasks[[#This Row],[Baseline Cost]]))</f>
        <v/>
      </c>
      <c r="AW100" s="47" t="str">
        <f aca="false">IF(Tasks[[#This Row],[Task Name]]="","",MAX(1,N(Tasks[[#This Row],[Level]])))</f>
        <v/>
      </c>
      <c r="AX100" s="47" t="n">
        <f aca="false">ROW()-ROW(Tasks[[#Headers],[ID]])</f>
        <v>95</v>
      </c>
      <c r="AY10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0" s="47" t="n">
        <f aca="false">IFERROR(N(INDEX(Tasks[_Level],Tasks[[#This Row],[_Row]]+1)),0)</f>
        <v>0</v>
      </c>
      <c r="BA100" s="48" t="b">
        <f aca="false">AND(Tasks[[#This Row],[Task Name]]&lt;&gt;"",Tasks[[#This Row],[_NextLevel]]&gt;Tasks[[#This Row],[_Level]])</f>
        <v>0</v>
      </c>
      <c r="BB100" s="47" t="n">
        <f aca="false">IF(Tasks[[#This Row],[_IsSummary]],COUNTIF(Tasks[WBS],Tasks[[#This Row],[WBS]]&amp;".*"),0)</f>
        <v>0</v>
      </c>
      <c r="BC100" s="47" t="n">
        <f aca="false">IF(AND(Tasks[[#This Row],[Task Name]]&lt;&gt;"",NOT(Tasks[[#This Row],[_IsSummary]])),1,0)</f>
        <v>0</v>
      </c>
      <c r="BD100" s="47" t="n">
        <f aca="false">IF(N(Tasks[[#This Row],[Pred1 UID]])=0,0,IFERROR(MATCH(Tasks[[#This Row],[Pred1 UID]],Tasks[UID],0),-1))</f>
        <v>0</v>
      </c>
      <c r="BE100" s="47" t="n">
        <f aca="false">IF(N(Tasks[[#This Row],[Pred2 UID]])=0,0,IFERROR(MATCH(Tasks[[#This Row],[Pred2 UID]],Tasks[UID],0),-1))</f>
        <v>0</v>
      </c>
      <c r="BF10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0" s="47" t="n">
        <f aca="false">IF(NOT(Tasks[[#This Row],[_IsLeaf]]=1),0,IF(N(Tasks[[#This Row],[Actual Finish]])&gt;0,1,MIN(1,N(Tasks[[#This Row],[% Complete]]))))</f>
        <v>0</v>
      </c>
      <c r="BK10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0" s="47" t="n">
        <f aca="false">IF(Tasks[[#This Row],[_LeafWork]]=0,0,Tasks[[#This Row],[_LeafWork]]*IFERROR(INDEX(res_Rate,MATCH(Tasks[[#This Row],[Resource]],res_Name,0)),0))</f>
        <v>0</v>
      </c>
      <c r="BM10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0" s="47" t="n">
        <f aca="false">IF(AND(Tasks[[#This Row],[_IsLeaf]]=1,Tasks[[#This Row],[_LeafWork]]&gt;0),NETWORKDAYS.INTL(ProjectStart,Tasks[[#This Row],[_LeafFcstStart]],WorkWeek,Holidays),0)</f>
        <v>0</v>
      </c>
      <c r="BV10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0" s="47" t="n">
        <f aca="false">IF(AND(Tasks[[#This Row],[_IsLeaf]]=1,Tasks[[#This Row],[_LeafWork]]&gt;0),Tasks[[#This Row],[_LeafWork]]/(Tasks[[#This Row],[_FinishWorkday]]-Tasks[[#This Row],[_StartWorkday]]+1),0)</f>
        <v>0</v>
      </c>
      <c r="BX100" s="47" t="n">
        <f aca="false">Tasks[[#This Row],[_WorkPerWorkday]]*(Tasks[[#This Row],[_StartWorkday]]-1)</f>
        <v>-0</v>
      </c>
      <c r="BY100" s="47" t="n">
        <f aca="false">IF(Tasks[[#This Row],[_IsLeaf]]=1,MAX(N(Tasks[[#This Row],[Duration]]),0.1),0)</f>
        <v>0</v>
      </c>
      <c r="BZ100" s="47" t="n">
        <f aca="false">Tasks[[#This Row],[_WeightDur]]*Tasks[[#This Row],[_LeafProgress]]</f>
        <v>0</v>
      </c>
      <c r="CA10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1" customFormat="false" ht="15" hidden="false" customHeight="false" outlineLevel="0" collapsed="false">
      <c r="A101" s="38" t="str">
        <f aca="false">IF(Tasks[[#This Row],[Task Name]]="","",COUNTA(Tasks[[#Headers],[Task Name]]:Tasks[[#This Row],[Task Name]])-1)</f>
        <v/>
      </c>
      <c r="B101" s="39" t="n">
        <v>96</v>
      </c>
      <c r="C10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1" s="39"/>
      <c r="E101" s="41"/>
      <c r="F101" s="39"/>
      <c r="G101" s="39"/>
      <c r="H101" s="39"/>
      <c r="I101" s="39"/>
      <c r="J101" s="39"/>
      <c r="K101" s="39"/>
      <c r="L101" s="39"/>
      <c r="M101" s="39"/>
      <c r="N101" s="29"/>
      <c r="O101" s="29"/>
      <c r="P101" s="24" t="str">
        <f aca="false">IF(Tasks[[#This Row],[Task Name]]="","",IF(N(Tasks[[#This Row],[Baseline Start]])&gt;0,Tasks[[#This Row],[Baseline Start]],Tasks[[#This Row],[_CalcStart]]))</f>
        <v/>
      </c>
      <c r="Q101" s="24" t="str">
        <f aca="false">IF(Tasks[[#This Row],[Task Name]]="","",IF(N(Tasks[[#This Row],[Baseline Finish]])&gt;0,Tasks[[#This Row],[Baseline Finish]],Tasks[[#This Row],[_CalcFinish]]))</f>
        <v/>
      </c>
      <c r="R101" s="29"/>
      <c r="S101" s="29"/>
      <c r="T10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1" s="31"/>
      <c r="AA10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1" s="41"/>
      <c r="AD101" s="31"/>
      <c r="AE10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1" s="41"/>
      <c r="AJ101" s="24" t="str">
        <f aca="false">IF(Tasks[[#This Row],[Task Name]]="","",Tasks[[#This Row],[Forecast Start]])</f>
        <v/>
      </c>
      <c r="AK101" s="24" t="str">
        <f aca="false">IF(Tasks[[#This Row],[Task Name]]="","",Tasks[[#This Row],[Forecast Finish]])</f>
        <v/>
      </c>
      <c r="AL10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1" s="43" t="str">
        <f aca="false">IF(Tasks[[#This Row],[Task Name]]="","",Tasks[[#This Row],[Work]])</f>
        <v/>
      </c>
      <c r="AN101" s="44" t="str">
        <f aca="false">IF(Tasks[[#This Row],[Task Name]]="","",Tasks[[#This Row],[Cost]])</f>
        <v/>
      </c>
      <c r="AO101" s="29"/>
      <c r="AP101" s="29"/>
      <c r="AQ101" s="39"/>
      <c r="AR101" s="45"/>
      <c r="AS101" s="46"/>
      <c r="AT101" s="40" t="str">
        <f aca="false">IF(OR(Tasks[[#This Row],[Task Name]]="",Tasks[[#This Row],[Baseline Duration]]=""),"",Tasks[[#This Row],[BL Source Duration]]-N(Tasks[[#This Row],[Baseline Duration]]))</f>
        <v/>
      </c>
      <c r="AU101" s="43" t="str">
        <f aca="false">IF(OR(Tasks[[#This Row],[Task Name]]="",Tasks[[#This Row],[Baseline Work]]=""),"",Tasks[[#This Row],[Work]]-N(Tasks[[#This Row],[Baseline Work]]))</f>
        <v/>
      </c>
      <c r="AV101" s="44" t="str">
        <f aca="false">IF(OR(Tasks[[#This Row],[Task Name]]="",Tasks[[#This Row],[Baseline Cost]]=""),"",Tasks[[#This Row],[Cost]]-N(Tasks[[#This Row],[Baseline Cost]]))</f>
        <v/>
      </c>
      <c r="AW101" s="47" t="str">
        <f aca="false">IF(Tasks[[#This Row],[Task Name]]="","",MAX(1,N(Tasks[[#This Row],[Level]])))</f>
        <v/>
      </c>
      <c r="AX101" s="47" t="n">
        <f aca="false">ROW()-ROW(Tasks[[#Headers],[ID]])</f>
        <v>96</v>
      </c>
      <c r="AY10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1" s="47" t="n">
        <f aca="false">IFERROR(N(INDEX(Tasks[_Level],Tasks[[#This Row],[_Row]]+1)),0)</f>
        <v>0</v>
      </c>
      <c r="BA101" s="48" t="b">
        <f aca="false">AND(Tasks[[#This Row],[Task Name]]&lt;&gt;"",Tasks[[#This Row],[_NextLevel]]&gt;Tasks[[#This Row],[_Level]])</f>
        <v>0</v>
      </c>
      <c r="BB101" s="47" t="n">
        <f aca="false">IF(Tasks[[#This Row],[_IsSummary]],COUNTIF(Tasks[WBS],Tasks[[#This Row],[WBS]]&amp;".*"),0)</f>
        <v>0</v>
      </c>
      <c r="BC101" s="47" t="n">
        <f aca="false">IF(AND(Tasks[[#This Row],[Task Name]]&lt;&gt;"",NOT(Tasks[[#This Row],[_IsSummary]])),1,0)</f>
        <v>0</v>
      </c>
      <c r="BD101" s="47" t="n">
        <f aca="false">IF(N(Tasks[[#This Row],[Pred1 UID]])=0,0,IFERROR(MATCH(Tasks[[#This Row],[Pred1 UID]],Tasks[UID],0),-1))</f>
        <v>0</v>
      </c>
      <c r="BE101" s="47" t="n">
        <f aca="false">IF(N(Tasks[[#This Row],[Pred2 UID]])=0,0,IFERROR(MATCH(Tasks[[#This Row],[Pred2 UID]],Tasks[UID],0),-1))</f>
        <v>0</v>
      </c>
      <c r="BF10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1" s="47" t="n">
        <f aca="false">IF(NOT(Tasks[[#This Row],[_IsLeaf]]=1),0,IF(N(Tasks[[#This Row],[Actual Finish]])&gt;0,1,MIN(1,N(Tasks[[#This Row],[% Complete]]))))</f>
        <v>0</v>
      </c>
      <c r="BK10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1" s="47" t="n">
        <f aca="false">IF(Tasks[[#This Row],[_LeafWork]]=0,0,Tasks[[#This Row],[_LeafWork]]*IFERROR(INDEX(res_Rate,MATCH(Tasks[[#This Row],[Resource]],res_Name,0)),0))</f>
        <v>0</v>
      </c>
      <c r="BM10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1" s="47" t="n">
        <f aca="false">IF(AND(Tasks[[#This Row],[_IsLeaf]]=1,Tasks[[#This Row],[_LeafWork]]&gt;0),NETWORKDAYS.INTL(ProjectStart,Tasks[[#This Row],[_LeafFcstStart]],WorkWeek,Holidays),0)</f>
        <v>0</v>
      </c>
      <c r="BV10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1" s="47" t="n">
        <f aca="false">IF(AND(Tasks[[#This Row],[_IsLeaf]]=1,Tasks[[#This Row],[_LeafWork]]&gt;0),Tasks[[#This Row],[_LeafWork]]/(Tasks[[#This Row],[_FinishWorkday]]-Tasks[[#This Row],[_StartWorkday]]+1),0)</f>
        <v>0</v>
      </c>
      <c r="BX101" s="47" t="n">
        <f aca="false">Tasks[[#This Row],[_WorkPerWorkday]]*(Tasks[[#This Row],[_StartWorkday]]-1)</f>
        <v>-0</v>
      </c>
      <c r="BY101" s="47" t="n">
        <f aca="false">IF(Tasks[[#This Row],[_IsLeaf]]=1,MAX(N(Tasks[[#This Row],[Duration]]),0.1),0)</f>
        <v>0</v>
      </c>
      <c r="BZ101" s="47" t="n">
        <f aca="false">Tasks[[#This Row],[_WeightDur]]*Tasks[[#This Row],[_LeafProgress]]</f>
        <v>0</v>
      </c>
      <c r="CA10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2" customFormat="false" ht="15" hidden="false" customHeight="false" outlineLevel="0" collapsed="false">
      <c r="A102" s="38" t="str">
        <f aca="false">IF(Tasks[[#This Row],[Task Name]]="","",COUNTA(Tasks[[#Headers],[Task Name]]:Tasks[[#This Row],[Task Name]])-1)</f>
        <v/>
      </c>
      <c r="B102" s="39" t="n">
        <v>97</v>
      </c>
      <c r="C10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2" s="39"/>
      <c r="E102" s="41"/>
      <c r="F102" s="39"/>
      <c r="G102" s="39"/>
      <c r="H102" s="39"/>
      <c r="I102" s="39"/>
      <c r="J102" s="39"/>
      <c r="K102" s="39"/>
      <c r="L102" s="39"/>
      <c r="M102" s="39"/>
      <c r="N102" s="29"/>
      <c r="O102" s="29"/>
      <c r="P102" s="24" t="str">
        <f aca="false">IF(Tasks[[#This Row],[Task Name]]="","",IF(N(Tasks[[#This Row],[Baseline Start]])&gt;0,Tasks[[#This Row],[Baseline Start]],Tasks[[#This Row],[_CalcStart]]))</f>
        <v/>
      </c>
      <c r="Q102" s="24" t="str">
        <f aca="false">IF(Tasks[[#This Row],[Task Name]]="","",IF(N(Tasks[[#This Row],[Baseline Finish]])&gt;0,Tasks[[#This Row],[Baseline Finish]],Tasks[[#This Row],[_CalcFinish]]))</f>
        <v/>
      </c>
      <c r="R102" s="29"/>
      <c r="S102" s="29"/>
      <c r="T10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2" s="31"/>
      <c r="AA10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2" s="41"/>
      <c r="AD102" s="31"/>
      <c r="AE10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2" s="41"/>
      <c r="AJ102" s="24" t="str">
        <f aca="false">IF(Tasks[[#This Row],[Task Name]]="","",Tasks[[#This Row],[Forecast Start]])</f>
        <v/>
      </c>
      <c r="AK102" s="24" t="str">
        <f aca="false">IF(Tasks[[#This Row],[Task Name]]="","",Tasks[[#This Row],[Forecast Finish]])</f>
        <v/>
      </c>
      <c r="AL10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2" s="43" t="str">
        <f aca="false">IF(Tasks[[#This Row],[Task Name]]="","",Tasks[[#This Row],[Work]])</f>
        <v/>
      </c>
      <c r="AN102" s="44" t="str">
        <f aca="false">IF(Tasks[[#This Row],[Task Name]]="","",Tasks[[#This Row],[Cost]])</f>
        <v/>
      </c>
      <c r="AO102" s="29"/>
      <c r="AP102" s="29"/>
      <c r="AQ102" s="39"/>
      <c r="AR102" s="45"/>
      <c r="AS102" s="46"/>
      <c r="AT102" s="40" t="str">
        <f aca="false">IF(OR(Tasks[[#This Row],[Task Name]]="",Tasks[[#This Row],[Baseline Duration]]=""),"",Tasks[[#This Row],[BL Source Duration]]-N(Tasks[[#This Row],[Baseline Duration]]))</f>
        <v/>
      </c>
      <c r="AU102" s="43" t="str">
        <f aca="false">IF(OR(Tasks[[#This Row],[Task Name]]="",Tasks[[#This Row],[Baseline Work]]=""),"",Tasks[[#This Row],[Work]]-N(Tasks[[#This Row],[Baseline Work]]))</f>
        <v/>
      </c>
      <c r="AV102" s="44" t="str">
        <f aca="false">IF(OR(Tasks[[#This Row],[Task Name]]="",Tasks[[#This Row],[Baseline Cost]]=""),"",Tasks[[#This Row],[Cost]]-N(Tasks[[#This Row],[Baseline Cost]]))</f>
        <v/>
      </c>
      <c r="AW102" s="47" t="str">
        <f aca="false">IF(Tasks[[#This Row],[Task Name]]="","",MAX(1,N(Tasks[[#This Row],[Level]])))</f>
        <v/>
      </c>
      <c r="AX102" s="47" t="n">
        <f aca="false">ROW()-ROW(Tasks[[#Headers],[ID]])</f>
        <v>97</v>
      </c>
      <c r="AY10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2" s="47" t="n">
        <f aca="false">IFERROR(N(INDEX(Tasks[_Level],Tasks[[#This Row],[_Row]]+1)),0)</f>
        <v>0</v>
      </c>
      <c r="BA102" s="48" t="b">
        <f aca="false">AND(Tasks[[#This Row],[Task Name]]&lt;&gt;"",Tasks[[#This Row],[_NextLevel]]&gt;Tasks[[#This Row],[_Level]])</f>
        <v>0</v>
      </c>
      <c r="BB102" s="47" t="n">
        <f aca="false">IF(Tasks[[#This Row],[_IsSummary]],COUNTIF(Tasks[WBS],Tasks[[#This Row],[WBS]]&amp;".*"),0)</f>
        <v>0</v>
      </c>
      <c r="BC102" s="47" t="n">
        <f aca="false">IF(AND(Tasks[[#This Row],[Task Name]]&lt;&gt;"",NOT(Tasks[[#This Row],[_IsSummary]])),1,0)</f>
        <v>0</v>
      </c>
      <c r="BD102" s="47" t="n">
        <f aca="false">IF(N(Tasks[[#This Row],[Pred1 UID]])=0,0,IFERROR(MATCH(Tasks[[#This Row],[Pred1 UID]],Tasks[UID],0),-1))</f>
        <v>0</v>
      </c>
      <c r="BE102" s="47" t="n">
        <f aca="false">IF(N(Tasks[[#This Row],[Pred2 UID]])=0,0,IFERROR(MATCH(Tasks[[#This Row],[Pred2 UID]],Tasks[UID],0),-1))</f>
        <v>0</v>
      </c>
      <c r="BF10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2" s="47" t="n">
        <f aca="false">IF(NOT(Tasks[[#This Row],[_IsLeaf]]=1),0,IF(N(Tasks[[#This Row],[Actual Finish]])&gt;0,1,MIN(1,N(Tasks[[#This Row],[% Complete]]))))</f>
        <v>0</v>
      </c>
      <c r="BK10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2" s="47" t="n">
        <f aca="false">IF(Tasks[[#This Row],[_LeafWork]]=0,0,Tasks[[#This Row],[_LeafWork]]*IFERROR(INDEX(res_Rate,MATCH(Tasks[[#This Row],[Resource]],res_Name,0)),0))</f>
        <v>0</v>
      </c>
      <c r="BM10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2" s="47" t="n">
        <f aca="false">IF(AND(Tasks[[#This Row],[_IsLeaf]]=1,Tasks[[#This Row],[_LeafWork]]&gt;0),NETWORKDAYS.INTL(ProjectStart,Tasks[[#This Row],[_LeafFcstStart]],WorkWeek,Holidays),0)</f>
        <v>0</v>
      </c>
      <c r="BV10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2" s="47" t="n">
        <f aca="false">IF(AND(Tasks[[#This Row],[_IsLeaf]]=1,Tasks[[#This Row],[_LeafWork]]&gt;0),Tasks[[#This Row],[_LeafWork]]/(Tasks[[#This Row],[_FinishWorkday]]-Tasks[[#This Row],[_StartWorkday]]+1),0)</f>
        <v>0</v>
      </c>
      <c r="BX102" s="47" t="n">
        <f aca="false">Tasks[[#This Row],[_WorkPerWorkday]]*(Tasks[[#This Row],[_StartWorkday]]-1)</f>
        <v>-0</v>
      </c>
      <c r="BY102" s="47" t="n">
        <f aca="false">IF(Tasks[[#This Row],[_IsLeaf]]=1,MAX(N(Tasks[[#This Row],[Duration]]),0.1),0)</f>
        <v>0</v>
      </c>
      <c r="BZ102" s="47" t="n">
        <f aca="false">Tasks[[#This Row],[_WeightDur]]*Tasks[[#This Row],[_LeafProgress]]</f>
        <v>0</v>
      </c>
      <c r="CA10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3" customFormat="false" ht="15" hidden="false" customHeight="false" outlineLevel="0" collapsed="false">
      <c r="A103" s="38" t="str">
        <f aca="false">IF(Tasks[[#This Row],[Task Name]]="","",COUNTA(Tasks[[#Headers],[Task Name]]:Tasks[[#This Row],[Task Name]])-1)</f>
        <v/>
      </c>
      <c r="B103" s="39" t="n">
        <v>98</v>
      </c>
      <c r="C10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3" s="39"/>
      <c r="E103" s="41"/>
      <c r="F103" s="39"/>
      <c r="G103" s="39"/>
      <c r="H103" s="39"/>
      <c r="I103" s="39"/>
      <c r="J103" s="39"/>
      <c r="K103" s="39"/>
      <c r="L103" s="39"/>
      <c r="M103" s="39"/>
      <c r="N103" s="29"/>
      <c r="O103" s="29"/>
      <c r="P103" s="24" t="str">
        <f aca="false">IF(Tasks[[#This Row],[Task Name]]="","",IF(N(Tasks[[#This Row],[Baseline Start]])&gt;0,Tasks[[#This Row],[Baseline Start]],Tasks[[#This Row],[_CalcStart]]))</f>
        <v/>
      </c>
      <c r="Q103" s="24" t="str">
        <f aca="false">IF(Tasks[[#This Row],[Task Name]]="","",IF(N(Tasks[[#This Row],[Baseline Finish]])&gt;0,Tasks[[#This Row],[Baseline Finish]],Tasks[[#This Row],[_CalcFinish]]))</f>
        <v/>
      </c>
      <c r="R103" s="29"/>
      <c r="S103" s="29"/>
      <c r="T10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3" s="31"/>
      <c r="AA10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3" s="41"/>
      <c r="AD103" s="31"/>
      <c r="AE10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3" s="41"/>
      <c r="AJ103" s="24" t="str">
        <f aca="false">IF(Tasks[[#This Row],[Task Name]]="","",Tasks[[#This Row],[Forecast Start]])</f>
        <v/>
      </c>
      <c r="AK103" s="24" t="str">
        <f aca="false">IF(Tasks[[#This Row],[Task Name]]="","",Tasks[[#This Row],[Forecast Finish]])</f>
        <v/>
      </c>
      <c r="AL10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3" s="43" t="str">
        <f aca="false">IF(Tasks[[#This Row],[Task Name]]="","",Tasks[[#This Row],[Work]])</f>
        <v/>
      </c>
      <c r="AN103" s="44" t="str">
        <f aca="false">IF(Tasks[[#This Row],[Task Name]]="","",Tasks[[#This Row],[Cost]])</f>
        <v/>
      </c>
      <c r="AO103" s="29"/>
      <c r="AP103" s="29"/>
      <c r="AQ103" s="39"/>
      <c r="AR103" s="45"/>
      <c r="AS103" s="46"/>
      <c r="AT103" s="40" t="str">
        <f aca="false">IF(OR(Tasks[[#This Row],[Task Name]]="",Tasks[[#This Row],[Baseline Duration]]=""),"",Tasks[[#This Row],[BL Source Duration]]-N(Tasks[[#This Row],[Baseline Duration]]))</f>
        <v/>
      </c>
      <c r="AU103" s="43" t="str">
        <f aca="false">IF(OR(Tasks[[#This Row],[Task Name]]="",Tasks[[#This Row],[Baseline Work]]=""),"",Tasks[[#This Row],[Work]]-N(Tasks[[#This Row],[Baseline Work]]))</f>
        <v/>
      </c>
      <c r="AV103" s="44" t="str">
        <f aca="false">IF(OR(Tasks[[#This Row],[Task Name]]="",Tasks[[#This Row],[Baseline Cost]]=""),"",Tasks[[#This Row],[Cost]]-N(Tasks[[#This Row],[Baseline Cost]]))</f>
        <v/>
      </c>
      <c r="AW103" s="47" t="str">
        <f aca="false">IF(Tasks[[#This Row],[Task Name]]="","",MAX(1,N(Tasks[[#This Row],[Level]])))</f>
        <v/>
      </c>
      <c r="AX103" s="47" t="n">
        <f aca="false">ROW()-ROW(Tasks[[#Headers],[ID]])</f>
        <v>98</v>
      </c>
      <c r="AY10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3" s="47" t="n">
        <f aca="false">IFERROR(N(INDEX(Tasks[_Level],Tasks[[#This Row],[_Row]]+1)),0)</f>
        <v>0</v>
      </c>
      <c r="BA103" s="48" t="b">
        <f aca="false">AND(Tasks[[#This Row],[Task Name]]&lt;&gt;"",Tasks[[#This Row],[_NextLevel]]&gt;Tasks[[#This Row],[_Level]])</f>
        <v>0</v>
      </c>
      <c r="BB103" s="47" t="n">
        <f aca="false">IF(Tasks[[#This Row],[_IsSummary]],COUNTIF(Tasks[WBS],Tasks[[#This Row],[WBS]]&amp;".*"),0)</f>
        <v>0</v>
      </c>
      <c r="BC103" s="47" t="n">
        <f aca="false">IF(AND(Tasks[[#This Row],[Task Name]]&lt;&gt;"",NOT(Tasks[[#This Row],[_IsSummary]])),1,0)</f>
        <v>0</v>
      </c>
      <c r="BD103" s="47" t="n">
        <f aca="false">IF(N(Tasks[[#This Row],[Pred1 UID]])=0,0,IFERROR(MATCH(Tasks[[#This Row],[Pred1 UID]],Tasks[UID],0),-1))</f>
        <v>0</v>
      </c>
      <c r="BE103" s="47" t="n">
        <f aca="false">IF(N(Tasks[[#This Row],[Pred2 UID]])=0,0,IFERROR(MATCH(Tasks[[#This Row],[Pred2 UID]],Tasks[UID],0),-1))</f>
        <v>0</v>
      </c>
      <c r="BF10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3" s="47" t="n">
        <f aca="false">IF(NOT(Tasks[[#This Row],[_IsLeaf]]=1),0,IF(N(Tasks[[#This Row],[Actual Finish]])&gt;0,1,MIN(1,N(Tasks[[#This Row],[% Complete]]))))</f>
        <v>0</v>
      </c>
      <c r="BK10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3" s="47" t="n">
        <f aca="false">IF(Tasks[[#This Row],[_LeafWork]]=0,0,Tasks[[#This Row],[_LeafWork]]*IFERROR(INDEX(res_Rate,MATCH(Tasks[[#This Row],[Resource]],res_Name,0)),0))</f>
        <v>0</v>
      </c>
      <c r="BM10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3" s="47" t="n">
        <f aca="false">IF(AND(Tasks[[#This Row],[_IsLeaf]]=1,Tasks[[#This Row],[_LeafWork]]&gt;0),NETWORKDAYS.INTL(ProjectStart,Tasks[[#This Row],[_LeafFcstStart]],WorkWeek,Holidays),0)</f>
        <v>0</v>
      </c>
      <c r="BV10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3" s="47" t="n">
        <f aca="false">IF(AND(Tasks[[#This Row],[_IsLeaf]]=1,Tasks[[#This Row],[_LeafWork]]&gt;0),Tasks[[#This Row],[_LeafWork]]/(Tasks[[#This Row],[_FinishWorkday]]-Tasks[[#This Row],[_StartWorkday]]+1),0)</f>
        <v>0</v>
      </c>
      <c r="BX103" s="47" t="n">
        <f aca="false">Tasks[[#This Row],[_WorkPerWorkday]]*(Tasks[[#This Row],[_StartWorkday]]-1)</f>
        <v>-0</v>
      </c>
      <c r="BY103" s="47" t="n">
        <f aca="false">IF(Tasks[[#This Row],[_IsLeaf]]=1,MAX(N(Tasks[[#This Row],[Duration]]),0.1),0)</f>
        <v>0</v>
      </c>
      <c r="BZ103" s="47" t="n">
        <f aca="false">Tasks[[#This Row],[_WeightDur]]*Tasks[[#This Row],[_LeafProgress]]</f>
        <v>0</v>
      </c>
      <c r="CA10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4" customFormat="false" ht="15" hidden="false" customHeight="false" outlineLevel="0" collapsed="false">
      <c r="A104" s="38" t="str">
        <f aca="false">IF(Tasks[[#This Row],[Task Name]]="","",COUNTA(Tasks[[#Headers],[Task Name]]:Tasks[[#This Row],[Task Name]])-1)</f>
        <v/>
      </c>
      <c r="B104" s="39" t="n">
        <v>99</v>
      </c>
      <c r="C10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4" s="39"/>
      <c r="E104" s="41"/>
      <c r="F104" s="39"/>
      <c r="G104" s="39"/>
      <c r="H104" s="39"/>
      <c r="I104" s="39"/>
      <c r="J104" s="39"/>
      <c r="K104" s="39"/>
      <c r="L104" s="39"/>
      <c r="M104" s="39"/>
      <c r="N104" s="29"/>
      <c r="O104" s="29"/>
      <c r="P104" s="24" t="str">
        <f aca="false">IF(Tasks[[#This Row],[Task Name]]="","",IF(N(Tasks[[#This Row],[Baseline Start]])&gt;0,Tasks[[#This Row],[Baseline Start]],Tasks[[#This Row],[_CalcStart]]))</f>
        <v/>
      </c>
      <c r="Q104" s="24" t="str">
        <f aca="false">IF(Tasks[[#This Row],[Task Name]]="","",IF(N(Tasks[[#This Row],[Baseline Finish]])&gt;0,Tasks[[#This Row],[Baseline Finish]],Tasks[[#This Row],[_CalcFinish]]))</f>
        <v/>
      </c>
      <c r="R104" s="29"/>
      <c r="S104" s="29"/>
      <c r="T10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4" s="31"/>
      <c r="AA10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4" s="41"/>
      <c r="AD104" s="31"/>
      <c r="AE10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4" s="41"/>
      <c r="AJ104" s="24" t="str">
        <f aca="false">IF(Tasks[[#This Row],[Task Name]]="","",Tasks[[#This Row],[Forecast Start]])</f>
        <v/>
      </c>
      <c r="AK104" s="24" t="str">
        <f aca="false">IF(Tasks[[#This Row],[Task Name]]="","",Tasks[[#This Row],[Forecast Finish]])</f>
        <v/>
      </c>
      <c r="AL10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4" s="43" t="str">
        <f aca="false">IF(Tasks[[#This Row],[Task Name]]="","",Tasks[[#This Row],[Work]])</f>
        <v/>
      </c>
      <c r="AN104" s="44" t="str">
        <f aca="false">IF(Tasks[[#This Row],[Task Name]]="","",Tasks[[#This Row],[Cost]])</f>
        <v/>
      </c>
      <c r="AO104" s="29"/>
      <c r="AP104" s="29"/>
      <c r="AQ104" s="39"/>
      <c r="AR104" s="45"/>
      <c r="AS104" s="46"/>
      <c r="AT104" s="40" t="str">
        <f aca="false">IF(OR(Tasks[[#This Row],[Task Name]]="",Tasks[[#This Row],[Baseline Duration]]=""),"",Tasks[[#This Row],[BL Source Duration]]-N(Tasks[[#This Row],[Baseline Duration]]))</f>
        <v/>
      </c>
      <c r="AU104" s="43" t="str">
        <f aca="false">IF(OR(Tasks[[#This Row],[Task Name]]="",Tasks[[#This Row],[Baseline Work]]=""),"",Tasks[[#This Row],[Work]]-N(Tasks[[#This Row],[Baseline Work]]))</f>
        <v/>
      </c>
      <c r="AV104" s="44" t="str">
        <f aca="false">IF(OR(Tasks[[#This Row],[Task Name]]="",Tasks[[#This Row],[Baseline Cost]]=""),"",Tasks[[#This Row],[Cost]]-N(Tasks[[#This Row],[Baseline Cost]]))</f>
        <v/>
      </c>
      <c r="AW104" s="47" t="str">
        <f aca="false">IF(Tasks[[#This Row],[Task Name]]="","",MAX(1,N(Tasks[[#This Row],[Level]])))</f>
        <v/>
      </c>
      <c r="AX104" s="47" t="n">
        <f aca="false">ROW()-ROW(Tasks[[#Headers],[ID]])</f>
        <v>99</v>
      </c>
      <c r="AY10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4" s="47" t="n">
        <f aca="false">IFERROR(N(INDEX(Tasks[_Level],Tasks[[#This Row],[_Row]]+1)),0)</f>
        <v>0</v>
      </c>
      <c r="BA104" s="48" t="b">
        <f aca="false">AND(Tasks[[#This Row],[Task Name]]&lt;&gt;"",Tasks[[#This Row],[_NextLevel]]&gt;Tasks[[#This Row],[_Level]])</f>
        <v>0</v>
      </c>
      <c r="BB104" s="47" t="n">
        <f aca="false">IF(Tasks[[#This Row],[_IsSummary]],COUNTIF(Tasks[WBS],Tasks[[#This Row],[WBS]]&amp;".*"),0)</f>
        <v>0</v>
      </c>
      <c r="BC104" s="47" t="n">
        <f aca="false">IF(AND(Tasks[[#This Row],[Task Name]]&lt;&gt;"",NOT(Tasks[[#This Row],[_IsSummary]])),1,0)</f>
        <v>0</v>
      </c>
      <c r="BD104" s="47" t="n">
        <f aca="false">IF(N(Tasks[[#This Row],[Pred1 UID]])=0,0,IFERROR(MATCH(Tasks[[#This Row],[Pred1 UID]],Tasks[UID],0),-1))</f>
        <v>0</v>
      </c>
      <c r="BE104" s="47" t="n">
        <f aca="false">IF(N(Tasks[[#This Row],[Pred2 UID]])=0,0,IFERROR(MATCH(Tasks[[#This Row],[Pred2 UID]],Tasks[UID],0),-1))</f>
        <v>0</v>
      </c>
      <c r="BF10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4" s="47" t="n">
        <f aca="false">IF(NOT(Tasks[[#This Row],[_IsLeaf]]=1),0,IF(N(Tasks[[#This Row],[Actual Finish]])&gt;0,1,MIN(1,N(Tasks[[#This Row],[% Complete]]))))</f>
        <v>0</v>
      </c>
      <c r="BK10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4" s="47" t="n">
        <f aca="false">IF(Tasks[[#This Row],[_LeafWork]]=0,0,Tasks[[#This Row],[_LeafWork]]*IFERROR(INDEX(res_Rate,MATCH(Tasks[[#This Row],[Resource]],res_Name,0)),0))</f>
        <v>0</v>
      </c>
      <c r="BM10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4" s="47" t="n">
        <f aca="false">IF(AND(Tasks[[#This Row],[_IsLeaf]]=1,Tasks[[#This Row],[_LeafWork]]&gt;0),NETWORKDAYS.INTL(ProjectStart,Tasks[[#This Row],[_LeafFcstStart]],WorkWeek,Holidays),0)</f>
        <v>0</v>
      </c>
      <c r="BV10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4" s="47" t="n">
        <f aca="false">IF(AND(Tasks[[#This Row],[_IsLeaf]]=1,Tasks[[#This Row],[_LeafWork]]&gt;0),Tasks[[#This Row],[_LeafWork]]/(Tasks[[#This Row],[_FinishWorkday]]-Tasks[[#This Row],[_StartWorkday]]+1),0)</f>
        <v>0</v>
      </c>
      <c r="BX104" s="47" t="n">
        <f aca="false">Tasks[[#This Row],[_WorkPerWorkday]]*(Tasks[[#This Row],[_StartWorkday]]-1)</f>
        <v>-0</v>
      </c>
      <c r="BY104" s="47" t="n">
        <f aca="false">IF(Tasks[[#This Row],[_IsLeaf]]=1,MAX(N(Tasks[[#This Row],[Duration]]),0.1),0)</f>
        <v>0</v>
      </c>
      <c r="BZ104" s="47" t="n">
        <f aca="false">Tasks[[#This Row],[_WeightDur]]*Tasks[[#This Row],[_LeafProgress]]</f>
        <v>0</v>
      </c>
      <c r="CA10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5" customFormat="false" ht="15" hidden="false" customHeight="false" outlineLevel="0" collapsed="false">
      <c r="A105" s="38" t="str">
        <f aca="false">IF(Tasks[[#This Row],[Task Name]]="","",COUNTA(Tasks[[#Headers],[Task Name]]:Tasks[[#This Row],[Task Name]])-1)</f>
        <v/>
      </c>
      <c r="B105" s="39" t="n">
        <v>100</v>
      </c>
      <c r="C10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5" s="39"/>
      <c r="E105" s="41"/>
      <c r="F105" s="39"/>
      <c r="G105" s="39"/>
      <c r="H105" s="39"/>
      <c r="I105" s="39"/>
      <c r="J105" s="39"/>
      <c r="K105" s="39"/>
      <c r="L105" s="39"/>
      <c r="M105" s="39"/>
      <c r="N105" s="29"/>
      <c r="O105" s="29"/>
      <c r="P105" s="24" t="str">
        <f aca="false">IF(Tasks[[#This Row],[Task Name]]="","",IF(N(Tasks[[#This Row],[Baseline Start]])&gt;0,Tasks[[#This Row],[Baseline Start]],Tasks[[#This Row],[_CalcStart]]))</f>
        <v/>
      </c>
      <c r="Q105" s="24" t="str">
        <f aca="false">IF(Tasks[[#This Row],[Task Name]]="","",IF(N(Tasks[[#This Row],[Baseline Finish]])&gt;0,Tasks[[#This Row],[Baseline Finish]],Tasks[[#This Row],[_CalcFinish]]))</f>
        <v/>
      </c>
      <c r="R105" s="29"/>
      <c r="S105" s="29"/>
      <c r="T10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5" s="31"/>
      <c r="AA10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5" s="41"/>
      <c r="AD105" s="31"/>
      <c r="AE10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5" s="41"/>
      <c r="AJ105" s="24" t="str">
        <f aca="false">IF(Tasks[[#This Row],[Task Name]]="","",Tasks[[#This Row],[Forecast Start]])</f>
        <v/>
      </c>
      <c r="AK105" s="24" t="str">
        <f aca="false">IF(Tasks[[#This Row],[Task Name]]="","",Tasks[[#This Row],[Forecast Finish]])</f>
        <v/>
      </c>
      <c r="AL10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5" s="43" t="str">
        <f aca="false">IF(Tasks[[#This Row],[Task Name]]="","",Tasks[[#This Row],[Work]])</f>
        <v/>
      </c>
      <c r="AN105" s="44" t="str">
        <f aca="false">IF(Tasks[[#This Row],[Task Name]]="","",Tasks[[#This Row],[Cost]])</f>
        <v/>
      </c>
      <c r="AO105" s="29"/>
      <c r="AP105" s="29"/>
      <c r="AQ105" s="39"/>
      <c r="AR105" s="45"/>
      <c r="AS105" s="46"/>
      <c r="AT105" s="40" t="str">
        <f aca="false">IF(OR(Tasks[[#This Row],[Task Name]]="",Tasks[[#This Row],[Baseline Duration]]=""),"",Tasks[[#This Row],[BL Source Duration]]-N(Tasks[[#This Row],[Baseline Duration]]))</f>
        <v/>
      </c>
      <c r="AU105" s="43" t="str">
        <f aca="false">IF(OR(Tasks[[#This Row],[Task Name]]="",Tasks[[#This Row],[Baseline Work]]=""),"",Tasks[[#This Row],[Work]]-N(Tasks[[#This Row],[Baseline Work]]))</f>
        <v/>
      </c>
      <c r="AV105" s="44" t="str">
        <f aca="false">IF(OR(Tasks[[#This Row],[Task Name]]="",Tasks[[#This Row],[Baseline Cost]]=""),"",Tasks[[#This Row],[Cost]]-N(Tasks[[#This Row],[Baseline Cost]]))</f>
        <v/>
      </c>
      <c r="AW105" s="47" t="str">
        <f aca="false">IF(Tasks[[#This Row],[Task Name]]="","",MAX(1,N(Tasks[[#This Row],[Level]])))</f>
        <v/>
      </c>
      <c r="AX105" s="47" t="n">
        <f aca="false">ROW()-ROW(Tasks[[#Headers],[ID]])</f>
        <v>100</v>
      </c>
      <c r="AY10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5" s="47" t="n">
        <f aca="false">IFERROR(N(INDEX(Tasks[_Level],Tasks[[#This Row],[_Row]]+1)),0)</f>
        <v>0</v>
      </c>
      <c r="BA105" s="48" t="b">
        <f aca="false">AND(Tasks[[#This Row],[Task Name]]&lt;&gt;"",Tasks[[#This Row],[_NextLevel]]&gt;Tasks[[#This Row],[_Level]])</f>
        <v>0</v>
      </c>
      <c r="BB105" s="47" t="n">
        <f aca="false">IF(Tasks[[#This Row],[_IsSummary]],COUNTIF(Tasks[WBS],Tasks[[#This Row],[WBS]]&amp;".*"),0)</f>
        <v>0</v>
      </c>
      <c r="BC105" s="47" t="n">
        <f aca="false">IF(AND(Tasks[[#This Row],[Task Name]]&lt;&gt;"",NOT(Tasks[[#This Row],[_IsSummary]])),1,0)</f>
        <v>0</v>
      </c>
      <c r="BD105" s="47" t="n">
        <f aca="false">IF(N(Tasks[[#This Row],[Pred1 UID]])=0,0,IFERROR(MATCH(Tasks[[#This Row],[Pred1 UID]],Tasks[UID],0),-1))</f>
        <v>0</v>
      </c>
      <c r="BE105" s="47" t="n">
        <f aca="false">IF(N(Tasks[[#This Row],[Pred2 UID]])=0,0,IFERROR(MATCH(Tasks[[#This Row],[Pred2 UID]],Tasks[UID],0),-1))</f>
        <v>0</v>
      </c>
      <c r="BF10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5" s="47" t="n">
        <f aca="false">IF(NOT(Tasks[[#This Row],[_IsLeaf]]=1),0,IF(N(Tasks[[#This Row],[Actual Finish]])&gt;0,1,MIN(1,N(Tasks[[#This Row],[% Complete]]))))</f>
        <v>0</v>
      </c>
      <c r="BK10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5" s="47" t="n">
        <f aca="false">IF(Tasks[[#This Row],[_LeafWork]]=0,0,Tasks[[#This Row],[_LeafWork]]*IFERROR(INDEX(res_Rate,MATCH(Tasks[[#This Row],[Resource]],res_Name,0)),0))</f>
        <v>0</v>
      </c>
      <c r="BM10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5" s="47" t="n">
        <f aca="false">IF(AND(Tasks[[#This Row],[_IsLeaf]]=1,Tasks[[#This Row],[_LeafWork]]&gt;0),NETWORKDAYS.INTL(ProjectStart,Tasks[[#This Row],[_LeafFcstStart]],WorkWeek,Holidays),0)</f>
        <v>0</v>
      </c>
      <c r="BV10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5" s="47" t="n">
        <f aca="false">IF(AND(Tasks[[#This Row],[_IsLeaf]]=1,Tasks[[#This Row],[_LeafWork]]&gt;0),Tasks[[#This Row],[_LeafWork]]/(Tasks[[#This Row],[_FinishWorkday]]-Tasks[[#This Row],[_StartWorkday]]+1),0)</f>
        <v>0</v>
      </c>
      <c r="BX105" s="47" t="n">
        <f aca="false">Tasks[[#This Row],[_WorkPerWorkday]]*(Tasks[[#This Row],[_StartWorkday]]-1)</f>
        <v>-0</v>
      </c>
      <c r="BY105" s="47" t="n">
        <f aca="false">IF(Tasks[[#This Row],[_IsLeaf]]=1,MAX(N(Tasks[[#This Row],[Duration]]),0.1),0)</f>
        <v>0</v>
      </c>
      <c r="BZ105" s="47" t="n">
        <f aca="false">Tasks[[#This Row],[_WeightDur]]*Tasks[[#This Row],[_LeafProgress]]</f>
        <v>0</v>
      </c>
      <c r="CA10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6" customFormat="false" ht="15" hidden="false" customHeight="false" outlineLevel="0" collapsed="false">
      <c r="A106" s="38" t="str">
        <f aca="false">IF(Tasks[[#This Row],[Task Name]]="","",COUNTA(Tasks[[#Headers],[Task Name]]:Tasks[[#This Row],[Task Name]])-1)</f>
        <v/>
      </c>
      <c r="B106" s="39" t="n">
        <v>101</v>
      </c>
      <c r="C10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6" s="39"/>
      <c r="E106" s="41"/>
      <c r="F106" s="39"/>
      <c r="G106" s="39"/>
      <c r="H106" s="39"/>
      <c r="I106" s="39"/>
      <c r="J106" s="39"/>
      <c r="K106" s="39"/>
      <c r="L106" s="39"/>
      <c r="M106" s="39"/>
      <c r="N106" s="29"/>
      <c r="O106" s="29"/>
      <c r="P106" s="24" t="str">
        <f aca="false">IF(Tasks[[#This Row],[Task Name]]="","",IF(N(Tasks[[#This Row],[Baseline Start]])&gt;0,Tasks[[#This Row],[Baseline Start]],Tasks[[#This Row],[_CalcStart]]))</f>
        <v/>
      </c>
      <c r="Q106" s="24" t="str">
        <f aca="false">IF(Tasks[[#This Row],[Task Name]]="","",IF(N(Tasks[[#This Row],[Baseline Finish]])&gt;0,Tasks[[#This Row],[Baseline Finish]],Tasks[[#This Row],[_CalcFinish]]))</f>
        <v/>
      </c>
      <c r="R106" s="29"/>
      <c r="S106" s="29"/>
      <c r="T10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6" s="31"/>
      <c r="AA10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6" s="41"/>
      <c r="AD106" s="31"/>
      <c r="AE10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6" s="41"/>
      <c r="AJ106" s="24" t="str">
        <f aca="false">IF(Tasks[[#This Row],[Task Name]]="","",Tasks[[#This Row],[Forecast Start]])</f>
        <v/>
      </c>
      <c r="AK106" s="24" t="str">
        <f aca="false">IF(Tasks[[#This Row],[Task Name]]="","",Tasks[[#This Row],[Forecast Finish]])</f>
        <v/>
      </c>
      <c r="AL10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6" s="43" t="str">
        <f aca="false">IF(Tasks[[#This Row],[Task Name]]="","",Tasks[[#This Row],[Work]])</f>
        <v/>
      </c>
      <c r="AN106" s="44" t="str">
        <f aca="false">IF(Tasks[[#This Row],[Task Name]]="","",Tasks[[#This Row],[Cost]])</f>
        <v/>
      </c>
      <c r="AO106" s="29"/>
      <c r="AP106" s="29"/>
      <c r="AQ106" s="39"/>
      <c r="AR106" s="45"/>
      <c r="AS106" s="46"/>
      <c r="AT106" s="40" t="str">
        <f aca="false">IF(OR(Tasks[[#This Row],[Task Name]]="",Tasks[[#This Row],[Baseline Duration]]=""),"",Tasks[[#This Row],[BL Source Duration]]-N(Tasks[[#This Row],[Baseline Duration]]))</f>
        <v/>
      </c>
      <c r="AU106" s="43" t="str">
        <f aca="false">IF(OR(Tasks[[#This Row],[Task Name]]="",Tasks[[#This Row],[Baseline Work]]=""),"",Tasks[[#This Row],[Work]]-N(Tasks[[#This Row],[Baseline Work]]))</f>
        <v/>
      </c>
      <c r="AV106" s="44" t="str">
        <f aca="false">IF(OR(Tasks[[#This Row],[Task Name]]="",Tasks[[#This Row],[Baseline Cost]]=""),"",Tasks[[#This Row],[Cost]]-N(Tasks[[#This Row],[Baseline Cost]]))</f>
        <v/>
      </c>
      <c r="AW106" s="47" t="str">
        <f aca="false">IF(Tasks[[#This Row],[Task Name]]="","",MAX(1,N(Tasks[[#This Row],[Level]])))</f>
        <v/>
      </c>
      <c r="AX106" s="47" t="n">
        <f aca="false">ROW()-ROW(Tasks[[#Headers],[ID]])</f>
        <v>101</v>
      </c>
      <c r="AY10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6" s="47" t="n">
        <f aca="false">IFERROR(N(INDEX(Tasks[_Level],Tasks[[#This Row],[_Row]]+1)),0)</f>
        <v>0</v>
      </c>
      <c r="BA106" s="48" t="b">
        <f aca="false">AND(Tasks[[#This Row],[Task Name]]&lt;&gt;"",Tasks[[#This Row],[_NextLevel]]&gt;Tasks[[#This Row],[_Level]])</f>
        <v>0</v>
      </c>
      <c r="BB106" s="47" t="n">
        <f aca="false">IF(Tasks[[#This Row],[_IsSummary]],COUNTIF(Tasks[WBS],Tasks[[#This Row],[WBS]]&amp;".*"),0)</f>
        <v>0</v>
      </c>
      <c r="BC106" s="47" t="n">
        <f aca="false">IF(AND(Tasks[[#This Row],[Task Name]]&lt;&gt;"",NOT(Tasks[[#This Row],[_IsSummary]])),1,0)</f>
        <v>0</v>
      </c>
      <c r="BD106" s="47" t="n">
        <f aca="false">IF(N(Tasks[[#This Row],[Pred1 UID]])=0,0,IFERROR(MATCH(Tasks[[#This Row],[Pred1 UID]],Tasks[UID],0),-1))</f>
        <v>0</v>
      </c>
      <c r="BE106" s="47" t="n">
        <f aca="false">IF(N(Tasks[[#This Row],[Pred2 UID]])=0,0,IFERROR(MATCH(Tasks[[#This Row],[Pred2 UID]],Tasks[UID],0),-1))</f>
        <v>0</v>
      </c>
      <c r="BF10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6" s="47" t="n">
        <f aca="false">IF(NOT(Tasks[[#This Row],[_IsLeaf]]=1),0,IF(N(Tasks[[#This Row],[Actual Finish]])&gt;0,1,MIN(1,N(Tasks[[#This Row],[% Complete]]))))</f>
        <v>0</v>
      </c>
      <c r="BK10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6" s="47" t="n">
        <f aca="false">IF(Tasks[[#This Row],[_LeafWork]]=0,0,Tasks[[#This Row],[_LeafWork]]*IFERROR(INDEX(res_Rate,MATCH(Tasks[[#This Row],[Resource]],res_Name,0)),0))</f>
        <v>0</v>
      </c>
      <c r="BM10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6" s="47" t="n">
        <f aca="false">IF(AND(Tasks[[#This Row],[_IsLeaf]]=1,Tasks[[#This Row],[_LeafWork]]&gt;0),NETWORKDAYS.INTL(ProjectStart,Tasks[[#This Row],[_LeafFcstStart]],WorkWeek,Holidays),0)</f>
        <v>0</v>
      </c>
      <c r="BV10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6" s="47" t="n">
        <f aca="false">IF(AND(Tasks[[#This Row],[_IsLeaf]]=1,Tasks[[#This Row],[_LeafWork]]&gt;0),Tasks[[#This Row],[_LeafWork]]/(Tasks[[#This Row],[_FinishWorkday]]-Tasks[[#This Row],[_StartWorkday]]+1),0)</f>
        <v>0</v>
      </c>
      <c r="BX106" s="47" t="n">
        <f aca="false">Tasks[[#This Row],[_WorkPerWorkday]]*(Tasks[[#This Row],[_StartWorkday]]-1)</f>
        <v>-0</v>
      </c>
      <c r="BY106" s="47" t="n">
        <f aca="false">IF(Tasks[[#This Row],[_IsLeaf]]=1,MAX(N(Tasks[[#This Row],[Duration]]),0.1),0)</f>
        <v>0</v>
      </c>
      <c r="BZ106" s="47" t="n">
        <f aca="false">Tasks[[#This Row],[_WeightDur]]*Tasks[[#This Row],[_LeafProgress]]</f>
        <v>0</v>
      </c>
      <c r="CA10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7" customFormat="false" ht="15" hidden="false" customHeight="false" outlineLevel="0" collapsed="false">
      <c r="A107" s="38" t="str">
        <f aca="false">IF(Tasks[[#This Row],[Task Name]]="","",COUNTA(Tasks[[#Headers],[Task Name]]:Tasks[[#This Row],[Task Name]])-1)</f>
        <v/>
      </c>
      <c r="B107" s="39" t="n">
        <v>102</v>
      </c>
      <c r="C10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7" s="39"/>
      <c r="E107" s="41"/>
      <c r="F107" s="39"/>
      <c r="G107" s="39"/>
      <c r="H107" s="39"/>
      <c r="I107" s="39"/>
      <c r="J107" s="39"/>
      <c r="K107" s="39"/>
      <c r="L107" s="39"/>
      <c r="M107" s="39"/>
      <c r="N107" s="29"/>
      <c r="O107" s="29"/>
      <c r="P107" s="24" t="str">
        <f aca="false">IF(Tasks[[#This Row],[Task Name]]="","",IF(N(Tasks[[#This Row],[Baseline Start]])&gt;0,Tasks[[#This Row],[Baseline Start]],Tasks[[#This Row],[_CalcStart]]))</f>
        <v/>
      </c>
      <c r="Q107" s="24" t="str">
        <f aca="false">IF(Tasks[[#This Row],[Task Name]]="","",IF(N(Tasks[[#This Row],[Baseline Finish]])&gt;0,Tasks[[#This Row],[Baseline Finish]],Tasks[[#This Row],[_CalcFinish]]))</f>
        <v/>
      </c>
      <c r="R107" s="29"/>
      <c r="S107" s="29"/>
      <c r="T10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7" s="31"/>
      <c r="AA10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7" s="41"/>
      <c r="AD107" s="31"/>
      <c r="AE10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7" s="41"/>
      <c r="AJ107" s="24" t="str">
        <f aca="false">IF(Tasks[[#This Row],[Task Name]]="","",Tasks[[#This Row],[Forecast Start]])</f>
        <v/>
      </c>
      <c r="AK107" s="24" t="str">
        <f aca="false">IF(Tasks[[#This Row],[Task Name]]="","",Tasks[[#This Row],[Forecast Finish]])</f>
        <v/>
      </c>
      <c r="AL10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7" s="43" t="str">
        <f aca="false">IF(Tasks[[#This Row],[Task Name]]="","",Tasks[[#This Row],[Work]])</f>
        <v/>
      </c>
      <c r="AN107" s="44" t="str">
        <f aca="false">IF(Tasks[[#This Row],[Task Name]]="","",Tasks[[#This Row],[Cost]])</f>
        <v/>
      </c>
      <c r="AO107" s="29"/>
      <c r="AP107" s="29"/>
      <c r="AQ107" s="39"/>
      <c r="AR107" s="45"/>
      <c r="AS107" s="46"/>
      <c r="AT107" s="40" t="str">
        <f aca="false">IF(OR(Tasks[[#This Row],[Task Name]]="",Tasks[[#This Row],[Baseline Duration]]=""),"",Tasks[[#This Row],[BL Source Duration]]-N(Tasks[[#This Row],[Baseline Duration]]))</f>
        <v/>
      </c>
      <c r="AU107" s="43" t="str">
        <f aca="false">IF(OR(Tasks[[#This Row],[Task Name]]="",Tasks[[#This Row],[Baseline Work]]=""),"",Tasks[[#This Row],[Work]]-N(Tasks[[#This Row],[Baseline Work]]))</f>
        <v/>
      </c>
      <c r="AV107" s="44" t="str">
        <f aca="false">IF(OR(Tasks[[#This Row],[Task Name]]="",Tasks[[#This Row],[Baseline Cost]]=""),"",Tasks[[#This Row],[Cost]]-N(Tasks[[#This Row],[Baseline Cost]]))</f>
        <v/>
      </c>
      <c r="AW107" s="47" t="str">
        <f aca="false">IF(Tasks[[#This Row],[Task Name]]="","",MAX(1,N(Tasks[[#This Row],[Level]])))</f>
        <v/>
      </c>
      <c r="AX107" s="47" t="n">
        <f aca="false">ROW()-ROW(Tasks[[#Headers],[ID]])</f>
        <v>102</v>
      </c>
      <c r="AY10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7" s="47" t="n">
        <f aca="false">IFERROR(N(INDEX(Tasks[_Level],Tasks[[#This Row],[_Row]]+1)),0)</f>
        <v>0</v>
      </c>
      <c r="BA107" s="48" t="b">
        <f aca="false">AND(Tasks[[#This Row],[Task Name]]&lt;&gt;"",Tasks[[#This Row],[_NextLevel]]&gt;Tasks[[#This Row],[_Level]])</f>
        <v>0</v>
      </c>
      <c r="BB107" s="47" t="n">
        <f aca="false">IF(Tasks[[#This Row],[_IsSummary]],COUNTIF(Tasks[WBS],Tasks[[#This Row],[WBS]]&amp;".*"),0)</f>
        <v>0</v>
      </c>
      <c r="BC107" s="47" t="n">
        <f aca="false">IF(AND(Tasks[[#This Row],[Task Name]]&lt;&gt;"",NOT(Tasks[[#This Row],[_IsSummary]])),1,0)</f>
        <v>0</v>
      </c>
      <c r="BD107" s="47" t="n">
        <f aca="false">IF(N(Tasks[[#This Row],[Pred1 UID]])=0,0,IFERROR(MATCH(Tasks[[#This Row],[Pred1 UID]],Tasks[UID],0),-1))</f>
        <v>0</v>
      </c>
      <c r="BE107" s="47" t="n">
        <f aca="false">IF(N(Tasks[[#This Row],[Pred2 UID]])=0,0,IFERROR(MATCH(Tasks[[#This Row],[Pred2 UID]],Tasks[UID],0),-1))</f>
        <v>0</v>
      </c>
      <c r="BF10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7" s="47" t="n">
        <f aca="false">IF(NOT(Tasks[[#This Row],[_IsLeaf]]=1),0,IF(N(Tasks[[#This Row],[Actual Finish]])&gt;0,1,MIN(1,N(Tasks[[#This Row],[% Complete]]))))</f>
        <v>0</v>
      </c>
      <c r="BK10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7" s="47" t="n">
        <f aca="false">IF(Tasks[[#This Row],[_LeafWork]]=0,0,Tasks[[#This Row],[_LeafWork]]*IFERROR(INDEX(res_Rate,MATCH(Tasks[[#This Row],[Resource]],res_Name,0)),0))</f>
        <v>0</v>
      </c>
      <c r="BM10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7" s="47" t="n">
        <f aca="false">IF(AND(Tasks[[#This Row],[_IsLeaf]]=1,Tasks[[#This Row],[_LeafWork]]&gt;0),NETWORKDAYS.INTL(ProjectStart,Tasks[[#This Row],[_LeafFcstStart]],WorkWeek,Holidays),0)</f>
        <v>0</v>
      </c>
      <c r="BV10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7" s="47" t="n">
        <f aca="false">IF(AND(Tasks[[#This Row],[_IsLeaf]]=1,Tasks[[#This Row],[_LeafWork]]&gt;0),Tasks[[#This Row],[_LeafWork]]/(Tasks[[#This Row],[_FinishWorkday]]-Tasks[[#This Row],[_StartWorkday]]+1),0)</f>
        <v>0</v>
      </c>
      <c r="BX107" s="47" t="n">
        <f aca="false">Tasks[[#This Row],[_WorkPerWorkday]]*(Tasks[[#This Row],[_StartWorkday]]-1)</f>
        <v>-0</v>
      </c>
      <c r="BY107" s="47" t="n">
        <f aca="false">IF(Tasks[[#This Row],[_IsLeaf]]=1,MAX(N(Tasks[[#This Row],[Duration]]),0.1),0)</f>
        <v>0</v>
      </c>
      <c r="BZ107" s="47" t="n">
        <f aca="false">Tasks[[#This Row],[_WeightDur]]*Tasks[[#This Row],[_LeafProgress]]</f>
        <v>0</v>
      </c>
      <c r="CA10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8" customFormat="false" ht="15" hidden="false" customHeight="false" outlineLevel="0" collapsed="false">
      <c r="A108" s="38" t="str">
        <f aca="false">IF(Tasks[[#This Row],[Task Name]]="","",COUNTA(Tasks[[#Headers],[Task Name]]:Tasks[[#This Row],[Task Name]])-1)</f>
        <v/>
      </c>
      <c r="B108" s="39" t="n">
        <v>103</v>
      </c>
      <c r="C10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8" s="39"/>
      <c r="E108" s="41"/>
      <c r="F108" s="39"/>
      <c r="G108" s="39"/>
      <c r="H108" s="39"/>
      <c r="I108" s="39"/>
      <c r="J108" s="39"/>
      <c r="K108" s="39"/>
      <c r="L108" s="39"/>
      <c r="M108" s="39"/>
      <c r="N108" s="29"/>
      <c r="O108" s="29"/>
      <c r="P108" s="24" t="str">
        <f aca="false">IF(Tasks[[#This Row],[Task Name]]="","",IF(N(Tasks[[#This Row],[Baseline Start]])&gt;0,Tasks[[#This Row],[Baseline Start]],Tasks[[#This Row],[_CalcStart]]))</f>
        <v/>
      </c>
      <c r="Q108" s="24" t="str">
        <f aca="false">IF(Tasks[[#This Row],[Task Name]]="","",IF(N(Tasks[[#This Row],[Baseline Finish]])&gt;0,Tasks[[#This Row],[Baseline Finish]],Tasks[[#This Row],[_CalcFinish]]))</f>
        <v/>
      </c>
      <c r="R108" s="29"/>
      <c r="S108" s="29"/>
      <c r="T10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8" s="31"/>
      <c r="AA10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8" s="41"/>
      <c r="AD108" s="31"/>
      <c r="AE10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8" s="41"/>
      <c r="AJ108" s="24" t="str">
        <f aca="false">IF(Tasks[[#This Row],[Task Name]]="","",Tasks[[#This Row],[Forecast Start]])</f>
        <v/>
      </c>
      <c r="AK108" s="24" t="str">
        <f aca="false">IF(Tasks[[#This Row],[Task Name]]="","",Tasks[[#This Row],[Forecast Finish]])</f>
        <v/>
      </c>
      <c r="AL10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8" s="43" t="str">
        <f aca="false">IF(Tasks[[#This Row],[Task Name]]="","",Tasks[[#This Row],[Work]])</f>
        <v/>
      </c>
      <c r="AN108" s="44" t="str">
        <f aca="false">IF(Tasks[[#This Row],[Task Name]]="","",Tasks[[#This Row],[Cost]])</f>
        <v/>
      </c>
      <c r="AO108" s="29"/>
      <c r="AP108" s="29"/>
      <c r="AQ108" s="39"/>
      <c r="AR108" s="45"/>
      <c r="AS108" s="46"/>
      <c r="AT108" s="40" t="str">
        <f aca="false">IF(OR(Tasks[[#This Row],[Task Name]]="",Tasks[[#This Row],[Baseline Duration]]=""),"",Tasks[[#This Row],[BL Source Duration]]-N(Tasks[[#This Row],[Baseline Duration]]))</f>
        <v/>
      </c>
      <c r="AU108" s="43" t="str">
        <f aca="false">IF(OR(Tasks[[#This Row],[Task Name]]="",Tasks[[#This Row],[Baseline Work]]=""),"",Tasks[[#This Row],[Work]]-N(Tasks[[#This Row],[Baseline Work]]))</f>
        <v/>
      </c>
      <c r="AV108" s="44" t="str">
        <f aca="false">IF(OR(Tasks[[#This Row],[Task Name]]="",Tasks[[#This Row],[Baseline Cost]]=""),"",Tasks[[#This Row],[Cost]]-N(Tasks[[#This Row],[Baseline Cost]]))</f>
        <v/>
      </c>
      <c r="AW108" s="47" t="str">
        <f aca="false">IF(Tasks[[#This Row],[Task Name]]="","",MAX(1,N(Tasks[[#This Row],[Level]])))</f>
        <v/>
      </c>
      <c r="AX108" s="47" t="n">
        <f aca="false">ROW()-ROW(Tasks[[#Headers],[ID]])</f>
        <v>103</v>
      </c>
      <c r="AY10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8" s="47" t="n">
        <f aca="false">IFERROR(N(INDEX(Tasks[_Level],Tasks[[#This Row],[_Row]]+1)),0)</f>
        <v>0</v>
      </c>
      <c r="BA108" s="48" t="b">
        <f aca="false">AND(Tasks[[#This Row],[Task Name]]&lt;&gt;"",Tasks[[#This Row],[_NextLevel]]&gt;Tasks[[#This Row],[_Level]])</f>
        <v>0</v>
      </c>
      <c r="BB108" s="47" t="n">
        <f aca="false">IF(Tasks[[#This Row],[_IsSummary]],COUNTIF(Tasks[WBS],Tasks[[#This Row],[WBS]]&amp;".*"),0)</f>
        <v>0</v>
      </c>
      <c r="BC108" s="47" t="n">
        <f aca="false">IF(AND(Tasks[[#This Row],[Task Name]]&lt;&gt;"",NOT(Tasks[[#This Row],[_IsSummary]])),1,0)</f>
        <v>0</v>
      </c>
      <c r="BD108" s="47" t="n">
        <f aca="false">IF(N(Tasks[[#This Row],[Pred1 UID]])=0,0,IFERROR(MATCH(Tasks[[#This Row],[Pred1 UID]],Tasks[UID],0),-1))</f>
        <v>0</v>
      </c>
      <c r="BE108" s="47" t="n">
        <f aca="false">IF(N(Tasks[[#This Row],[Pred2 UID]])=0,0,IFERROR(MATCH(Tasks[[#This Row],[Pred2 UID]],Tasks[UID],0),-1))</f>
        <v>0</v>
      </c>
      <c r="BF10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8" s="47" t="n">
        <f aca="false">IF(NOT(Tasks[[#This Row],[_IsLeaf]]=1),0,IF(N(Tasks[[#This Row],[Actual Finish]])&gt;0,1,MIN(1,N(Tasks[[#This Row],[% Complete]]))))</f>
        <v>0</v>
      </c>
      <c r="BK10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8" s="47" t="n">
        <f aca="false">IF(Tasks[[#This Row],[_LeafWork]]=0,0,Tasks[[#This Row],[_LeafWork]]*IFERROR(INDEX(res_Rate,MATCH(Tasks[[#This Row],[Resource]],res_Name,0)),0))</f>
        <v>0</v>
      </c>
      <c r="BM10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8" s="47" t="n">
        <f aca="false">IF(AND(Tasks[[#This Row],[_IsLeaf]]=1,Tasks[[#This Row],[_LeafWork]]&gt;0),NETWORKDAYS.INTL(ProjectStart,Tasks[[#This Row],[_LeafFcstStart]],WorkWeek,Holidays),0)</f>
        <v>0</v>
      </c>
      <c r="BV10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8" s="47" t="n">
        <f aca="false">IF(AND(Tasks[[#This Row],[_IsLeaf]]=1,Tasks[[#This Row],[_LeafWork]]&gt;0),Tasks[[#This Row],[_LeafWork]]/(Tasks[[#This Row],[_FinishWorkday]]-Tasks[[#This Row],[_StartWorkday]]+1),0)</f>
        <v>0</v>
      </c>
      <c r="BX108" s="47" t="n">
        <f aca="false">Tasks[[#This Row],[_WorkPerWorkday]]*(Tasks[[#This Row],[_StartWorkday]]-1)</f>
        <v>-0</v>
      </c>
      <c r="BY108" s="47" t="n">
        <f aca="false">IF(Tasks[[#This Row],[_IsLeaf]]=1,MAX(N(Tasks[[#This Row],[Duration]]),0.1),0)</f>
        <v>0</v>
      </c>
      <c r="BZ108" s="47" t="n">
        <f aca="false">Tasks[[#This Row],[_WeightDur]]*Tasks[[#This Row],[_LeafProgress]]</f>
        <v>0</v>
      </c>
      <c r="CA10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9" customFormat="false" ht="15" hidden="false" customHeight="false" outlineLevel="0" collapsed="false">
      <c r="A109" s="38" t="str">
        <f aca="false">IF(Tasks[[#This Row],[Task Name]]="","",COUNTA(Tasks[[#Headers],[Task Name]]:Tasks[[#This Row],[Task Name]])-1)</f>
        <v/>
      </c>
      <c r="B109" s="39" t="n">
        <v>104</v>
      </c>
      <c r="C10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9" s="39"/>
      <c r="E109" s="41"/>
      <c r="F109" s="39"/>
      <c r="G109" s="39"/>
      <c r="H109" s="39"/>
      <c r="I109" s="39"/>
      <c r="J109" s="39"/>
      <c r="K109" s="39"/>
      <c r="L109" s="39"/>
      <c r="M109" s="39"/>
      <c r="N109" s="29"/>
      <c r="O109" s="29"/>
      <c r="P109" s="24" t="str">
        <f aca="false">IF(Tasks[[#This Row],[Task Name]]="","",IF(N(Tasks[[#This Row],[Baseline Start]])&gt;0,Tasks[[#This Row],[Baseline Start]],Tasks[[#This Row],[_CalcStart]]))</f>
        <v/>
      </c>
      <c r="Q109" s="24" t="str">
        <f aca="false">IF(Tasks[[#This Row],[Task Name]]="","",IF(N(Tasks[[#This Row],[Baseline Finish]])&gt;0,Tasks[[#This Row],[Baseline Finish]],Tasks[[#This Row],[_CalcFinish]]))</f>
        <v/>
      </c>
      <c r="R109" s="29"/>
      <c r="S109" s="29"/>
      <c r="T10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9" s="31"/>
      <c r="AA10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9" s="41"/>
      <c r="AD109" s="31"/>
      <c r="AE10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9" s="41"/>
      <c r="AJ109" s="24" t="str">
        <f aca="false">IF(Tasks[[#This Row],[Task Name]]="","",Tasks[[#This Row],[Forecast Start]])</f>
        <v/>
      </c>
      <c r="AK109" s="24" t="str">
        <f aca="false">IF(Tasks[[#This Row],[Task Name]]="","",Tasks[[#This Row],[Forecast Finish]])</f>
        <v/>
      </c>
      <c r="AL10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9" s="43" t="str">
        <f aca="false">IF(Tasks[[#This Row],[Task Name]]="","",Tasks[[#This Row],[Work]])</f>
        <v/>
      </c>
      <c r="AN109" s="44" t="str">
        <f aca="false">IF(Tasks[[#This Row],[Task Name]]="","",Tasks[[#This Row],[Cost]])</f>
        <v/>
      </c>
      <c r="AO109" s="29"/>
      <c r="AP109" s="29"/>
      <c r="AQ109" s="39"/>
      <c r="AR109" s="45"/>
      <c r="AS109" s="46"/>
      <c r="AT109" s="40" t="str">
        <f aca="false">IF(OR(Tasks[[#This Row],[Task Name]]="",Tasks[[#This Row],[Baseline Duration]]=""),"",Tasks[[#This Row],[BL Source Duration]]-N(Tasks[[#This Row],[Baseline Duration]]))</f>
        <v/>
      </c>
      <c r="AU109" s="43" t="str">
        <f aca="false">IF(OR(Tasks[[#This Row],[Task Name]]="",Tasks[[#This Row],[Baseline Work]]=""),"",Tasks[[#This Row],[Work]]-N(Tasks[[#This Row],[Baseline Work]]))</f>
        <v/>
      </c>
      <c r="AV109" s="44" t="str">
        <f aca="false">IF(OR(Tasks[[#This Row],[Task Name]]="",Tasks[[#This Row],[Baseline Cost]]=""),"",Tasks[[#This Row],[Cost]]-N(Tasks[[#This Row],[Baseline Cost]]))</f>
        <v/>
      </c>
      <c r="AW109" s="47" t="str">
        <f aca="false">IF(Tasks[[#This Row],[Task Name]]="","",MAX(1,N(Tasks[[#This Row],[Level]])))</f>
        <v/>
      </c>
      <c r="AX109" s="47" t="n">
        <f aca="false">ROW()-ROW(Tasks[[#Headers],[ID]])</f>
        <v>104</v>
      </c>
      <c r="AY10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9" s="47" t="n">
        <f aca="false">IFERROR(N(INDEX(Tasks[_Level],Tasks[[#This Row],[_Row]]+1)),0)</f>
        <v>0</v>
      </c>
      <c r="BA109" s="48" t="b">
        <f aca="false">AND(Tasks[[#This Row],[Task Name]]&lt;&gt;"",Tasks[[#This Row],[_NextLevel]]&gt;Tasks[[#This Row],[_Level]])</f>
        <v>0</v>
      </c>
      <c r="BB109" s="47" t="n">
        <f aca="false">IF(Tasks[[#This Row],[_IsSummary]],COUNTIF(Tasks[WBS],Tasks[[#This Row],[WBS]]&amp;".*"),0)</f>
        <v>0</v>
      </c>
      <c r="BC109" s="47" t="n">
        <f aca="false">IF(AND(Tasks[[#This Row],[Task Name]]&lt;&gt;"",NOT(Tasks[[#This Row],[_IsSummary]])),1,0)</f>
        <v>0</v>
      </c>
      <c r="BD109" s="47" t="n">
        <f aca="false">IF(N(Tasks[[#This Row],[Pred1 UID]])=0,0,IFERROR(MATCH(Tasks[[#This Row],[Pred1 UID]],Tasks[UID],0),-1))</f>
        <v>0</v>
      </c>
      <c r="BE109" s="47" t="n">
        <f aca="false">IF(N(Tasks[[#This Row],[Pred2 UID]])=0,0,IFERROR(MATCH(Tasks[[#This Row],[Pred2 UID]],Tasks[UID],0),-1))</f>
        <v>0</v>
      </c>
      <c r="BF10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9" s="47" t="n">
        <f aca="false">IF(NOT(Tasks[[#This Row],[_IsLeaf]]=1),0,IF(N(Tasks[[#This Row],[Actual Finish]])&gt;0,1,MIN(1,N(Tasks[[#This Row],[% Complete]]))))</f>
        <v>0</v>
      </c>
      <c r="BK10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9" s="47" t="n">
        <f aca="false">IF(Tasks[[#This Row],[_LeafWork]]=0,0,Tasks[[#This Row],[_LeafWork]]*IFERROR(INDEX(res_Rate,MATCH(Tasks[[#This Row],[Resource]],res_Name,0)),0))</f>
        <v>0</v>
      </c>
      <c r="BM10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0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0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0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0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0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09" s="47" t="n">
        <f aca="false">IF(AND(Tasks[[#This Row],[_IsLeaf]]=1,Tasks[[#This Row],[_LeafWork]]&gt;0),NETWORKDAYS.INTL(ProjectStart,Tasks[[#This Row],[_LeafFcstStart]],WorkWeek,Holidays),0)</f>
        <v>0</v>
      </c>
      <c r="BV10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9" s="47" t="n">
        <f aca="false">IF(AND(Tasks[[#This Row],[_IsLeaf]]=1,Tasks[[#This Row],[_LeafWork]]&gt;0),Tasks[[#This Row],[_LeafWork]]/(Tasks[[#This Row],[_FinishWorkday]]-Tasks[[#This Row],[_StartWorkday]]+1),0)</f>
        <v>0</v>
      </c>
      <c r="BX109" s="47" t="n">
        <f aca="false">Tasks[[#This Row],[_WorkPerWorkday]]*(Tasks[[#This Row],[_StartWorkday]]-1)</f>
        <v>-0</v>
      </c>
      <c r="BY109" s="47" t="n">
        <f aca="false">IF(Tasks[[#This Row],[_IsLeaf]]=1,MAX(N(Tasks[[#This Row],[Duration]]),0.1),0)</f>
        <v>0</v>
      </c>
      <c r="BZ109" s="47" t="n">
        <f aca="false">Tasks[[#This Row],[_WeightDur]]*Tasks[[#This Row],[_LeafProgress]]</f>
        <v>0</v>
      </c>
      <c r="CA10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0" customFormat="false" ht="15" hidden="false" customHeight="false" outlineLevel="0" collapsed="false">
      <c r="A110" s="38" t="str">
        <f aca="false">IF(Tasks[[#This Row],[Task Name]]="","",COUNTA(Tasks[[#Headers],[Task Name]]:Tasks[[#This Row],[Task Name]])-1)</f>
        <v/>
      </c>
      <c r="B110" s="39" t="n">
        <v>105</v>
      </c>
      <c r="C11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0" s="39"/>
      <c r="E110" s="41"/>
      <c r="F110" s="39"/>
      <c r="G110" s="39"/>
      <c r="H110" s="39"/>
      <c r="I110" s="39"/>
      <c r="J110" s="39"/>
      <c r="K110" s="39"/>
      <c r="L110" s="39"/>
      <c r="M110" s="39"/>
      <c r="N110" s="29"/>
      <c r="O110" s="29"/>
      <c r="P110" s="24" t="str">
        <f aca="false">IF(Tasks[[#This Row],[Task Name]]="","",IF(N(Tasks[[#This Row],[Baseline Start]])&gt;0,Tasks[[#This Row],[Baseline Start]],Tasks[[#This Row],[_CalcStart]]))</f>
        <v/>
      </c>
      <c r="Q110" s="24" t="str">
        <f aca="false">IF(Tasks[[#This Row],[Task Name]]="","",IF(N(Tasks[[#This Row],[Baseline Finish]])&gt;0,Tasks[[#This Row],[Baseline Finish]],Tasks[[#This Row],[_CalcFinish]]))</f>
        <v/>
      </c>
      <c r="R110" s="29"/>
      <c r="S110" s="29"/>
      <c r="T11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0" s="31"/>
      <c r="AA11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0" s="41"/>
      <c r="AD110" s="31"/>
      <c r="AE11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0" s="41"/>
      <c r="AJ110" s="24" t="str">
        <f aca="false">IF(Tasks[[#This Row],[Task Name]]="","",Tasks[[#This Row],[Forecast Start]])</f>
        <v/>
      </c>
      <c r="AK110" s="24" t="str">
        <f aca="false">IF(Tasks[[#This Row],[Task Name]]="","",Tasks[[#This Row],[Forecast Finish]])</f>
        <v/>
      </c>
      <c r="AL11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0" s="43" t="str">
        <f aca="false">IF(Tasks[[#This Row],[Task Name]]="","",Tasks[[#This Row],[Work]])</f>
        <v/>
      </c>
      <c r="AN110" s="44" t="str">
        <f aca="false">IF(Tasks[[#This Row],[Task Name]]="","",Tasks[[#This Row],[Cost]])</f>
        <v/>
      </c>
      <c r="AO110" s="29"/>
      <c r="AP110" s="29"/>
      <c r="AQ110" s="39"/>
      <c r="AR110" s="45"/>
      <c r="AS110" s="46"/>
      <c r="AT110" s="40" t="str">
        <f aca="false">IF(OR(Tasks[[#This Row],[Task Name]]="",Tasks[[#This Row],[Baseline Duration]]=""),"",Tasks[[#This Row],[BL Source Duration]]-N(Tasks[[#This Row],[Baseline Duration]]))</f>
        <v/>
      </c>
      <c r="AU110" s="43" t="str">
        <f aca="false">IF(OR(Tasks[[#This Row],[Task Name]]="",Tasks[[#This Row],[Baseline Work]]=""),"",Tasks[[#This Row],[Work]]-N(Tasks[[#This Row],[Baseline Work]]))</f>
        <v/>
      </c>
      <c r="AV110" s="44" t="str">
        <f aca="false">IF(OR(Tasks[[#This Row],[Task Name]]="",Tasks[[#This Row],[Baseline Cost]]=""),"",Tasks[[#This Row],[Cost]]-N(Tasks[[#This Row],[Baseline Cost]]))</f>
        <v/>
      </c>
      <c r="AW110" s="47" t="str">
        <f aca="false">IF(Tasks[[#This Row],[Task Name]]="","",MAX(1,N(Tasks[[#This Row],[Level]])))</f>
        <v/>
      </c>
      <c r="AX110" s="47" t="n">
        <f aca="false">ROW()-ROW(Tasks[[#Headers],[ID]])</f>
        <v>105</v>
      </c>
      <c r="AY11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0" s="47" t="n">
        <f aca="false">IFERROR(N(INDEX(Tasks[_Level],Tasks[[#This Row],[_Row]]+1)),0)</f>
        <v>0</v>
      </c>
      <c r="BA110" s="48" t="b">
        <f aca="false">AND(Tasks[[#This Row],[Task Name]]&lt;&gt;"",Tasks[[#This Row],[_NextLevel]]&gt;Tasks[[#This Row],[_Level]])</f>
        <v>0</v>
      </c>
      <c r="BB110" s="47" t="n">
        <f aca="false">IF(Tasks[[#This Row],[_IsSummary]],COUNTIF(Tasks[WBS],Tasks[[#This Row],[WBS]]&amp;".*"),0)</f>
        <v>0</v>
      </c>
      <c r="BC110" s="47" t="n">
        <f aca="false">IF(AND(Tasks[[#This Row],[Task Name]]&lt;&gt;"",NOT(Tasks[[#This Row],[_IsSummary]])),1,0)</f>
        <v>0</v>
      </c>
      <c r="BD110" s="47" t="n">
        <f aca="false">IF(N(Tasks[[#This Row],[Pred1 UID]])=0,0,IFERROR(MATCH(Tasks[[#This Row],[Pred1 UID]],Tasks[UID],0),-1))</f>
        <v>0</v>
      </c>
      <c r="BE110" s="47" t="n">
        <f aca="false">IF(N(Tasks[[#This Row],[Pred2 UID]])=0,0,IFERROR(MATCH(Tasks[[#This Row],[Pred2 UID]],Tasks[UID],0),-1))</f>
        <v>0</v>
      </c>
      <c r="BF11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0" s="47" t="n">
        <f aca="false">IF(NOT(Tasks[[#This Row],[_IsLeaf]]=1),0,IF(N(Tasks[[#This Row],[Actual Finish]])&gt;0,1,MIN(1,N(Tasks[[#This Row],[% Complete]]))))</f>
        <v>0</v>
      </c>
      <c r="BK11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0" s="47" t="n">
        <f aca="false">IF(Tasks[[#This Row],[_LeafWork]]=0,0,Tasks[[#This Row],[_LeafWork]]*IFERROR(INDEX(res_Rate,MATCH(Tasks[[#This Row],[Resource]],res_Name,0)),0))</f>
        <v>0</v>
      </c>
      <c r="BM11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0" s="47" t="n">
        <f aca="false">IF(AND(Tasks[[#This Row],[_IsLeaf]]=1,Tasks[[#This Row],[_LeafWork]]&gt;0),NETWORKDAYS.INTL(ProjectStart,Tasks[[#This Row],[_LeafFcstStart]],WorkWeek,Holidays),0)</f>
        <v>0</v>
      </c>
      <c r="BV11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0" s="47" t="n">
        <f aca="false">IF(AND(Tasks[[#This Row],[_IsLeaf]]=1,Tasks[[#This Row],[_LeafWork]]&gt;0),Tasks[[#This Row],[_LeafWork]]/(Tasks[[#This Row],[_FinishWorkday]]-Tasks[[#This Row],[_StartWorkday]]+1),0)</f>
        <v>0</v>
      </c>
      <c r="BX110" s="47" t="n">
        <f aca="false">Tasks[[#This Row],[_WorkPerWorkday]]*(Tasks[[#This Row],[_StartWorkday]]-1)</f>
        <v>-0</v>
      </c>
      <c r="BY110" s="47" t="n">
        <f aca="false">IF(Tasks[[#This Row],[_IsLeaf]]=1,MAX(N(Tasks[[#This Row],[Duration]]),0.1),0)</f>
        <v>0</v>
      </c>
      <c r="BZ110" s="47" t="n">
        <f aca="false">Tasks[[#This Row],[_WeightDur]]*Tasks[[#This Row],[_LeafProgress]]</f>
        <v>0</v>
      </c>
      <c r="CA11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1" customFormat="false" ht="15" hidden="false" customHeight="false" outlineLevel="0" collapsed="false">
      <c r="A111" s="38" t="str">
        <f aca="false">IF(Tasks[[#This Row],[Task Name]]="","",COUNTA(Tasks[[#Headers],[Task Name]]:Tasks[[#This Row],[Task Name]])-1)</f>
        <v/>
      </c>
      <c r="B111" s="39" t="n">
        <v>106</v>
      </c>
      <c r="C11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1" s="39"/>
      <c r="E111" s="41"/>
      <c r="F111" s="39"/>
      <c r="G111" s="39"/>
      <c r="H111" s="39"/>
      <c r="I111" s="39"/>
      <c r="J111" s="39"/>
      <c r="K111" s="39"/>
      <c r="L111" s="39"/>
      <c r="M111" s="39"/>
      <c r="N111" s="29"/>
      <c r="O111" s="29"/>
      <c r="P111" s="24" t="str">
        <f aca="false">IF(Tasks[[#This Row],[Task Name]]="","",IF(N(Tasks[[#This Row],[Baseline Start]])&gt;0,Tasks[[#This Row],[Baseline Start]],Tasks[[#This Row],[_CalcStart]]))</f>
        <v/>
      </c>
      <c r="Q111" s="24" t="str">
        <f aca="false">IF(Tasks[[#This Row],[Task Name]]="","",IF(N(Tasks[[#This Row],[Baseline Finish]])&gt;0,Tasks[[#This Row],[Baseline Finish]],Tasks[[#This Row],[_CalcFinish]]))</f>
        <v/>
      </c>
      <c r="R111" s="29"/>
      <c r="S111" s="29"/>
      <c r="T11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1" s="31"/>
      <c r="AA11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1" s="41"/>
      <c r="AD111" s="31"/>
      <c r="AE11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1" s="41"/>
      <c r="AJ111" s="24" t="str">
        <f aca="false">IF(Tasks[[#This Row],[Task Name]]="","",Tasks[[#This Row],[Forecast Start]])</f>
        <v/>
      </c>
      <c r="AK111" s="24" t="str">
        <f aca="false">IF(Tasks[[#This Row],[Task Name]]="","",Tasks[[#This Row],[Forecast Finish]])</f>
        <v/>
      </c>
      <c r="AL11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1" s="43" t="str">
        <f aca="false">IF(Tasks[[#This Row],[Task Name]]="","",Tasks[[#This Row],[Work]])</f>
        <v/>
      </c>
      <c r="AN111" s="44" t="str">
        <f aca="false">IF(Tasks[[#This Row],[Task Name]]="","",Tasks[[#This Row],[Cost]])</f>
        <v/>
      </c>
      <c r="AO111" s="29"/>
      <c r="AP111" s="29"/>
      <c r="AQ111" s="39"/>
      <c r="AR111" s="45"/>
      <c r="AS111" s="46"/>
      <c r="AT111" s="40" t="str">
        <f aca="false">IF(OR(Tasks[[#This Row],[Task Name]]="",Tasks[[#This Row],[Baseline Duration]]=""),"",Tasks[[#This Row],[BL Source Duration]]-N(Tasks[[#This Row],[Baseline Duration]]))</f>
        <v/>
      </c>
      <c r="AU111" s="43" t="str">
        <f aca="false">IF(OR(Tasks[[#This Row],[Task Name]]="",Tasks[[#This Row],[Baseline Work]]=""),"",Tasks[[#This Row],[Work]]-N(Tasks[[#This Row],[Baseline Work]]))</f>
        <v/>
      </c>
      <c r="AV111" s="44" t="str">
        <f aca="false">IF(OR(Tasks[[#This Row],[Task Name]]="",Tasks[[#This Row],[Baseline Cost]]=""),"",Tasks[[#This Row],[Cost]]-N(Tasks[[#This Row],[Baseline Cost]]))</f>
        <v/>
      </c>
      <c r="AW111" s="47" t="str">
        <f aca="false">IF(Tasks[[#This Row],[Task Name]]="","",MAX(1,N(Tasks[[#This Row],[Level]])))</f>
        <v/>
      </c>
      <c r="AX111" s="47" t="n">
        <f aca="false">ROW()-ROW(Tasks[[#Headers],[ID]])</f>
        <v>106</v>
      </c>
      <c r="AY11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1" s="47" t="n">
        <f aca="false">IFERROR(N(INDEX(Tasks[_Level],Tasks[[#This Row],[_Row]]+1)),0)</f>
        <v>0</v>
      </c>
      <c r="BA111" s="48" t="b">
        <f aca="false">AND(Tasks[[#This Row],[Task Name]]&lt;&gt;"",Tasks[[#This Row],[_NextLevel]]&gt;Tasks[[#This Row],[_Level]])</f>
        <v>0</v>
      </c>
      <c r="BB111" s="47" t="n">
        <f aca="false">IF(Tasks[[#This Row],[_IsSummary]],COUNTIF(Tasks[WBS],Tasks[[#This Row],[WBS]]&amp;".*"),0)</f>
        <v>0</v>
      </c>
      <c r="BC111" s="47" t="n">
        <f aca="false">IF(AND(Tasks[[#This Row],[Task Name]]&lt;&gt;"",NOT(Tasks[[#This Row],[_IsSummary]])),1,0)</f>
        <v>0</v>
      </c>
      <c r="BD111" s="47" t="n">
        <f aca="false">IF(N(Tasks[[#This Row],[Pred1 UID]])=0,0,IFERROR(MATCH(Tasks[[#This Row],[Pred1 UID]],Tasks[UID],0),-1))</f>
        <v>0</v>
      </c>
      <c r="BE111" s="47" t="n">
        <f aca="false">IF(N(Tasks[[#This Row],[Pred2 UID]])=0,0,IFERROR(MATCH(Tasks[[#This Row],[Pred2 UID]],Tasks[UID],0),-1))</f>
        <v>0</v>
      </c>
      <c r="BF11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1" s="47" t="n">
        <f aca="false">IF(NOT(Tasks[[#This Row],[_IsLeaf]]=1),0,IF(N(Tasks[[#This Row],[Actual Finish]])&gt;0,1,MIN(1,N(Tasks[[#This Row],[% Complete]]))))</f>
        <v>0</v>
      </c>
      <c r="BK11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1" s="47" t="n">
        <f aca="false">IF(Tasks[[#This Row],[_LeafWork]]=0,0,Tasks[[#This Row],[_LeafWork]]*IFERROR(INDEX(res_Rate,MATCH(Tasks[[#This Row],[Resource]],res_Name,0)),0))</f>
        <v>0</v>
      </c>
      <c r="BM11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1" s="47" t="n">
        <f aca="false">IF(AND(Tasks[[#This Row],[_IsLeaf]]=1,Tasks[[#This Row],[_LeafWork]]&gt;0),NETWORKDAYS.INTL(ProjectStart,Tasks[[#This Row],[_LeafFcstStart]],WorkWeek,Holidays),0)</f>
        <v>0</v>
      </c>
      <c r="BV11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1" s="47" t="n">
        <f aca="false">IF(AND(Tasks[[#This Row],[_IsLeaf]]=1,Tasks[[#This Row],[_LeafWork]]&gt;0),Tasks[[#This Row],[_LeafWork]]/(Tasks[[#This Row],[_FinishWorkday]]-Tasks[[#This Row],[_StartWorkday]]+1),0)</f>
        <v>0</v>
      </c>
      <c r="BX111" s="47" t="n">
        <f aca="false">Tasks[[#This Row],[_WorkPerWorkday]]*(Tasks[[#This Row],[_StartWorkday]]-1)</f>
        <v>-0</v>
      </c>
      <c r="BY111" s="47" t="n">
        <f aca="false">IF(Tasks[[#This Row],[_IsLeaf]]=1,MAX(N(Tasks[[#This Row],[Duration]]),0.1),0)</f>
        <v>0</v>
      </c>
      <c r="BZ111" s="47" t="n">
        <f aca="false">Tasks[[#This Row],[_WeightDur]]*Tasks[[#This Row],[_LeafProgress]]</f>
        <v>0</v>
      </c>
      <c r="CA11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2" customFormat="false" ht="15" hidden="false" customHeight="false" outlineLevel="0" collapsed="false">
      <c r="A112" s="38" t="str">
        <f aca="false">IF(Tasks[[#This Row],[Task Name]]="","",COUNTA(Tasks[[#Headers],[Task Name]]:Tasks[[#This Row],[Task Name]])-1)</f>
        <v/>
      </c>
      <c r="B112" s="39" t="n">
        <v>107</v>
      </c>
      <c r="C11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2" s="39"/>
      <c r="E112" s="41"/>
      <c r="F112" s="39"/>
      <c r="G112" s="39"/>
      <c r="H112" s="39"/>
      <c r="I112" s="39"/>
      <c r="J112" s="39"/>
      <c r="K112" s="39"/>
      <c r="L112" s="39"/>
      <c r="M112" s="39"/>
      <c r="N112" s="29"/>
      <c r="O112" s="29"/>
      <c r="P112" s="24" t="str">
        <f aca="false">IF(Tasks[[#This Row],[Task Name]]="","",IF(N(Tasks[[#This Row],[Baseline Start]])&gt;0,Tasks[[#This Row],[Baseline Start]],Tasks[[#This Row],[_CalcStart]]))</f>
        <v/>
      </c>
      <c r="Q112" s="24" t="str">
        <f aca="false">IF(Tasks[[#This Row],[Task Name]]="","",IF(N(Tasks[[#This Row],[Baseline Finish]])&gt;0,Tasks[[#This Row],[Baseline Finish]],Tasks[[#This Row],[_CalcFinish]]))</f>
        <v/>
      </c>
      <c r="R112" s="29"/>
      <c r="S112" s="29"/>
      <c r="T11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2" s="31"/>
      <c r="AA11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2" s="41"/>
      <c r="AD112" s="31"/>
      <c r="AE11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2" s="41"/>
      <c r="AJ112" s="24" t="str">
        <f aca="false">IF(Tasks[[#This Row],[Task Name]]="","",Tasks[[#This Row],[Forecast Start]])</f>
        <v/>
      </c>
      <c r="AK112" s="24" t="str">
        <f aca="false">IF(Tasks[[#This Row],[Task Name]]="","",Tasks[[#This Row],[Forecast Finish]])</f>
        <v/>
      </c>
      <c r="AL11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2" s="43" t="str">
        <f aca="false">IF(Tasks[[#This Row],[Task Name]]="","",Tasks[[#This Row],[Work]])</f>
        <v/>
      </c>
      <c r="AN112" s="44" t="str">
        <f aca="false">IF(Tasks[[#This Row],[Task Name]]="","",Tasks[[#This Row],[Cost]])</f>
        <v/>
      </c>
      <c r="AO112" s="29"/>
      <c r="AP112" s="29"/>
      <c r="AQ112" s="39"/>
      <c r="AR112" s="45"/>
      <c r="AS112" s="46"/>
      <c r="AT112" s="40" t="str">
        <f aca="false">IF(OR(Tasks[[#This Row],[Task Name]]="",Tasks[[#This Row],[Baseline Duration]]=""),"",Tasks[[#This Row],[BL Source Duration]]-N(Tasks[[#This Row],[Baseline Duration]]))</f>
        <v/>
      </c>
      <c r="AU112" s="43" t="str">
        <f aca="false">IF(OR(Tasks[[#This Row],[Task Name]]="",Tasks[[#This Row],[Baseline Work]]=""),"",Tasks[[#This Row],[Work]]-N(Tasks[[#This Row],[Baseline Work]]))</f>
        <v/>
      </c>
      <c r="AV112" s="44" t="str">
        <f aca="false">IF(OR(Tasks[[#This Row],[Task Name]]="",Tasks[[#This Row],[Baseline Cost]]=""),"",Tasks[[#This Row],[Cost]]-N(Tasks[[#This Row],[Baseline Cost]]))</f>
        <v/>
      </c>
      <c r="AW112" s="47" t="str">
        <f aca="false">IF(Tasks[[#This Row],[Task Name]]="","",MAX(1,N(Tasks[[#This Row],[Level]])))</f>
        <v/>
      </c>
      <c r="AX112" s="47" t="n">
        <f aca="false">ROW()-ROW(Tasks[[#Headers],[ID]])</f>
        <v>107</v>
      </c>
      <c r="AY11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2" s="47" t="n">
        <f aca="false">IFERROR(N(INDEX(Tasks[_Level],Tasks[[#This Row],[_Row]]+1)),0)</f>
        <v>0</v>
      </c>
      <c r="BA112" s="48" t="b">
        <f aca="false">AND(Tasks[[#This Row],[Task Name]]&lt;&gt;"",Tasks[[#This Row],[_NextLevel]]&gt;Tasks[[#This Row],[_Level]])</f>
        <v>0</v>
      </c>
      <c r="BB112" s="47" t="n">
        <f aca="false">IF(Tasks[[#This Row],[_IsSummary]],COUNTIF(Tasks[WBS],Tasks[[#This Row],[WBS]]&amp;".*"),0)</f>
        <v>0</v>
      </c>
      <c r="BC112" s="47" t="n">
        <f aca="false">IF(AND(Tasks[[#This Row],[Task Name]]&lt;&gt;"",NOT(Tasks[[#This Row],[_IsSummary]])),1,0)</f>
        <v>0</v>
      </c>
      <c r="BD112" s="47" t="n">
        <f aca="false">IF(N(Tasks[[#This Row],[Pred1 UID]])=0,0,IFERROR(MATCH(Tasks[[#This Row],[Pred1 UID]],Tasks[UID],0),-1))</f>
        <v>0</v>
      </c>
      <c r="BE112" s="47" t="n">
        <f aca="false">IF(N(Tasks[[#This Row],[Pred2 UID]])=0,0,IFERROR(MATCH(Tasks[[#This Row],[Pred2 UID]],Tasks[UID],0),-1))</f>
        <v>0</v>
      </c>
      <c r="BF11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2" s="47" t="n">
        <f aca="false">IF(NOT(Tasks[[#This Row],[_IsLeaf]]=1),0,IF(N(Tasks[[#This Row],[Actual Finish]])&gt;0,1,MIN(1,N(Tasks[[#This Row],[% Complete]]))))</f>
        <v>0</v>
      </c>
      <c r="BK11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2" s="47" t="n">
        <f aca="false">IF(Tasks[[#This Row],[_LeafWork]]=0,0,Tasks[[#This Row],[_LeafWork]]*IFERROR(INDEX(res_Rate,MATCH(Tasks[[#This Row],[Resource]],res_Name,0)),0))</f>
        <v>0</v>
      </c>
      <c r="BM11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2" s="47" t="n">
        <f aca="false">IF(AND(Tasks[[#This Row],[_IsLeaf]]=1,Tasks[[#This Row],[_LeafWork]]&gt;0),NETWORKDAYS.INTL(ProjectStart,Tasks[[#This Row],[_LeafFcstStart]],WorkWeek,Holidays),0)</f>
        <v>0</v>
      </c>
      <c r="BV11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2" s="47" t="n">
        <f aca="false">IF(AND(Tasks[[#This Row],[_IsLeaf]]=1,Tasks[[#This Row],[_LeafWork]]&gt;0),Tasks[[#This Row],[_LeafWork]]/(Tasks[[#This Row],[_FinishWorkday]]-Tasks[[#This Row],[_StartWorkday]]+1),0)</f>
        <v>0</v>
      </c>
      <c r="BX112" s="47" t="n">
        <f aca="false">Tasks[[#This Row],[_WorkPerWorkday]]*(Tasks[[#This Row],[_StartWorkday]]-1)</f>
        <v>-0</v>
      </c>
      <c r="BY112" s="47" t="n">
        <f aca="false">IF(Tasks[[#This Row],[_IsLeaf]]=1,MAX(N(Tasks[[#This Row],[Duration]]),0.1),0)</f>
        <v>0</v>
      </c>
      <c r="BZ112" s="47" t="n">
        <f aca="false">Tasks[[#This Row],[_WeightDur]]*Tasks[[#This Row],[_LeafProgress]]</f>
        <v>0</v>
      </c>
      <c r="CA11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3" customFormat="false" ht="15" hidden="false" customHeight="false" outlineLevel="0" collapsed="false">
      <c r="A113" s="38" t="str">
        <f aca="false">IF(Tasks[[#This Row],[Task Name]]="","",COUNTA(Tasks[[#Headers],[Task Name]]:Tasks[[#This Row],[Task Name]])-1)</f>
        <v/>
      </c>
      <c r="B113" s="39" t="n">
        <v>108</v>
      </c>
      <c r="C11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3" s="39"/>
      <c r="E113" s="41"/>
      <c r="F113" s="39"/>
      <c r="G113" s="39"/>
      <c r="H113" s="39"/>
      <c r="I113" s="39"/>
      <c r="J113" s="39"/>
      <c r="K113" s="39"/>
      <c r="L113" s="39"/>
      <c r="M113" s="39"/>
      <c r="N113" s="29"/>
      <c r="O113" s="29"/>
      <c r="P113" s="24" t="str">
        <f aca="false">IF(Tasks[[#This Row],[Task Name]]="","",IF(N(Tasks[[#This Row],[Baseline Start]])&gt;0,Tasks[[#This Row],[Baseline Start]],Tasks[[#This Row],[_CalcStart]]))</f>
        <v/>
      </c>
      <c r="Q113" s="24" t="str">
        <f aca="false">IF(Tasks[[#This Row],[Task Name]]="","",IF(N(Tasks[[#This Row],[Baseline Finish]])&gt;0,Tasks[[#This Row],[Baseline Finish]],Tasks[[#This Row],[_CalcFinish]]))</f>
        <v/>
      </c>
      <c r="R113" s="29"/>
      <c r="S113" s="29"/>
      <c r="T11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3" s="31"/>
      <c r="AA11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3" s="41"/>
      <c r="AD113" s="31"/>
      <c r="AE11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3" s="41"/>
      <c r="AJ113" s="24" t="str">
        <f aca="false">IF(Tasks[[#This Row],[Task Name]]="","",Tasks[[#This Row],[Forecast Start]])</f>
        <v/>
      </c>
      <c r="AK113" s="24" t="str">
        <f aca="false">IF(Tasks[[#This Row],[Task Name]]="","",Tasks[[#This Row],[Forecast Finish]])</f>
        <v/>
      </c>
      <c r="AL11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3" s="43" t="str">
        <f aca="false">IF(Tasks[[#This Row],[Task Name]]="","",Tasks[[#This Row],[Work]])</f>
        <v/>
      </c>
      <c r="AN113" s="44" t="str">
        <f aca="false">IF(Tasks[[#This Row],[Task Name]]="","",Tasks[[#This Row],[Cost]])</f>
        <v/>
      </c>
      <c r="AO113" s="29"/>
      <c r="AP113" s="29"/>
      <c r="AQ113" s="39"/>
      <c r="AR113" s="45"/>
      <c r="AS113" s="46"/>
      <c r="AT113" s="40" t="str">
        <f aca="false">IF(OR(Tasks[[#This Row],[Task Name]]="",Tasks[[#This Row],[Baseline Duration]]=""),"",Tasks[[#This Row],[BL Source Duration]]-N(Tasks[[#This Row],[Baseline Duration]]))</f>
        <v/>
      </c>
      <c r="AU113" s="43" t="str">
        <f aca="false">IF(OR(Tasks[[#This Row],[Task Name]]="",Tasks[[#This Row],[Baseline Work]]=""),"",Tasks[[#This Row],[Work]]-N(Tasks[[#This Row],[Baseline Work]]))</f>
        <v/>
      </c>
      <c r="AV113" s="44" t="str">
        <f aca="false">IF(OR(Tasks[[#This Row],[Task Name]]="",Tasks[[#This Row],[Baseline Cost]]=""),"",Tasks[[#This Row],[Cost]]-N(Tasks[[#This Row],[Baseline Cost]]))</f>
        <v/>
      </c>
      <c r="AW113" s="47" t="str">
        <f aca="false">IF(Tasks[[#This Row],[Task Name]]="","",MAX(1,N(Tasks[[#This Row],[Level]])))</f>
        <v/>
      </c>
      <c r="AX113" s="47" t="n">
        <f aca="false">ROW()-ROW(Tasks[[#Headers],[ID]])</f>
        <v>108</v>
      </c>
      <c r="AY11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3" s="47" t="n">
        <f aca="false">IFERROR(N(INDEX(Tasks[_Level],Tasks[[#This Row],[_Row]]+1)),0)</f>
        <v>0</v>
      </c>
      <c r="BA113" s="48" t="b">
        <f aca="false">AND(Tasks[[#This Row],[Task Name]]&lt;&gt;"",Tasks[[#This Row],[_NextLevel]]&gt;Tasks[[#This Row],[_Level]])</f>
        <v>0</v>
      </c>
      <c r="BB113" s="47" t="n">
        <f aca="false">IF(Tasks[[#This Row],[_IsSummary]],COUNTIF(Tasks[WBS],Tasks[[#This Row],[WBS]]&amp;".*"),0)</f>
        <v>0</v>
      </c>
      <c r="BC113" s="47" t="n">
        <f aca="false">IF(AND(Tasks[[#This Row],[Task Name]]&lt;&gt;"",NOT(Tasks[[#This Row],[_IsSummary]])),1,0)</f>
        <v>0</v>
      </c>
      <c r="BD113" s="47" t="n">
        <f aca="false">IF(N(Tasks[[#This Row],[Pred1 UID]])=0,0,IFERROR(MATCH(Tasks[[#This Row],[Pred1 UID]],Tasks[UID],0),-1))</f>
        <v>0</v>
      </c>
      <c r="BE113" s="47" t="n">
        <f aca="false">IF(N(Tasks[[#This Row],[Pred2 UID]])=0,0,IFERROR(MATCH(Tasks[[#This Row],[Pred2 UID]],Tasks[UID],0),-1))</f>
        <v>0</v>
      </c>
      <c r="BF11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3" s="47" t="n">
        <f aca="false">IF(NOT(Tasks[[#This Row],[_IsLeaf]]=1),0,IF(N(Tasks[[#This Row],[Actual Finish]])&gt;0,1,MIN(1,N(Tasks[[#This Row],[% Complete]]))))</f>
        <v>0</v>
      </c>
      <c r="BK11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3" s="47" t="n">
        <f aca="false">IF(Tasks[[#This Row],[_LeafWork]]=0,0,Tasks[[#This Row],[_LeafWork]]*IFERROR(INDEX(res_Rate,MATCH(Tasks[[#This Row],[Resource]],res_Name,0)),0))</f>
        <v>0</v>
      </c>
      <c r="BM11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3" s="47" t="n">
        <f aca="false">IF(AND(Tasks[[#This Row],[_IsLeaf]]=1,Tasks[[#This Row],[_LeafWork]]&gt;0),NETWORKDAYS.INTL(ProjectStart,Tasks[[#This Row],[_LeafFcstStart]],WorkWeek,Holidays),0)</f>
        <v>0</v>
      </c>
      <c r="BV11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3" s="47" t="n">
        <f aca="false">IF(AND(Tasks[[#This Row],[_IsLeaf]]=1,Tasks[[#This Row],[_LeafWork]]&gt;0),Tasks[[#This Row],[_LeafWork]]/(Tasks[[#This Row],[_FinishWorkday]]-Tasks[[#This Row],[_StartWorkday]]+1),0)</f>
        <v>0</v>
      </c>
      <c r="BX113" s="47" t="n">
        <f aca="false">Tasks[[#This Row],[_WorkPerWorkday]]*(Tasks[[#This Row],[_StartWorkday]]-1)</f>
        <v>-0</v>
      </c>
      <c r="BY113" s="47" t="n">
        <f aca="false">IF(Tasks[[#This Row],[_IsLeaf]]=1,MAX(N(Tasks[[#This Row],[Duration]]),0.1),0)</f>
        <v>0</v>
      </c>
      <c r="BZ113" s="47" t="n">
        <f aca="false">Tasks[[#This Row],[_WeightDur]]*Tasks[[#This Row],[_LeafProgress]]</f>
        <v>0</v>
      </c>
      <c r="CA11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4" customFormat="false" ht="15" hidden="false" customHeight="false" outlineLevel="0" collapsed="false">
      <c r="A114" s="38" t="str">
        <f aca="false">IF(Tasks[[#This Row],[Task Name]]="","",COUNTA(Tasks[[#Headers],[Task Name]]:Tasks[[#This Row],[Task Name]])-1)</f>
        <v/>
      </c>
      <c r="B114" s="39" t="n">
        <v>109</v>
      </c>
      <c r="C11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4" s="39"/>
      <c r="E114" s="41"/>
      <c r="F114" s="39"/>
      <c r="G114" s="39"/>
      <c r="H114" s="39"/>
      <c r="I114" s="39"/>
      <c r="J114" s="39"/>
      <c r="K114" s="39"/>
      <c r="L114" s="39"/>
      <c r="M114" s="39"/>
      <c r="N114" s="29"/>
      <c r="O114" s="29"/>
      <c r="P114" s="24" t="str">
        <f aca="false">IF(Tasks[[#This Row],[Task Name]]="","",IF(N(Tasks[[#This Row],[Baseline Start]])&gt;0,Tasks[[#This Row],[Baseline Start]],Tasks[[#This Row],[_CalcStart]]))</f>
        <v/>
      </c>
      <c r="Q114" s="24" t="str">
        <f aca="false">IF(Tasks[[#This Row],[Task Name]]="","",IF(N(Tasks[[#This Row],[Baseline Finish]])&gt;0,Tasks[[#This Row],[Baseline Finish]],Tasks[[#This Row],[_CalcFinish]]))</f>
        <v/>
      </c>
      <c r="R114" s="29"/>
      <c r="S114" s="29"/>
      <c r="T11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4" s="31"/>
      <c r="AA11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4" s="41"/>
      <c r="AD114" s="31"/>
      <c r="AE11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4" s="41"/>
      <c r="AJ114" s="24" t="str">
        <f aca="false">IF(Tasks[[#This Row],[Task Name]]="","",Tasks[[#This Row],[Forecast Start]])</f>
        <v/>
      </c>
      <c r="AK114" s="24" t="str">
        <f aca="false">IF(Tasks[[#This Row],[Task Name]]="","",Tasks[[#This Row],[Forecast Finish]])</f>
        <v/>
      </c>
      <c r="AL11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4" s="43" t="str">
        <f aca="false">IF(Tasks[[#This Row],[Task Name]]="","",Tasks[[#This Row],[Work]])</f>
        <v/>
      </c>
      <c r="AN114" s="44" t="str">
        <f aca="false">IF(Tasks[[#This Row],[Task Name]]="","",Tasks[[#This Row],[Cost]])</f>
        <v/>
      </c>
      <c r="AO114" s="29"/>
      <c r="AP114" s="29"/>
      <c r="AQ114" s="39"/>
      <c r="AR114" s="45"/>
      <c r="AS114" s="46"/>
      <c r="AT114" s="40" t="str">
        <f aca="false">IF(OR(Tasks[[#This Row],[Task Name]]="",Tasks[[#This Row],[Baseline Duration]]=""),"",Tasks[[#This Row],[BL Source Duration]]-N(Tasks[[#This Row],[Baseline Duration]]))</f>
        <v/>
      </c>
      <c r="AU114" s="43" t="str">
        <f aca="false">IF(OR(Tasks[[#This Row],[Task Name]]="",Tasks[[#This Row],[Baseline Work]]=""),"",Tasks[[#This Row],[Work]]-N(Tasks[[#This Row],[Baseline Work]]))</f>
        <v/>
      </c>
      <c r="AV114" s="44" t="str">
        <f aca="false">IF(OR(Tasks[[#This Row],[Task Name]]="",Tasks[[#This Row],[Baseline Cost]]=""),"",Tasks[[#This Row],[Cost]]-N(Tasks[[#This Row],[Baseline Cost]]))</f>
        <v/>
      </c>
      <c r="AW114" s="47" t="str">
        <f aca="false">IF(Tasks[[#This Row],[Task Name]]="","",MAX(1,N(Tasks[[#This Row],[Level]])))</f>
        <v/>
      </c>
      <c r="AX114" s="47" t="n">
        <f aca="false">ROW()-ROW(Tasks[[#Headers],[ID]])</f>
        <v>109</v>
      </c>
      <c r="AY11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4" s="47" t="n">
        <f aca="false">IFERROR(N(INDEX(Tasks[_Level],Tasks[[#This Row],[_Row]]+1)),0)</f>
        <v>0</v>
      </c>
      <c r="BA114" s="48" t="b">
        <f aca="false">AND(Tasks[[#This Row],[Task Name]]&lt;&gt;"",Tasks[[#This Row],[_NextLevel]]&gt;Tasks[[#This Row],[_Level]])</f>
        <v>0</v>
      </c>
      <c r="BB114" s="47" t="n">
        <f aca="false">IF(Tasks[[#This Row],[_IsSummary]],COUNTIF(Tasks[WBS],Tasks[[#This Row],[WBS]]&amp;".*"),0)</f>
        <v>0</v>
      </c>
      <c r="BC114" s="47" t="n">
        <f aca="false">IF(AND(Tasks[[#This Row],[Task Name]]&lt;&gt;"",NOT(Tasks[[#This Row],[_IsSummary]])),1,0)</f>
        <v>0</v>
      </c>
      <c r="BD114" s="47" t="n">
        <f aca="false">IF(N(Tasks[[#This Row],[Pred1 UID]])=0,0,IFERROR(MATCH(Tasks[[#This Row],[Pred1 UID]],Tasks[UID],0),-1))</f>
        <v>0</v>
      </c>
      <c r="BE114" s="47" t="n">
        <f aca="false">IF(N(Tasks[[#This Row],[Pred2 UID]])=0,0,IFERROR(MATCH(Tasks[[#This Row],[Pred2 UID]],Tasks[UID],0),-1))</f>
        <v>0</v>
      </c>
      <c r="BF11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4" s="47" t="n">
        <f aca="false">IF(NOT(Tasks[[#This Row],[_IsLeaf]]=1),0,IF(N(Tasks[[#This Row],[Actual Finish]])&gt;0,1,MIN(1,N(Tasks[[#This Row],[% Complete]]))))</f>
        <v>0</v>
      </c>
      <c r="BK11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4" s="47" t="n">
        <f aca="false">IF(Tasks[[#This Row],[_LeafWork]]=0,0,Tasks[[#This Row],[_LeafWork]]*IFERROR(INDEX(res_Rate,MATCH(Tasks[[#This Row],[Resource]],res_Name,0)),0))</f>
        <v>0</v>
      </c>
      <c r="BM11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4" s="47" t="n">
        <f aca="false">IF(AND(Tasks[[#This Row],[_IsLeaf]]=1,Tasks[[#This Row],[_LeafWork]]&gt;0),NETWORKDAYS.INTL(ProjectStart,Tasks[[#This Row],[_LeafFcstStart]],WorkWeek,Holidays),0)</f>
        <v>0</v>
      </c>
      <c r="BV11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4" s="47" t="n">
        <f aca="false">IF(AND(Tasks[[#This Row],[_IsLeaf]]=1,Tasks[[#This Row],[_LeafWork]]&gt;0),Tasks[[#This Row],[_LeafWork]]/(Tasks[[#This Row],[_FinishWorkday]]-Tasks[[#This Row],[_StartWorkday]]+1),0)</f>
        <v>0</v>
      </c>
      <c r="BX114" s="47" t="n">
        <f aca="false">Tasks[[#This Row],[_WorkPerWorkday]]*(Tasks[[#This Row],[_StartWorkday]]-1)</f>
        <v>-0</v>
      </c>
      <c r="BY114" s="47" t="n">
        <f aca="false">IF(Tasks[[#This Row],[_IsLeaf]]=1,MAX(N(Tasks[[#This Row],[Duration]]),0.1),0)</f>
        <v>0</v>
      </c>
      <c r="BZ114" s="47" t="n">
        <f aca="false">Tasks[[#This Row],[_WeightDur]]*Tasks[[#This Row],[_LeafProgress]]</f>
        <v>0</v>
      </c>
      <c r="CA11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5" customFormat="false" ht="15" hidden="false" customHeight="false" outlineLevel="0" collapsed="false">
      <c r="A115" s="38" t="str">
        <f aca="false">IF(Tasks[[#This Row],[Task Name]]="","",COUNTA(Tasks[[#Headers],[Task Name]]:Tasks[[#This Row],[Task Name]])-1)</f>
        <v/>
      </c>
      <c r="B115" s="39" t="n">
        <v>110</v>
      </c>
      <c r="C11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5" s="39"/>
      <c r="E115" s="41"/>
      <c r="F115" s="39"/>
      <c r="G115" s="39"/>
      <c r="H115" s="39"/>
      <c r="I115" s="39"/>
      <c r="J115" s="39"/>
      <c r="K115" s="39"/>
      <c r="L115" s="39"/>
      <c r="M115" s="39"/>
      <c r="N115" s="29"/>
      <c r="O115" s="29"/>
      <c r="P115" s="24" t="str">
        <f aca="false">IF(Tasks[[#This Row],[Task Name]]="","",IF(N(Tasks[[#This Row],[Baseline Start]])&gt;0,Tasks[[#This Row],[Baseline Start]],Tasks[[#This Row],[_CalcStart]]))</f>
        <v/>
      </c>
      <c r="Q115" s="24" t="str">
        <f aca="false">IF(Tasks[[#This Row],[Task Name]]="","",IF(N(Tasks[[#This Row],[Baseline Finish]])&gt;0,Tasks[[#This Row],[Baseline Finish]],Tasks[[#This Row],[_CalcFinish]]))</f>
        <v/>
      </c>
      <c r="R115" s="29"/>
      <c r="S115" s="29"/>
      <c r="T11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5" s="31"/>
      <c r="AA11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5" s="41"/>
      <c r="AD115" s="31"/>
      <c r="AE11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5" s="41"/>
      <c r="AJ115" s="24" t="str">
        <f aca="false">IF(Tasks[[#This Row],[Task Name]]="","",Tasks[[#This Row],[Forecast Start]])</f>
        <v/>
      </c>
      <c r="AK115" s="24" t="str">
        <f aca="false">IF(Tasks[[#This Row],[Task Name]]="","",Tasks[[#This Row],[Forecast Finish]])</f>
        <v/>
      </c>
      <c r="AL11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5" s="43" t="str">
        <f aca="false">IF(Tasks[[#This Row],[Task Name]]="","",Tasks[[#This Row],[Work]])</f>
        <v/>
      </c>
      <c r="AN115" s="44" t="str">
        <f aca="false">IF(Tasks[[#This Row],[Task Name]]="","",Tasks[[#This Row],[Cost]])</f>
        <v/>
      </c>
      <c r="AO115" s="29"/>
      <c r="AP115" s="29"/>
      <c r="AQ115" s="39"/>
      <c r="AR115" s="45"/>
      <c r="AS115" s="46"/>
      <c r="AT115" s="40" t="str">
        <f aca="false">IF(OR(Tasks[[#This Row],[Task Name]]="",Tasks[[#This Row],[Baseline Duration]]=""),"",Tasks[[#This Row],[BL Source Duration]]-N(Tasks[[#This Row],[Baseline Duration]]))</f>
        <v/>
      </c>
      <c r="AU115" s="43" t="str">
        <f aca="false">IF(OR(Tasks[[#This Row],[Task Name]]="",Tasks[[#This Row],[Baseline Work]]=""),"",Tasks[[#This Row],[Work]]-N(Tasks[[#This Row],[Baseline Work]]))</f>
        <v/>
      </c>
      <c r="AV115" s="44" t="str">
        <f aca="false">IF(OR(Tasks[[#This Row],[Task Name]]="",Tasks[[#This Row],[Baseline Cost]]=""),"",Tasks[[#This Row],[Cost]]-N(Tasks[[#This Row],[Baseline Cost]]))</f>
        <v/>
      </c>
      <c r="AW115" s="47" t="str">
        <f aca="false">IF(Tasks[[#This Row],[Task Name]]="","",MAX(1,N(Tasks[[#This Row],[Level]])))</f>
        <v/>
      </c>
      <c r="AX115" s="47" t="n">
        <f aca="false">ROW()-ROW(Tasks[[#Headers],[ID]])</f>
        <v>110</v>
      </c>
      <c r="AY11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5" s="47" t="n">
        <f aca="false">IFERROR(N(INDEX(Tasks[_Level],Tasks[[#This Row],[_Row]]+1)),0)</f>
        <v>0</v>
      </c>
      <c r="BA115" s="48" t="b">
        <f aca="false">AND(Tasks[[#This Row],[Task Name]]&lt;&gt;"",Tasks[[#This Row],[_NextLevel]]&gt;Tasks[[#This Row],[_Level]])</f>
        <v>0</v>
      </c>
      <c r="BB115" s="47" t="n">
        <f aca="false">IF(Tasks[[#This Row],[_IsSummary]],COUNTIF(Tasks[WBS],Tasks[[#This Row],[WBS]]&amp;".*"),0)</f>
        <v>0</v>
      </c>
      <c r="BC115" s="47" t="n">
        <f aca="false">IF(AND(Tasks[[#This Row],[Task Name]]&lt;&gt;"",NOT(Tasks[[#This Row],[_IsSummary]])),1,0)</f>
        <v>0</v>
      </c>
      <c r="BD115" s="47" t="n">
        <f aca="false">IF(N(Tasks[[#This Row],[Pred1 UID]])=0,0,IFERROR(MATCH(Tasks[[#This Row],[Pred1 UID]],Tasks[UID],0),-1))</f>
        <v>0</v>
      </c>
      <c r="BE115" s="47" t="n">
        <f aca="false">IF(N(Tasks[[#This Row],[Pred2 UID]])=0,0,IFERROR(MATCH(Tasks[[#This Row],[Pred2 UID]],Tasks[UID],0),-1))</f>
        <v>0</v>
      </c>
      <c r="BF11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5" s="47" t="n">
        <f aca="false">IF(NOT(Tasks[[#This Row],[_IsLeaf]]=1),0,IF(N(Tasks[[#This Row],[Actual Finish]])&gt;0,1,MIN(1,N(Tasks[[#This Row],[% Complete]]))))</f>
        <v>0</v>
      </c>
      <c r="BK11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5" s="47" t="n">
        <f aca="false">IF(Tasks[[#This Row],[_LeafWork]]=0,0,Tasks[[#This Row],[_LeafWork]]*IFERROR(INDEX(res_Rate,MATCH(Tasks[[#This Row],[Resource]],res_Name,0)),0))</f>
        <v>0</v>
      </c>
      <c r="BM11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5" s="47" t="n">
        <f aca="false">IF(AND(Tasks[[#This Row],[_IsLeaf]]=1,Tasks[[#This Row],[_LeafWork]]&gt;0),NETWORKDAYS.INTL(ProjectStart,Tasks[[#This Row],[_LeafFcstStart]],WorkWeek,Holidays),0)</f>
        <v>0</v>
      </c>
      <c r="BV11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5" s="47" t="n">
        <f aca="false">IF(AND(Tasks[[#This Row],[_IsLeaf]]=1,Tasks[[#This Row],[_LeafWork]]&gt;0),Tasks[[#This Row],[_LeafWork]]/(Tasks[[#This Row],[_FinishWorkday]]-Tasks[[#This Row],[_StartWorkday]]+1),0)</f>
        <v>0</v>
      </c>
      <c r="BX115" s="47" t="n">
        <f aca="false">Tasks[[#This Row],[_WorkPerWorkday]]*(Tasks[[#This Row],[_StartWorkday]]-1)</f>
        <v>-0</v>
      </c>
      <c r="BY115" s="47" t="n">
        <f aca="false">IF(Tasks[[#This Row],[_IsLeaf]]=1,MAX(N(Tasks[[#This Row],[Duration]]),0.1),0)</f>
        <v>0</v>
      </c>
      <c r="BZ115" s="47" t="n">
        <f aca="false">Tasks[[#This Row],[_WeightDur]]*Tasks[[#This Row],[_LeafProgress]]</f>
        <v>0</v>
      </c>
      <c r="CA11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6" customFormat="false" ht="15" hidden="false" customHeight="false" outlineLevel="0" collapsed="false">
      <c r="A116" s="38" t="str">
        <f aca="false">IF(Tasks[[#This Row],[Task Name]]="","",COUNTA(Tasks[[#Headers],[Task Name]]:Tasks[[#This Row],[Task Name]])-1)</f>
        <v/>
      </c>
      <c r="B116" s="39" t="n">
        <v>111</v>
      </c>
      <c r="C11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6" s="39"/>
      <c r="E116" s="41"/>
      <c r="F116" s="39"/>
      <c r="G116" s="39"/>
      <c r="H116" s="39"/>
      <c r="I116" s="39"/>
      <c r="J116" s="39"/>
      <c r="K116" s="39"/>
      <c r="L116" s="39"/>
      <c r="M116" s="39"/>
      <c r="N116" s="29"/>
      <c r="O116" s="29"/>
      <c r="P116" s="24" t="str">
        <f aca="false">IF(Tasks[[#This Row],[Task Name]]="","",IF(N(Tasks[[#This Row],[Baseline Start]])&gt;0,Tasks[[#This Row],[Baseline Start]],Tasks[[#This Row],[_CalcStart]]))</f>
        <v/>
      </c>
      <c r="Q116" s="24" t="str">
        <f aca="false">IF(Tasks[[#This Row],[Task Name]]="","",IF(N(Tasks[[#This Row],[Baseline Finish]])&gt;0,Tasks[[#This Row],[Baseline Finish]],Tasks[[#This Row],[_CalcFinish]]))</f>
        <v/>
      </c>
      <c r="R116" s="29"/>
      <c r="S116" s="29"/>
      <c r="T11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6" s="31"/>
      <c r="AA11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6" s="41"/>
      <c r="AD116" s="31"/>
      <c r="AE11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6" s="41"/>
      <c r="AJ116" s="24" t="str">
        <f aca="false">IF(Tasks[[#This Row],[Task Name]]="","",Tasks[[#This Row],[Forecast Start]])</f>
        <v/>
      </c>
      <c r="AK116" s="24" t="str">
        <f aca="false">IF(Tasks[[#This Row],[Task Name]]="","",Tasks[[#This Row],[Forecast Finish]])</f>
        <v/>
      </c>
      <c r="AL11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6" s="43" t="str">
        <f aca="false">IF(Tasks[[#This Row],[Task Name]]="","",Tasks[[#This Row],[Work]])</f>
        <v/>
      </c>
      <c r="AN116" s="44" t="str">
        <f aca="false">IF(Tasks[[#This Row],[Task Name]]="","",Tasks[[#This Row],[Cost]])</f>
        <v/>
      </c>
      <c r="AO116" s="29"/>
      <c r="AP116" s="29"/>
      <c r="AQ116" s="39"/>
      <c r="AR116" s="45"/>
      <c r="AS116" s="46"/>
      <c r="AT116" s="40" t="str">
        <f aca="false">IF(OR(Tasks[[#This Row],[Task Name]]="",Tasks[[#This Row],[Baseline Duration]]=""),"",Tasks[[#This Row],[BL Source Duration]]-N(Tasks[[#This Row],[Baseline Duration]]))</f>
        <v/>
      </c>
      <c r="AU116" s="43" t="str">
        <f aca="false">IF(OR(Tasks[[#This Row],[Task Name]]="",Tasks[[#This Row],[Baseline Work]]=""),"",Tasks[[#This Row],[Work]]-N(Tasks[[#This Row],[Baseline Work]]))</f>
        <v/>
      </c>
      <c r="AV116" s="44" t="str">
        <f aca="false">IF(OR(Tasks[[#This Row],[Task Name]]="",Tasks[[#This Row],[Baseline Cost]]=""),"",Tasks[[#This Row],[Cost]]-N(Tasks[[#This Row],[Baseline Cost]]))</f>
        <v/>
      </c>
      <c r="AW116" s="47" t="str">
        <f aca="false">IF(Tasks[[#This Row],[Task Name]]="","",MAX(1,N(Tasks[[#This Row],[Level]])))</f>
        <v/>
      </c>
      <c r="AX116" s="47" t="n">
        <f aca="false">ROW()-ROW(Tasks[[#Headers],[ID]])</f>
        <v>111</v>
      </c>
      <c r="AY11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6" s="47" t="n">
        <f aca="false">IFERROR(N(INDEX(Tasks[_Level],Tasks[[#This Row],[_Row]]+1)),0)</f>
        <v>0</v>
      </c>
      <c r="BA116" s="48" t="b">
        <f aca="false">AND(Tasks[[#This Row],[Task Name]]&lt;&gt;"",Tasks[[#This Row],[_NextLevel]]&gt;Tasks[[#This Row],[_Level]])</f>
        <v>0</v>
      </c>
      <c r="BB116" s="47" t="n">
        <f aca="false">IF(Tasks[[#This Row],[_IsSummary]],COUNTIF(Tasks[WBS],Tasks[[#This Row],[WBS]]&amp;".*"),0)</f>
        <v>0</v>
      </c>
      <c r="BC116" s="47" t="n">
        <f aca="false">IF(AND(Tasks[[#This Row],[Task Name]]&lt;&gt;"",NOT(Tasks[[#This Row],[_IsSummary]])),1,0)</f>
        <v>0</v>
      </c>
      <c r="BD116" s="47" t="n">
        <f aca="false">IF(N(Tasks[[#This Row],[Pred1 UID]])=0,0,IFERROR(MATCH(Tasks[[#This Row],[Pred1 UID]],Tasks[UID],0),-1))</f>
        <v>0</v>
      </c>
      <c r="BE116" s="47" t="n">
        <f aca="false">IF(N(Tasks[[#This Row],[Pred2 UID]])=0,0,IFERROR(MATCH(Tasks[[#This Row],[Pred2 UID]],Tasks[UID],0),-1))</f>
        <v>0</v>
      </c>
      <c r="BF11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6" s="47" t="n">
        <f aca="false">IF(NOT(Tasks[[#This Row],[_IsLeaf]]=1),0,IF(N(Tasks[[#This Row],[Actual Finish]])&gt;0,1,MIN(1,N(Tasks[[#This Row],[% Complete]]))))</f>
        <v>0</v>
      </c>
      <c r="BK11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6" s="47" t="n">
        <f aca="false">IF(Tasks[[#This Row],[_LeafWork]]=0,0,Tasks[[#This Row],[_LeafWork]]*IFERROR(INDEX(res_Rate,MATCH(Tasks[[#This Row],[Resource]],res_Name,0)),0))</f>
        <v>0</v>
      </c>
      <c r="BM11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6" s="47" t="n">
        <f aca="false">IF(AND(Tasks[[#This Row],[_IsLeaf]]=1,Tasks[[#This Row],[_LeafWork]]&gt;0),NETWORKDAYS.INTL(ProjectStart,Tasks[[#This Row],[_LeafFcstStart]],WorkWeek,Holidays),0)</f>
        <v>0</v>
      </c>
      <c r="BV11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6" s="47" t="n">
        <f aca="false">IF(AND(Tasks[[#This Row],[_IsLeaf]]=1,Tasks[[#This Row],[_LeafWork]]&gt;0),Tasks[[#This Row],[_LeafWork]]/(Tasks[[#This Row],[_FinishWorkday]]-Tasks[[#This Row],[_StartWorkday]]+1),0)</f>
        <v>0</v>
      </c>
      <c r="BX116" s="47" t="n">
        <f aca="false">Tasks[[#This Row],[_WorkPerWorkday]]*(Tasks[[#This Row],[_StartWorkday]]-1)</f>
        <v>-0</v>
      </c>
      <c r="BY116" s="47" t="n">
        <f aca="false">IF(Tasks[[#This Row],[_IsLeaf]]=1,MAX(N(Tasks[[#This Row],[Duration]]),0.1),0)</f>
        <v>0</v>
      </c>
      <c r="BZ116" s="47" t="n">
        <f aca="false">Tasks[[#This Row],[_WeightDur]]*Tasks[[#This Row],[_LeafProgress]]</f>
        <v>0</v>
      </c>
      <c r="CA11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7" customFormat="false" ht="15" hidden="false" customHeight="false" outlineLevel="0" collapsed="false">
      <c r="A117" s="38" t="str">
        <f aca="false">IF(Tasks[[#This Row],[Task Name]]="","",COUNTA(Tasks[[#Headers],[Task Name]]:Tasks[[#This Row],[Task Name]])-1)</f>
        <v/>
      </c>
      <c r="B117" s="39" t="n">
        <v>112</v>
      </c>
      <c r="C11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7" s="39"/>
      <c r="E117" s="41"/>
      <c r="F117" s="39"/>
      <c r="G117" s="39"/>
      <c r="H117" s="39"/>
      <c r="I117" s="39"/>
      <c r="J117" s="39"/>
      <c r="K117" s="39"/>
      <c r="L117" s="39"/>
      <c r="M117" s="39"/>
      <c r="N117" s="29"/>
      <c r="O117" s="29"/>
      <c r="P117" s="24" t="str">
        <f aca="false">IF(Tasks[[#This Row],[Task Name]]="","",IF(N(Tasks[[#This Row],[Baseline Start]])&gt;0,Tasks[[#This Row],[Baseline Start]],Tasks[[#This Row],[_CalcStart]]))</f>
        <v/>
      </c>
      <c r="Q117" s="24" t="str">
        <f aca="false">IF(Tasks[[#This Row],[Task Name]]="","",IF(N(Tasks[[#This Row],[Baseline Finish]])&gt;0,Tasks[[#This Row],[Baseline Finish]],Tasks[[#This Row],[_CalcFinish]]))</f>
        <v/>
      </c>
      <c r="R117" s="29"/>
      <c r="S117" s="29"/>
      <c r="T11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7" s="31"/>
      <c r="AA11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7" s="41"/>
      <c r="AD117" s="31"/>
      <c r="AE11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7" s="41"/>
      <c r="AJ117" s="24" t="str">
        <f aca="false">IF(Tasks[[#This Row],[Task Name]]="","",Tasks[[#This Row],[Forecast Start]])</f>
        <v/>
      </c>
      <c r="AK117" s="24" t="str">
        <f aca="false">IF(Tasks[[#This Row],[Task Name]]="","",Tasks[[#This Row],[Forecast Finish]])</f>
        <v/>
      </c>
      <c r="AL11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7" s="43" t="str">
        <f aca="false">IF(Tasks[[#This Row],[Task Name]]="","",Tasks[[#This Row],[Work]])</f>
        <v/>
      </c>
      <c r="AN117" s="44" t="str">
        <f aca="false">IF(Tasks[[#This Row],[Task Name]]="","",Tasks[[#This Row],[Cost]])</f>
        <v/>
      </c>
      <c r="AO117" s="29"/>
      <c r="AP117" s="29"/>
      <c r="AQ117" s="39"/>
      <c r="AR117" s="45"/>
      <c r="AS117" s="46"/>
      <c r="AT117" s="40" t="str">
        <f aca="false">IF(OR(Tasks[[#This Row],[Task Name]]="",Tasks[[#This Row],[Baseline Duration]]=""),"",Tasks[[#This Row],[BL Source Duration]]-N(Tasks[[#This Row],[Baseline Duration]]))</f>
        <v/>
      </c>
      <c r="AU117" s="43" t="str">
        <f aca="false">IF(OR(Tasks[[#This Row],[Task Name]]="",Tasks[[#This Row],[Baseline Work]]=""),"",Tasks[[#This Row],[Work]]-N(Tasks[[#This Row],[Baseline Work]]))</f>
        <v/>
      </c>
      <c r="AV117" s="44" t="str">
        <f aca="false">IF(OR(Tasks[[#This Row],[Task Name]]="",Tasks[[#This Row],[Baseline Cost]]=""),"",Tasks[[#This Row],[Cost]]-N(Tasks[[#This Row],[Baseline Cost]]))</f>
        <v/>
      </c>
      <c r="AW117" s="47" t="str">
        <f aca="false">IF(Tasks[[#This Row],[Task Name]]="","",MAX(1,N(Tasks[[#This Row],[Level]])))</f>
        <v/>
      </c>
      <c r="AX117" s="47" t="n">
        <f aca="false">ROW()-ROW(Tasks[[#Headers],[ID]])</f>
        <v>112</v>
      </c>
      <c r="AY11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7" s="47" t="n">
        <f aca="false">IFERROR(N(INDEX(Tasks[_Level],Tasks[[#This Row],[_Row]]+1)),0)</f>
        <v>0</v>
      </c>
      <c r="BA117" s="48" t="b">
        <f aca="false">AND(Tasks[[#This Row],[Task Name]]&lt;&gt;"",Tasks[[#This Row],[_NextLevel]]&gt;Tasks[[#This Row],[_Level]])</f>
        <v>0</v>
      </c>
      <c r="BB117" s="47" t="n">
        <f aca="false">IF(Tasks[[#This Row],[_IsSummary]],COUNTIF(Tasks[WBS],Tasks[[#This Row],[WBS]]&amp;".*"),0)</f>
        <v>0</v>
      </c>
      <c r="BC117" s="47" t="n">
        <f aca="false">IF(AND(Tasks[[#This Row],[Task Name]]&lt;&gt;"",NOT(Tasks[[#This Row],[_IsSummary]])),1,0)</f>
        <v>0</v>
      </c>
      <c r="BD117" s="47" t="n">
        <f aca="false">IF(N(Tasks[[#This Row],[Pred1 UID]])=0,0,IFERROR(MATCH(Tasks[[#This Row],[Pred1 UID]],Tasks[UID],0),-1))</f>
        <v>0</v>
      </c>
      <c r="BE117" s="47" t="n">
        <f aca="false">IF(N(Tasks[[#This Row],[Pred2 UID]])=0,0,IFERROR(MATCH(Tasks[[#This Row],[Pred2 UID]],Tasks[UID],0),-1))</f>
        <v>0</v>
      </c>
      <c r="BF11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7" s="47" t="n">
        <f aca="false">IF(NOT(Tasks[[#This Row],[_IsLeaf]]=1),0,IF(N(Tasks[[#This Row],[Actual Finish]])&gt;0,1,MIN(1,N(Tasks[[#This Row],[% Complete]]))))</f>
        <v>0</v>
      </c>
      <c r="BK11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7" s="47" t="n">
        <f aca="false">IF(Tasks[[#This Row],[_LeafWork]]=0,0,Tasks[[#This Row],[_LeafWork]]*IFERROR(INDEX(res_Rate,MATCH(Tasks[[#This Row],[Resource]],res_Name,0)),0))</f>
        <v>0</v>
      </c>
      <c r="BM11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7" s="47" t="n">
        <f aca="false">IF(AND(Tasks[[#This Row],[_IsLeaf]]=1,Tasks[[#This Row],[_LeafWork]]&gt;0),NETWORKDAYS.INTL(ProjectStart,Tasks[[#This Row],[_LeafFcstStart]],WorkWeek,Holidays),0)</f>
        <v>0</v>
      </c>
      <c r="BV11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7" s="47" t="n">
        <f aca="false">IF(AND(Tasks[[#This Row],[_IsLeaf]]=1,Tasks[[#This Row],[_LeafWork]]&gt;0),Tasks[[#This Row],[_LeafWork]]/(Tasks[[#This Row],[_FinishWorkday]]-Tasks[[#This Row],[_StartWorkday]]+1),0)</f>
        <v>0</v>
      </c>
      <c r="BX117" s="47" t="n">
        <f aca="false">Tasks[[#This Row],[_WorkPerWorkday]]*(Tasks[[#This Row],[_StartWorkday]]-1)</f>
        <v>-0</v>
      </c>
      <c r="BY117" s="47" t="n">
        <f aca="false">IF(Tasks[[#This Row],[_IsLeaf]]=1,MAX(N(Tasks[[#This Row],[Duration]]),0.1),0)</f>
        <v>0</v>
      </c>
      <c r="BZ117" s="47" t="n">
        <f aca="false">Tasks[[#This Row],[_WeightDur]]*Tasks[[#This Row],[_LeafProgress]]</f>
        <v>0</v>
      </c>
      <c r="CA11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8" customFormat="false" ht="15" hidden="false" customHeight="false" outlineLevel="0" collapsed="false">
      <c r="A118" s="38" t="str">
        <f aca="false">IF(Tasks[[#This Row],[Task Name]]="","",COUNTA(Tasks[[#Headers],[Task Name]]:Tasks[[#This Row],[Task Name]])-1)</f>
        <v/>
      </c>
      <c r="B118" s="39" t="n">
        <v>113</v>
      </c>
      <c r="C11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8" s="39"/>
      <c r="E118" s="41"/>
      <c r="F118" s="39"/>
      <c r="G118" s="39"/>
      <c r="H118" s="39"/>
      <c r="I118" s="39"/>
      <c r="J118" s="39"/>
      <c r="K118" s="39"/>
      <c r="L118" s="39"/>
      <c r="M118" s="39"/>
      <c r="N118" s="29"/>
      <c r="O118" s="29"/>
      <c r="P118" s="24" t="str">
        <f aca="false">IF(Tasks[[#This Row],[Task Name]]="","",IF(N(Tasks[[#This Row],[Baseline Start]])&gt;0,Tasks[[#This Row],[Baseline Start]],Tasks[[#This Row],[_CalcStart]]))</f>
        <v/>
      </c>
      <c r="Q118" s="24" t="str">
        <f aca="false">IF(Tasks[[#This Row],[Task Name]]="","",IF(N(Tasks[[#This Row],[Baseline Finish]])&gt;0,Tasks[[#This Row],[Baseline Finish]],Tasks[[#This Row],[_CalcFinish]]))</f>
        <v/>
      </c>
      <c r="R118" s="29"/>
      <c r="S118" s="29"/>
      <c r="T11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8" s="31"/>
      <c r="AA11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8" s="41"/>
      <c r="AD118" s="31"/>
      <c r="AE11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8" s="41"/>
      <c r="AJ118" s="24" t="str">
        <f aca="false">IF(Tasks[[#This Row],[Task Name]]="","",Tasks[[#This Row],[Forecast Start]])</f>
        <v/>
      </c>
      <c r="AK118" s="24" t="str">
        <f aca="false">IF(Tasks[[#This Row],[Task Name]]="","",Tasks[[#This Row],[Forecast Finish]])</f>
        <v/>
      </c>
      <c r="AL11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8" s="43" t="str">
        <f aca="false">IF(Tasks[[#This Row],[Task Name]]="","",Tasks[[#This Row],[Work]])</f>
        <v/>
      </c>
      <c r="AN118" s="44" t="str">
        <f aca="false">IF(Tasks[[#This Row],[Task Name]]="","",Tasks[[#This Row],[Cost]])</f>
        <v/>
      </c>
      <c r="AO118" s="29"/>
      <c r="AP118" s="29"/>
      <c r="AQ118" s="39"/>
      <c r="AR118" s="45"/>
      <c r="AS118" s="46"/>
      <c r="AT118" s="40" t="str">
        <f aca="false">IF(OR(Tasks[[#This Row],[Task Name]]="",Tasks[[#This Row],[Baseline Duration]]=""),"",Tasks[[#This Row],[BL Source Duration]]-N(Tasks[[#This Row],[Baseline Duration]]))</f>
        <v/>
      </c>
      <c r="AU118" s="43" t="str">
        <f aca="false">IF(OR(Tasks[[#This Row],[Task Name]]="",Tasks[[#This Row],[Baseline Work]]=""),"",Tasks[[#This Row],[Work]]-N(Tasks[[#This Row],[Baseline Work]]))</f>
        <v/>
      </c>
      <c r="AV118" s="44" t="str">
        <f aca="false">IF(OR(Tasks[[#This Row],[Task Name]]="",Tasks[[#This Row],[Baseline Cost]]=""),"",Tasks[[#This Row],[Cost]]-N(Tasks[[#This Row],[Baseline Cost]]))</f>
        <v/>
      </c>
      <c r="AW118" s="47" t="str">
        <f aca="false">IF(Tasks[[#This Row],[Task Name]]="","",MAX(1,N(Tasks[[#This Row],[Level]])))</f>
        <v/>
      </c>
      <c r="AX118" s="47" t="n">
        <f aca="false">ROW()-ROW(Tasks[[#Headers],[ID]])</f>
        <v>113</v>
      </c>
      <c r="AY11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8" s="47" t="n">
        <f aca="false">IFERROR(N(INDEX(Tasks[_Level],Tasks[[#This Row],[_Row]]+1)),0)</f>
        <v>0</v>
      </c>
      <c r="BA118" s="48" t="b">
        <f aca="false">AND(Tasks[[#This Row],[Task Name]]&lt;&gt;"",Tasks[[#This Row],[_NextLevel]]&gt;Tasks[[#This Row],[_Level]])</f>
        <v>0</v>
      </c>
      <c r="BB118" s="47" t="n">
        <f aca="false">IF(Tasks[[#This Row],[_IsSummary]],COUNTIF(Tasks[WBS],Tasks[[#This Row],[WBS]]&amp;".*"),0)</f>
        <v>0</v>
      </c>
      <c r="BC118" s="47" t="n">
        <f aca="false">IF(AND(Tasks[[#This Row],[Task Name]]&lt;&gt;"",NOT(Tasks[[#This Row],[_IsSummary]])),1,0)</f>
        <v>0</v>
      </c>
      <c r="BD118" s="47" t="n">
        <f aca="false">IF(N(Tasks[[#This Row],[Pred1 UID]])=0,0,IFERROR(MATCH(Tasks[[#This Row],[Pred1 UID]],Tasks[UID],0),-1))</f>
        <v>0</v>
      </c>
      <c r="BE118" s="47" t="n">
        <f aca="false">IF(N(Tasks[[#This Row],[Pred2 UID]])=0,0,IFERROR(MATCH(Tasks[[#This Row],[Pred2 UID]],Tasks[UID],0),-1))</f>
        <v>0</v>
      </c>
      <c r="BF11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8" s="47" t="n">
        <f aca="false">IF(NOT(Tasks[[#This Row],[_IsLeaf]]=1),0,IF(N(Tasks[[#This Row],[Actual Finish]])&gt;0,1,MIN(1,N(Tasks[[#This Row],[% Complete]]))))</f>
        <v>0</v>
      </c>
      <c r="BK11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8" s="47" t="n">
        <f aca="false">IF(Tasks[[#This Row],[_LeafWork]]=0,0,Tasks[[#This Row],[_LeafWork]]*IFERROR(INDEX(res_Rate,MATCH(Tasks[[#This Row],[Resource]],res_Name,0)),0))</f>
        <v>0</v>
      </c>
      <c r="BM11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8" s="47" t="n">
        <f aca="false">IF(AND(Tasks[[#This Row],[_IsLeaf]]=1,Tasks[[#This Row],[_LeafWork]]&gt;0),NETWORKDAYS.INTL(ProjectStart,Tasks[[#This Row],[_LeafFcstStart]],WorkWeek,Holidays),0)</f>
        <v>0</v>
      </c>
      <c r="BV11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8" s="47" t="n">
        <f aca="false">IF(AND(Tasks[[#This Row],[_IsLeaf]]=1,Tasks[[#This Row],[_LeafWork]]&gt;0),Tasks[[#This Row],[_LeafWork]]/(Tasks[[#This Row],[_FinishWorkday]]-Tasks[[#This Row],[_StartWorkday]]+1),0)</f>
        <v>0</v>
      </c>
      <c r="BX118" s="47" t="n">
        <f aca="false">Tasks[[#This Row],[_WorkPerWorkday]]*(Tasks[[#This Row],[_StartWorkday]]-1)</f>
        <v>-0</v>
      </c>
      <c r="BY118" s="47" t="n">
        <f aca="false">IF(Tasks[[#This Row],[_IsLeaf]]=1,MAX(N(Tasks[[#This Row],[Duration]]),0.1),0)</f>
        <v>0</v>
      </c>
      <c r="BZ118" s="47" t="n">
        <f aca="false">Tasks[[#This Row],[_WeightDur]]*Tasks[[#This Row],[_LeafProgress]]</f>
        <v>0</v>
      </c>
      <c r="CA11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9" customFormat="false" ht="15" hidden="false" customHeight="false" outlineLevel="0" collapsed="false">
      <c r="A119" s="38" t="str">
        <f aca="false">IF(Tasks[[#This Row],[Task Name]]="","",COUNTA(Tasks[[#Headers],[Task Name]]:Tasks[[#This Row],[Task Name]])-1)</f>
        <v/>
      </c>
      <c r="B119" s="39" t="n">
        <v>114</v>
      </c>
      <c r="C11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9" s="39"/>
      <c r="E119" s="41"/>
      <c r="F119" s="39"/>
      <c r="G119" s="39"/>
      <c r="H119" s="39"/>
      <c r="I119" s="39"/>
      <c r="J119" s="39"/>
      <c r="K119" s="39"/>
      <c r="L119" s="39"/>
      <c r="M119" s="39"/>
      <c r="N119" s="29"/>
      <c r="O119" s="29"/>
      <c r="P119" s="24" t="str">
        <f aca="false">IF(Tasks[[#This Row],[Task Name]]="","",IF(N(Tasks[[#This Row],[Baseline Start]])&gt;0,Tasks[[#This Row],[Baseline Start]],Tasks[[#This Row],[_CalcStart]]))</f>
        <v/>
      </c>
      <c r="Q119" s="24" t="str">
        <f aca="false">IF(Tasks[[#This Row],[Task Name]]="","",IF(N(Tasks[[#This Row],[Baseline Finish]])&gt;0,Tasks[[#This Row],[Baseline Finish]],Tasks[[#This Row],[_CalcFinish]]))</f>
        <v/>
      </c>
      <c r="R119" s="29"/>
      <c r="S119" s="29"/>
      <c r="T11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9" s="31"/>
      <c r="AA11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9" s="41"/>
      <c r="AD119" s="31"/>
      <c r="AE11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9" s="41"/>
      <c r="AJ119" s="24" t="str">
        <f aca="false">IF(Tasks[[#This Row],[Task Name]]="","",Tasks[[#This Row],[Forecast Start]])</f>
        <v/>
      </c>
      <c r="AK119" s="24" t="str">
        <f aca="false">IF(Tasks[[#This Row],[Task Name]]="","",Tasks[[#This Row],[Forecast Finish]])</f>
        <v/>
      </c>
      <c r="AL11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9" s="43" t="str">
        <f aca="false">IF(Tasks[[#This Row],[Task Name]]="","",Tasks[[#This Row],[Work]])</f>
        <v/>
      </c>
      <c r="AN119" s="44" t="str">
        <f aca="false">IF(Tasks[[#This Row],[Task Name]]="","",Tasks[[#This Row],[Cost]])</f>
        <v/>
      </c>
      <c r="AO119" s="29"/>
      <c r="AP119" s="29"/>
      <c r="AQ119" s="39"/>
      <c r="AR119" s="45"/>
      <c r="AS119" s="46"/>
      <c r="AT119" s="40" t="str">
        <f aca="false">IF(OR(Tasks[[#This Row],[Task Name]]="",Tasks[[#This Row],[Baseline Duration]]=""),"",Tasks[[#This Row],[BL Source Duration]]-N(Tasks[[#This Row],[Baseline Duration]]))</f>
        <v/>
      </c>
      <c r="AU119" s="43" t="str">
        <f aca="false">IF(OR(Tasks[[#This Row],[Task Name]]="",Tasks[[#This Row],[Baseline Work]]=""),"",Tasks[[#This Row],[Work]]-N(Tasks[[#This Row],[Baseline Work]]))</f>
        <v/>
      </c>
      <c r="AV119" s="44" t="str">
        <f aca="false">IF(OR(Tasks[[#This Row],[Task Name]]="",Tasks[[#This Row],[Baseline Cost]]=""),"",Tasks[[#This Row],[Cost]]-N(Tasks[[#This Row],[Baseline Cost]]))</f>
        <v/>
      </c>
      <c r="AW119" s="47" t="str">
        <f aca="false">IF(Tasks[[#This Row],[Task Name]]="","",MAX(1,N(Tasks[[#This Row],[Level]])))</f>
        <v/>
      </c>
      <c r="AX119" s="47" t="n">
        <f aca="false">ROW()-ROW(Tasks[[#Headers],[ID]])</f>
        <v>114</v>
      </c>
      <c r="AY11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9" s="47" t="n">
        <f aca="false">IFERROR(N(INDEX(Tasks[_Level],Tasks[[#This Row],[_Row]]+1)),0)</f>
        <v>0</v>
      </c>
      <c r="BA119" s="48" t="b">
        <f aca="false">AND(Tasks[[#This Row],[Task Name]]&lt;&gt;"",Tasks[[#This Row],[_NextLevel]]&gt;Tasks[[#This Row],[_Level]])</f>
        <v>0</v>
      </c>
      <c r="BB119" s="47" t="n">
        <f aca="false">IF(Tasks[[#This Row],[_IsSummary]],COUNTIF(Tasks[WBS],Tasks[[#This Row],[WBS]]&amp;".*"),0)</f>
        <v>0</v>
      </c>
      <c r="BC119" s="47" t="n">
        <f aca="false">IF(AND(Tasks[[#This Row],[Task Name]]&lt;&gt;"",NOT(Tasks[[#This Row],[_IsSummary]])),1,0)</f>
        <v>0</v>
      </c>
      <c r="BD119" s="47" t="n">
        <f aca="false">IF(N(Tasks[[#This Row],[Pred1 UID]])=0,0,IFERROR(MATCH(Tasks[[#This Row],[Pred1 UID]],Tasks[UID],0),-1))</f>
        <v>0</v>
      </c>
      <c r="BE119" s="47" t="n">
        <f aca="false">IF(N(Tasks[[#This Row],[Pred2 UID]])=0,0,IFERROR(MATCH(Tasks[[#This Row],[Pred2 UID]],Tasks[UID],0),-1))</f>
        <v>0</v>
      </c>
      <c r="BF11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9" s="47" t="n">
        <f aca="false">IF(NOT(Tasks[[#This Row],[_IsLeaf]]=1),0,IF(N(Tasks[[#This Row],[Actual Finish]])&gt;0,1,MIN(1,N(Tasks[[#This Row],[% Complete]]))))</f>
        <v>0</v>
      </c>
      <c r="BK11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9" s="47" t="n">
        <f aca="false">IF(Tasks[[#This Row],[_LeafWork]]=0,0,Tasks[[#This Row],[_LeafWork]]*IFERROR(INDEX(res_Rate,MATCH(Tasks[[#This Row],[Resource]],res_Name,0)),0))</f>
        <v>0</v>
      </c>
      <c r="BM11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1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1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1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1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1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19" s="47" t="n">
        <f aca="false">IF(AND(Tasks[[#This Row],[_IsLeaf]]=1,Tasks[[#This Row],[_LeafWork]]&gt;0),NETWORKDAYS.INTL(ProjectStart,Tasks[[#This Row],[_LeafFcstStart]],WorkWeek,Holidays),0)</f>
        <v>0</v>
      </c>
      <c r="BV11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9" s="47" t="n">
        <f aca="false">IF(AND(Tasks[[#This Row],[_IsLeaf]]=1,Tasks[[#This Row],[_LeafWork]]&gt;0),Tasks[[#This Row],[_LeafWork]]/(Tasks[[#This Row],[_FinishWorkday]]-Tasks[[#This Row],[_StartWorkday]]+1),0)</f>
        <v>0</v>
      </c>
      <c r="BX119" s="47" t="n">
        <f aca="false">Tasks[[#This Row],[_WorkPerWorkday]]*(Tasks[[#This Row],[_StartWorkday]]-1)</f>
        <v>-0</v>
      </c>
      <c r="BY119" s="47" t="n">
        <f aca="false">IF(Tasks[[#This Row],[_IsLeaf]]=1,MAX(N(Tasks[[#This Row],[Duration]]),0.1),0)</f>
        <v>0</v>
      </c>
      <c r="BZ119" s="47" t="n">
        <f aca="false">Tasks[[#This Row],[_WeightDur]]*Tasks[[#This Row],[_LeafProgress]]</f>
        <v>0</v>
      </c>
      <c r="CA11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0" customFormat="false" ht="15" hidden="false" customHeight="false" outlineLevel="0" collapsed="false">
      <c r="A120" s="38" t="str">
        <f aca="false">IF(Tasks[[#This Row],[Task Name]]="","",COUNTA(Tasks[[#Headers],[Task Name]]:Tasks[[#This Row],[Task Name]])-1)</f>
        <v/>
      </c>
      <c r="B120" s="39" t="n">
        <v>115</v>
      </c>
      <c r="C12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0" s="39"/>
      <c r="E120" s="41"/>
      <c r="F120" s="39"/>
      <c r="G120" s="39"/>
      <c r="H120" s="39"/>
      <c r="I120" s="39"/>
      <c r="J120" s="39"/>
      <c r="K120" s="39"/>
      <c r="L120" s="39"/>
      <c r="M120" s="39"/>
      <c r="N120" s="29"/>
      <c r="O120" s="29"/>
      <c r="P120" s="24" t="str">
        <f aca="false">IF(Tasks[[#This Row],[Task Name]]="","",IF(N(Tasks[[#This Row],[Baseline Start]])&gt;0,Tasks[[#This Row],[Baseline Start]],Tasks[[#This Row],[_CalcStart]]))</f>
        <v/>
      </c>
      <c r="Q120" s="24" t="str">
        <f aca="false">IF(Tasks[[#This Row],[Task Name]]="","",IF(N(Tasks[[#This Row],[Baseline Finish]])&gt;0,Tasks[[#This Row],[Baseline Finish]],Tasks[[#This Row],[_CalcFinish]]))</f>
        <v/>
      </c>
      <c r="R120" s="29"/>
      <c r="S120" s="29"/>
      <c r="T12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0" s="31"/>
      <c r="AA12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0" s="41"/>
      <c r="AD120" s="31"/>
      <c r="AE12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0" s="41"/>
      <c r="AJ120" s="24" t="str">
        <f aca="false">IF(Tasks[[#This Row],[Task Name]]="","",Tasks[[#This Row],[Forecast Start]])</f>
        <v/>
      </c>
      <c r="AK120" s="24" t="str">
        <f aca="false">IF(Tasks[[#This Row],[Task Name]]="","",Tasks[[#This Row],[Forecast Finish]])</f>
        <v/>
      </c>
      <c r="AL12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0" s="43" t="str">
        <f aca="false">IF(Tasks[[#This Row],[Task Name]]="","",Tasks[[#This Row],[Work]])</f>
        <v/>
      </c>
      <c r="AN120" s="44" t="str">
        <f aca="false">IF(Tasks[[#This Row],[Task Name]]="","",Tasks[[#This Row],[Cost]])</f>
        <v/>
      </c>
      <c r="AO120" s="29"/>
      <c r="AP120" s="29"/>
      <c r="AQ120" s="39"/>
      <c r="AR120" s="45"/>
      <c r="AS120" s="46"/>
      <c r="AT120" s="40" t="str">
        <f aca="false">IF(OR(Tasks[[#This Row],[Task Name]]="",Tasks[[#This Row],[Baseline Duration]]=""),"",Tasks[[#This Row],[BL Source Duration]]-N(Tasks[[#This Row],[Baseline Duration]]))</f>
        <v/>
      </c>
      <c r="AU120" s="43" t="str">
        <f aca="false">IF(OR(Tasks[[#This Row],[Task Name]]="",Tasks[[#This Row],[Baseline Work]]=""),"",Tasks[[#This Row],[Work]]-N(Tasks[[#This Row],[Baseline Work]]))</f>
        <v/>
      </c>
      <c r="AV120" s="44" t="str">
        <f aca="false">IF(OR(Tasks[[#This Row],[Task Name]]="",Tasks[[#This Row],[Baseline Cost]]=""),"",Tasks[[#This Row],[Cost]]-N(Tasks[[#This Row],[Baseline Cost]]))</f>
        <v/>
      </c>
      <c r="AW120" s="47" t="str">
        <f aca="false">IF(Tasks[[#This Row],[Task Name]]="","",MAX(1,N(Tasks[[#This Row],[Level]])))</f>
        <v/>
      </c>
      <c r="AX120" s="47" t="n">
        <f aca="false">ROW()-ROW(Tasks[[#Headers],[ID]])</f>
        <v>115</v>
      </c>
      <c r="AY12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0" s="47" t="n">
        <f aca="false">IFERROR(N(INDEX(Tasks[_Level],Tasks[[#This Row],[_Row]]+1)),0)</f>
        <v>0</v>
      </c>
      <c r="BA120" s="48" t="b">
        <f aca="false">AND(Tasks[[#This Row],[Task Name]]&lt;&gt;"",Tasks[[#This Row],[_NextLevel]]&gt;Tasks[[#This Row],[_Level]])</f>
        <v>0</v>
      </c>
      <c r="BB120" s="47" t="n">
        <f aca="false">IF(Tasks[[#This Row],[_IsSummary]],COUNTIF(Tasks[WBS],Tasks[[#This Row],[WBS]]&amp;".*"),0)</f>
        <v>0</v>
      </c>
      <c r="BC120" s="47" t="n">
        <f aca="false">IF(AND(Tasks[[#This Row],[Task Name]]&lt;&gt;"",NOT(Tasks[[#This Row],[_IsSummary]])),1,0)</f>
        <v>0</v>
      </c>
      <c r="BD120" s="47" t="n">
        <f aca="false">IF(N(Tasks[[#This Row],[Pred1 UID]])=0,0,IFERROR(MATCH(Tasks[[#This Row],[Pred1 UID]],Tasks[UID],0),-1))</f>
        <v>0</v>
      </c>
      <c r="BE120" s="47" t="n">
        <f aca="false">IF(N(Tasks[[#This Row],[Pred2 UID]])=0,0,IFERROR(MATCH(Tasks[[#This Row],[Pred2 UID]],Tasks[UID],0),-1))</f>
        <v>0</v>
      </c>
      <c r="BF12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0" s="47" t="n">
        <f aca="false">IF(NOT(Tasks[[#This Row],[_IsLeaf]]=1),0,IF(N(Tasks[[#This Row],[Actual Finish]])&gt;0,1,MIN(1,N(Tasks[[#This Row],[% Complete]]))))</f>
        <v>0</v>
      </c>
      <c r="BK12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0" s="47" t="n">
        <f aca="false">IF(Tasks[[#This Row],[_LeafWork]]=0,0,Tasks[[#This Row],[_LeafWork]]*IFERROR(INDEX(res_Rate,MATCH(Tasks[[#This Row],[Resource]],res_Name,0)),0))</f>
        <v>0</v>
      </c>
      <c r="BM12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0" s="47" t="n">
        <f aca="false">IF(AND(Tasks[[#This Row],[_IsLeaf]]=1,Tasks[[#This Row],[_LeafWork]]&gt;0),NETWORKDAYS.INTL(ProjectStart,Tasks[[#This Row],[_LeafFcstStart]],WorkWeek,Holidays),0)</f>
        <v>0</v>
      </c>
      <c r="BV12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0" s="47" t="n">
        <f aca="false">IF(AND(Tasks[[#This Row],[_IsLeaf]]=1,Tasks[[#This Row],[_LeafWork]]&gt;0),Tasks[[#This Row],[_LeafWork]]/(Tasks[[#This Row],[_FinishWorkday]]-Tasks[[#This Row],[_StartWorkday]]+1),0)</f>
        <v>0</v>
      </c>
      <c r="BX120" s="47" t="n">
        <f aca="false">Tasks[[#This Row],[_WorkPerWorkday]]*(Tasks[[#This Row],[_StartWorkday]]-1)</f>
        <v>-0</v>
      </c>
      <c r="BY120" s="47" t="n">
        <f aca="false">IF(Tasks[[#This Row],[_IsLeaf]]=1,MAX(N(Tasks[[#This Row],[Duration]]),0.1),0)</f>
        <v>0</v>
      </c>
      <c r="BZ120" s="47" t="n">
        <f aca="false">Tasks[[#This Row],[_WeightDur]]*Tasks[[#This Row],[_LeafProgress]]</f>
        <v>0</v>
      </c>
      <c r="CA12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1" customFormat="false" ht="15" hidden="false" customHeight="false" outlineLevel="0" collapsed="false">
      <c r="A121" s="38" t="str">
        <f aca="false">IF(Tasks[[#This Row],[Task Name]]="","",COUNTA(Tasks[[#Headers],[Task Name]]:Tasks[[#This Row],[Task Name]])-1)</f>
        <v/>
      </c>
      <c r="B121" s="39" t="n">
        <v>116</v>
      </c>
      <c r="C12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1" s="39"/>
      <c r="E121" s="41"/>
      <c r="F121" s="39"/>
      <c r="G121" s="39"/>
      <c r="H121" s="39"/>
      <c r="I121" s="39"/>
      <c r="J121" s="39"/>
      <c r="K121" s="39"/>
      <c r="L121" s="39"/>
      <c r="M121" s="39"/>
      <c r="N121" s="29"/>
      <c r="O121" s="29"/>
      <c r="P121" s="24" t="str">
        <f aca="false">IF(Tasks[[#This Row],[Task Name]]="","",IF(N(Tasks[[#This Row],[Baseline Start]])&gt;0,Tasks[[#This Row],[Baseline Start]],Tasks[[#This Row],[_CalcStart]]))</f>
        <v/>
      </c>
      <c r="Q121" s="24" t="str">
        <f aca="false">IF(Tasks[[#This Row],[Task Name]]="","",IF(N(Tasks[[#This Row],[Baseline Finish]])&gt;0,Tasks[[#This Row],[Baseline Finish]],Tasks[[#This Row],[_CalcFinish]]))</f>
        <v/>
      </c>
      <c r="R121" s="29"/>
      <c r="S121" s="29"/>
      <c r="T12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1" s="31"/>
      <c r="AA12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1" s="41"/>
      <c r="AD121" s="31"/>
      <c r="AE12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1" s="41"/>
      <c r="AJ121" s="24" t="str">
        <f aca="false">IF(Tasks[[#This Row],[Task Name]]="","",Tasks[[#This Row],[Forecast Start]])</f>
        <v/>
      </c>
      <c r="AK121" s="24" t="str">
        <f aca="false">IF(Tasks[[#This Row],[Task Name]]="","",Tasks[[#This Row],[Forecast Finish]])</f>
        <v/>
      </c>
      <c r="AL12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1" s="43" t="str">
        <f aca="false">IF(Tasks[[#This Row],[Task Name]]="","",Tasks[[#This Row],[Work]])</f>
        <v/>
      </c>
      <c r="AN121" s="44" t="str">
        <f aca="false">IF(Tasks[[#This Row],[Task Name]]="","",Tasks[[#This Row],[Cost]])</f>
        <v/>
      </c>
      <c r="AO121" s="29"/>
      <c r="AP121" s="29"/>
      <c r="AQ121" s="39"/>
      <c r="AR121" s="45"/>
      <c r="AS121" s="46"/>
      <c r="AT121" s="40" t="str">
        <f aca="false">IF(OR(Tasks[[#This Row],[Task Name]]="",Tasks[[#This Row],[Baseline Duration]]=""),"",Tasks[[#This Row],[BL Source Duration]]-N(Tasks[[#This Row],[Baseline Duration]]))</f>
        <v/>
      </c>
      <c r="AU121" s="43" t="str">
        <f aca="false">IF(OR(Tasks[[#This Row],[Task Name]]="",Tasks[[#This Row],[Baseline Work]]=""),"",Tasks[[#This Row],[Work]]-N(Tasks[[#This Row],[Baseline Work]]))</f>
        <v/>
      </c>
      <c r="AV121" s="44" t="str">
        <f aca="false">IF(OR(Tasks[[#This Row],[Task Name]]="",Tasks[[#This Row],[Baseline Cost]]=""),"",Tasks[[#This Row],[Cost]]-N(Tasks[[#This Row],[Baseline Cost]]))</f>
        <v/>
      </c>
      <c r="AW121" s="47" t="str">
        <f aca="false">IF(Tasks[[#This Row],[Task Name]]="","",MAX(1,N(Tasks[[#This Row],[Level]])))</f>
        <v/>
      </c>
      <c r="AX121" s="47" t="n">
        <f aca="false">ROW()-ROW(Tasks[[#Headers],[ID]])</f>
        <v>116</v>
      </c>
      <c r="AY12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1" s="47" t="n">
        <f aca="false">IFERROR(N(INDEX(Tasks[_Level],Tasks[[#This Row],[_Row]]+1)),0)</f>
        <v>0</v>
      </c>
      <c r="BA121" s="48" t="b">
        <f aca="false">AND(Tasks[[#This Row],[Task Name]]&lt;&gt;"",Tasks[[#This Row],[_NextLevel]]&gt;Tasks[[#This Row],[_Level]])</f>
        <v>0</v>
      </c>
      <c r="BB121" s="47" t="n">
        <f aca="false">IF(Tasks[[#This Row],[_IsSummary]],COUNTIF(Tasks[WBS],Tasks[[#This Row],[WBS]]&amp;".*"),0)</f>
        <v>0</v>
      </c>
      <c r="BC121" s="47" t="n">
        <f aca="false">IF(AND(Tasks[[#This Row],[Task Name]]&lt;&gt;"",NOT(Tasks[[#This Row],[_IsSummary]])),1,0)</f>
        <v>0</v>
      </c>
      <c r="BD121" s="47" t="n">
        <f aca="false">IF(N(Tasks[[#This Row],[Pred1 UID]])=0,0,IFERROR(MATCH(Tasks[[#This Row],[Pred1 UID]],Tasks[UID],0),-1))</f>
        <v>0</v>
      </c>
      <c r="BE121" s="47" t="n">
        <f aca="false">IF(N(Tasks[[#This Row],[Pred2 UID]])=0,0,IFERROR(MATCH(Tasks[[#This Row],[Pred2 UID]],Tasks[UID],0),-1))</f>
        <v>0</v>
      </c>
      <c r="BF12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1" s="47" t="n">
        <f aca="false">IF(NOT(Tasks[[#This Row],[_IsLeaf]]=1),0,IF(N(Tasks[[#This Row],[Actual Finish]])&gt;0,1,MIN(1,N(Tasks[[#This Row],[% Complete]]))))</f>
        <v>0</v>
      </c>
      <c r="BK12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1" s="47" t="n">
        <f aca="false">IF(Tasks[[#This Row],[_LeafWork]]=0,0,Tasks[[#This Row],[_LeafWork]]*IFERROR(INDEX(res_Rate,MATCH(Tasks[[#This Row],[Resource]],res_Name,0)),0))</f>
        <v>0</v>
      </c>
      <c r="BM12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1" s="47" t="n">
        <f aca="false">IF(AND(Tasks[[#This Row],[_IsLeaf]]=1,Tasks[[#This Row],[_LeafWork]]&gt;0),NETWORKDAYS.INTL(ProjectStart,Tasks[[#This Row],[_LeafFcstStart]],WorkWeek,Holidays),0)</f>
        <v>0</v>
      </c>
      <c r="BV12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1" s="47" t="n">
        <f aca="false">IF(AND(Tasks[[#This Row],[_IsLeaf]]=1,Tasks[[#This Row],[_LeafWork]]&gt;0),Tasks[[#This Row],[_LeafWork]]/(Tasks[[#This Row],[_FinishWorkday]]-Tasks[[#This Row],[_StartWorkday]]+1),0)</f>
        <v>0</v>
      </c>
      <c r="BX121" s="47" t="n">
        <f aca="false">Tasks[[#This Row],[_WorkPerWorkday]]*(Tasks[[#This Row],[_StartWorkday]]-1)</f>
        <v>-0</v>
      </c>
      <c r="BY121" s="47" t="n">
        <f aca="false">IF(Tasks[[#This Row],[_IsLeaf]]=1,MAX(N(Tasks[[#This Row],[Duration]]),0.1),0)</f>
        <v>0</v>
      </c>
      <c r="BZ121" s="47" t="n">
        <f aca="false">Tasks[[#This Row],[_WeightDur]]*Tasks[[#This Row],[_LeafProgress]]</f>
        <v>0</v>
      </c>
      <c r="CA12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2" customFormat="false" ht="15" hidden="false" customHeight="false" outlineLevel="0" collapsed="false">
      <c r="A122" s="38" t="str">
        <f aca="false">IF(Tasks[[#This Row],[Task Name]]="","",COUNTA(Tasks[[#Headers],[Task Name]]:Tasks[[#This Row],[Task Name]])-1)</f>
        <v/>
      </c>
      <c r="B122" s="39" t="n">
        <v>117</v>
      </c>
      <c r="C12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2" s="39"/>
      <c r="E122" s="41"/>
      <c r="F122" s="39"/>
      <c r="G122" s="39"/>
      <c r="H122" s="39"/>
      <c r="I122" s="39"/>
      <c r="J122" s="39"/>
      <c r="K122" s="39"/>
      <c r="L122" s="39"/>
      <c r="M122" s="39"/>
      <c r="N122" s="29"/>
      <c r="O122" s="29"/>
      <c r="P122" s="24" t="str">
        <f aca="false">IF(Tasks[[#This Row],[Task Name]]="","",IF(N(Tasks[[#This Row],[Baseline Start]])&gt;0,Tasks[[#This Row],[Baseline Start]],Tasks[[#This Row],[_CalcStart]]))</f>
        <v/>
      </c>
      <c r="Q122" s="24" t="str">
        <f aca="false">IF(Tasks[[#This Row],[Task Name]]="","",IF(N(Tasks[[#This Row],[Baseline Finish]])&gt;0,Tasks[[#This Row],[Baseline Finish]],Tasks[[#This Row],[_CalcFinish]]))</f>
        <v/>
      </c>
      <c r="R122" s="29"/>
      <c r="S122" s="29"/>
      <c r="T12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2" s="31"/>
      <c r="AA12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2" s="41"/>
      <c r="AD122" s="31"/>
      <c r="AE12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2" s="41"/>
      <c r="AJ122" s="24" t="str">
        <f aca="false">IF(Tasks[[#This Row],[Task Name]]="","",Tasks[[#This Row],[Forecast Start]])</f>
        <v/>
      </c>
      <c r="AK122" s="24" t="str">
        <f aca="false">IF(Tasks[[#This Row],[Task Name]]="","",Tasks[[#This Row],[Forecast Finish]])</f>
        <v/>
      </c>
      <c r="AL12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2" s="43" t="str">
        <f aca="false">IF(Tasks[[#This Row],[Task Name]]="","",Tasks[[#This Row],[Work]])</f>
        <v/>
      </c>
      <c r="AN122" s="44" t="str">
        <f aca="false">IF(Tasks[[#This Row],[Task Name]]="","",Tasks[[#This Row],[Cost]])</f>
        <v/>
      </c>
      <c r="AO122" s="29"/>
      <c r="AP122" s="29"/>
      <c r="AQ122" s="39"/>
      <c r="AR122" s="45"/>
      <c r="AS122" s="46"/>
      <c r="AT122" s="40" t="str">
        <f aca="false">IF(OR(Tasks[[#This Row],[Task Name]]="",Tasks[[#This Row],[Baseline Duration]]=""),"",Tasks[[#This Row],[BL Source Duration]]-N(Tasks[[#This Row],[Baseline Duration]]))</f>
        <v/>
      </c>
      <c r="AU122" s="43" t="str">
        <f aca="false">IF(OR(Tasks[[#This Row],[Task Name]]="",Tasks[[#This Row],[Baseline Work]]=""),"",Tasks[[#This Row],[Work]]-N(Tasks[[#This Row],[Baseline Work]]))</f>
        <v/>
      </c>
      <c r="AV122" s="44" t="str">
        <f aca="false">IF(OR(Tasks[[#This Row],[Task Name]]="",Tasks[[#This Row],[Baseline Cost]]=""),"",Tasks[[#This Row],[Cost]]-N(Tasks[[#This Row],[Baseline Cost]]))</f>
        <v/>
      </c>
      <c r="AW122" s="47" t="str">
        <f aca="false">IF(Tasks[[#This Row],[Task Name]]="","",MAX(1,N(Tasks[[#This Row],[Level]])))</f>
        <v/>
      </c>
      <c r="AX122" s="47" t="n">
        <f aca="false">ROW()-ROW(Tasks[[#Headers],[ID]])</f>
        <v>117</v>
      </c>
      <c r="AY12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2" s="47" t="n">
        <f aca="false">IFERROR(N(INDEX(Tasks[_Level],Tasks[[#This Row],[_Row]]+1)),0)</f>
        <v>0</v>
      </c>
      <c r="BA122" s="48" t="b">
        <f aca="false">AND(Tasks[[#This Row],[Task Name]]&lt;&gt;"",Tasks[[#This Row],[_NextLevel]]&gt;Tasks[[#This Row],[_Level]])</f>
        <v>0</v>
      </c>
      <c r="BB122" s="47" t="n">
        <f aca="false">IF(Tasks[[#This Row],[_IsSummary]],COUNTIF(Tasks[WBS],Tasks[[#This Row],[WBS]]&amp;".*"),0)</f>
        <v>0</v>
      </c>
      <c r="BC122" s="47" t="n">
        <f aca="false">IF(AND(Tasks[[#This Row],[Task Name]]&lt;&gt;"",NOT(Tasks[[#This Row],[_IsSummary]])),1,0)</f>
        <v>0</v>
      </c>
      <c r="BD122" s="47" t="n">
        <f aca="false">IF(N(Tasks[[#This Row],[Pred1 UID]])=0,0,IFERROR(MATCH(Tasks[[#This Row],[Pred1 UID]],Tasks[UID],0),-1))</f>
        <v>0</v>
      </c>
      <c r="BE122" s="47" t="n">
        <f aca="false">IF(N(Tasks[[#This Row],[Pred2 UID]])=0,0,IFERROR(MATCH(Tasks[[#This Row],[Pred2 UID]],Tasks[UID],0),-1))</f>
        <v>0</v>
      </c>
      <c r="BF12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2" s="47" t="n">
        <f aca="false">IF(NOT(Tasks[[#This Row],[_IsLeaf]]=1),0,IF(N(Tasks[[#This Row],[Actual Finish]])&gt;0,1,MIN(1,N(Tasks[[#This Row],[% Complete]]))))</f>
        <v>0</v>
      </c>
      <c r="BK12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2" s="47" t="n">
        <f aca="false">IF(Tasks[[#This Row],[_LeafWork]]=0,0,Tasks[[#This Row],[_LeafWork]]*IFERROR(INDEX(res_Rate,MATCH(Tasks[[#This Row],[Resource]],res_Name,0)),0))</f>
        <v>0</v>
      </c>
      <c r="BM12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2" s="47" t="n">
        <f aca="false">IF(AND(Tasks[[#This Row],[_IsLeaf]]=1,Tasks[[#This Row],[_LeafWork]]&gt;0),NETWORKDAYS.INTL(ProjectStart,Tasks[[#This Row],[_LeafFcstStart]],WorkWeek,Holidays),0)</f>
        <v>0</v>
      </c>
      <c r="BV12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2" s="47" t="n">
        <f aca="false">IF(AND(Tasks[[#This Row],[_IsLeaf]]=1,Tasks[[#This Row],[_LeafWork]]&gt;0),Tasks[[#This Row],[_LeafWork]]/(Tasks[[#This Row],[_FinishWorkday]]-Tasks[[#This Row],[_StartWorkday]]+1),0)</f>
        <v>0</v>
      </c>
      <c r="BX122" s="47" t="n">
        <f aca="false">Tasks[[#This Row],[_WorkPerWorkday]]*(Tasks[[#This Row],[_StartWorkday]]-1)</f>
        <v>-0</v>
      </c>
      <c r="BY122" s="47" t="n">
        <f aca="false">IF(Tasks[[#This Row],[_IsLeaf]]=1,MAX(N(Tasks[[#This Row],[Duration]]),0.1),0)</f>
        <v>0</v>
      </c>
      <c r="BZ122" s="47" t="n">
        <f aca="false">Tasks[[#This Row],[_WeightDur]]*Tasks[[#This Row],[_LeafProgress]]</f>
        <v>0</v>
      </c>
      <c r="CA12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3" customFormat="false" ht="15" hidden="false" customHeight="false" outlineLevel="0" collapsed="false">
      <c r="A123" s="38" t="str">
        <f aca="false">IF(Tasks[[#This Row],[Task Name]]="","",COUNTA(Tasks[[#Headers],[Task Name]]:Tasks[[#This Row],[Task Name]])-1)</f>
        <v/>
      </c>
      <c r="B123" s="39" t="n">
        <v>118</v>
      </c>
      <c r="C12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3" s="39"/>
      <c r="E123" s="41"/>
      <c r="F123" s="39"/>
      <c r="G123" s="39"/>
      <c r="H123" s="39"/>
      <c r="I123" s="39"/>
      <c r="J123" s="39"/>
      <c r="K123" s="39"/>
      <c r="L123" s="39"/>
      <c r="M123" s="39"/>
      <c r="N123" s="29"/>
      <c r="O123" s="29"/>
      <c r="P123" s="24" t="str">
        <f aca="false">IF(Tasks[[#This Row],[Task Name]]="","",IF(N(Tasks[[#This Row],[Baseline Start]])&gt;0,Tasks[[#This Row],[Baseline Start]],Tasks[[#This Row],[_CalcStart]]))</f>
        <v/>
      </c>
      <c r="Q123" s="24" t="str">
        <f aca="false">IF(Tasks[[#This Row],[Task Name]]="","",IF(N(Tasks[[#This Row],[Baseline Finish]])&gt;0,Tasks[[#This Row],[Baseline Finish]],Tasks[[#This Row],[_CalcFinish]]))</f>
        <v/>
      </c>
      <c r="R123" s="29"/>
      <c r="S123" s="29"/>
      <c r="T12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3" s="31"/>
      <c r="AA12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3" s="41"/>
      <c r="AD123" s="31"/>
      <c r="AE12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3" s="41"/>
      <c r="AJ123" s="24" t="str">
        <f aca="false">IF(Tasks[[#This Row],[Task Name]]="","",Tasks[[#This Row],[Forecast Start]])</f>
        <v/>
      </c>
      <c r="AK123" s="24" t="str">
        <f aca="false">IF(Tasks[[#This Row],[Task Name]]="","",Tasks[[#This Row],[Forecast Finish]])</f>
        <v/>
      </c>
      <c r="AL12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3" s="43" t="str">
        <f aca="false">IF(Tasks[[#This Row],[Task Name]]="","",Tasks[[#This Row],[Work]])</f>
        <v/>
      </c>
      <c r="AN123" s="44" t="str">
        <f aca="false">IF(Tasks[[#This Row],[Task Name]]="","",Tasks[[#This Row],[Cost]])</f>
        <v/>
      </c>
      <c r="AO123" s="29"/>
      <c r="AP123" s="29"/>
      <c r="AQ123" s="39"/>
      <c r="AR123" s="45"/>
      <c r="AS123" s="46"/>
      <c r="AT123" s="40" t="str">
        <f aca="false">IF(OR(Tasks[[#This Row],[Task Name]]="",Tasks[[#This Row],[Baseline Duration]]=""),"",Tasks[[#This Row],[BL Source Duration]]-N(Tasks[[#This Row],[Baseline Duration]]))</f>
        <v/>
      </c>
      <c r="AU123" s="43" t="str">
        <f aca="false">IF(OR(Tasks[[#This Row],[Task Name]]="",Tasks[[#This Row],[Baseline Work]]=""),"",Tasks[[#This Row],[Work]]-N(Tasks[[#This Row],[Baseline Work]]))</f>
        <v/>
      </c>
      <c r="AV123" s="44" t="str">
        <f aca="false">IF(OR(Tasks[[#This Row],[Task Name]]="",Tasks[[#This Row],[Baseline Cost]]=""),"",Tasks[[#This Row],[Cost]]-N(Tasks[[#This Row],[Baseline Cost]]))</f>
        <v/>
      </c>
      <c r="AW123" s="47" t="str">
        <f aca="false">IF(Tasks[[#This Row],[Task Name]]="","",MAX(1,N(Tasks[[#This Row],[Level]])))</f>
        <v/>
      </c>
      <c r="AX123" s="47" t="n">
        <f aca="false">ROW()-ROW(Tasks[[#Headers],[ID]])</f>
        <v>118</v>
      </c>
      <c r="AY12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3" s="47" t="n">
        <f aca="false">IFERROR(N(INDEX(Tasks[_Level],Tasks[[#This Row],[_Row]]+1)),0)</f>
        <v>0</v>
      </c>
      <c r="BA123" s="48" t="b">
        <f aca="false">AND(Tasks[[#This Row],[Task Name]]&lt;&gt;"",Tasks[[#This Row],[_NextLevel]]&gt;Tasks[[#This Row],[_Level]])</f>
        <v>0</v>
      </c>
      <c r="BB123" s="47" t="n">
        <f aca="false">IF(Tasks[[#This Row],[_IsSummary]],COUNTIF(Tasks[WBS],Tasks[[#This Row],[WBS]]&amp;".*"),0)</f>
        <v>0</v>
      </c>
      <c r="BC123" s="47" t="n">
        <f aca="false">IF(AND(Tasks[[#This Row],[Task Name]]&lt;&gt;"",NOT(Tasks[[#This Row],[_IsSummary]])),1,0)</f>
        <v>0</v>
      </c>
      <c r="BD123" s="47" t="n">
        <f aca="false">IF(N(Tasks[[#This Row],[Pred1 UID]])=0,0,IFERROR(MATCH(Tasks[[#This Row],[Pred1 UID]],Tasks[UID],0),-1))</f>
        <v>0</v>
      </c>
      <c r="BE123" s="47" t="n">
        <f aca="false">IF(N(Tasks[[#This Row],[Pred2 UID]])=0,0,IFERROR(MATCH(Tasks[[#This Row],[Pred2 UID]],Tasks[UID],0),-1))</f>
        <v>0</v>
      </c>
      <c r="BF12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3" s="47" t="n">
        <f aca="false">IF(NOT(Tasks[[#This Row],[_IsLeaf]]=1),0,IF(N(Tasks[[#This Row],[Actual Finish]])&gt;0,1,MIN(1,N(Tasks[[#This Row],[% Complete]]))))</f>
        <v>0</v>
      </c>
      <c r="BK12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3" s="47" t="n">
        <f aca="false">IF(Tasks[[#This Row],[_LeafWork]]=0,0,Tasks[[#This Row],[_LeafWork]]*IFERROR(INDEX(res_Rate,MATCH(Tasks[[#This Row],[Resource]],res_Name,0)),0))</f>
        <v>0</v>
      </c>
      <c r="BM12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3" s="47" t="n">
        <f aca="false">IF(AND(Tasks[[#This Row],[_IsLeaf]]=1,Tasks[[#This Row],[_LeafWork]]&gt;0),NETWORKDAYS.INTL(ProjectStart,Tasks[[#This Row],[_LeafFcstStart]],WorkWeek,Holidays),0)</f>
        <v>0</v>
      </c>
      <c r="BV12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3" s="47" t="n">
        <f aca="false">IF(AND(Tasks[[#This Row],[_IsLeaf]]=1,Tasks[[#This Row],[_LeafWork]]&gt;0),Tasks[[#This Row],[_LeafWork]]/(Tasks[[#This Row],[_FinishWorkday]]-Tasks[[#This Row],[_StartWorkday]]+1),0)</f>
        <v>0</v>
      </c>
      <c r="BX123" s="47" t="n">
        <f aca="false">Tasks[[#This Row],[_WorkPerWorkday]]*(Tasks[[#This Row],[_StartWorkday]]-1)</f>
        <v>-0</v>
      </c>
      <c r="BY123" s="47" t="n">
        <f aca="false">IF(Tasks[[#This Row],[_IsLeaf]]=1,MAX(N(Tasks[[#This Row],[Duration]]),0.1),0)</f>
        <v>0</v>
      </c>
      <c r="BZ123" s="47" t="n">
        <f aca="false">Tasks[[#This Row],[_WeightDur]]*Tasks[[#This Row],[_LeafProgress]]</f>
        <v>0</v>
      </c>
      <c r="CA12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4" customFormat="false" ht="15" hidden="false" customHeight="false" outlineLevel="0" collapsed="false">
      <c r="A124" s="38" t="str">
        <f aca="false">IF(Tasks[[#This Row],[Task Name]]="","",COUNTA(Tasks[[#Headers],[Task Name]]:Tasks[[#This Row],[Task Name]])-1)</f>
        <v/>
      </c>
      <c r="B124" s="39" t="n">
        <v>119</v>
      </c>
      <c r="C12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4" s="39"/>
      <c r="E124" s="41"/>
      <c r="F124" s="39"/>
      <c r="G124" s="39"/>
      <c r="H124" s="39"/>
      <c r="I124" s="39"/>
      <c r="J124" s="39"/>
      <c r="K124" s="39"/>
      <c r="L124" s="39"/>
      <c r="M124" s="39"/>
      <c r="N124" s="29"/>
      <c r="O124" s="29"/>
      <c r="P124" s="24" t="str">
        <f aca="false">IF(Tasks[[#This Row],[Task Name]]="","",IF(N(Tasks[[#This Row],[Baseline Start]])&gt;0,Tasks[[#This Row],[Baseline Start]],Tasks[[#This Row],[_CalcStart]]))</f>
        <v/>
      </c>
      <c r="Q124" s="24" t="str">
        <f aca="false">IF(Tasks[[#This Row],[Task Name]]="","",IF(N(Tasks[[#This Row],[Baseline Finish]])&gt;0,Tasks[[#This Row],[Baseline Finish]],Tasks[[#This Row],[_CalcFinish]]))</f>
        <v/>
      </c>
      <c r="R124" s="29"/>
      <c r="S124" s="29"/>
      <c r="T12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4" s="31"/>
      <c r="AA12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4" s="41"/>
      <c r="AD124" s="31"/>
      <c r="AE12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4" s="41"/>
      <c r="AJ124" s="24" t="str">
        <f aca="false">IF(Tasks[[#This Row],[Task Name]]="","",Tasks[[#This Row],[Forecast Start]])</f>
        <v/>
      </c>
      <c r="AK124" s="24" t="str">
        <f aca="false">IF(Tasks[[#This Row],[Task Name]]="","",Tasks[[#This Row],[Forecast Finish]])</f>
        <v/>
      </c>
      <c r="AL12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4" s="43" t="str">
        <f aca="false">IF(Tasks[[#This Row],[Task Name]]="","",Tasks[[#This Row],[Work]])</f>
        <v/>
      </c>
      <c r="AN124" s="44" t="str">
        <f aca="false">IF(Tasks[[#This Row],[Task Name]]="","",Tasks[[#This Row],[Cost]])</f>
        <v/>
      </c>
      <c r="AO124" s="29"/>
      <c r="AP124" s="29"/>
      <c r="AQ124" s="39"/>
      <c r="AR124" s="45"/>
      <c r="AS124" s="46"/>
      <c r="AT124" s="40" t="str">
        <f aca="false">IF(OR(Tasks[[#This Row],[Task Name]]="",Tasks[[#This Row],[Baseline Duration]]=""),"",Tasks[[#This Row],[BL Source Duration]]-N(Tasks[[#This Row],[Baseline Duration]]))</f>
        <v/>
      </c>
      <c r="AU124" s="43" t="str">
        <f aca="false">IF(OR(Tasks[[#This Row],[Task Name]]="",Tasks[[#This Row],[Baseline Work]]=""),"",Tasks[[#This Row],[Work]]-N(Tasks[[#This Row],[Baseline Work]]))</f>
        <v/>
      </c>
      <c r="AV124" s="44" t="str">
        <f aca="false">IF(OR(Tasks[[#This Row],[Task Name]]="",Tasks[[#This Row],[Baseline Cost]]=""),"",Tasks[[#This Row],[Cost]]-N(Tasks[[#This Row],[Baseline Cost]]))</f>
        <v/>
      </c>
      <c r="AW124" s="47" t="str">
        <f aca="false">IF(Tasks[[#This Row],[Task Name]]="","",MAX(1,N(Tasks[[#This Row],[Level]])))</f>
        <v/>
      </c>
      <c r="AX124" s="47" t="n">
        <f aca="false">ROW()-ROW(Tasks[[#Headers],[ID]])</f>
        <v>119</v>
      </c>
      <c r="AY12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4" s="47" t="n">
        <f aca="false">IFERROR(N(INDEX(Tasks[_Level],Tasks[[#This Row],[_Row]]+1)),0)</f>
        <v>0</v>
      </c>
      <c r="BA124" s="48" t="b">
        <f aca="false">AND(Tasks[[#This Row],[Task Name]]&lt;&gt;"",Tasks[[#This Row],[_NextLevel]]&gt;Tasks[[#This Row],[_Level]])</f>
        <v>0</v>
      </c>
      <c r="BB124" s="47" t="n">
        <f aca="false">IF(Tasks[[#This Row],[_IsSummary]],COUNTIF(Tasks[WBS],Tasks[[#This Row],[WBS]]&amp;".*"),0)</f>
        <v>0</v>
      </c>
      <c r="BC124" s="47" t="n">
        <f aca="false">IF(AND(Tasks[[#This Row],[Task Name]]&lt;&gt;"",NOT(Tasks[[#This Row],[_IsSummary]])),1,0)</f>
        <v>0</v>
      </c>
      <c r="BD124" s="47" t="n">
        <f aca="false">IF(N(Tasks[[#This Row],[Pred1 UID]])=0,0,IFERROR(MATCH(Tasks[[#This Row],[Pred1 UID]],Tasks[UID],0),-1))</f>
        <v>0</v>
      </c>
      <c r="BE124" s="47" t="n">
        <f aca="false">IF(N(Tasks[[#This Row],[Pred2 UID]])=0,0,IFERROR(MATCH(Tasks[[#This Row],[Pred2 UID]],Tasks[UID],0),-1))</f>
        <v>0</v>
      </c>
      <c r="BF12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4" s="47" t="n">
        <f aca="false">IF(NOT(Tasks[[#This Row],[_IsLeaf]]=1),0,IF(N(Tasks[[#This Row],[Actual Finish]])&gt;0,1,MIN(1,N(Tasks[[#This Row],[% Complete]]))))</f>
        <v>0</v>
      </c>
      <c r="BK12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4" s="47" t="n">
        <f aca="false">IF(Tasks[[#This Row],[_LeafWork]]=0,0,Tasks[[#This Row],[_LeafWork]]*IFERROR(INDEX(res_Rate,MATCH(Tasks[[#This Row],[Resource]],res_Name,0)),0))</f>
        <v>0</v>
      </c>
      <c r="BM12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4" s="47" t="n">
        <f aca="false">IF(AND(Tasks[[#This Row],[_IsLeaf]]=1,Tasks[[#This Row],[_LeafWork]]&gt;0),NETWORKDAYS.INTL(ProjectStart,Tasks[[#This Row],[_LeafFcstStart]],WorkWeek,Holidays),0)</f>
        <v>0</v>
      </c>
      <c r="BV12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4" s="47" t="n">
        <f aca="false">IF(AND(Tasks[[#This Row],[_IsLeaf]]=1,Tasks[[#This Row],[_LeafWork]]&gt;0),Tasks[[#This Row],[_LeafWork]]/(Tasks[[#This Row],[_FinishWorkday]]-Tasks[[#This Row],[_StartWorkday]]+1),0)</f>
        <v>0</v>
      </c>
      <c r="BX124" s="47" t="n">
        <f aca="false">Tasks[[#This Row],[_WorkPerWorkday]]*(Tasks[[#This Row],[_StartWorkday]]-1)</f>
        <v>-0</v>
      </c>
      <c r="BY124" s="47" t="n">
        <f aca="false">IF(Tasks[[#This Row],[_IsLeaf]]=1,MAX(N(Tasks[[#This Row],[Duration]]),0.1),0)</f>
        <v>0</v>
      </c>
      <c r="BZ124" s="47" t="n">
        <f aca="false">Tasks[[#This Row],[_WeightDur]]*Tasks[[#This Row],[_LeafProgress]]</f>
        <v>0</v>
      </c>
      <c r="CA12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5" customFormat="false" ht="15" hidden="false" customHeight="false" outlineLevel="0" collapsed="false">
      <c r="A125" s="38" t="str">
        <f aca="false">IF(Tasks[[#This Row],[Task Name]]="","",COUNTA(Tasks[[#Headers],[Task Name]]:Tasks[[#This Row],[Task Name]])-1)</f>
        <v/>
      </c>
      <c r="B125" s="39" t="n">
        <v>120</v>
      </c>
      <c r="C12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5" s="39"/>
      <c r="E125" s="41"/>
      <c r="F125" s="39"/>
      <c r="G125" s="39"/>
      <c r="H125" s="39"/>
      <c r="I125" s="39"/>
      <c r="J125" s="39"/>
      <c r="K125" s="39"/>
      <c r="L125" s="39"/>
      <c r="M125" s="39"/>
      <c r="N125" s="29"/>
      <c r="O125" s="29"/>
      <c r="P125" s="24" t="str">
        <f aca="false">IF(Tasks[[#This Row],[Task Name]]="","",IF(N(Tasks[[#This Row],[Baseline Start]])&gt;0,Tasks[[#This Row],[Baseline Start]],Tasks[[#This Row],[_CalcStart]]))</f>
        <v/>
      </c>
      <c r="Q125" s="24" t="str">
        <f aca="false">IF(Tasks[[#This Row],[Task Name]]="","",IF(N(Tasks[[#This Row],[Baseline Finish]])&gt;0,Tasks[[#This Row],[Baseline Finish]],Tasks[[#This Row],[_CalcFinish]]))</f>
        <v/>
      </c>
      <c r="R125" s="29"/>
      <c r="S125" s="29"/>
      <c r="T12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5" s="31"/>
      <c r="AA12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5" s="41"/>
      <c r="AD125" s="31"/>
      <c r="AE12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5" s="41"/>
      <c r="AJ125" s="24" t="str">
        <f aca="false">IF(Tasks[[#This Row],[Task Name]]="","",Tasks[[#This Row],[Forecast Start]])</f>
        <v/>
      </c>
      <c r="AK125" s="24" t="str">
        <f aca="false">IF(Tasks[[#This Row],[Task Name]]="","",Tasks[[#This Row],[Forecast Finish]])</f>
        <v/>
      </c>
      <c r="AL12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5" s="43" t="str">
        <f aca="false">IF(Tasks[[#This Row],[Task Name]]="","",Tasks[[#This Row],[Work]])</f>
        <v/>
      </c>
      <c r="AN125" s="44" t="str">
        <f aca="false">IF(Tasks[[#This Row],[Task Name]]="","",Tasks[[#This Row],[Cost]])</f>
        <v/>
      </c>
      <c r="AO125" s="29"/>
      <c r="AP125" s="29"/>
      <c r="AQ125" s="39"/>
      <c r="AR125" s="45"/>
      <c r="AS125" s="46"/>
      <c r="AT125" s="40" t="str">
        <f aca="false">IF(OR(Tasks[[#This Row],[Task Name]]="",Tasks[[#This Row],[Baseline Duration]]=""),"",Tasks[[#This Row],[BL Source Duration]]-N(Tasks[[#This Row],[Baseline Duration]]))</f>
        <v/>
      </c>
      <c r="AU125" s="43" t="str">
        <f aca="false">IF(OR(Tasks[[#This Row],[Task Name]]="",Tasks[[#This Row],[Baseline Work]]=""),"",Tasks[[#This Row],[Work]]-N(Tasks[[#This Row],[Baseline Work]]))</f>
        <v/>
      </c>
      <c r="AV125" s="44" t="str">
        <f aca="false">IF(OR(Tasks[[#This Row],[Task Name]]="",Tasks[[#This Row],[Baseline Cost]]=""),"",Tasks[[#This Row],[Cost]]-N(Tasks[[#This Row],[Baseline Cost]]))</f>
        <v/>
      </c>
      <c r="AW125" s="47" t="str">
        <f aca="false">IF(Tasks[[#This Row],[Task Name]]="","",MAX(1,N(Tasks[[#This Row],[Level]])))</f>
        <v/>
      </c>
      <c r="AX125" s="47" t="n">
        <f aca="false">ROW()-ROW(Tasks[[#Headers],[ID]])</f>
        <v>120</v>
      </c>
      <c r="AY12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5" s="47" t="n">
        <f aca="false">IFERROR(N(INDEX(Tasks[_Level],Tasks[[#This Row],[_Row]]+1)),0)</f>
        <v>0</v>
      </c>
      <c r="BA125" s="48" t="b">
        <f aca="false">AND(Tasks[[#This Row],[Task Name]]&lt;&gt;"",Tasks[[#This Row],[_NextLevel]]&gt;Tasks[[#This Row],[_Level]])</f>
        <v>0</v>
      </c>
      <c r="BB125" s="47" t="n">
        <f aca="false">IF(Tasks[[#This Row],[_IsSummary]],COUNTIF(Tasks[WBS],Tasks[[#This Row],[WBS]]&amp;".*"),0)</f>
        <v>0</v>
      </c>
      <c r="BC125" s="47" t="n">
        <f aca="false">IF(AND(Tasks[[#This Row],[Task Name]]&lt;&gt;"",NOT(Tasks[[#This Row],[_IsSummary]])),1,0)</f>
        <v>0</v>
      </c>
      <c r="BD125" s="47" t="n">
        <f aca="false">IF(N(Tasks[[#This Row],[Pred1 UID]])=0,0,IFERROR(MATCH(Tasks[[#This Row],[Pred1 UID]],Tasks[UID],0),-1))</f>
        <v>0</v>
      </c>
      <c r="BE125" s="47" t="n">
        <f aca="false">IF(N(Tasks[[#This Row],[Pred2 UID]])=0,0,IFERROR(MATCH(Tasks[[#This Row],[Pred2 UID]],Tasks[UID],0),-1))</f>
        <v>0</v>
      </c>
      <c r="BF12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5" s="47" t="n">
        <f aca="false">IF(NOT(Tasks[[#This Row],[_IsLeaf]]=1),0,IF(N(Tasks[[#This Row],[Actual Finish]])&gt;0,1,MIN(1,N(Tasks[[#This Row],[% Complete]]))))</f>
        <v>0</v>
      </c>
      <c r="BK12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5" s="47" t="n">
        <f aca="false">IF(Tasks[[#This Row],[_LeafWork]]=0,0,Tasks[[#This Row],[_LeafWork]]*IFERROR(INDEX(res_Rate,MATCH(Tasks[[#This Row],[Resource]],res_Name,0)),0))</f>
        <v>0</v>
      </c>
      <c r="BM12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5" s="47" t="n">
        <f aca="false">IF(AND(Tasks[[#This Row],[_IsLeaf]]=1,Tasks[[#This Row],[_LeafWork]]&gt;0),NETWORKDAYS.INTL(ProjectStart,Tasks[[#This Row],[_LeafFcstStart]],WorkWeek,Holidays),0)</f>
        <v>0</v>
      </c>
      <c r="BV12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5" s="47" t="n">
        <f aca="false">IF(AND(Tasks[[#This Row],[_IsLeaf]]=1,Tasks[[#This Row],[_LeafWork]]&gt;0),Tasks[[#This Row],[_LeafWork]]/(Tasks[[#This Row],[_FinishWorkday]]-Tasks[[#This Row],[_StartWorkday]]+1),0)</f>
        <v>0</v>
      </c>
      <c r="BX125" s="47" t="n">
        <f aca="false">Tasks[[#This Row],[_WorkPerWorkday]]*(Tasks[[#This Row],[_StartWorkday]]-1)</f>
        <v>-0</v>
      </c>
      <c r="BY125" s="47" t="n">
        <f aca="false">IF(Tasks[[#This Row],[_IsLeaf]]=1,MAX(N(Tasks[[#This Row],[Duration]]),0.1),0)</f>
        <v>0</v>
      </c>
      <c r="BZ125" s="47" t="n">
        <f aca="false">Tasks[[#This Row],[_WeightDur]]*Tasks[[#This Row],[_LeafProgress]]</f>
        <v>0</v>
      </c>
      <c r="CA12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6" customFormat="false" ht="15" hidden="false" customHeight="false" outlineLevel="0" collapsed="false">
      <c r="A126" s="38" t="str">
        <f aca="false">IF(Tasks[[#This Row],[Task Name]]="","",COUNTA(Tasks[[#Headers],[Task Name]]:Tasks[[#This Row],[Task Name]])-1)</f>
        <v/>
      </c>
      <c r="B126" s="39" t="n">
        <v>121</v>
      </c>
      <c r="C12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6" s="39"/>
      <c r="E126" s="41"/>
      <c r="F126" s="39"/>
      <c r="G126" s="39"/>
      <c r="H126" s="39"/>
      <c r="I126" s="39"/>
      <c r="J126" s="39"/>
      <c r="K126" s="39"/>
      <c r="L126" s="39"/>
      <c r="M126" s="39"/>
      <c r="N126" s="29"/>
      <c r="O126" s="29"/>
      <c r="P126" s="24" t="str">
        <f aca="false">IF(Tasks[[#This Row],[Task Name]]="","",IF(N(Tasks[[#This Row],[Baseline Start]])&gt;0,Tasks[[#This Row],[Baseline Start]],Tasks[[#This Row],[_CalcStart]]))</f>
        <v/>
      </c>
      <c r="Q126" s="24" t="str">
        <f aca="false">IF(Tasks[[#This Row],[Task Name]]="","",IF(N(Tasks[[#This Row],[Baseline Finish]])&gt;0,Tasks[[#This Row],[Baseline Finish]],Tasks[[#This Row],[_CalcFinish]]))</f>
        <v/>
      </c>
      <c r="R126" s="29"/>
      <c r="S126" s="29"/>
      <c r="T12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6" s="31"/>
      <c r="AA12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6" s="41"/>
      <c r="AD126" s="31"/>
      <c r="AE12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6" s="41"/>
      <c r="AJ126" s="24" t="str">
        <f aca="false">IF(Tasks[[#This Row],[Task Name]]="","",Tasks[[#This Row],[Forecast Start]])</f>
        <v/>
      </c>
      <c r="AK126" s="24" t="str">
        <f aca="false">IF(Tasks[[#This Row],[Task Name]]="","",Tasks[[#This Row],[Forecast Finish]])</f>
        <v/>
      </c>
      <c r="AL12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6" s="43" t="str">
        <f aca="false">IF(Tasks[[#This Row],[Task Name]]="","",Tasks[[#This Row],[Work]])</f>
        <v/>
      </c>
      <c r="AN126" s="44" t="str">
        <f aca="false">IF(Tasks[[#This Row],[Task Name]]="","",Tasks[[#This Row],[Cost]])</f>
        <v/>
      </c>
      <c r="AO126" s="29"/>
      <c r="AP126" s="29"/>
      <c r="AQ126" s="39"/>
      <c r="AR126" s="45"/>
      <c r="AS126" s="46"/>
      <c r="AT126" s="40" t="str">
        <f aca="false">IF(OR(Tasks[[#This Row],[Task Name]]="",Tasks[[#This Row],[Baseline Duration]]=""),"",Tasks[[#This Row],[BL Source Duration]]-N(Tasks[[#This Row],[Baseline Duration]]))</f>
        <v/>
      </c>
      <c r="AU126" s="43" t="str">
        <f aca="false">IF(OR(Tasks[[#This Row],[Task Name]]="",Tasks[[#This Row],[Baseline Work]]=""),"",Tasks[[#This Row],[Work]]-N(Tasks[[#This Row],[Baseline Work]]))</f>
        <v/>
      </c>
      <c r="AV126" s="44" t="str">
        <f aca="false">IF(OR(Tasks[[#This Row],[Task Name]]="",Tasks[[#This Row],[Baseline Cost]]=""),"",Tasks[[#This Row],[Cost]]-N(Tasks[[#This Row],[Baseline Cost]]))</f>
        <v/>
      </c>
      <c r="AW126" s="47" t="str">
        <f aca="false">IF(Tasks[[#This Row],[Task Name]]="","",MAX(1,N(Tasks[[#This Row],[Level]])))</f>
        <v/>
      </c>
      <c r="AX126" s="47" t="n">
        <f aca="false">ROW()-ROW(Tasks[[#Headers],[ID]])</f>
        <v>121</v>
      </c>
      <c r="AY12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6" s="47" t="n">
        <f aca="false">IFERROR(N(INDEX(Tasks[_Level],Tasks[[#This Row],[_Row]]+1)),0)</f>
        <v>0</v>
      </c>
      <c r="BA126" s="48" t="b">
        <f aca="false">AND(Tasks[[#This Row],[Task Name]]&lt;&gt;"",Tasks[[#This Row],[_NextLevel]]&gt;Tasks[[#This Row],[_Level]])</f>
        <v>0</v>
      </c>
      <c r="BB126" s="47" t="n">
        <f aca="false">IF(Tasks[[#This Row],[_IsSummary]],COUNTIF(Tasks[WBS],Tasks[[#This Row],[WBS]]&amp;".*"),0)</f>
        <v>0</v>
      </c>
      <c r="BC126" s="47" t="n">
        <f aca="false">IF(AND(Tasks[[#This Row],[Task Name]]&lt;&gt;"",NOT(Tasks[[#This Row],[_IsSummary]])),1,0)</f>
        <v>0</v>
      </c>
      <c r="BD126" s="47" t="n">
        <f aca="false">IF(N(Tasks[[#This Row],[Pred1 UID]])=0,0,IFERROR(MATCH(Tasks[[#This Row],[Pred1 UID]],Tasks[UID],0),-1))</f>
        <v>0</v>
      </c>
      <c r="BE126" s="47" t="n">
        <f aca="false">IF(N(Tasks[[#This Row],[Pred2 UID]])=0,0,IFERROR(MATCH(Tasks[[#This Row],[Pred2 UID]],Tasks[UID],0),-1))</f>
        <v>0</v>
      </c>
      <c r="BF12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6" s="47" t="n">
        <f aca="false">IF(NOT(Tasks[[#This Row],[_IsLeaf]]=1),0,IF(N(Tasks[[#This Row],[Actual Finish]])&gt;0,1,MIN(1,N(Tasks[[#This Row],[% Complete]]))))</f>
        <v>0</v>
      </c>
      <c r="BK12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6" s="47" t="n">
        <f aca="false">IF(Tasks[[#This Row],[_LeafWork]]=0,0,Tasks[[#This Row],[_LeafWork]]*IFERROR(INDEX(res_Rate,MATCH(Tasks[[#This Row],[Resource]],res_Name,0)),0))</f>
        <v>0</v>
      </c>
      <c r="BM12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6" s="47" t="n">
        <f aca="false">IF(AND(Tasks[[#This Row],[_IsLeaf]]=1,Tasks[[#This Row],[_LeafWork]]&gt;0),NETWORKDAYS.INTL(ProjectStart,Tasks[[#This Row],[_LeafFcstStart]],WorkWeek,Holidays),0)</f>
        <v>0</v>
      </c>
      <c r="BV12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6" s="47" t="n">
        <f aca="false">IF(AND(Tasks[[#This Row],[_IsLeaf]]=1,Tasks[[#This Row],[_LeafWork]]&gt;0),Tasks[[#This Row],[_LeafWork]]/(Tasks[[#This Row],[_FinishWorkday]]-Tasks[[#This Row],[_StartWorkday]]+1),0)</f>
        <v>0</v>
      </c>
      <c r="BX126" s="47" t="n">
        <f aca="false">Tasks[[#This Row],[_WorkPerWorkday]]*(Tasks[[#This Row],[_StartWorkday]]-1)</f>
        <v>-0</v>
      </c>
      <c r="BY126" s="47" t="n">
        <f aca="false">IF(Tasks[[#This Row],[_IsLeaf]]=1,MAX(N(Tasks[[#This Row],[Duration]]),0.1),0)</f>
        <v>0</v>
      </c>
      <c r="BZ126" s="47" t="n">
        <f aca="false">Tasks[[#This Row],[_WeightDur]]*Tasks[[#This Row],[_LeafProgress]]</f>
        <v>0</v>
      </c>
      <c r="CA12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7" customFormat="false" ht="15" hidden="false" customHeight="false" outlineLevel="0" collapsed="false">
      <c r="A127" s="38" t="str">
        <f aca="false">IF(Tasks[[#This Row],[Task Name]]="","",COUNTA(Tasks[[#Headers],[Task Name]]:Tasks[[#This Row],[Task Name]])-1)</f>
        <v/>
      </c>
      <c r="B127" s="39" t="n">
        <v>122</v>
      </c>
      <c r="C12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7" s="39"/>
      <c r="E127" s="41"/>
      <c r="F127" s="39"/>
      <c r="G127" s="39"/>
      <c r="H127" s="39"/>
      <c r="I127" s="39"/>
      <c r="J127" s="39"/>
      <c r="K127" s="39"/>
      <c r="L127" s="39"/>
      <c r="M127" s="39"/>
      <c r="N127" s="29"/>
      <c r="O127" s="29"/>
      <c r="P127" s="24" t="str">
        <f aca="false">IF(Tasks[[#This Row],[Task Name]]="","",IF(N(Tasks[[#This Row],[Baseline Start]])&gt;0,Tasks[[#This Row],[Baseline Start]],Tasks[[#This Row],[_CalcStart]]))</f>
        <v/>
      </c>
      <c r="Q127" s="24" t="str">
        <f aca="false">IF(Tasks[[#This Row],[Task Name]]="","",IF(N(Tasks[[#This Row],[Baseline Finish]])&gt;0,Tasks[[#This Row],[Baseline Finish]],Tasks[[#This Row],[_CalcFinish]]))</f>
        <v/>
      </c>
      <c r="R127" s="29"/>
      <c r="S127" s="29"/>
      <c r="T12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7" s="31"/>
      <c r="AA12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7" s="41"/>
      <c r="AD127" s="31"/>
      <c r="AE12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7" s="41"/>
      <c r="AJ127" s="24" t="str">
        <f aca="false">IF(Tasks[[#This Row],[Task Name]]="","",Tasks[[#This Row],[Forecast Start]])</f>
        <v/>
      </c>
      <c r="AK127" s="24" t="str">
        <f aca="false">IF(Tasks[[#This Row],[Task Name]]="","",Tasks[[#This Row],[Forecast Finish]])</f>
        <v/>
      </c>
      <c r="AL12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7" s="43" t="str">
        <f aca="false">IF(Tasks[[#This Row],[Task Name]]="","",Tasks[[#This Row],[Work]])</f>
        <v/>
      </c>
      <c r="AN127" s="44" t="str">
        <f aca="false">IF(Tasks[[#This Row],[Task Name]]="","",Tasks[[#This Row],[Cost]])</f>
        <v/>
      </c>
      <c r="AO127" s="29"/>
      <c r="AP127" s="29"/>
      <c r="AQ127" s="39"/>
      <c r="AR127" s="45"/>
      <c r="AS127" s="46"/>
      <c r="AT127" s="40" t="str">
        <f aca="false">IF(OR(Tasks[[#This Row],[Task Name]]="",Tasks[[#This Row],[Baseline Duration]]=""),"",Tasks[[#This Row],[BL Source Duration]]-N(Tasks[[#This Row],[Baseline Duration]]))</f>
        <v/>
      </c>
      <c r="AU127" s="43" t="str">
        <f aca="false">IF(OR(Tasks[[#This Row],[Task Name]]="",Tasks[[#This Row],[Baseline Work]]=""),"",Tasks[[#This Row],[Work]]-N(Tasks[[#This Row],[Baseline Work]]))</f>
        <v/>
      </c>
      <c r="AV127" s="44" t="str">
        <f aca="false">IF(OR(Tasks[[#This Row],[Task Name]]="",Tasks[[#This Row],[Baseline Cost]]=""),"",Tasks[[#This Row],[Cost]]-N(Tasks[[#This Row],[Baseline Cost]]))</f>
        <v/>
      </c>
      <c r="AW127" s="47" t="str">
        <f aca="false">IF(Tasks[[#This Row],[Task Name]]="","",MAX(1,N(Tasks[[#This Row],[Level]])))</f>
        <v/>
      </c>
      <c r="AX127" s="47" t="n">
        <f aca="false">ROW()-ROW(Tasks[[#Headers],[ID]])</f>
        <v>122</v>
      </c>
      <c r="AY12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7" s="47" t="n">
        <f aca="false">IFERROR(N(INDEX(Tasks[_Level],Tasks[[#This Row],[_Row]]+1)),0)</f>
        <v>0</v>
      </c>
      <c r="BA127" s="48" t="b">
        <f aca="false">AND(Tasks[[#This Row],[Task Name]]&lt;&gt;"",Tasks[[#This Row],[_NextLevel]]&gt;Tasks[[#This Row],[_Level]])</f>
        <v>0</v>
      </c>
      <c r="BB127" s="47" t="n">
        <f aca="false">IF(Tasks[[#This Row],[_IsSummary]],COUNTIF(Tasks[WBS],Tasks[[#This Row],[WBS]]&amp;".*"),0)</f>
        <v>0</v>
      </c>
      <c r="BC127" s="47" t="n">
        <f aca="false">IF(AND(Tasks[[#This Row],[Task Name]]&lt;&gt;"",NOT(Tasks[[#This Row],[_IsSummary]])),1,0)</f>
        <v>0</v>
      </c>
      <c r="BD127" s="47" t="n">
        <f aca="false">IF(N(Tasks[[#This Row],[Pred1 UID]])=0,0,IFERROR(MATCH(Tasks[[#This Row],[Pred1 UID]],Tasks[UID],0),-1))</f>
        <v>0</v>
      </c>
      <c r="BE127" s="47" t="n">
        <f aca="false">IF(N(Tasks[[#This Row],[Pred2 UID]])=0,0,IFERROR(MATCH(Tasks[[#This Row],[Pred2 UID]],Tasks[UID],0),-1))</f>
        <v>0</v>
      </c>
      <c r="BF12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7" s="47" t="n">
        <f aca="false">IF(NOT(Tasks[[#This Row],[_IsLeaf]]=1),0,IF(N(Tasks[[#This Row],[Actual Finish]])&gt;0,1,MIN(1,N(Tasks[[#This Row],[% Complete]]))))</f>
        <v>0</v>
      </c>
      <c r="BK12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7" s="47" t="n">
        <f aca="false">IF(Tasks[[#This Row],[_LeafWork]]=0,0,Tasks[[#This Row],[_LeafWork]]*IFERROR(INDEX(res_Rate,MATCH(Tasks[[#This Row],[Resource]],res_Name,0)),0))</f>
        <v>0</v>
      </c>
      <c r="BM12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7" s="47" t="n">
        <f aca="false">IF(AND(Tasks[[#This Row],[_IsLeaf]]=1,Tasks[[#This Row],[_LeafWork]]&gt;0),NETWORKDAYS.INTL(ProjectStart,Tasks[[#This Row],[_LeafFcstStart]],WorkWeek,Holidays),0)</f>
        <v>0</v>
      </c>
      <c r="BV12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7" s="47" t="n">
        <f aca="false">IF(AND(Tasks[[#This Row],[_IsLeaf]]=1,Tasks[[#This Row],[_LeafWork]]&gt;0),Tasks[[#This Row],[_LeafWork]]/(Tasks[[#This Row],[_FinishWorkday]]-Tasks[[#This Row],[_StartWorkday]]+1),0)</f>
        <v>0</v>
      </c>
      <c r="BX127" s="47" t="n">
        <f aca="false">Tasks[[#This Row],[_WorkPerWorkday]]*(Tasks[[#This Row],[_StartWorkday]]-1)</f>
        <v>-0</v>
      </c>
      <c r="BY127" s="47" t="n">
        <f aca="false">IF(Tasks[[#This Row],[_IsLeaf]]=1,MAX(N(Tasks[[#This Row],[Duration]]),0.1),0)</f>
        <v>0</v>
      </c>
      <c r="BZ127" s="47" t="n">
        <f aca="false">Tasks[[#This Row],[_WeightDur]]*Tasks[[#This Row],[_LeafProgress]]</f>
        <v>0</v>
      </c>
      <c r="CA12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8" customFormat="false" ht="15" hidden="false" customHeight="false" outlineLevel="0" collapsed="false">
      <c r="A128" s="38" t="str">
        <f aca="false">IF(Tasks[[#This Row],[Task Name]]="","",COUNTA(Tasks[[#Headers],[Task Name]]:Tasks[[#This Row],[Task Name]])-1)</f>
        <v/>
      </c>
      <c r="B128" s="39" t="n">
        <v>123</v>
      </c>
      <c r="C12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8" s="39"/>
      <c r="E128" s="41"/>
      <c r="F128" s="39"/>
      <c r="G128" s="39"/>
      <c r="H128" s="39"/>
      <c r="I128" s="39"/>
      <c r="J128" s="39"/>
      <c r="K128" s="39"/>
      <c r="L128" s="39"/>
      <c r="M128" s="39"/>
      <c r="N128" s="29"/>
      <c r="O128" s="29"/>
      <c r="P128" s="24" t="str">
        <f aca="false">IF(Tasks[[#This Row],[Task Name]]="","",IF(N(Tasks[[#This Row],[Baseline Start]])&gt;0,Tasks[[#This Row],[Baseline Start]],Tasks[[#This Row],[_CalcStart]]))</f>
        <v/>
      </c>
      <c r="Q128" s="24" t="str">
        <f aca="false">IF(Tasks[[#This Row],[Task Name]]="","",IF(N(Tasks[[#This Row],[Baseline Finish]])&gt;0,Tasks[[#This Row],[Baseline Finish]],Tasks[[#This Row],[_CalcFinish]]))</f>
        <v/>
      </c>
      <c r="R128" s="29"/>
      <c r="S128" s="29"/>
      <c r="T12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8" s="31"/>
      <c r="AA12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8" s="41"/>
      <c r="AD128" s="31"/>
      <c r="AE12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8" s="41"/>
      <c r="AJ128" s="24" t="str">
        <f aca="false">IF(Tasks[[#This Row],[Task Name]]="","",Tasks[[#This Row],[Forecast Start]])</f>
        <v/>
      </c>
      <c r="AK128" s="24" t="str">
        <f aca="false">IF(Tasks[[#This Row],[Task Name]]="","",Tasks[[#This Row],[Forecast Finish]])</f>
        <v/>
      </c>
      <c r="AL12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8" s="43" t="str">
        <f aca="false">IF(Tasks[[#This Row],[Task Name]]="","",Tasks[[#This Row],[Work]])</f>
        <v/>
      </c>
      <c r="AN128" s="44" t="str">
        <f aca="false">IF(Tasks[[#This Row],[Task Name]]="","",Tasks[[#This Row],[Cost]])</f>
        <v/>
      </c>
      <c r="AO128" s="29"/>
      <c r="AP128" s="29"/>
      <c r="AQ128" s="39"/>
      <c r="AR128" s="45"/>
      <c r="AS128" s="46"/>
      <c r="AT128" s="40" t="str">
        <f aca="false">IF(OR(Tasks[[#This Row],[Task Name]]="",Tasks[[#This Row],[Baseline Duration]]=""),"",Tasks[[#This Row],[BL Source Duration]]-N(Tasks[[#This Row],[Baseline Duration]]))</f>
        <v/>
      </c>
      <c r="AU128" s="43" t="str">
        <f aca="false">IF(OR(Tasks[[#This Row],[Task Name]]="",Tasks[[#This Row],[Baseline Work]]=""),"",Tasks[[#This Row],[Work]]-N(Tasks[[#This Row],[Baseline Work]]))</f>
        <v/>
      </c>
      <c r="AV128" s="44" t="str">
        <f aca="false">IF(OR(Tasks[[#This Row],[Task Name]]="",Tasks[[#This Row],[Baseline Cost]]=""),"",Tasks[[#This Row],[Cost]]-N(Tasks[[#This Row],[Baseline Cost]]))</f>
        <v/>
      </c>
      <c r="AW128" s="47" t="str">
        <f aca="false">IF(Tasks[[#This Row],[Task Name]]="","",MAX(1,N(Tasks[[#This Row],[Level]])))</f>
        <v/>
      </c>
      <c r="AX128" s="47" t="n">
        <f aca="false">ROW()-ROW(Tasks[[#Headers],[ID]])</f>
        <v>123</v>
      </c>
      <c r="AY12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8" s="47" t="n">
        <f aca="false">IFERROR(N(INDEX(Tasks[_Level],Tasks[[#This Row],[_Row]]+1)),0)</f>
        <v>0</v>
      </c>
      <c r="BA128" s="48" t="b">
        <f aca="false">AND(Tasks[[#This Row],[Task Name]]&lt;&gt;"",Tasks[[#This Row],[_NextLevel]]&gt;Tasks[[#This Row],[_Level]])</f>
        <v>0</v>
      </c>
      <c r="BB128" s="47" t="n">
        <f aca="false">IF(Tasks[[#This Row],[_IsSummary]],COUNTIF(Tasks[WBS],Tasks[[#This Row],[WBS]]&amp;".*"),0)</f>
        <v>0</v>
      </c>
      <c r="BC128" s="47" t="n">
        <f aca="false">IF(AND(Tasks[[#This Row],[Task Name]]&lt;&gt;"",NOT(Tasks[[#This Row],[_IsSummary]])),1,0)</f>
        <v>0</v>
      </c>
      <c r="BD128" s="47" t="n">
        <f aca="false">IF(N(Tasks[[#This Row],[Pred1 UID]])=0,0,IFERROR(MATCH(Tasks[[#This Row],[Pred1 UID]],Tasks[UID],0),-1))</f>
        <v>0</v>
      </c>
      <c r="BE128" s="47" t="n">
        <f aca="false">IF(N(Tasks[[#This Row],[Pred2 UID]])=0,0,IFERROR(MATCH(Tasks[[#This Row],[Pred2 UID]],Tasks[UID],0),-1))</f>
        <v>0</v>
      </c>
      <c r="BF12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8" s="47" t="n">
        <f aca="false">IF(NOT(Tasks[[#This Row],[_IsLeaf]]=1),0,IF(N(Tasks[[#This Row],[Actual Finish]])&gt;0,1,MIN(1,N(Tasks[[#This Row],[% Complete]]))))</f>
        <v>0</v>
      </c>
      <c r="BK12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8" s="47" t="n">
        <f aca="false">IF(Tasks[[#This Row],[_LeafWork]]=0,0,Tasks[[#This Row],[_LeafWork]]*IFERROR(INDEX(res_Rate,MATCH(Tasks[[#This Row],[Resource]],res_Name,0)),0))</f>
        <v>0</v>
      </c>
      <c r="BM12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8" s="47" t="n">
        <f aca="false">IF(AND(Tasks[[#This Row],[_IsLeaf]]=1,Tasks[[#This Row],[_LeafWork]]&gt;0),NETWORKDAYS.INTL(ProjectStart,Tasks[[#This Row],[_LeafFcstStart]],WorkWeek,Holidays),0)</f>
        <v>0</v>
      </c>
      <c r="BV12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8" s="47" t="n">
        <f aca="false">IF(AND(Tasks[[#This Row],[_IsLeaf]]=1,Tasks[[#This Row],[_LeafWork]]&gt;0),Tasks[[#This Row],[_LeafWork]]/(Tasks[[#This Row],[_FinishWorkday]]-Tasks[[#This Row],[_StartWorkday]]+1),0)</f>
        <v>0</v>
      </c>
      <c r="BX128" s="47" t="n">
        <f aca="false">Tasks[[#This Row],[_WorkPerWorkday]]*(Tasks[[#This Row],[_StartWorkday]]-1)</f>
        <v>-0</v>
      </c>
      <c r="BY128" s="47" t="n">
        <f aca="false">IF(Tasks[[#This Row],[_IsLeaf]]=1,MAX(N(Tasks[[#This Row],[Duration]]),0.1),0)</f>
        <v>0</v>
      </c>
      <c r="BZ128" s="47" t="n">
        <f aca="false">Tasks[[#This Row],[_WeightDur]]*Tasks[[#This Row],[_LeafProgress]]</f>
        <v>0</v>
      </c>
      <c r="CA12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9" customFormat="false" ht="15" hidden="false" customHeight="false" outlineLevel="0" collapsed="false">
      <c r="A129" s="38" t="str">
        <f aca="false">IF(Tasks[[#This Row],[Task Name]]="","",COUNTA(Tasks[[#Headers],[Task Name]]:Tasks[[#This Row],[Task Name]])-1)</f>
        <v/>
      </c>
      <c r="B129" s="39" t="n">
        <v>124</v>
      </c>
      <c r="C12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9" s="39"/>
      <c r="E129" s="41"/>
      <c r="F129" s="39"/>
      <c r="G129" s="39"/>
      <c r="H129" s="39"/>
      <c r="I129" s="39"/>
      <c r="J129" s="39"/>
      <c r="K129" s="39"/>
      <c r="L129" s="39"/>
      <c r="M129" s="39"/>
      <c r="N129" s="29"/>
      <c r="O129" s="29"/>
      <c r="P129" s="24" t="str">
        <f aca="false">IF(Tasks[[#This Row],[Task Name]]="","",IF(N(Tasks[[#This Row],[Baseline Start]])&gt;0,Tasks[[#This Row],[Baseline Start]],Tasks[[#This Row],[_CalcStart]]))</f>
        <v/>
      </c>
      <c r="Q129" s="24" t="str">
        <f aca="false">IF(Tasks[[#This Row],[Task Name]]="","",IF(N(Tasks[[#This Row],[Baseline Finish]])&gt;0,Tasks[[#This Row],[Baseline Finish]],Tasks[[#This Row],[_CalcFinish]]))</f>
        <v/>
      </c>
      <c r="R129" s="29"/>
      <c r="S129" s="29"/>
      <c r="T12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9" s="31"/>
      <c r="AA12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9" s="41"/>
      <c r="AD129" s="31"/>
      <c r="AE12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9" s="41"/>
      <c r="AJ129" s="24" t="str">
        <f aca="false">IF(Tasks[[#This Row],[Task Name]]="","",Tasks[[#This Row],[Forecast Start]])</f>
        <v/>
      </c>
      <c r="AK129" s="24" t="str">
        <f aca="false">IF(Tasks[[#This Row],[Task Name]]="","",Tasks[[#This Row],[Forecast Finish]])</f>
        <v/>
      </c>
      <c r="AL12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9" s="43" t="str">
        <f aca="false">IF(Tasks[[#This Row],[Task Name]]="","",Tasks[[#This Row],[Work]])</f>
        <v/>
      </c>
      <c r="AN129" s="44" t="str">
        <f aca="false">IF(Tasks[[#This Row],[Task Name]]="","",Tasks[[#This Row],[Cost]])</f>
        <v/>
      </c>
      <c r="AO129" s="29"/>
      <c r="AP129" s="29"/>
      <c r="AQ129" s="39"/>
      <c r="AR129" s="45"/>
      <c r="AS129" s="46"/>
      <c r="AT129" s="40" t="str">
        <f aca="false">IF(OR(Tasks[[#This Row],[Task Name]]="",Tasks[[#This Row],[Baseline Duration]]=""),"",Tasks[[#This Row],[BL Source Duration]]-N(Tasks[[#This Row],[Baseline Duration]]))</f>
        <v/>
      </c>
      <c r="AU129" s="43" t="str">
        <f aca="false">IF(OR(Tasks[[#This Row],[Task Name]]="",Tasks[[#This Row],[Baseline Work]]=""),"",Tasks[[#This Row],[Work]]-N(Tasks[[#This Row],[Baseline Work]]))</f>
        <v/>
      </c>
      <c r="AV129" s="44" t="str">
        <f aca="false">IF(OR(Tasks[[#This Row],[Task Name]]="",Tasks[[#This Row],[Baseline Cost]]=""),"",Tasks[[#This Row],[Cost]]-N(Tasks[[#This Row],[Baseline Cost]]))</f>
        <v/>
      </c>
      <c r="AW129" s="47" t="str">
        <f aca="false">IF(Tasks[[#This Row],[Task Name]]="","",MAX(1,N(Tasks[[#This Row],[Level]])))</f>
        <v/>
      </c>
      <c r="AX129" s="47" t="n">
        <f aca="false">ROW()-ROW(Tasks[[#Headers],[ID]])</f>
        <v>124</v>
      </c>
      <c r="AY12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9" s="47" t="n">
        <f aca="false">IFERROR(N(INDEX(Tasks[_Level],Tasks[[#This Row],[_Row]]+1)),0)</f>
        <v>0</v>
      </c>
      <c r="BA129" s="48" t="b">
        <f aca="false">AND(Tasks[[#This Row],[Task Name]]&lt;&gt;"",Tasks[[#This Row],[_NextLevel]]&gt;Tasks[[#This Row],[_Level]])</f>
        <v>0</v>
      </c>
      <c r="BB129" s="47" t="n">
        <f aca="false">IF(Tasks[[#This Row],[_IsSummary]],COUNTIF(Tasks[WBS],Tasks[[#This Row],[WBS]]&amp;".*"),0)</f>
        <v>0</v>
      </c>
      <c r="BC129" s="47" t="n">
        <f aca="false">IF(AND(Tasks[[#This Row],[Task Name]]&lt;&gt;"",NOT(Tasks[[#This Row],[_IsSummary]])),1,0)</f>
        <v>0</v>
      </c>
      <c r="BD129" s="47" t="n">
        <f aca="false">IF(N(Tasks[[#This Row],[Pred1 UID]])=0,0,IFERROR(MATCH(Tasks[[#This Row],[Pred1 UID]],Tasks[UID],0),-1))</f>
        <v>0</v>
      </c>
      <c r="BE129" s="47" t="n">
        <f aca="false">IF(N(Tasks[[#This Row],[Pred2 UID]])=0,0,IFERROR(MATCH(Tasks[[#This Row],[Pred2 UID]],Tasks[UID],0),-1))</f>
        <v>0</v>
      </c>
      <c r="BF12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9" s="47" t="n">
        <f aca="false">IF(NOT(Tasks[[#This Row],[_IsLeaf]]=1),0,IF(N(Tasks[[#This Row],[Actual Finish]])&gt;0,1,MIN(1,N(Tasks[[#This Row],[% Complete]]))))</f>
        <v>0</v>
      </c>
      <c r="BK12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9" s="47" t="n">
        <f aca="false">IF(Tasks[[#This Row],[_LeafWork]]=0,0,Tasks[[#This Row],[_LeafWork]]*IFERROR(INDEX(res_Rate,MATCH(Tasks[[#This Row],[Resource]],res_Name,0)),0))</f>
        <v>0</v>
      </c>
      <c r="BM12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2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2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2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2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2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29" s="47" t="n">
        <f aca="false">IF(AND(Tasks[[#This Row],[_IsLeaf]]=1,Tasks[[#This Row],[_LeafWork]]&gt;0),NETWORKDAYS.INTL(ProjectStart,Tasks[[#This Row],[_LeafFcstStart]],WorkWeek,Holidays),0)</f>
        <v>0</v>
      </c>
      <c r="BV12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9" s="47" t="n">
        <f aca="false">IF(AND(Tasks[[#This Row],[_IsLeaf]]=1,Tasks[[#This Row],[_LeafWork]]&gt;0),Tasks[[#This Row],[_LeafWork]]/(Tasks[[#This Row],[_FinishWorkday]]-Tasks[[#This Row],[_StartWorkday]]+1),0)</f>
        <v>0</v>
      </c>
      <c r="BX129" s="47" t="n">
        <f aca="false">Tasks[[#This Row],[_WorkPerWorkday]]*(Tasks[[#This Row],[_StartWorkday]]-1)</f>
        <v>-0</v>
      </c>
      <c r="BY129" s="47" t="n">
        <f aca="false">IF(Tasks[[#This Row],[_IsLeaf]]=1,MAX(N(Tasks[[#This Row],[Duration]]),0.1),0)</f>
        <v>0</v>
      </c>
      <c r="BZ129" s="47" t="n">
        <f aca="false">Tasks[[#This Row],[_WeightDur]]*Tasks[[#This Row],[_LeafProgress]]</f>
        <v>0</v>
      </c>
      <c r="CA12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0" customFormat="false" ht="15" hidden="false" customHeight="false" outlineLevel="0" collapsed="false">
      <c r="A130" s="38" t="str">
        <f aca="false">IF(Tasks[[#This Row],[Task Name]]="","",COUNTA(Tasks[[#Headers],[Task Name]]:Tasks[[#This Row],[Task Name]])-1)</f>
        <v/>
      </c>
      <c r="B130" s="39" t="n">
        <v>125</v>
      </c>
      <c r="C13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0" s="39"/>
      <c r="E130" s="41"/>
      <c r="F130" s="39"/>
      <c r="G130" s="39"/>
      <c r="H130" s="39"/>
      <c r="I130" s="39"/>
      <c r="J130" s="39"/>
      <c r="K130" s="39"/>
      <c r="L130" s="39"/>
      <c r="M130" s="39"/>
      <c r="N130" s="29"/>
      <c r="O130" s="29"/>
      <c r="P130" s="24" t="str">
        <f aca="false">IF(Tasks[[#This Row],[Task Name]]="","",IF(N(Tasks[[#This Row],[Baseline Start]])&gt;0,Tasks[[#This Row],[Baseline Start]],Tasks[[#This Row],[_CalcStart]]))</f>
        <v/>
      </c>
      <c r="Q130" s="24" t="str">
        <f aca="false">IF(Tasks[[#This Row],[Task Name]]="","",IF(N(Tasks[[#This Row],[Baseline Finish]])&gt;0,Tasks[[#This Row],[Baseline Finish]],Tasks[[#This Row],[_CalcFinish]]))</f>
        <v/>
      </c>
      <c r="R130" s="29"/>
      <c r="S130" s="29"/>
      <c r="T13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0" s="31"/>
      <c r="AA13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0" s="41"/>
      <c r="AD130" s="31"/>
      <c r="AE13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0" s="41"/>
      <c r="AJ130" s="24" t="str">
        <f aca="false">IF(Tasks[[#This Row],[Task Name]]="","",Tasks[[#This Row],[Forecast Start]])</f>
        <v/>
      </c>
      <c r="AK130" s="24" t="str">
        <f aca="false">IF(Tasks[[#This Row],[Task Name]]="","",Tasks[[#This Row],[Forecast Finish]])</f>
        <v/>
      </c>
      <c r="AL13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0" s="43" t="str">
        <f aca="false">IF(Tasks[[#This Row],[Task Name]]="","",Tasks[[#This Row],[Work]])</f>
        <v/>
      </c>
      <c r="AN130" s="44" t="str">
        <f aca="false">IF(Tasks[[#This Row],[Task Name]]="","",Tasks[[#This Row],[Cost]])</f>
        <v/>
      </c>
      <c r="AO130" s="29"/>
      <c r="AP130" s="29"/>
      <c r="AQ130" s="39"/>
      <c r="AR130" s="45"/>
      <c r="AS130" s="46"/>
      <c r="AT130" s="40" t="str">
        <f aca="false">IF(OR(Tasks[[#This Row],[Task Name]]="",Tasks[[#This Row],[Baseline Duration]]=""),"",Tasks[[#This Row],[BL Source Duration]]-N(Tasks[[#This Row],[Baseline Duration]]))</f>
        <v/>
      </c>
      <c r="AU130" s="43" t="str">
        <f aca="false">IF(OR(Tasks[[#This Row],[Task Name]]="",Tasks[[#This Row],[Baseline Work]]=""),"",Tasks[[#This Row],[Work]]-N(Tasks[[#This Row],[Baseline Work]]))</f>
        <v/>
      </c>
      <c r="AV130" s="44" t="str">
        <f aca="false">IF(OR(Tasks[[#This Row],[Task Name]]="",Tasks[[#This Row],[Baseline Cost]]=""),"",Tasks[[#This Row],[Cost]]-N(Tasks[[#This Row],[Baseline Cost]]))</f>
        <v/>
      </c>
      <c r="AW130" s="47" t="str">
        <f aca="false">IF(Tasks[[#This Row],[Task Name]]="","",MAX(1,N(Tasks[[#This Row],[Level]])))</f>
        <v/>
      </c>
      <c r="AX130" s="47" t="n">
        <f aca="false">ROW()-ROW(Tasks[[#Headers],[ID]])</f>
        <v>125</v>
      </c>
      <c r="AY13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0" s="47" t="n">
        <f aca="false">IFERROR(N(INDEX(Tasks[_Level],Tasks[[#This Row],[_Row]]+1)),0)</f>
        <v>0</v>
      </c>
      <c r="BA130" s="48" t="b">
        <f aca="false">AND(Tasks[[#This Row],[Task Name]]&lt;&gt;"",Tasks[[#This Row],[_NextLevel]]&gt;Tasks[[#This Row],[_Level]])</f>
        <v>0</v>
      </c>
      <c r="BB130" s="47" t="n">
        <f aca="false">IF(Tasks[[#This Row],[_IsSummary]],COUNTIF(Tasks[WBS],Tasks[[#This Row],[WBS]]&amp;".*"),0)</f>
        <v>0</v>
      </c>
      <c r="BC130" s="47" t="n">
        <f aca="false">IF(AND(Tasks[[#This Row],[Task Name]]&lt;&gt;"",NOT(Tasks[[#This Row],[_IsSummary]])),1,0)</f>
        <v>0</v>
      </c>
      <c r="BD130" s="47" t="n">
        <f aca="false">IF(N(Tasks[[#This Row],[Pred1 UID]])=0,0,IFERROR(MATCH(Tasks[[#This Row],[Pred1 UID]],Tasks[UID],0),-1))</f>
        <v>0</v>
      </c>
      <c r="BE130" s="47" t="n">
        <f aca="false">IF(N(Tasks[[#This Row],[Pred2 UID]])=0,0,IFERROR(MATCH(Tasks[[#This Row],[Pred2 UID]],Tasks[UID],0),-1))</f>
        <v>0</v>
      </c>
      <c r="BF13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0" s="47" t="n">
        <f aca="false">IF(NOT(Tasks[[#This Row],[_IsLeaf]]=1),0,IF(N(Tasks[[#This Row],[Actual Finish]])&gt;0,1,MIN(1,N(Tasks[[#This Row],[% Complete]]))))</f>
        <v>0</v>
      </c>
      <c r="BK13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0" s="47" t="n">
        <f aca="false">IF(Tasks[[#This Row],[_LeafWork]]=0,0,Tasks[[#This Row],[_LeafWork]]*IFERROR(INDEX(res_Rate,MATCH(Tasks[[#This Row],[Resource]],res_Name,0)),0))</f>
        <v>0</v>
      </c>
      <c r="BM13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0" s="47" t="n">
        <f aca="false">IF(AND(Tasks[[#This Row],[_IsLeaf]]=1,Tasks[[#This Row],[_LeafWork]]&gt;0),NETWORKDAYS.INTL(ProjectStart,Tasks[[#This Row],[_LeafFcstStart]],WorkWeek,Holidays),0)</f>
        <v>0</v>
      </c>
      <c r="BV13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0" s="47" t="n">
        <f aca="false">IF(AND(Tasks[[#This Row],[_IsLeaf]]=1,Tasks[[#This Row],[_LeafWork]]&gt;0),Tasks[[#This Row],[_LeafWork]]/(Tasks[[#This Row],[_FinishWorkday]]-Tasks[[#This Row],[_StartWorkday]]+1),0)</f>
        <v>0</v>
      </c>
      <c r="BX130" s="47" t="n">
        <f aca="false">Tasks[[#This Row],[_WorkPerWorkday]]*(Tasks[[#This Row],[_StartWorkday]]-1)</f>
        <v>-0</v>
      </c>
      <c r="BY130" s="47" t="n">
        <f aca="false">IF(Tasks[[#This Row],[_IsLeaf]]=1,MAX(N(Tasks[[#This Row],[Duration]]),0.1),0)</f>
        <v>0</v>
      </c>
      <c r="BZ130" s="47" t="n">
        <f aca="false">Tasks[[#This Row],[_WeightDur]]*Tasks[[#This Row],[_LeafProgress]]</f>
        <v>0</v>
      </c>
      <c r="CA13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1" customFormat="false" ht="15" hidden="false" customHeight="false" outlineLevel="0" collapsed="false">
      <c r="A131" s="38" t="str">
        <f aca="false">IF(Tasks[[#This Row],[Task Name]]="","",COUNTA(Tasks[[#Headers],[Task Name]]:Tasks[[#This Row],[Task Name]])-1)</f>
        <v/>
      </c>
      <c r="B131" s="39" t="n">
        <v>126</v>
      </c>
      <c r="C13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1" s="39"/>
      <c r="E131" s="41"/>
      <c r="F131" s="39"/>
      <c r="G131" s="39"/>
      <c r="H131" s="39"/>
      <c r="I131" s="39"/>
      <c r="J131" s="39"/>
      <c r="K131" s="39"/>
      <c r="L131" s="39"/>
      <c r="M131" s="39"/>
      <c r="N131" s="29"/>
      <c r="O131" s="29"/>
      <c r="P131" s="24" t="str">
        <f aca="false">IF(Tasks[[#This Row],[Task Name]]="","",IF(N(Tasks[[#This Row],[Baseline Start]])&gt;0,Tasks[[#This Row],[Baseline Start]],Tasks[[#This Row],[_CalcStart]]))</f>
        <v/>
      </c>
      <c r="Q131" s="24" t="str">
        <f aca="false">IF(Tasks[[#This Row],[Task Name]]="","",IF(N(Tasks[[#This Row],[Baseline Finish]])&gt;0,Tasks[[#This Row],[Baseline Finish]],Tasks[[#This Row],[_CalcFinish]]))</f>
        <v/>
      </c>
      <c r="R131" s="29"/>
      <c r="S131" s="29"/>
      <c r="T13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1" s="31"/>
      <c r="AA13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1" s="41"/>
      <c r="AD131" s="31"/>
      <c r="AE13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1" s="41"/>
      <c r="AJ131" s="24" t="str">
        <f aca="false">IF(Tasks[[#This Row],[Task Name]]="","",Tasks[[#This Row],[Forecast Start]])</f>
        <v/>
      </c>
      <c r="AK131" s="24" t="str">
        <f aca="false">IF(Tasks[[#This Row],[Task Name]]="","",Tasks[[#This Row],[Forecast Finish]])</f>
        <v/>
      </c>
      <c r="AL13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1" s="43" t="str">
        <f aca="false">IF(Tasks[[#This Row],[Task Name]]="","",Tasks[[#This Row],[Work]])</f>
        <v/>
      </c>
      <c r="AN131" s="44" t="str">
        <f aca="false">IF(Tasks[[#This Row],[Task Name]]="","",Tasks[[#This Row],[Cost]])</f>
        <v/>
      </c>
      <c r="AO131" s="29"/>
      <c r="AP131" s="29"/>
      <c r="AQ131" s="39"/>
      <c r="AR131" s="45"/>
      <c r="AS131" s="46"/>
      <c r="AT131" s="40" t="str">
        <f aca="false">IF(OR(Tasks[[#This Row],[Task Name]]="",Tasks[[#This Row],[Baseline Duration]]=""),"",Tasks[[#This Row],[BL Source Duration]]-N(Tasks[[#This Row],[Baseline Duration]]))</f>
        <v/>
      </c>
      <c r="AU131" s="43" t="str">
        <f aca="false">IF(OR(Tasks[[#This Row],[Task Name]]="",Tasks[[#This Row],[Baseline Work]]=""),"",Tasks[[#This Row],[Work]]-N(Tasks[[#This Row],[Baseline Work]]))</f>
        <v/>
      </c>
      <c r="AV131" s="44" t="str">
        <f aca="false">IF(OR(Tasks[[#This Row],[Task Name]]="",Tasks[[#This Row],[Baseline Cost]]=""),"",Tasks[[#This Row],[Cost]]-N(Tasks[[#This Row],[Baseline Cost]]))</f>
        <v/>
      </c>
      <c r="AW131" s="47" t="str">
        <f aca="false">IF(Tasks[[#This Row],[Task Name]]="","",MAX(1,N(Tasks[[#This Row],[Level]])))</f>
        <v/>
      </c>
      <c r="AX131" s="47" t="n">
        <f aca="false">ROW()-ROW(Tasks[[#Headers],[ID]])</f>
        <v>126</v>
      </c>
      <c r="AY13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1" s="47" t="n">
        <f aca="false">IFERROR(N(INDEX(Tasks[_Level],Tasks[[#This Row],[_Row]]+1)),0)</f>
        <v>0</v>
      </c>
      <c r="BA131" s="48" t="b">
        <f aca="false">AND(Tasks[[#This Row],[Task Name]]&lt;&gt;"",Tasks[[#This Row],[_NextLevel]]&gt;Tasks[[#This Row],[_Level]])</f>
        <v>0</v>
      </c>
      <c r="BB131" s="47" t="n">
        <f aca="false">IF(Tasks[[#This Row],[_IsSummary]],COUNTIF(Tasks[WBS],Tasks[[#This Row],[WBS]]&amp;".*"),0)</f>
        <v>0</v>
      </c>
      <c r="BC131" s="47" t="n">
        <f aca="false">IF(AND(Tasks[[#This Row],[Task Name]]&lt;&gt;"",NOT(Tasks[[#This Row],[_IsSummary]])),1,0)</f>
        <v>0</v>
      </c>
      <c r="BD131" s="47" t="n">
        <f aca="false">IF(N(Tasks[[#This Row],[Pred1 UID]])=0,0,IFERROR(MATCH(Tasks[[#This Row],[Pred1 UID]],Tasks[UID],0),-1))</f>
        <v>0</v>
      </c>
      <c r="BE131" s="47" t="n">
        <f aca="false">IF(N(Tasks[[#This Row],[Pred2 UID]])=0,0,IFERROR(MATCH(Tasks[[#This Row],[Pred2 UID]],Tasks[UID],0),-1))</f>
        <v>0</v>
      </c>
      <c r="BF13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1" s="47" t="n">
        <f aca="false">IF(NOT(Tasks[[#This Row],[_IsLeaf]]=1),0,IF(N(Tasks[[#This Row],[Actual Finish]])&gt;0,1,MIN(1,N(Tasks[[#This Row],[% Complete]]))))</f>
        <v>0</v>
      </c>
      <c r="BK13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1" s="47" t="n">
        <f aca="false">IF(Tasks[[#This Row],[_LeafWork]]=0,0,Tasks[[#This Row],[_LeafWork]]*IFERROR(INDEX(res_Rate,MATCH(Tasks[[#This Row],[Resource]],res_Name,0)),0))</f>
        <v>0</v>
      </c>
      <c r="BM13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1" s="47" t="n">
        <f aca="false">IF(AND(Tasks[[#This Row],[_IsLeaf]]=1,Tasks[[#This Row],[_LeafWork]]&gt;0),NETWORKDAYS.INTL(ProjectStart,Tasks[[#This Row],[_LeafFcstStart]],WorkWeek,Holidays),0)</f>
        <v>0</v>
      </c>
      <c r="BV13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1" s="47" t="n">
        <f aca="false">IF(AND(Tasks[[#This Row],[_IsLeaf]]=1,Tasks[[#This Row],[_LeafWork]]&gt;0),Tasks[[#This Row],[_LeafWork]]/(Tasks[[#This Row],[_FinishWorkday]]-Tasks[[#This Row],[_StartWorkday]]+1),0)</f>
        <v>0</v>
      </c>
      <c r="BX131" s="47" t="n">
        <f aca="false">Tasks[[#This Row],[_WorkPerWorkday]]*(Tasks[[#This Row],[_StartWorkday]]-1)</f>
        <v>-0</v>
      </c>
      <c r="BY131" s="47" t="n">
        <f aca="false">IF(Tasks[[#This Row],[_IsLeaf]]=1,MAX(N(Tasks[[#This Row],[Duration]]),0.1),0)</f>
        <v>0</v>
      </c>
      <c r="BZ131" s="47" t="n">
        <f aca="false">Tasks[[#This Row],[_WeightDur]]*Tasks[[#This Row],[_LeafProgress]]</f>
        <v>0</v>
      </c>
      <c r="CA13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2" customFormat="false" ht="15" hidden="false" customHeight="false" outlineLevel="0" collapsed="false">
      <c r="A132" s="38" t="str">
        <f aca="false">IF(Tasks[[#This Row],[Task Name]]="","",COUNTA(Tasks[[#Headers],[Task Name]]:Tasks[[#This Row],[Task Name]])-1)</f>
        <v/>
      </c>
      <c r="B132" s="39" t="n">
        <v>127</v>
      </c>
      <c r="C13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2" s="39"/>
      <c r="E132" s="41"/>
      <c r="F132" s="39"/>
      <c r="G132" s="39"/>
      <c r="H132" s="39"/>
      <c r="I132" s="39"/>
      <c r="J132" s="39"/>
      <c r="K132" s="39"/>
      <c r="L132" s="39"/>
      <c r="M132" s="39"/>
      <c r="N132" s="29"/>
      <c r="O132" s="29"/>
      <c r="P132" s="24" t="str">
        <f aca="false">IF(Tasks[[#This Row],[Task Name]]="","",IF(N(Tasks[[#This Row],[Baseline Start]])&gt;0,Tasks[[#This Row],[Baseline Start]],Tasks[[#This Row],[_CalcStart]]))</f>
        <v/>
      </c>
      <c r="Q132" s="24" t="str">
        <f aca="false">IF(Tasks[[#This Row],[Task Name]]="","",IF(N(Tasks[[#This Row],[Baseline Finish]])&gt;0,Tasks[[#This Row],[Baseline Finish]],Tasks[[#This Row],[_CalcFinish]]))</f>
        <v/>
      </c>
      <c r="R132" s="29"/>
      <c r="S132" s="29"/>
      <c r="T13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2" s="31"/>
      <c r="AA13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2" s="41"/>
      <c r="AD132" s="31"/>
      <c r="AE13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2" s="41"/>
      <c r="AJ132" s="24" t="str">
        <f aca="false">IF(Tasks[[#This Row],[Task Name]]="","",Tasks[[#This Row],[Forecast Start]])</f>
        <v/>
      </c>
      <c r="AK132" s="24" t="str">
        <f aca="false">IF(Tasks[[#This Row],[Task Name]]="","",Tasks[[#This Row],[Forecast Finish]])</f>
        <v/>
      </c>
      <c r="AL13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2" s="43" t="str">
        <f aca="false">IF(Tasks[[#This Row],[Task Name]]="","",Tasks[[#This Row],[Work]])</f>
        <v/>
      </c>
      <c r="AN132" s="44" t="str">
        <f aca="false">IF(Tasks[[#This Row],[Task Name]]="","",Tasks[[#This Row],[Cost]])</f>
        <v/>
      </c>
      <c r="AO132" s="29"/>
      <c r="AP132" s="29"/>
      <c r="AQ132" s="39"/>
      <c r="AR132" s="45"/>
      <c r="AS132" s="46"/>
      <c r="AT132" s="40" t="str">
        <f aca="false">IF(OR(Tasks[[#This Row],[Task Name]]="",Tasks[[#This Row],[Baseline Duration]]=""),"",Tasks[[#This Row],[BL Source Duration]]-N(Tasks[[#This Row],[Baseline Duration]]))</f>
        <v/>
      </c>
      <c r="AU132" s="43" t="str">
        <f aca="false">IF(OR(Tasks[[#This Row],[Task Name]]="",Tasks[[#This Row],[Baseline Work]]=""),"",Tasks[[#This Row],[Work]]-N(Tasks[[#This Row],[Baseline Work]]))</f>
        <v/>
      </c>
      <c r="AV132" s="44" t="str">
        <f aca="false">IF(OR(Tasks[[#This Row],[Task Name]]="",Tasks[[#This Row],[Baseline Cost]]=""),"",Tasks[[#This Row],[Cost]]-N(Tasks[[#This Row],[Baseline Cost]]))</f>
        <v/>
      </c>
      <c r="AW132" s="47" t="str">
        <f aca="false">IF(Tasks[[#This Row],[Task Name]]="","",MAX(1,N(Tasks[[#This Row],[Level]])))</f>
        <v/>
      </c>
      <c r="AX132" s="47" t="n">
        <f aca="false">ROW()-ROW(Tasks[[#Headers],[ID]])</f>
        <v>127</v>
      </c>
      <c r="AY13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2" s="47" t="n">
        <f aca="false">IFERROR(N(INDEX(Tasks[_Level],Tasks[[#This Row],[_Row]]+1)),0)</f>
        <v>0</v>
      </c>
      <c r="BA132" s="48" t="b">
        <f aca="false">AND(Tasks[[#This Row],[Task Name]]&lt;&gt;"",Tasks[[#This Row],[_NextLevel]]&gt;Tasks[[#This Row],[_Level]])</f>
        <v>0</v>
      </c>
      <c r="BB132" s="47" t="n">
        <f aca="false">IF(Tasks[[#This Row],[_IsSummary]],COUNTIF(Tasks[WBS],Tasks[[#This Row],[WBS]]&amp;".*"),0)</f>
        <v>0</v>
      </c>
      <c r="BC132" s="47" t="n">
        <f aca="false">IF(AND(Tasks[[#This Row],[Task Name]]&lt;&gt;"",NOT(Tasks[[#This Row],[_IsSummary]])),1,0)</f>
        <v>0</v>
      </c>
      <c r="BD132" s="47" t="n">
        <f aca="false">IF(N(Tasks[[#This Row],[Pred1 UID]])=0,0,IFERROR(MATCH(Tasks[[#This Row],[Pred1 UID]],Tasks[UID],0),-1))</f>
        <v>0</v>
      </c>
      <c r="BE132" s="47" t="n">
        <f aca="false">IF(N(Tasks[[#This Row],[Pred2 UID]])=0,0,IFERROR(MATCH(Tasks[[#This Row],[Pred2 UID]],Tasks[UID],0),-1))</f>
        <v>0</v>
      </c>
      <c r="BF13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2" s="47" t="n">
        <f aca="false">IF(NOT(Tasks[[#This Row],[_IsLeaf]]=1),0,IF(N(Tasks[[#This Row],[Actual Finish]])&gt;0,1,MIN(1,N(Tasks[[#This Row],[% Complete]]))))</f>
        <v>0</v>
      </c>
      <c r="BK13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2" s="47" t="n">
        <f aca="false">IF(Tasks[[#This Row],[_LeafWork]]=0,0,Tasks[[#This Row],[_LeafWork]]*IFERROR(INDEX(res_Rate,MATCH(Tasks[[#This Row],[Resource]],res_Name,0)),0))</f>
        <v>0</v>
      </c>
      <c r="BM13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2" s="47" t="n">
        <f aca="false">IF(AND(Tasks[[#This Row],[_IsLeaf]]=1,Tasks[[#This Row],[_LeafWork]]&gt;0),NETWORKDAYS.INTL(ProjectStart,Tasks[[#This Row],[_LeafFcstStart]],WorkWeek,Holidays),0)</f>
        <v>0</v>
      </c>
      <c r="BV13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2" s="47" t="n">
        <f aca="false">IF(AND(Tasks[[#This Row],[_IsLeaf]]=1,Tasks[[#This Row],[_LeafWork]]&gt;0),Tasks[[#This Row],[_LeafWork]]/(Tasks[[#This Row],[_FinishWorkday]]-Tasks[[#This Row],[_StartWorkday]]+1),0)</f>
        <v>0</v>
      </c>
      <c r="BX132" s="47" t="n">
        <f aca="false">Tasks[[#This Row],[_WorkPerWorkday]]*(Tasks[[#This Row],[_StartWorkday]]-1)</f>
        <v>-0</v>
      </c>
      <c r="BY132" s="47" t="n">
        <f aca="false">IF(Tasks[[#This Row],[_IsLeaf]]=1,MAX(N(Tasks[[#This Row],[Duration]]),0.1),0)</f>
        <v>0</v>
      </c>
      <c r="BZ132" s="47" t="n">
        <f aca="false">Tasks[[#This Row],[_WeightDur]]*Tasks[[#This Row],[_LeafProgress]]</f>
        <v>0</v>
      </c>
      <c r="CA13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3" customFormat="false" ht="15" hidden="false" customHeight="false" outlineLevel="0" collapsed="false">
      <c r="A133" s="38" t="str">
        <f aca="false">IF(Tasks[[#This Row],[Task Name]]="","",COUNTA(Tasks[[#Headers],[Task Name]]:Tasks[[#This Row],[Task Name]])-1)</f>
        <v/>
      </c>
      <c r="B133" s="39" t="n">
        <v>128</v>
      </c>
      <c r="C13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3" s="39"/>
      <c r="E133" s="41"/>
      <c r="F133" s="39"/>
      <c r="G133" s="39"/>
      <c r="H133" s="39"/>
      <c r="I133" s="39"/>
      <c r="J133" s="39"/>
      <c r="K133" s="39"/>
      <c r="L133" s="39"/>
      <c r="M133" s="39"/>
      <c r="N133" s="29"/>
      <c r="O133" s="29"/>
      <c r="P133" s="24" t="str">
        <f aca="false">IF(Tasks[[#This Row],[Task Name]]="","",IF(N(Tasks[[#This Row],[Baseline Start]])&gt;0,Tasks[[#This Row],[Baseline Start]],Tasks[[#This Row],[_CalcStart]]))</f>
        <v/>
      </c>
      <c r="Q133" s="24" t="str">
        <f aca="false">IF(Tasks[[#This Row],[Task Name]]="","",IF(N(Tasks[[#This Row],[Baseline Finish]])&gt;0,Tasks[[#This Row],[Baseline Finish]],Tasks[[#This Row],[_CalcFinish]]))</f>
        <v/>
      </c>
      <c r="R133" s="29"/>
      <c r="S133" s="29"/>
      <c r="T13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3" s="31"/>
      <c r="AA13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3" s="41"/>
      <c r="AD133" s="31"/>
      <c r="AE13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3" s="41"/>
      <c r="AJ133" s="24" t="str">
        <f aca="false">IF(Tasks[[#This Row],[Task Name]]="","",Tasks[[#This Row],[Forecast Start]])</f>
        <v/>
      </c>
      <c r="AK133" s="24" t="str">
        <f aca="false">IF(Tasks[[#This Row],[Task Name]]="","",Tasks[[#This Row],[Forecast Finish]])</f>
        <v/>
      </c>
      <c r="AL13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3" s="43" t="str">
        <f aca="false">IF(Tasks[[#This Row],[Task Name]]="","",Tasks[[#This Row],[Work]])</f>
        <v/>
      </c>
      <c r="AN133" s="44" t="str">
        <f aca="false">IF(Tasks[[#This Row],[Task Name]]="","",Tasks[[#This Row],[Cost]])</f>
        <v/>
      </c>
      <c r="AO133" s="29"/>
      <c r="AP133" s="29"/>
      <c r="AQ133" s="39"/>
      <c r="AR133" s="45"/>
      <c r="AS133" s="46"/>
      <c r="AT133" s="40" t="str">
        <f aca="false">IF(OR(Tasks[[#This Row],[Task Name]]="",Tasks[[#This Row],[Baseline Duration]]=""),"",Tasks[[#This Row],[BL Source Duration]]-N(Tasks[[#This Row],[Baseline Duration]]))</f>
        <v/>
      </c>
      <c r="AU133" s="43" t="str">
        <f aca="false">IF(OR(Tasks[[#This Row],[Task Name]]="",Tasks[[#This Row],[Baseline Work]]=""),"",Tasks[[#This Row],[Work]]-N(Tasks[[#This Row],[Baseline Work]]))</f>
        <v/>
      </c>
      <c r="AV133" s="44" t="str">
        <f aca="false">IF(OR(Tasks[[#This Row],[Task Name]]="",Tasks[[#This Row],[Baseline Cost]]=""),"",Tasks[[#This Row],[Cost]]-N(Tasks[[#This Row],[Baseline Cost]]))</f>
        <v/>
      </c>
      <c r="AW133" s="47" t="str">
        <f aca="false">IF(Tasks[[#This Row],[Task Name]]="","",MAX(1,N(Tasks[[#This Row],[Level]])))</f>
        <v/>
      </c>
      <c r="AX133" s="47" t="n">
        <f aca="false">ROW()-ROW(Tasks[[#Headers],[ID]])</f>
        <v>128</v>
      </c>
      <c r="AY13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3" s="47" t="n">
        <f aca="false">IFERROR(N(INDEX(Tasks[_Level],Tasks[[#This Row],[_Row]]+1)),0)</f>
        <v>0</v>
      </c>
      <c r="BA133" s="48" t="b">
        <f aca="false">AND(Tasks[[#This Row],[Task Name]]&lt;&gt;"",Tasks[[#This Row],[_NextLevel]]&gt;Tasks[[#This Row],[_Level]])</f>
        <v>0</v>
      </c>
      <c r="BB133" s="47" t="n">
        <f aca="false">IF(Tasks[[#This Row],[_IsSummary]],COUNTIF(Tasks[WBS],Tasks[[#This Row],[WBS]]&amp;".*"),0)</f>
        <v>0</v>
      </c>
      <c r="BC133" s="47" t="n">
        <f aca="false">IF(AND(Tasks[[#This Row],[Task Name]]&lt;&gt;"",NOT(Tasks[[#This Row],[_IsSummary]])),1,0)</f>
        <v>0</v>
      </c>
      <c r="BD133" s="47" t="n">
        <f aca="false">IF(N(Tasks[[#This Row],[Pred1 UID]])=0,0,IFERROR(MATCH(Tasks[[#This Row],[Pred1 UID]],Tasks[UID],0),-1))</f>
        <v>0</v>
      </c>
      <c r="BE133" s="47" t="n">
        <f aca="false">IF(N(Tasks[[#This Row],[Pred2 UID]])=0,0,IFERROR(MATCH(Tasks[[#This Row],[Pred2 UID]],Tasks[UID],0),-1))</f>
        <v>0</v>
      </c>
      <c r="BF13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3" s="47" t="n">
        <f aca="false">IF(NOT(Tasks[[#This Row],[_IsLeaf]]=1),0,IF(N(Tasks[[#This Row],[Actual Finish]])&gt;0,1,MIN(1,N(Tasks[[#This Row],[% Complete]]))))</f>
        <v>0</v>
      </c>
      <c r="BK13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3" s="47" t="n">
        <f aca="false">IF(Tasks[[#This Row],[_LeafWork]]=0,0,Tasks[[#This Row],[_LeafWork]]*IFERROR(INDEX(res_Rate,MATCH(Tasks[[#This Row],[Resource]],res_Name,0)),0))</f>
        <v>0</v>
      </c>
      <c r="BM13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3" s="47" t="n">
        <f aca="false">IF(AND(Tasks[[#This Row],[_IsLeaf]]=1,Tasks[[#This Row],[_LeafWork]]&gt;0),NETWORKDAYS.INTL(ProjectStart,Tasks[[#This Row],[_LeafFcstStart]],WorkWeek,Holidays),0)</f>
        <v>0</v>
      </c>
      <c r="BV13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3" s="47" t="n">
        <f aca="false">IF(AND(Tasks[[#This Row],[_IsLeaf]]=1,Tasks[[#This Row],[_LeafWork]]&gt;0),Tasks[[#This Row],[_LeafWork]]/(Tasks[[#This Row],[_FinishWorkday]]-Tasks[[#This Row],[_StartWorkday]]+1),0)</f>
        <v>0</v>
      </c>
      <c r="BX133" s="47" t="n">
        <f aca="false">Tasks[[#This Row],[_WorkPerWorkday]]*(Tasks[[#This Row],[_StartWorkday]]-1)</f>
        <v>-0</v>
      </c>
      <c r="BY133" s="47" t="n">
        <f aca="false">IF(Tasks[[#This Row],[_IsLeaf]]=1,MAX(N(Tasks[[#This Row],[Duration]]),0.1),0)</f>
        <v>0</v>
      </c>
      <c r="BZ133" s="47" t="n">
        <f aca="false">Tasks[[#This Row],[_WeightDur]]*Tasks[[#This Row],[_LeafProgress]]</f>
        <v>0</v>
      </c>
      <c r="CA13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4" customFormat="false" ht="15" hidden="false" customHeight="false" outlineLevel="0" collapsed="false">
      <c r="A134" s="38" t="str">
        <f aca="false">IF(Tasks[[#This Row],[Task Name]]="","",COUNTA(Tasks[[#Headers],[Task Name]]:Tasks[[#This Row],[Task Name]])-1)</f>
        <v/>
      </c>
      <c r="B134" s="39" t="n">
        <v>129</v>
      </c>
      <c r="C13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4" s="39"/>
      <c r="E134" s="41"/>
      <c r="F134" s="39"/>
      <c r="G134" s="39"/>
      <c r="H134" s="39"/>
      <c r="I134" s="39"/>
      <c r="J134" s="39"/>
      <c r="K134" s="39"/>
      <c r="L134" s="39"/>
      <c r="M134" s="39"/>
      <c r="N134" s="29"/>
      <c r="O134" s="29"/>
      <c r="P134" s="24" t="str">
        <f aca="false">IF(Tasks[[#This Row],[Task Name]]="","",IF(N(Tasks[[#This Row],[Baseline Start]])&gt;0,Tasks[[#This Row],[Baseline Start]],Tasks[[#This Row],[_CalcStart]]))</f>
        <v/>
      </c>
      <c r="Q134" s="24" t="str">
        <f aca="false">IF(Tasks[[#This Row],[Task Name]]="","",IF(N(Tasks[[#This Row],[Baseline Finish]])&gt;0,Tasks[[#This Row],[Baseline Finish]],Tasks[[#This Row],[_CalcFinish]]))</f>
        <v/>
      </c>
      <c r="R134" s="29"/>
      <c r="S134" s="29"/>
      <c r="T13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4" s="31"/>
      <c r="AA13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4" s="41"/>
      <c r="AD134" s="31"/>
      <c r="AE13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4" s="41"/>
      <c r="AJ134" s="24" t="str">
        <f aca="false">IF(Tasks[[#This Row],[Task Name]]="","",Tasks[[#This Row],[Forecast Start]])</f>
        <v/>
      </c>
      <c r="AK134" s="24" t="str">
        <f aca="false">IF(Tasks[[#This Row],[Task Name]]="","",Tasks[[#This Row],[Forecast Finish]])</f>
        <v/>
      </c>
      <c r="AL13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4" s="43" t="str">
        <f aca="false">IF(Tasks[[#This Row],[Task Name]]="","",Tasks[[#This Row],[Work]])</f>
        <v/>
      </c>
      <c r="AN134" s="44" t="str">
        <f aca="false">IF(Tasks[[#This Row],[Task Name]]="","",Tasks[[#This Row],[Cost]])</f>
        <v/>
      </c>
      <c r="AO134" s="29"/>
      <c r="AP134" s="29"/>
      <c r="AQ134" s="39"/>
      <c r="AR134" s="45"/>
      <c r="AS134" s="46"/>
      <c r="AT134" s="40" t="str">
        <f aca="false">IF(OR(Tasks[[#This Row],[Task Name]]="",Tasks[[#This Row],[Baseline Duration]]=""),"",Tasks[[#This Row],[BL Source Duration]]-N(Tasks[[#This Row],[Baseline Duration]]))</f>
        <v/>
      </c>
      <c r="AU134" s="43" t="str">
        <f aca="false">IF(OR(Tasks[[#This Row],[Task Name]]="",Tasks[[#This Row],[Baseline Work]]=""),"",Tasks[[#This Row],[Work]]-N(Tasks[[#This Row],[Baseline Work]]))</f>
        <v/>
      </c>
      <c r="AV134" s="44" t="str">
        <f aca="false">IF(OR(Tasks[[#This Row],[Task Name]]="",Tasks[[#This Row],[Baseline Cost]]=""),"",Tasks[[#This Row],[Cost]]-N(Tasks[[#This Row],[Baseline Cost]]))</f>
        <v/>
      </c>
      <c r="AW134" s="47" t="str">
        <f aca="false">IF(Tasks[[#This Row],[Task Name]]="","",MAX(1,N(Tasks[[#This Row],[Level]])))</f>
        <v/>
      </c>
      <c r="AX134" s="47" t="n">
        <f aca="false">ROW()-ROW(Tasks[[#Headers],[ID]])</f>
        <v>129</v>
      </c>
      <c r="AY13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4" s="47" t="n">
        <f aca="false">IFERROR(N(INDEX(Tasks[_Level],Tasks[[#This Row],[_Row]]+1)),0)</f>
        <v>0</v>
      </c>
      <c r="BA134" s="48" t="b">
        <f aca="false">AND(Tasks[[#This Row],[Task Name]]&lt;&gt;"",Tasks[[#This Row],[_NextLevel]]&gt;Tasks[[#This Row],[_Level]])</f>
        <v>0</v>
      </c>
      <c r="BB134" s="47" t="n">
        <f aca="false">IF(Tasks[[#This Row],[_IsSummary]],COUNTIF(Tasks[WBS],Tasks[[#This Row],[WBS]]&amp;".*"),0)</f>
        <v>0</v>
      </c>
      <c r="BC134" s="47" t="n">
        <f aca="false">IF(AND(Tasks[[#This Row],[Task Name]]&lt;&gt;"",NOT(Tasks[[#This Row],[_IsSummary]])),1,0)</f>
        <v>0</v>
      </c>
      <c r="BD134" s="47" t="n">
        <f aca="false">IF(N(Tasks[[#This Row],[Pred1 UID]])=0,0,IFERROR(MATCH(Tasks[[#This Row],[Pred1 UID]],Tasks[UID],0),-1))</f>
        <v>0</v>
      </c>
      <c r="BE134" s="47" t="n">
        <f aca="false">IF(N(Tasks[[#This Row],[Pred2 UID]])=0,0,IFERROR(MATCH(Tasks[[#This Row],[Pred2 UID]],Tasks[UID],0),-1))</f>
        <v>0</v>
      </c>
      <c r="BF13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4" s="47" t="n">
        <f aca="false">IF(NOT(Tasks[[#This Row],[_IsLeaf]]=1),0,IF(N(Tasks[[#This Row],[Actual Finish]])&gt;0,1,MIN(1,N(Tasks[[#This Row],[% Complete]]))))</f>
        <v>0</v>
      </c>
      <c r="BK13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4" s="47" t="n">
        <f aca="false">IF(Tasks[[#This Row],[_LeafWork]]=0,0,Tasks[[#This Row],[_LeafWork]]*IFERROR(INDEX(res_Rate,MATCH(Tasks[[#This Row],[Resource]],res_Name,0)),0))</f>
        <v>0</v>
      </c>
      <c r="BM13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4" s="47" t="n">
        <f aca="false">IF(AND(Tasks[[#This Row],[_IsLeaf]]=1,Tasks[[#This Row],[_LeafWork]]&gt;0),NETWORKDAYS.INTL(ProjectStart,Tasks[[#This Row],[_LeafFcstStart]],WorkWeek,Holidays),0)</f>
        <v>0</v>
      </c>
      <c r="BV13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4" s="47" t="n">
        <f aca="false">IF(AND(Tasks[[#This Row],[_IsLeaf]]=1,Tasks[[#This Row],[_LeafWork]]&gt;0),Tasks[[#This Row],[_LeafWork]]/(Tasks[[#This Row],[_FinishWorkday]]-Tasks[[#This Row],[_StartWorkday]]+1),0)</f>
        <v>0</v>
      </c>
      <c r="BX134" s="47" t="n">
        <f aca="false">Tasks[[#This Row],[_WorkPerWorkday]]*(Tasks[[#This Row],[_StartWorkday]]-1)</f>
        <v>-0</v>
      </c>
      <c r="BY134" s="47" t="n">
        <f aca="false">IF(Tasks[[#This Row],[_IsLeaf]]=1,MAX(N(Tasks[[#This Row],[Duration]]),0.1),0)</f>
        <v>0</v>
      </c>
      <c r="BZ134" s="47" t="n">
        <f aca="false">Tasks[[#This Row],[_WeightDur]]*Tasks[[#This Row],[_LeafProgress]]</f>
        <v>0</v>
      </c>
      <c r="CA13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5" customFormat="false" ht="15" hidden="false" customHeight="false" outlineLevel="0" collapsed="false">
      <c r="A135" s="38" t="str">
        <f aca="false">IF(Tasks[[#This Row],[Task Name]]="","",COUNTA(Tasks[[#Headers],[Task Name]]:Tasks[[#This Row],[Task Name]])-1)</f>
        <v/>
      </c>
      <c r="B135" s="39" t="n">
        <v>130</v>
      </c>
      <c r="C13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5" s="39"/>
      <c r="E135" s="41"/>
      <c r="F135" s="39"/>
      <c r="G135" s="39"/>
      <c r="H135" s="39"/>
      <c r="I135" s="39"/>
      <c r="J135" s="39"/>
      <c r="K135" s="39"/>
      <c r="L135" s="39"/>
      <c r="M135" s="39"/>
      <c r="N135" s="29"/>
      <c r="O135" s="29"/>
      <c r="P135" s="24" t="str">
        <f aca="false">IF(Tasks[[#This Row],[Task Name]]="","",IF(N(Tasks[[#This Row],[Baseline Start]])&gt;0,Tasks[[#This Row],[Baseline Start]],Tasks[[#This Row],[_CalcStart]]))</f>
        <v/>
      </c>
      <c r="Q135" s="24" t="str">
        <f aca="false">IF(Tasks[[#This Row],[Task Name]]="","",IF(N(Tasks[[#This Row],[Baseline Finish]])&gt;0,Tasks[[#This Row],[Baseline Finish]],Tasks[[#This Row],[_CalcFinish]]))</f>
        <v/>
      </c>
      <c r="R135" s="29"/>
      <c r="S135" s="29"/>
      <c r="T13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5" s="31"/>
      <c r="AA13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5" s="41"/>
      <c r="AD135" s="31"/>
      <c r="AE13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5" s="41"/>
      <c r="AJ135" s="24" t="str">
        <f aca="false">IF(Tasks[[#This Row],[Task Name]]="","",Tasks[[#This Row],[Forecast Start]])</f>
        <v/>
      </c>
      <c r="AK135" s="24" t="str">
        <f aca="false">IF(Tasks[[#This Row],[Task Name]]="","",Tasks[[#This Row],[Forecast Finish]])</f>
        <v/>
      </c>
      <c r="AL13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5" s="43" t="str">
        <f aca="false">IF(Tasks[[#This Row],[Task Name]]="","",Tasks[[#This Row],[Work]])</f>
        <v/>
      </c>
      <c r="AN135" s="44" t="str">
        <f aca="false">IF(Tasks[[#This Row],[Task Name]]="","",Tasks[[#This Row],[Cost]])</f>
        <v/>
      </c>
      <c r="AO135" s="29"/>
      <c r="AP135" s="29"/>
      <c r="AQ135" s="39"/>
      <c r="AR135" s="45"/>
      <c r="AS135" s="46"/>
      <c r="AT135" s="40" t="str">
        <f aca="false">IF(OR(Tasks[[#This Row],[Task Name]]="",Tasks[[#This Row],[Baseline Duration]]=""),"",Tasks[[#This Row],[BL Source Duration]]-N(Tasks[[#This Row],[Baseline Duration]]))</f>
        <v/>
      </c>
      <c r="AU135" s="43" t="str">
        <f aca="false">IF(OR(Tasks[[#This Row],[Task Name]]="",Tasks[[#This Row],[Baseline Work]]=""),"",Tasks[[#This Row],[Work]]-N(Tasks[[#This Row],[Baseline Work]]))</f>
        <v/>
      </c>
      <c r="AV135" s="44" t="str">
        <f aca="false">IF(OR(Tasks[[#This Row],[Task Name]]="",Tasks[[#This Row],[Baseline Cost]]=""),"",Tasks[[#This Row],[Cost]]-N(Tasks[[#This Row],[Baseline Cost]]))</f>
        <v/>
      </c>
      <c r="AW135" s="47" t="str">
        <f aca="false">IF(Tasks[[#This Row],[Task Name]]="","",MAX(1,N(Tasks[[#This Row],[Level]])))</f>
        <v/>
      </c>
      <c r="AX135" s="47" t="n">
        <f aca="false">ROW()-ROW(Tasks[[#Headers],[ID]])</f>
        <v>130</v>
      </c>
      <c r="AY13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5" s="47" t="n">
        <f aca="false">IFERROR(N(INDEX(Tasks[_Level],Tasks[[#This Row],[_Row]]+1)),0)</f>
        <v>0</v>
      </c>
      <c r="BA135" s="48" t="b">
        <f aca="false">AND(Tasks[[#This Row],[Task Name]]&lt;&gt;"",Tasks[[#This Row],[_NextLevel]]&gt;Tasks[[#This Row],[_Level]])</f>
        <v>0</v>
      </c>
      <c r="BB135" s="47" t="n">
        <f aca="false">IF(Tasks[[#This Row],[_IsSummary]],COUNTIF(Tasks[WBS],Tasks[[#This Row],[WBS]]&amp;".*"),0)</f>
        <v>0</v>
      </c>
      <c r="BC135" s="47" t="n">
        <f aca="false">IF(AND(Tasks[[#This Row],[Task Name]]&lt;&gt;"",NOT(Tasks[[#This Row],[_IsSummary]])),1,0)</f>
        <v>0</v>
      </c>
      <c r="BD135" s="47" t="n">
        <f aca="false">IF(N(Tasks[[#This Row],[Pred1 UID]])=0,0,IFERROR(MATCH(Tasks[[#This Row],[Pred1 UID]],Tasks[UID],0),-1))</f>
        <v>0</v>
      </c>
      <c r="BE135" s="47" t="n">
        <f aca="false">IF(N(Tasks[[#This Row],[Pred2 UID]])=0,0,IFERROR(MATCH(Tasks[[#This Row],[Pred2 UID]],Tasks[UID],0),-1))</f>
        <v>0</v>
      </c>
      <c r="BF13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5" s="47" t="n">
        <f aca="false">IF(NOT(Tasks[[#This Row],[_IsLeaf]]=1),0,IF(N(Tasks[[#This Row],[Actual Finish]])&gt;0,1,MIN(1,N(Tasks[[#This Row],[% Complete]]))))</f>
        <v>0</v>
      </c>
      <c r="BK13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5" s="47" t="n">
        <f aca="false">IF(Tasks[[#This Row],[_LeafWork]]=0,0,Tasks[[#This Row],[_LeafWork]]*IFERROR(INDEX(res_Rate,MATCH(Tasks[[#This Row],[Resource]],res_Name,0)),0))</f>
        <v>0</v>
      </c>
      <c r="BM13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5" s="47" t="n">
        <f aca="false">IF(AND(Tasks[[#This Row],[_IsLeaf]]=1,Tasks[[#This Row],[_LeafWork]]&gt;0),NETWORKDAYS.INTL(ProjectStart,Tasks[[#This Row],[_LeafFcstStart]],WorkWeek,Holidays),0)</f>
        <v>0</v>
      </c>
      <c r="BV13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5" s="47" t="n">
        <f aca="false">IF(AND(Tasks[[#This Row],[_IsLeaf]]=1,Tasks[[#This Row],[_LeafWork]]&gt;0),Tasks[[#This Row],[_LeafWork]]/(Tasks[[#This Row],[_FinishWorkday]]-Tasks[[#This Row],[_StartWorkday]]+1),0)</f>
        <v>0</v>
      </c>
      <c r="BX135" s="47" t="n">
        <f aca="false">Tasks[[#This Row],[_WorkPerWorkday]]*(Tasks[[#This Row],[_StartWorkday]]-1)</f>
        <v>-0</v>
      </c>
      <c r="BY135" s="47" t="n">
        <f aca="false">IF(Tasks[[#This Row],[_IsLeaf]]=1,MAX(N(Tasks[[#This Row],[Duration]]),0.1),0)</f>
        <v>0</v>
      </c>
      <c r="BZ135" s="47" t="n">
        <f aca="false">Tasks[[#This Row],[_WeightDur]]*Tasks[[#This Row],[_LeafProgress]]</f>
        <v>0</v>
      </c>
      <c r="CA13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6" customFormat="false" ht="15" hidden="false" customHeight="false" outlineLevel="0" collapsed="false">
      <c r="A136" s="38" t="str">
        <f aca="false">IF(Tasks[[#This Row],[Task Name]]="","",COUNTA(Tasks[[#Headers],[Task Name]]:Tasks[[#This Row],[Task Name]])-1)</f>
        <v/>
      </c>
      <c r="B136" s="39" t="n">
        <v>131</v>
      </c>
      <c r="C13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6" s="39"/>
      <c r="E136" s="41"/>
      <c r="F136" s="39"/>
      <c r="G136" s="39"/>
      <c r="H136" s="39"/>
      <c r="I136" s="39"/>
      <c r="J136" s="39"/>
      <c r="K136" s="39"/>
      <c r="L136" s="39"/>
      <c r="M136" s="39"/>
      <c r="N136" s="29"/>
      <c r="O136" s="29"/>
      <c r="P136" s="24" t="str">
        <f aca="false">IF(Tasks[[#This Row],[Task Name]]="","",IF(N(Tasks[[#This Row],[Baseline Start]])&gt;0,Tasks[[#This Row],[Baseline Start]],Tasks[[#This Row],[_CalcStart]]))</f>
        <v/>
      </c>
      <c r="Q136" s="24" t="str">
        <f aca="false">IF(Tasks[[#This Row],[Task Name]]="","",IF(N(Tasks[[#This Row],[Baseline Finish]])&gt;0,Tasks[[#This Row],[Baseline Finish]],Tasks[[#This Row],[_CalcFinish]]))</f>
        <v/>
      </c>
      <c r="R136" s="29"/>
      <c r="S136" s="29"/>
      <c r="T13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6" s="31"/>
      <c r="AA13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6" s="41"/>
      <c r="AD136" s="31"/>
      <c r="AE13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6" s="41"/>
      <c r="AJ136" s="24" t="str">
        <f aca="false">IF(Tasks[[#This Row],[Task Name]]="","",Tasks[[#This Row],[Forecast Start]])</f>
        <v/>
      </c>
      <c r="AK136" s="24" t="str">
        <f aca="false">IF(Tasks[[#This Row],[Task Name]]="","",Tasks[[#This Row],[Forecast Finish]])</f>
        <v/>
      </c>
      <c r="AL13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6" s="43" t="str">
        <f aca="false">IF(Tasks[[#This Row],[Task Name]]="","",Tasks[[#This Row],[Work]])</f>
        <v/>
      </c>
      <c r="AN136" s="44" t="str">
        <f aca="false">IF(Tasks[[#This Row],[Task Name]]="","",Tasks[[#This Row],[Cost]])</f>
        <v/>
      </c>
      <c r="AO136" s="29"/>
      <c r="AP136" s="29"/>
      <c r="AQ136" s="39"/>
      <c r="AR136" s="45"/>
      <c r="AS136" s="46"/>
      <c r="AT136" s="40" t="str">
        <f aca="false">IF(OR(Tasks[[#This Row],[Task Name]]="",Tasks[[#This Row],[Baseline Duration]]=""),"",Tasks[[#This Row],[BL Source Duration]]-N(Tasks[[#This Row],[Baseline Duration]]))</f>
        <v/>
      </c>
      <c r="AU136" s="43" t="str">
        <f aca="false">IF(OR(Tasks[[#This Row],[Task Name]]="",Tasks[[#This Row],[Baseline Work]]=""),"",Tasks[[#This Row],[Work]]-N(Tasks[[#This Row],[Baseline Work]]))</f>
        <v/>
      </c>
      <c r="AV136" s="44" t="str">
        <f aca="false">IF(OR(Tasks[[#This Row],[Task Name]]="",Tasks[[#This Row],[Baseline Cost]]=""),"",Tasks[[#This Row],[Cost]]-N(Tasks[[#This Row],[Baseline Cost]]))</f>
        <v/>
      </c>
      <c r="AW136" s="47" t="str">
        <f aca="false">IF(Tasks[[#This Row],[Task Name]]="","",MAX(1,N(Tasks[[#This Row],[Level]])))</f>
        <v/>
      </c>
      <c r="AX136" s="47" t="n">
        <f aca="false">ROW()-ROW(Tasks[[#Headers],[ID]])</f>
        <v>131</v>
      </c>
      <c r="AY13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6" s="47" t="n">
        <f aca="false">IFERROR(N(INDEX(Tasks[_Level],Tasks[[#This Row],[_Row]]+1)),0)</f>
        <v>0</v>
      </c>
      <c r="BA136" s="48" t="b">
        <f aca="false">AND(Tasks[[#This Row],[Task Name]]&lt;&gt;"",Tasks[[#This Row],[_NextLevel]]&gt;Tasks[[#This Row],[_Level]])</f>
        <v>0</v>
      </c>
      <c r="BB136" s="47" t="n">
        <f aca="false">IF(Tasks[[#This Row],[_IsSummary]],COUNTIF(Tasks[WBS],Tasks[[#This Row],[WBS]]&amp;".*"),0)</f>
        <v>0</v>
      </c>
      <c r="BC136" s="47" t="n">
        <f aca="false">IF(AND(Tasks[[#This Row],[Task Name]]&lt;&gt;"",NOT(Tasks[[#This Row],[_IsSummary]])),1,0)</f>
        <v>0</v>
      </c>
      <c r="BD136" s="47" t="n">
        <f aca="false">IF(N(Tasks[[#This Row],[Pred1 UID]])=0,0,IFERROR(MATCH(Tasks[[#This Row],[Pred1 UID]],Tasks[UID],0),-1))</f>
        <v>0</v>
      </c>
      <c r="BE136" s="47" t="n">
        <f aca="false">IF(N(Tasks[[#This Row],[Pred2 UID]])=0,0,IFERROR(MATCH(Tasks[[#This Row],[Pred2 UID]],Tasks[UID],0),-1))</f>
        <v>0</v>
      </c>
      <c r="BF13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6" s="47" t="n">
        <f aca="false">IF(NOT(Tasks[[#This Row],[_IsLeaf]]=1),0,IF(N(Tasks[[#This Row],[Actual Finish]])&gt;0,1,MIN(1,N(Tasks[[#This Row],[% Complete]]))))</f>
        <v>0</v>
      </c>
      <c r="BK13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6" s="47" t="n">
        <f aca="false">IF(Tasks[[#This Row],[_LeafWork]]=0,0,Tasks[[#This Row],[_LeafWork]]*IFERROR(INDEX(res_Rate,MATCH(Tasks[[#This Row],[Resource]],res_Name,0)),0))</f>
        <v>0</v>
      </c>
      <c r="BM13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6" s="47" t="n">
        <f aca="false">IF(AND(Tasks[[#This Row],[_IsLeaf]]=1,Tasks[[#This Row],[_LeafWork]]&gt;0),NETWORKDAYS.INTL(ProjectStart,Tasks[[#This Row],[_LeafFcstStart]],WorkWeek,Holidays),0)</f>
        <v>0</v>
      </c>
      <c r="BV13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6" s="47" t="n">
        <f aca="false">IF(AND(Tasks[[#This Row],[_IsLeaf]]=1,Tasks[[#This Row],[_LeafWork]]&gt;0),Tasks[[#This Row],[_LeafWork]]/(Tasks[[#This Row],[_FinishWorkday]]-Tasks[[#This Row],[_StartWorkday]]+1),0)</f>
        <v>0</v>
      </c>
      <c r="BX136" s="47" t="n">
        <f aca="false">Tasks[[#This Row],[_WorkPerWorkday]]*(Tasks[[#This Row],[_StartWorkday]]-1)</f>
        <v>-0</v>
      </c>
      <c r="BY136" s="47" t="n">
        <f aca="false">IF(Tasks[[#This Row],[_IsLeaf]]=1,MAX(N(Tasks[[#This Row],[Duration]]),0.1),0)</f>
        <v>0</v>
      </c>
      <c r="BZ136" s="47" t="n">
        <f aca="false">Tasks[[#This Row],[_WeightDur]]*Tasks[[#This Row],[_LeafProgress]]</f>
        <v>0</v>
      </c>
      <c r="CA13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7" customFormat="false" ht="15" hidden="false" customHeight="false" outlineLevel="0" collapsed="false">
      <c r="A137" s="38" t="str">
        <f aca="false">IF(Tasks[[#This Row],[Task Name]]="","",COUNTA(Tasks[[#Headers],[Task Name]]:Tasks[[#This Row],[Task Name]])-1)</f>
        <v/>
      </c>
      <c r="B137" s="39" t="n">
        <v>132</v>
      </c>
      <c r="C13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7" s="39"/>
      <c r="E137" s="41"/>
      <c r="F137" s="39"/>
      <c r="G137" s="39"/>
      <c r="H137" s="39"/>
      <c r="I137" s="39"/>
      <c r="J137" s="39"/>
      <c r="K137" s="39"/>
      <c r="L137" s="39"/>
      <c r="M137" s="39"/>
      <c r="N137" s="29"/>
      <c r="O137" s="29"/>
      <c r="P137" s="24" t="str">
        <f aca="false">IF(Tasks[[#This Row],[Task Name]]="","",IF(N(Tasks[[#This Row],[Baseline Start]])&gt;0,Tasks[[#This Row],[Baseline Start]],Tasks[[#This Row],[_CalcStart]]))</f>
        <v/>
      </c>
      <c r="Q137" s="24" t="str">
        <f aca="false">IF(Tasks[[#This Row],[Task Name]]="","",IF(N(Tasks[[#This Row],[Baseline Finish]])&gt;0,Tasks[[#This Row],[Baseline Finish]],Tasks[[#This Row],[_CalcFinish]]))</f>
        <v/>
      </c>
      <c r="R137" s="29"/>
      <c r="S137" s="29"/>
      <c r="T13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7" s="31"/>
      <c r="AA13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7" s="41"/>
      <c r="AD137" s="31"/>
      <c r="AE13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7" s="41"/>
      <c r="AJ137" s="24" t="str">
        <f aca="false">IF(Tasks[[#This Row],[Task Name]]="","",Tasks[[#This Row],[Forecast Start]])</f>
        <v/>
      </c>
      <c r="AK137" s="24" t="str">
        <f aca="false">IF(Tasks[[#This Row],[Task Name]]="","",Tasks[[#This Row],[Forecast Finish]])</f>
        <v/>
      </c>
      <c r="AL13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7" s="43" t="str">
        <f aca="false">IF(Tasks[[#This Row],[Task Name]]="","",Tasks[[#This Row],[Work]])</f>
        <v/>
      </c>
      <c r="AN137" s="44" t="str">
        <f aca="false">IF(Tasks[[#This Row],[Task Name]]="","",Tasks[[#This Row],[Cost]])</f>
        <v/>
      </c>
      <c r="AO137" s="29"/>
      <c r="AP137" s="29"/>
      <c r="AQ137" s="39"/>
      <c r="AR137" s="45"/>
      <c r="AS137" s="46"/>
      <c r="AT137" s="40" t="str">
        <f aca="false">IF(OR(Tasks[[#This Row],[Task Name]]="",Tasks[[#This Row],[Baseline Duration]]=""),"",Tasks[[#This Row],[BL Source Duration]]-N(Tasks[[#This Row],[Baseline Duration]]))</f>
        <v/>
      </c>
      <c r="AU137" s="43" t="str">
        <f aca="false">IF(OR(Tasks[[#This Row],[Task Name]]="",Tasks[[#This Row],[Baseline Work]]=""),"",Tasks[[#This Row],[Work]]-N(Tasks[[#This Row],[Baseline Work]]))</f>
        <v/>
      </c>
      <c r="AV137" s="44" t="str">
        <f aca="false">IF(OR(Tasks[[#This Row],[Task Name]]="",Tasks[[#This Row],[Baseline Cost]]=""),"",Tasks[[#This Row],[Cost]]-N(Tasks[[#This Row],[Baseline Cost]]))</f>
        <v/>
      </c>
      <c r="AW137" s="47" t="str">
        <f aca="false">IF(Tasks[[#This Row],[Task Name]]="","",MAX(1,N(Tasks[[#This Row],[Level]])))</f>
        <v/>
      </c>
      <c r="AX137" s="47" t="n">
        <f aca="false">ROW()-ROW(Tasks[[#Headers],[ID]])</f>
        <v>132</v>
      </c>
      <c r="AY13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7" s="47" t="n">
        <f aca="false">IFERROR(N(INDEX(Tasks[_Level],Tasks[[#This Row],[_Row]]+1)),0)</f>
        <v>0</v>
      </c>
      <c r="BA137" s="48" t="b">
        <f aca="false">AND(Tasks[[#This Row],[Task Name]]&lt;&gt;"",Tasks[[#This Row],[_NextLevel]]&gt;Tasks[[#This Row],[_Level]])</f>
        <v>0</v>
      </c>
      <c r="BB137" s="47" t="n">
        <f aca="false">IF(Tasks[[#This Row],[_IsSummary]],COUNTIF(Tasks[WBS],Tasks[[#This Row],[WBS]]&amp;".*"),0)</f>
        <v>0</v>
      </c>
      <c r="BC137" s="47" t="n">
        <f aca="false">IF(AND(Tasks[[#This Row],[Task Name]]&lt;&gt;"",NOT(Tasks[[#This Row],[_IsSummary]])),1,0)</f>
        <v>0</v>
      </c>
      <c r="BD137" s="47" t="n">
        <f aca="false">IF(N(Tasks[[#This Row],[Pred1 UID]])=0,0,IFERROR(MATCH(Tasks[[#This Row],[Pred1 UID]],Tasks[UID],0),-1))</f>
        <v>0</v>
      </c>
      <c r="BE137" s="47" t="n">
        <f aca="false">IF(N(Tasks[[#This Row],[Pred2 UID]])=0,0,IFERROR(MATCH(Tasks[[#This Row],[Pred2 UID]],Tasks[UID],0),-1))</f>
        <v>0</v>
      </c>
      <c r="BF13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7" s="47" t="n">
        <f aca="false">IF(NOT(Tasks[[#This Row],[_IsLeaf]]=1),0,IF(N(Tasks[[#This Row],[Actual Finish]])&gt;0,1,MIN(1,N(Tasks[[#This Row],[% Complete]]))))</f>
        <v>0</v>
      </c>
      <c r="BK13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7" s="47" t="n">
        <f aca="false">IF(Tasks[[#This Row],[_LeafWork]]=0,0,Tasks[[#This Row],[_LeafWork]]*IFERROR(INDEX(res_Rate,MATCH(Tasks[[#This Row],[Resource]],res_Name,0)),0))</f>
        <v>0</v>
      </c>
      <c r="BM13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7" s="47" t="n">
        <f aca="false">IF(AND(Tasks[[#This Row],[_IsLeaf]]=1,Tasks[[#This Row],[_LeafWork]]&gt;0),NETWORKDAYS.INTL(ProjectStart,Tasks[[#This Row],[_LeafFcstStart]],WorkWeek,Holidays),0)</f>
        <v>0</v>
      </c>
      <c r="BV13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7" s="47" t="n">
        <f aca="false">IF(AND(Tasks[[#This Row],[_IsLeaf]]=1,Tasks[[#This Row],[_LeafWork]]&gt;0),Tasks[[#This Row],[_LeafWork]]/(Tasks[[#This Row],[_FinishWorkday]]-Tasks[[#This Row],[_StartWorkday]]+1),0)</f>
        <v>0</v>
      </c>
      <c r="BX137" s="47" t="n">
        <f aca="false">Tasks[[#This Row],[_WorkPerWorkday]]*(Tasks[[#This Row],[_StartWorkday]]-1)</f>
        <v>-0</v>
      </c>
      <c r="BY137" s="47" t="n">
        <f aca="false">IF(Tasks[[#This Row],[_IsLeaf]]=1,MAX(N(Tasks[[#This Row],[Duration]]),0.1),0)</f>
        <v>0</v>
      </c>
      <c r="BZ137" s="47" t="n">
        <f aca="false">Tasks[[#This Row],[_WeightDur]]*Tasks[[#This Row],[_LeafProgress]]</f>
        <v>0</v>
      </c>
      <c r="CA13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8" customFormat="false" ht="15" hidden="false" customHeight="false" outlineLevel="0" collapsed="false">
      <c r="A138" s="38" t="str">
        <f aca="false">IF(Tasks[[#This Row],[Task Name]]="","",COUNTA(Tasks[[#Headers],[Task Name]]:Tasks[[#This Row],[Task Name]])-1)</f>
        <v/>
      </c>
      <c r="B138" s="39" t="n">
        <v>133</v>
      </c>
      <c r="C13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8" s="39"/>
      <c r="E138" s="41"/>
      <c r="F138" s="39"/>
      <c r="G138" s="39"/>
      <c r="H138" s="39"/>
      <c r="I138" s="39"/>
      <c r="J138" s="39"/>
      <c r="K138" s="39"/>
      <c r="L138" s="39"/>
      <c r="M138" s="39"/>
      <c r="N138" s="29"/>
      <c r="O138" s="29"/>
      <c r="P138" s="24" t="str">
        <f aca="false">IF(Tasks[[#This Row],[Task Name]]="","",IF(N(Tasks[[#This Row],[Baseline Start]])&gt;0,Tasks[[#This Row],[Baseline Start]],Tasks[[#This Row],[_CalcStart]]))</f>
        <v/>
      </c>
      <c r="Q138" s="24" t="str">
        <f aca="false">IF(Tasks[[#This Row],[Task Name]]="","",IF(N(Tasks[[#This Row],[Baseline Finish]])&gt;0,Tasks[[#This Row],[Baseline Finish]],Tasks[[#This Row],[_CalcFinish]]))</f>
        <v/>
      </c>
      <c r="R138" s="29"/>
      <c r="S138" s="29"/>
      <c r="T13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8" s="31"/>
      <c r="AA13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8" s="41"/>
      <c r="AD138" s="31"/>
      <c r="AE13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8" s="41"/>
      <c r="AJ138" s="24" t="str">
        <f aca="false">IF(Tasks[[#This Row],[Task Name]]="","",Tasks[[#This Row],[Forecast Start]])</f>
        <v/>
      </c>
      <c r="AK138" s="24" t="str">
        <f aca="false">IF(Tasks[[#This Row],[Task Name]]="","",Tasks[[#This Row],[Forecast Finish]])</f>
        <v/>
      </c>
      <c r="AL13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8" s="43" t="str">
        <f aca="false">IF(Tasks[[#This Row],[Task Name]]="","",Tasks[[#This Row],[Work]])</f>
        <v/>
      </c>
      <c r="AN138" s="44" t="str">
        <f aca="false">IF(Tasks[[#This Row],[Task Name]]="","",Tasks[[#This Row],[Cost]])</f>
        <v/>
      </c>
      <c r="AO138" s="29"/>
      <c r="AP138" s="29"/>
      <c r="AQ138" s="39"/>
      <c r="AR138" s="45"/>
      <c r="AS138" s="46"/>
      <c r="AT138" s="40" t="str">
        <f aca="false">IF(OR(Tasks[[#This Row],[Task Name]]="",Tasks[[#This Row],[Baseline Duration]]=""),"",Tasks[[#This Row],[BL Source Duration]]-N(Tasks[[#This Row],[Baseline Duration]]))</f>
        <v/>
      </c>
      <c r="AU138" s="43" t="str">
        <f aca="false">IF(OR(Tasks[[#This Row],[Task Name]]="",Tasks[[#This Row],[Baseline Work]]=""),"",Tasks[[#This Row],[Work]]-N(Tasks[[#This Row],[Baseline Work]]))</f>
        <v/>
      </c>
      <c r="AV138" s="44" t="str">
        <f aca="false">IF(OR(Tasks[[#This Row],[Task Name]]="",Tasks[[#This Row],[Baseline Cost]]=""),"",Tasks[[#This Row],[Cost]]-N(Tasks[[#This Row],[Baseline Cost]]))</f>
        <v/>
      </c>
      <c r="AW138" s="47" t="str">
        <f aca="false">IF(Tasks[[#This Row],[Task Name]]="","",MAX(1,N(Tasks[[#This Row],[Level]])))</f>
        <v/>
      </c>
      <c r="AX138" s="47" t="n">
        <f aca="false">ROW()-ROW(Tasks[[#Headers],[ID]])</f>
        <v>133</v>
      </c>
      <c r="AY13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8" s="47" t="n">
        <f aca="false">IFERROR(N(INDEX(Tasks[_Level],Tasks[[#This Row],[_Row]]+1)),0)</f>
        <v>0</v>
      </c>
      <c r="BA138" s="48" t="b">
        <f aca="false">AND(Tasks[[#This Row],[Task Name]]&lt;&gt;"",Tasks[[#This Row],[_NextLevel]]&gt;Tasks[[#This Row],[_Level]])</f>
        <v>0</v>
      </c>
      <c r="BB138" s="47" t="n">
        <f aca="false">IF(Tasks[[#This Row],[_IsSummary]],COUNTIF(Tasks[WBS],Tasks[[#This Row],[WBS]]&amp;".*"),0)</f>
        <v>0</v>
      </c>
      <c r="BC138" s="47" t="n">
        <f aca="false">IF(AND(Tasks[[#This Row],[Task Name]]&lt;&gt;"",NOT(Tasks[[#This Row],[_IsSummary]])),1,0)</f>
        <v>0</v>
      </c>
      <c r="BD138" s="47" t="n">
        <f aca="false">IF(N(Tasks[[#This Row],[Pred1 UID]])=0,0,IFERROR(MATCH(Tasks[[#This Row],[Pred1 UID]],Tasks[UID],0),-1))</f>
        <v>0</v>
      </c>
      <c r="BE138" s="47" t="n">
        <f aca="false">IF(N(Tasks[[#This Row],[Pred2 UID]])=0,0,IFERROR(MATCH(Tasks[[#This Row],[Pred2 UID]],Tasks[UID],0),-1))</f>
        <v>0</v>
      </c>
      <c r="BF13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8" s="47" t="n">
        <f aca="false">IF(NOT(Tasks[[#This Row],[_IsLeaf]]=1),0,IF(N(Tasks[[#This Row],[Actual Finish]])&gt;0,1,MIN(1,N(Tasks[[#This Row],[% Complete]]))))</f>
        <v>0</v>
      </c>
      <c r="BK13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8" s="47" t="n">
        <f aca="false">IF(Tasks[[#This Row],[_LeafWork]]=0,0,Tasks[[#This Row],[_LeafWork]]*IFERROR(INDEX(res_Rate,MATCH(Tasks[[#This Row],[Resource]],res_Name,0)),0))</f>
        <v>0</v>
      </c>
      <c r="BM13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8" s="47" t="n">
        <f aca="false">IF(AND(Tasks[[#This Row],[_IsLeaf]]=1,Tasks[[#This Row],[_LeafWork]]&gt;0),NETWORKDAYS.INTL(ProjectStart,Tasks[[#This Row],[_LeafFcstStart]],WorkWeek,Holidays),0)</f>
        <v>0</v>
      </c>
      <c r="BV13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8" s="47" t="n">
        <f aca="false">IF(AND(Tasks[[#This Row],[_IsLeaf]]=1,Tasks[[#This Row],[_LeafWork]]&gt;0),Tasks[[#This Row],[_LeafWork]]/(Tasks[[#This Row],[_FinishWorkday]]-Tasks[[#This Row],[_StartWorkday]]+1),0)</f>
        <v>0</v>
      </c>
      <c r="BX138" s="47" t="n">
        <f aca="false">Tasks[[#This Row],[_WorkPerWorkday]]*(Tasks[[#This Row],[_StartWorkday]]-1)</f>
        <v>-0</v>
      </c>
      <c r="BY138" s="47" t="n">
        <f aca="false">IF(Tasks[[#This Row],[_IsLeaf]]=1,MAX(N(Tasks[[#This Row],[Duration]]),0.1),0)</f>
        <v>0</v>
      </c>
      <c r="BZ138" s="47" t="n">
        <f aca="false">Tasks[[#This Row],[_WeightDur]]*Tasks[[#This Row],[_LeafProgress]]</f>
        <v>0</v>
      </c>
      <c r="CA13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9" customFormat="false" ht="15" hidden="false" customHeight="false" outlineLevel="0" collapsed="false">
      <c r="A139" s="38" t="str">
        <f aca="false">IF(Tasks[[#This Row],[Task Name]]="","",COUNTA(Tasks[[#Headers],[Task Name]]:Tasks[[#This Row],[Task Name]])-1)</f>
        <v/>
      </c>
      <c r="B139" s="39" t="n">
        <v>134</v>
      </c>
      <c r="C13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9" s="39"/>
      <c r="E139" s="41"/>
      <c r="F139" s="39"/>
      <c r="G139" s="39"/>
      <c r="H139" s="39"/>
      <c r="I139" s="39"/>
      <c r="J139" s="39"/>
      <c r="K139" s="39"/>
      <c r="L139" s="39"/>
      <c r="M139" s="39"/>
      <c r="N139" s="29"/>
      <c r="O139" s="29"/>
      <c r="P139" s="24" t="str">
        <f aca="false">IF(Tasks[[#This Row],[Task Name]]="","",IF(N(Tasks[[#This Row],[Baseline Start]])&gt;0,Tasks[[#This Row],[Baseline Start]],Tasks[[#This Row],[_CalcStart]]))</f>
        <v/>
      </c>
      <c r="Q139" s="24" t="str">
        <f aca="false">IF(Tasks[[#This Row],[Task Name]]="","",IF(N(Tasks[[#This Row],[Baseline Finish]])&gt;0,Tasks[[#This Row],[Baseline Finish]],Tasks[[#This Row],[_CalcFinish]]))</f>
        <v/>
      </c>
      <c r="R139" s="29"/>
      <c r="S139" s="29"/>
      <c r="T13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9" s="31"/>
      <c r="AA13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9" s="41"/>
      <c r="AD139" s="31"/>
      <c r="AE13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9" s="41"/>
      <c r="AJ139" s="24" t="str">
        <f aca="false">IF(Tasks[[#This Row],[Task Name]]="","",Tasks[[#This Row],[Forecast Start]])</f>
        <v/>
      </c>
      <c r="AK139" s="24" t="str">
        <f aca="false">IF(Tasks[[#This Row],[Task Name]]="","",Tasks[[#This Row],[Forecast Finish]])</f>
        <v/>
      </c>
      <c r="AL13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9" s="43" t="str">
        <f aca="false">IF(Tasks[[#This Row],[Task Name]]="","",Tasks[[#This Row],[Work]])</f>
        <v/>
      </c>
      <c r="AN139" s="44" t="str">
        <f aca="false">IF(Tasks[[#This Row],[Task Name]]="","",Tasks[[#This Row],[Cost]])</f>
        <v/>
      </c>
      <c r="AO139" s="29"/>
      <c r="AP139" s="29"/>
      <c r="AQ139" s="39"/>
      <c r="AR139" s="45"/>
      <c r="AS139" s="46"/>
      <c r="AT139" s="40" t="str">
        <f aca="false">IF(OR(Tasks[[#This Row],[Task Name]]="",Tasks[[#This Row],[Baseline Duration]]=""),"",Tasks[[#This Row],[BL Source Duration]]-N(Tasks[[#This Row],[Baseline Duration]]))</f>
        <v/>
      </c>
      <c r="AU139" s="43" t="str">
        <f aca="false">IF(OR(Tasks[[#This Row],[Task Name]]="",Tasks[[#This Row],[Baseline Work]]=""),"",Tasks[[#This Row],[Work]]-N(Tasks[[#This Row],[Baseline Work]]))</f>
        <v/>
      </c>
      <c r="AV139" s="44" t="str">
        <f aca="false">IF(OR(Tasks[[#This Row],[Task Name]]="",Tasks[[#This Row],[Baseline Cost]]=""),"",Tasks[[#This Row],[Cost]]-N(Tasks[[#This Row],[Baseline Cost]]))</f>
        <v/>
      </c>
      <c r="AW139" s="47" t="str">
        <f aca="false">IF(Tasks[[#This Row],[Task Name]]="","",MAX(1,N(Tasks[[#This Row],[Level]])))</f>
        <v/>
      </c>
      <c r="AX139" s="47" t="n">
        <f aca="false">ROW()-ROW(Tasks[[#Headers],[ID]])</f>
        <v>134</v>
      </c>
      <c r="AY13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9" s="47" t="n">
        <f aca="false">IFERROR(N(INDEX(Tasks[_Level],Tasks[[#This Row],[_Row]]+1)),0)</f>
        <v>0</v>
      </c>
      <c r="BA139" s="48" t="b">
        <f aca="false">AND(Tasks[[#This Row],[Task Name]]&lt;&gt;"",Tasks[[#This Row],[_NextLevel]]&gt;Tasks[[#This Row],[_Level]])</f>
        <v>0</v>
      </c>
      <c r="BB139" s="47" t="n">
        <f aca="false">IF(Tasks[[#This Row],[_IsSummary]],COUNTIF(Tasks[WBS],Tasks[[#This Row],[WBS]]&amp;".*"),0)</f>
        <v>0</v>
      </c>
      <c r="BC139" s="47" t="n">
        <f aca="false">IF(AND(Tasks[[#This Row],[Task Name]]&lt;&gt;"",NOT(Tasks[[#This Row],[_IsSummary]])),1,0)</f>
        <v>0</v>
      </c>
      <c r="BD139" s="47" t="n">
        <f aca="false">IF(N(Tasks[[#This Row],[Pred1 UID]])=0,0,IFERROR(MATCH(Tasks[[#This Row],[Pred1 UID]],Tasks[UID],0),-1))</f>
        <v>0</v>
      </c>
      <c r="BE139" s="47" t="n">
        <f aca="false">IF(N(Tasks[[#This Row],[Pred2 UID]])=0,0,IFERROR(MATCH(Tasks[[#This Row],[Pred2 UID]],Tasks[UID],0),-1))</f>
        <v>0</v>
      </c>
      <c r="BF13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9" s="47" t="n">
        <f aca="false">IF(NOT(Tasks[[#This Row],[_IsLeaf]]=1),0,IF(N(Tasks[[#This Row],[Actual Finish]])&gt;0,1,MIN(1,N(Tasks[[#This Row],[% Complete]]))))</f>
        <v>0</v>
      </c>
      <c r="BK13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9" s="47" t="n">
        <f aca="false">IF(Tasks[[#This Row],[_LeafWork]]=0,0,Tasks[[#This Row],[_LeafWork]]*IFERROR(INDEX(res_Rate,MATCH(Tasks[[#This Row],[Resource]],res_Name,0)),0))</f>
        <v>0</v>
      </c>
      <c r="BM13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3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3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3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3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3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39" s="47" t="n">
        <f aca="false">IF(AND(Tasks[[#This Row],[_IsLeaf]]=1,Tasks[[#This Row],[_LeafWork]]&gt;0),NETWORKDAYS.INTL(ProjectStart,Tasks[[#This Row],[_LeafFcstStart]],WorkWeek,Holidays),0)</f>
        <v>0</v>
      </c>
      <c r="BV13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9" s="47" t="n">
        <f aca="false">IF(AND(Tasks[[#This Row],[_IsLeaf]]=1,Tasks[[#This Row],[_LeafWork]]&gt;0),Tasks[[#This Row],[_LeafWork]]/(Tasks[[#This Row],[_FinishWorkday]]-Tasks[[#This Row],[_StartWorkday]]+1),0)</f>
        <v>0</v>
      </c>
      <c r="BX139" s="47" t="n">
        <f aca="false">Tasks[[#This Row],[_WorkPerWorkday]]*(Tasks[[#This Row],[_StartWorkday]]-1)</f>
        <v>-0</v>
      </c>
      <c r="BY139" s="47" t="n">
        <f aca="false">IF(Tasks[[#This Row],[_IsLeaf]]=1,MAX(N(Tasks[[#This Row],[Duration]]),0.1),0)</f>
        <v>0</v>
      </c>
      <c r="BZ139" s="47" t="n">
        <f aca="false">Tasks[[#This Row],[_WeightDur]]*Tasks[[#This Row],[_LeafProgress]]</f>
        <v>0</v>
      </c>
      <c r="CA13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0" customFormat="false" ht="15" hidden="false" customHeight="false" outlineLevel="0" collapsed="false">
      <c r="A140" s="38" t="str">
        <f aca="false">IF(Tasks[[#This Row],[Task Name]]="","",COUNTA(Tasks[[#Headers],[Task Name]]:Tasks[[#This Row],[Task Name]])-1)</f>
        <v/>
      </c>
      <c r="B140" s="39" t="n">
        <v>135</v>
      </c>
      <c r="C14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0" s="39"/>
      <c r="E140" s="41"/>
      <c r="F140" s="39"/>
      <c r="G140" s="39"/>
      <c r="H140" s="39"/>
      <c r="I140" s="39"/>
      <c r="J140" s="39"/>
      <c r="K140" s="39"/>
      <c r="L140" s="39"/>
      <c r="M140" s="39"/>
      <c r="N140" s="29"/>
      <c r="O140" s="29"/>
      <c r="P140" s="24" t="str">
        <f aca="false">IF(Tasks[[#This Row],[Task Name]]="","",IF(N(Tasks[[#This Row],[Baseline Start]])&gt;0,Tasks[[#This Row],[Baseline Start]],Tasks[[#This Row],[_CalcStart]]))</f>
        <v/>
      </c>
      <c r="Q140" s="24" t="str">
        <f aca="false">IF(Tasks[[#This Row],[Task Name]]="","",IF(N(Tasks[[#This Row],[Baseline Finish]])&gt;0,Tasks[[#This Row],[Baseline Finish]],Tasks[[#This Row],[_CalcFinish]]))</f>
        <v/>
      </c>
      <c r="R140" s="29"/>
      <c r="S140" s="29"/>
      <c r="T14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0" s="31"/>
      <c r="AA14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0" s="41"/>
      <c r="AD140" s="31"/>
      <c r="AE14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0" s="41"/>
      <c r="AJ140" s="24" t="str">
        <f aca="false">IF(Tasks[[#This Row],[Task Name]]="","",Tasks[[#This Row],[Forecast Start]])</f>
        <v/>
      </c>
      <c r="AK140" s="24" t="str">
        <f aca="false">IF(Tasks[[#This Row],[Task Name]]="","",Tasks[[#This Row],[Forecast Finish]])</f>
        <v/>
      </c>
      <c r="AL14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0" s="43" t="str">
        <f aca="false">IF(Tasks[[#This Row],[Task Name]]="","",Tasks[[#This Row],[Work]])</f>
        <v/>
      </c>
      <c r="AN140" s="44" t="str">
        <f aca="false">IF(Tasks[[#This Row],[Task Name]]="","",Tasks[[#This Row],[Cost]])</f>
        <v/>
      </c>
      <c r="AO140" s="29"/>
      <c r="AP140" s="29"/>
      <c r="AQ140" s="39"/>
      <c r="AR140" s="45"/>
      <c r="AS140" s="46"/>
      <c r="AT140" s="40" t="str">
        <f aca="false">IF(OR(Tasks[[#This Row],[Task Name]]="",Tasks[[#This Row],[Baseline Duration]]=""),"",Tasks[[#This Row],[BL Source Duration]]-N(Tasks[[#This Row],[Baseline Duration]]))</f>
        <v/>
      </c>
      <c r="AU140" s="43" t="str">
        <f aca="false">IF(OR(Tasks[[#This Row],[Task Name]]="",Tasks[[#This Row],[Baseline Work]]=""),"",Tasks[[#This Row],[Work]]-N(Tasks[[#This Row],[Baseline Work]]))</f>
        <v/>
      </c>
      <c r="AV140" s="44" t="str">
        <f aca="false">IF(OR(Tasks[[#This Row],[Task Name]]="",Tasks[[#This Row],[Baseline Cost]]=""),"",Tasks[[#This Row],[Cost]]-N(Tasks[[#This Row],[Baseline Cost]]))</f>
        <v/>
      </c>
      <c r="AW140" s="47" t="str">
        <f aca="false">IF(Tasks[[#This Row],[Task Name]]="","",MAX(1,N(Tasks[[#This Row],[Level]])))</f>
        <v/>
      </c>
      <c r="AX140" s="47" t="n">
        <f aca="false">ROW()-ROW(Tasks[[#Headers],[ID]])</f>
        <v>135</v>
      </c>
      <c r="AY14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0" s="47" t="n">
        <f aca="false">IFERROR(N(INDEX(Tasks[_Level],Tasks[[#This Row],[_Row]]+1)),0)</f>
        <v>0</v>
      </c>
      <c r="BA140" s="48" t="b">
        <f aca="false">AND(Tasks[[#This Row],[Task Name]]&lt;&gt;"",Tasks[[#This Row],[_NextLevel]]&gt;Tasks[[#This Row],[_Level]])</f>
        <v>0</v>
      </c>
      <c r="BB140" s="47" t="n">
        <f aca="false">IF(Tasks[[#This Row],[_IsSummary]],COUNTIF(Tasks[WBS],Tasks[[#This Row],[WBS]]&amp;".*"),0)</f>
        <v>0</v>
      </c>
      <c r="BC140" s="47" t="n">
        <f aca="false">IF(AND(Tasks[[#This Row],[Task Name]]&lt;&gt;"",NOT(Tasks[[#This Row],[_IsSummary]])),1,0)</f>
        <v>0</v>
      </c>
      <c r="BD140" s="47" t="n">
        <f aca="false">IF(N(Tasks[[#This Row],[Pred1 UID]])=0,0,IFERROR(MATCH(Tasks[[#This Row],[Pred1 UID]],Tasks[UID],0),-1))</f>
        <v>0</v>
      </c>
      <c r="BE140" s="47" t="n">
        <f aca="false">IF(N(Tasks[[#This Row],[Pred2 UID]])=0,0,IFERROR(MATCH(Tasks[[#This Row],[Pred2 UID]],Tasks[UID],0),-1))</f>
        <v>0</v>
      </c>
      <c r="BF14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0" s="47" t="n">
        <f aca="false">IF(NOT(Tasks[[#This Row],[_IsLeaf]]=1),0,IF(N(Tasks[[#This Row],[Actual Finish]])&gt;0,1,MIN(1,N(Tasks[[#This Row],[% Complete]]))))</f>
        <v>0</v>
      </c>
      <c r="BK14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0" s="47" t="n">
        <f aca="false">IF(Tasks[[#This Row],[_LeafWork]]=0,0,Tasks[[#This Row],[_LeafWork]]*IFERROR(INDEX(res_Rate,MATCH(Tasks[[#This Row],[Resource]],res_Name,0)),0))</f>
        <v>0</v>
      </c>
      <c r="BM14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0" s="47" t="n">
        <f aca="false">IF(AND(Tasks[[#This Row],[_IsLeaf]]=1,Tasks[[#This Row],[_LeafWork]]&gt;0),NETWORKDAYS.INTL(ProjectStart,Tasks[[#This Row],[_LeafFcstStart]],WorkWeek,Holidays),0)</f>
        <v>0</v>
      </c>
      <c r="BV14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0" s="47" t="n">
        <f aca="false">IF(AND(Tasks[[#This Row],[_IsLeaf]]=1,Tasks[[#This Row],[_LeafWork]]&gt;0),Tasks[[#This Row],[_LeafWork]]/(Tasks[[#This Row],[_FinishWorkday]]-Tasks[[#This Row],[_StartWorkday]]+1),0)</f>
        <v>0</v>
      </c>
      <c r="BX140" s="47" t="n">
        <f aca="false">Tasks[[#This Row],[_WorkPerWorkday]]*(Tasks[[#This Row],[_StartWorkday]]-1)</f>
        <v>-0</v>
      </c>
      <c r="BY140" s="47" t="n">
        <f aca="false">IF(Tasks[[#This Row],[_IsLeaf]]=1,MAX(N(Tasks[[#This Row],[Duration]]),0.1),0)</f>
        <v>0</v>
      </c>
      <c r="BZ140" s="47" t="n">
        <f aca="false">Tasks[[#This Row],[_WeightDur]]*Tasks[[#This Row],[_LeafProgress]]</f>
        <v>0</v>
      </c>
      <c r="CA14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1" customFormat="false" ht="15" hidden="false" customHeight="false" outlineLevel="0" collapsed="false">
      <c r="A141" s="38" t="str">
        <f aca="false">IF(Tasks[[#This Row],[Task Name]]="","",COUNTA(Tasks[[#Headers],[Task Name]]:Tasks[[#This Row],[Task Name]])-1)</f>
        <v/>
      </c>
      <c r="B141" s="39" t="n">
        <v>136</v>
      </c>
      <c r="C14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1" s="39"/>
      <c r="E141" s="41"/>
      <c r="F141" s="39"/>
      <c r="G141" s="39"/>
      <c r="H141" s="39"/>
      <c r="I141" s="39"/>
      <c r="J141" s="39"/>
      <c r="K141" s="39"/>
      <c r="L141" s="39"/>
      <c r="M141" s="39"/>
      <c r="N141" s="29"/>
      <c r="O141" s="29"/>
      <c r="P141" s="24" t="str">
        <f aca="false">IF(Tasks[[#This Row],[Task Name]]="","",IF(N(Tasks[[#This Row],[Baseline Start]])&gt;0,Tasks[[#This Row],[Baseline Start]],Tasks[[#This Row],[_CalcStart]]))</f>
        <v/>
      </c>
      <c r="Q141" s="24" t="str">
        <f aca="false">IF(Tasks[[#This Row],[Task Name]]="","",IF(N(Tasks[[#This Row],[Baseline Finish]])&gt;0,Tasks[[#This Row],[Baseline Finish]],Tasks[[#This Row],[_CalcFinish]]))</f>
        <v/>
      </c>
      <c r="R141" s="29"/>
      <c r="S141" s="29"/>
      <c r="T14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1" s="31"/>
      <c r="AA14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1" s="41"/>
      <c r="AD141" s="31"/>
      <c r="AE14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1" s="41"/>
      <c r="AJ141" s="24" t="str">
        <f aca="false">IF(Tasks[[#This Row],[Task Name]]="","",Tasks[[#This Row],[Forecast Start]])</f>
        <v/>
      </c>
      <c r="AK141" s="24" t="str">
        <f aca="false">IF(Tasks[[#This Row],[Task Name]]="","",Tasks[[#This Row],[Forecast Finish]])</f>
        <v/>
      </c>
      <c r="AL14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1" s="43" t="str">
        <f aca="false">IF(Tasks[[#This Row],[Task Name]]="","",Tasks[[#This Row],[Work]])</f>
        <v/>
      </c>
      <c r="AN141" s="44" t="str">
        <f aca="false">IF(Tasks[[#This Row],[Task Name]]="","",Tasks[[#This Row],[Cost]])</f>
        <v/>
      </c>
      <c r="AO141" s="29"/>
      <c r="AP141" s="29"/>
      <c r="AQ141" s="39"/>
      <c r="AR141" s="45"/>
      <c r="AS141" s="46"/>
      <c r="AT141" s="40" t="str">
        <f aca="false">IF(OR(Tasks[[#This Row],[Task Name]]="",Tasks[[#This Row],[Baseline Duration]]=""),"",Tasks[[#This Row],[BL Source Duration]]-N(Tasks[[#This Row],[Baseline Duration]]))</f>
        <v/>
      </c>
      <c r="AU141" s="43" t="str">
        <f aca="false">IF(OR(Tasks[[#This Row],[Task Name]]="",Tasks[[#This Row],[Baseline Work]]=""),"",Tasks[[#This Row],[Work]]-N(Tasks[[#This Row],[Baseline Work]]))</f>
        <v/>
      </c>
      <c r="AV141" s="44" t="str">
        <f aca="false">IF(OR(Tasks[[#This Row],[Task Name]]="",Tasks[[#This Row],[Baseline Cost]]=""),"",Tasks[[#This Row],[Cost]]-N(Tasks[[#This Row],[Baseline Cost]]))</f>
        <v/>
      </c>
      <c r="AW141" s="47" t="str">
        <f aca="false">IF(Tasks[[#This Row],[Task Name]]="","",MAX(1,N(Tasks[[#This Row],[Level]])))</f>
        <v/>
      </c>
      <c r="AX141" s="47" t="n">
        <f aca="false">ROW()-ROW(Tasks[[#Headers],[ID]])</f>
        <v>136</v>
      </c>
      <c r="AY14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1" s="47" t="n">
        <f aca="false">IFERROR(N(INDEX(Tasks[_Level],Tasks[[#This Row],[_Row]]+1)),0)</f>
        <v>0</v>
      </c>
      <c r="BA141" s="48" t="b">
        <f aca="false">AND(Tasks[[#This Row],[Task Name]]&lt;&gt;"",Tasks[[#This Row],[_NextLevel]]&gt;Tasks[[#This Row],[_Level]])</f>
        <v>0</v>
      </c>
      <c r="BB141" s="47" t="n">
        <f aca="false">IF(Tasks[[#This Row],[_IsSummary]],COUNTIF(Tasks[WBS],Tasks[[#This Row],[WBS]]&amp;".*"),0)</f>
        <v>0</v>
      </c>
      <c r="BC141" s="47" t="n">
        <f aca="false">IF(AND(Tasks[[#This Row],[Task Name]]&lt;&gt;"",NOT(Tasks[[#This Row],[_IsSummary]])),1,0)</f>
        <v>0</v>
      </c>
      <c r="BD141" s="47" t="n">
        <f aca="false">IF(N(Tasks[[#This Row],[Pred1 UID]])=0,0,IFERROR(MATCH(Tasks[[#This Row],[Pred1 UID]],Tasks[UID],0),-1))</f>
        <v>0</v>
      </c>
      <c r="BE141" s="47" t="n">
        <f aca="false">IF(N(Tasks[[#This Row],[Pred2 UID]])=0,0,IFERROR(MATCH(Tasks[[#This Row],[Pred2 UID]],Tasks[UID],0),-1))</f>
        <v>0</v>
      </c>
      <c r="BF14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1" s="47" t="n">
        <f aca="false">IF(NOT(Tasks[[#This Row],[_IsLeaf]]=1),0,IF(N(Tasks[[#This Row],[Actual Finish]])&gt;0,1,MIN(1,N(Tasks[[#This Row],[% Complete]]))))</f>
        <v>0</v>
      </c>
      <c r="BK14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1" s="47" t="n">
        <f aca="false">IF(Tasks[[#This Row],[_LeafWork]]=0,0,Tasks[[#This Row],[_LeafWork]]*IFERROR(INDEX(res_Rate,MATCH(Tasks[[#This Row],[Resource]],res_Name,0)),0))</f>
        <v>0</v>
      </c>
      <c r="BM14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1" s="47" t="n">
        <f aca="false">IF(AND(Tasks[[#This Row],[_IsLeaf]]=1,Tasks[[#This Row],[_LeafWork]]&gt;0),NETWORKDAYS.INTL(ProjectStart,Tasks[[#This Row],[_LeafFcstStart]],WorkWeek,Holidays),0)</f>
        <v>0</v>
      </c>
      <c r="BV14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1" s="47" t="n">
        <f aca="false">IF(AND(Tasks[[#This Row],[_IsLeaf]]=1,Tasks[[#This Row],[_LeafWork]]&gt;0),Tasks[[#This Row],[_LeafWork]]/(Tasks[[#This Row],[_FinishWorkday]]-Tasks[[#This Row],[_StartWorkday]]+1),0)</f>
        <v>0</v>
      </c>
      <c r="BX141" s="47" t="n">
        <f aca="false">Tasks[[#This Row],[_WorkPerWorkday]]*(Tasks[[#This Row],[_StartWorkday]]-1)</f>
        <v>-0</v>
      </c>
      <c r="BY141" s="47" t="n">
        <f aca="false">IF(Tasks[[#This Row],[_IsLeaf]]=1,MAX(N(Tasks[[#This Row],[Duration]]),0.1),0)</f>
        <v>0</v>
      </c>
      <c r="BZ141" s="47" t="n">
        <f aca="false">Tasks[[#This Row],[_WeightDur]]*Tasks[[#This Row],[_LeafProgress]]</f>
        <v>0</v>
      </c>
      <c r="CA14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2" customFormat="false" ht="15" hidden="false" customHeight="false" outlineLevel="0" collapsed="false">
      <c r="A142" s="38" t="str">
        <f aca="false">IF(Tasks[[#This Row],[Task Name]]="","",COUNTA(Tasks[[#Headers],[Task Name]]:Tasks[[#This Row],[Task Name]])-1)</f>
        <v/>
      </c>
      <c r="B142" s="39" t="n">
        <v>137</v>
      </c>
      <c r="C14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2" s="39"/>
      <c r="E142" s="41"/>
      <c r="F142" s="39"/>
      <c r="G142" s="39"/>
      <c r="H142" s="39"/>
      <c r="I142" s="39"/>
      <c r="J142" s="39"/>
      <c r="K142" s="39"/>
      <c r="L142" s="39"/>
      <c r="M142" s="39"/>
      <c r="N142" s="29"/>
      <c r="O142" s="29"/>
      <c r="P142" s="24" t="str">
        <f aca="false">IF(Tasks[[#This Row],[Task Name]]="","",IF(N(Tasks[[#This Row],[Baseline Start]])&gt;0,Tasks[[#This Row],[Baseline Start]],Tasks[[#This Row],[_CalcStart]]))</f>
        <v/>
      </c>
      <c r="Q142" s="24" t="str">
        <f aca="false">IF(Tasks[[#This Row],[Task Name]]="","",IF(N(Tasks[[#This Row],[Baseline Finish]])&gt;0,Tasks[[#This Row],[Baseline Finish]],Tasks[[#This Row],[_CalcFinish]]))</f>
        <v/>
      </c>
      <c r="R142" s="29"/>
      <c r="S142" s="29"/>
      <c r="T14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2" s="31"/>
      <c r="AA14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2" s="41"/>
      <c r="AD142" s="31"/>
      <c r="AE14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2" s="41"/>
      <c r="AJ142" s="24" t="str">
        <f aca="false">IF(Tasks[[#This Row],[Task Name]]="","",Tasks[[#This Row],[Forecast Start]])</f>
        <v/>
      </c>
      <c r="AK142" s="24" t="str">
        <f aca="false">IF(Tasks[[#This Row],[Task Name]]="","",Tasks[[#This Row],[Forecast Finish]])</f>
        <v/>
      </c>
      <c r="AL14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2" s="43" t="str">
        <f aca="false">IF(Tasks[[#This Row],[Task Name]]="","",Tasks[[#This Row],[Work]])</f>
        <v/>
      </c>
      <c r="AN142" s="44" t="str">
        <f aca="false">IF(Tasks[[#This Row],[Task Name]]="","",Tasks[[#This Row],[Cost]])</f>
        <v/>
      </c>
      <c r="AO142" s="29"/>
      <c r="AP142" s="29"/>
      <c r="AQ142" s="39"/>
      <c r="AR142" s="45"/>
      <c r="AS142" s="46"/>
      <c r="AT142" s="40" t="str">
        <f aca="false">IF(OR(Tasks[[#This Row],[Task Name]]="",Tasks[[#This Row],[Baseline Duration]]=""),"",Tasks[[#This Row],[BL Source Duration]]-N(Tasks[[#This Row],[Baseline Duration]]))</f>
        <v/>
      </c>
      <c r="AU142" s="43" t="str">
        <f aca="false">IF(OR(Tasks[[#This Row],[Task Name]]="",Tasks[[#This Row],[Baseline Work]]=""),"",Tasks[[#This Row],[Work]]-N(Tasks[[#This Row],[Baseline Work]]))</f>
        <v/>
      </c>
      <c r="AV142" s="44" t="str">
        <f aca="false">IF(OR(Tasks[[#This Row],[Task Name]]="",Tasks[[#This Row],[Baseline Cost]]=""),"",Tasks[[#This Row],[Cost]]-N(Tasks[[#This Row],[Baseline Cost]]))</f>
        <v/>
      </c>
      <c r="AW142" s="47" t="str">
        <f aca="false">IF(Tasks[[#This Row],[Task Name]]="","",MAX(1,N(Tasks[[#This Row],[Level]])))</f>
        <v/>
      </c>
      <c r="AX142" s="47" t="n">
        <f aca="false">ROW()-ROW(Tasks[[#Headers],[ID]])</f>
        <v>137</v>
      </c>
      <c r="AY14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2" s="47" t="n">
        <f aca="false">IFERROR(N(INDEX(Tasks[_Level],Tasks[[#This Row],[_Row]]+1)),0)</f>
        <v>0</v>
      </c>
      <c r="BA142" s="48" t="b">
        <f aca="false">AND(Tasks[[#This Row],[Task Name]]&lt;&gt;"",Tasks[[#This Row],[_NextLevel]]&gt;Tasks[[#This Row],[_Level]])</f>
        <v>0</v>
      </c>
      <c r="BB142" s="47" t="n">
        <f aca="false">IF(Tasks[[#This Row],[_IsSummary]],COUNTIF(Tasks[WBS],Tasks[[#This Row],[WBS]]&amp;".*"),0)</f>
        <v>0</v>
      </c>
      <c r="BC142" s="47" t="n">
        <f aca="false">IF(AND(Tasks[[#This Row],[Task Name]]&lt;&gt;"",NOT(Tasks[[#This Row],[_IsSummary]])),1,0)</f>
        <v>0</v>
      </c>
      <c r="BD142" s="47" t="n">
        <f aca="false">IF(N(Tasks[[#This Row],[Pred1 UID]])=0,0,IFERROR(MATCH(Tasks[[#This Row],[Pred1 UID]],Tasks[UID],0),-1))</f>
        <v>0</v>
      </c>
      <c r="BE142" s="47" t="n">
        <f aca="false">IF(N(Tasks[[#This Row],[Pred2 UID]])=0,0,IFERROR(MATCH(Tasks[[#This Row],[Pred2 UID]],Tasks[UID],0),-1))</f>
        <v>0</v>
      </c>
      <c r="BF14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2" s="47" t="n">
        <f aca="false">IF(NOT(Tasks[[#This Row],[_IsLeaf]]=1),0,IF(N(Tasks[[#This Row],[Actual Finish]])&gt;0,1,MIN(1,N(Tasks[[#This Row],[% Complete]]))))</f>
        <v>0</v>
      </c>
      <c r="BK14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2" s="47" t="n">
        <f aca="false">IF(Tasks[[#This Row],[_LeafWork]]=0,0,Tasks[[#This Row],[_LeafWork]]*IFERROR(INDEX(res_Rate,MATCH(Tasks[[#This Row],[Resource]],res_Name,0)),0))</f>
        <v>0</v>
      </c>
      <c r="BM14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2" s="47" t="n">
        <f aca="false">IF(AND(Tasks[[#This Row],[_IsLeaf]]=1,Tasks[[#This Row],[_LeafWork]]&gt;0),NETWORKDAYS.INTL(ProjectStart,Tasks[[#This Row],[_LeafFcstStart]],WorkWeek,Holidays),0)</f>
        <v>0</v>
      </c>
      <c r="BV14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2" s="47" t="n">
        <f aca="false">IF(AND(Tasks[[#This Row],[_IsLeaf]]=1,Tasks[[#This Row],[_LeafWork]]&gt;0),Tasks[[#This Row],[_LeafWork]]/(Tasks[[#This Row],[_FinishWorkday]]-Tasks[[#This Row],[_StartWorkday]]+1),0)</f>
        <v>0</v>
      </c>
      <c r="BX142" s="47" t="n">
        <f aca="false">Tasks[[#This Row],[_WorkPerWorkday]]*(Tasks[[#This Row],[_StartWorkday]]-1)</f>
        <v>-0</v>
      </c>
      <c r="BY142" s="47" t="n">
        <f aca="false">IF(Tasks[[#This Row],[_IsLeaf]]=1,MAX(N(Tasks[[#This Row],[Duration]]),0.1),0)</f>
        <v>0</v>
      </c>
      <c r="BZ142" s="47" t="n">
        <f aca="false">Tasks[[#This Row],[_WeightDur]]*Tasks[[#This Row],[_LeafProgress]]</f>
        <v>0</v>
      </c>
      <c r="CA14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3" customFormat="false" ht="15" hidden="false" customHeight="false" outlineLevel="0" collapsed="false">
      <c r="A143" s="38" t="str">
        <f aca="false">IF(Tasks[[#This Row],[Task Name]]="","",COUNTA(Tasks[[#Headers],[Task Name]]:Tasks[[#This Row],[Task Name]])-1)</f>
        <v/>
      </c>
      <c r="B143" s="39" t="n">
        <v>138</v>
      </c>
      <c r="C14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3" s="39"/>
      <c r="E143" s="41"/>
      <c r="F143" s="39"/>
      <c r="G143" s="39"/>
      <c r="H143" s="39"/>
      <c r="I143" s="39"/>
      <c r="J143" s="39"/>
      <c r="K143" s="39"/>
      <c r="L143" s="39"/>
      <c r="M143" s="39"/>
      <c r="N143" s="29"/>
      <c r="O143" s="29"/>
      <c r="P143" s="24" t="str">
        <f aca="false">IF(Tasks[[#This Row],[Task Name]]="","",IF(N(Tasks[[#This Row],[Baseline Start]])&gt;0,Tasks[[#This Row],[Baseline Start]],Tasks[[#This Row],[_CalcStart]]))</f>
        <v/>
      </c>
      <c r="Q143" s="24" t="str">
        <f aca="false">IF(Tasks[[#This Row],[Task Name]]="","",IF(N(Tasks[[#This Row],[Baseline Finish]])&gt;0,Tasks[[#This Row],[Baseline Finish]],Tasks[[#This Row],[_CalcFinish]]))</f>
        <v/>
      </c>
      <c r="R143" s="29"/>
      <c r="S143" s="29"/>
      <c r="T14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3" s="31"/>
      <c r="AA14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3" s="41"/>
      <c r="AD143" s="31"/>
      <c r="AE14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3" s="41"/>
      <c r="AJ143" s="24" t="str">
        <f aca="false">IF(Tasks[[#This Row],[Task Name]]="","",Tasks[[#This Row],[Forecast Start]])</f>
        <v/>
      </c>
      <c r="AK143" s="24" t="str">
        <f aca="false">IF(Tasks[[#This Row],[Task Name]]="","",Tasks[[#This Row],[Forecast Finish]])</f>
        <v/>
      </c>
      <c r="AL14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3" s="43" t="str">
        <f aca="false">IF(Tasks[[#This Row],[Task Name]]="","",Tasks[[#This Row],[Work]])</f>
        <v/>
      </c>
      <c r="AN143" s="44" t="str">
        <f aca="false">IF(Tasks[[#This Row],[Task Name]]="","",Tasks[[#This Row],[Cost]])</f>
        <v/>
      </c>
      <c r="AO143" s="29"/>
      <c r="AP143" s="29"/>
      <c r="AQ143" s="39"/>
      <c r="AR143" s="45"/>
      <c r="AS143" s="46"/>
      <c r="AT143" s="40" t="str">
        <f aca="false">IF(OR(Tasks[[#This Row],[Task Name]]="",Tasks[[#This Row],[Baseline Duration]]=""),"",Tasks[[#This Row],[BL Source Duration]]-N(Tasks[[#This Row],[Baseline Duration]]))</f>
        <v/>
      </c>
      <c r="AU143" s="43" t="str">
        <f aca="false">IF(OR(Tasks[[#This Row],[Task Name]]="",Tasks[[#This Row],[Baseline Work]]=""),"",Tasks[[#This Row],[Work]]-N(Tasks[[#This Row],[Baseline Work]]))</f>
        <v/>
      </c>
      <c r="AV143" s="44" t="str">
        <f aca="false">IF(OR(Tasks[[#This Row],[Task Name]]="",Tasks[[#This Row],[Baseline Cost]]=""),"",Tasks[[#This Row],[Cost]]-N(Tasks[[#This Row],[Baseline Cost]]))</f>
        <v/>
      </c>
      <c r="AW143" s="47" t="str">
        <f aca="false">IF(Tasks[[#This Row],[Task Name]]="","",MAX(1,N(Tasks[[#This Row],[Level]])))</f>
        <v/>
      </c>
      <c r="AX143" s="47" t="n">
        <f aca="false">ROW()-ROW(Tasks[[#Headers],[ID]])</f>
        <v>138</v>
      </c>
      <c r="AY14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3" s="47" t="n">
        <f aca="false">IFERROR(N(INDEX(Tasks[_Level],Tasks[[#This Row],[_Row]]+1)),0)</f>
        <v>0</v>
      </c>
      <c r="BA143" s="48" t="b">
        <f aca="false">AND(Tasks[[#This Row],[Task Name]]&lt;&gt;"",Tasks[[#This Row],[_NextLevel]]&gt;Tasks[[#This Row],[_Level]])</f>
        <v>0</v>
      </c>
      <c r="BB143" s="47" t="n">
        <f aca="false">IF(Tasks[[#This Row],[_IsSummary]],COUNTIF(Tasks[WBS],Tasks[[#This Row],[WBS]]&amp;".*"),0)</f>
        <v>0</v>
      </c>
      <c r="BC143" s="47" t="n">
        <f aca="false">IF(AND(Tasks[[#This Row],[Task Name]]&lt;&gt;"",NOT(Tasks[[#This Row],[_IsSummary]])),1,0)</f>
        <v>0</v>
      </c>
      <c r="BD143" s="47" t="n">
        <f aca="false">IF(N(Tasks[[#This Row],[Pred1 UID]])=0,0,IFERROR(MATCH(Tasks[[#This Row],[Pred1 UID]],Tasks[UID],0),-1))</f>
        <v>0</v>
      </c>
      <c r="BE143" s="47" t="n">
        <f aca="false">IF(N(Tasks[[#This Row],[Pred2 UID]])=0,0,IFERROR(MATCH(Tasks[[#This Row],[Pred2 UID]],Tasks[UID],0),-1))</f>
        <v>0</v>
      </c>
      <c r="BF14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3" s="47" t="n">
        <f aca="false">IF(NOT(Tasks[[#This Row],[_IsLeaf]]=1),0,IF(N(Tasks[[#This Row],[Actual Finish]])&gt;0,1,MIN(1,N(Tasks[[#This Row],[% Complete]]))))</f>
        <v>0</v>
      </c>
      <c r="BK14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3" s="47" t="n">
        <f aca="false">IF(Tasks[[#This Row],[_LeafWork]]=0,0,Tasks[[#This Row],[_LeafWork]]*IFERROR(INDEX(res_Rate,MATCH(Tasks[[#This Row],[Resource]],res_Name,0)),0))</f>
        <v>0</v>
      </c>
      <c r="BM14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3" s="47" t="n">
        <f aca="false">IF(AND(Tasks[[#This Row],[_IsLeaf]]=1,Tasks[[#This Row],[_LeafWork]]&gt;0),NETWORKDAYS.INTL(ProjectStart,Tasks[[#This Row],[_LeafFcstStart]],WorkWeek,Holidays),0)</f>
        <v>0</v>
      </c>
      <c r="BV14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3" s="47" t="n">
        <f aca="false">IF(AND(Tasks[[#This Row],[_IsLeaf]]=1,Tasks[[#This Row],[_LeafWork]]&gt;0),Tasks[[#This Row],[_LeafWork]]/(Tasks[[#This Row],[_FinishWorkday]]-Tasks[[#This Row],[_StartWorkday]]+1),0)</f>
        <v>0</v>
      </c>
      <c r="BX143" s="47" t="n">
        <f aca="false">Tasks[[#This Row],[_WorkPerWorkday]]*(Tasks[[#This Row],[_StartWorkday]]-1)</f>
        <v>-0</v>
      </c>
      <c r="BY143" s="47" t="n">
        <f aca="false">IF(Tasks[[#This Row],[_IsLeaf]]=1,MAX(N(Tasks[[#This Row],[Duration]]),0.1),0)</f>
        <v>0</v>
      </c>
      <c r="BZ143" s="47" t="n">
        <f aca="false">Tasks[[#This Row],[_WeightDur]]*Tasks[[#This Row],[_LeafProgress]]</f>
        <v>0</v>
      </c>
      <c r="CA14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4" customFormat="false" ht="15" hidden="false" customHeight="false" outlineLevel="0" collapsed="false">
      <c r="A144" s="38" t="str">
        <f aca="false">IF(Tasks[[#This Row],[Task Name]]="","",COUNTA(Tasks[[#Headers],[Task Name]]:Tasks[[#This Row],[Task Name]])-1)</f>
        <v/>
      </c>
      <c r="B144" s="39" t="n">
        <v>139</v>
      </c>
      <c r="C14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4" s="39"/>
      <c r="E144" s="41"/>
      <c r="F144" s="39"/>
      <c r="G144" s="39"/>
      <c r="H144" s="39"/>
      <c r="I144" s="39"/>
      <c r="J144" s="39"/>
      <c r="K144" s="39"/>
      <c r="L144" s="39"/>
      <c r="M144" s="39"/>
      <c r="N144" s="29"/>
      <c r="O144" s="29"/>
      <c r="P144" s="24" t="str">
        <f aca="false">IF(Tasks[[#This Row],[Task Name]]="","",IF(N(Tasks[[#This Row],[Baseline Start]])&gt;0,Tasks[[#This Row],[Baseline Start]],Tasks[[#This Row],[_CalcStart]]))</f>
        <v/>
      </c>
      <c r="Q144" s="24" t="str">
        <f aca="false">IF(Tasks[[#This Row],[Task Name]]="","",IF(N(Tasks[[#This Row],[Baseline Finish]])&gt;0,Tasks[[#This Row],[Baseline Finish]],Tasks[[#This Row],[_CalcFinish]]))</f>
        <v/>
      </c>
      <c r="R144" s="29"/>
      <c r="S144" s="29"/>
      <c r="T14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4" s="31"/>
      <c r="AA14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4" s="41"/>
      <c r="AD144" s="31"/>
      <c r="AE14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4" s="41"/>
      <c r="AJ144" s="24" t="str">
        <f aca="false">IF(Tasks[[#This Row],[Task Name]]="","",Tasks[[#This Row],[Forecast Start]])</f>
        <v/>
      </c>
      <c r="AK144" s="24" t="str">
        <f aca="false">IF(Tasks[[#This Row],[Task Name]]="","",Tasks[[#This Row],[Forecast Finish]])</f>
        <v/>
      </c>
      <c r="AL14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4" s="43" t="str">
        <f aca="false">IF(Tasks[[#This Row],[Task Name]]="","",Tasks[[#This Row],[Work]])</f>
        <v/>
      </c>
      <c r="AN144" s="44" t="str">
        <f aca="false">IF(Tasks[[#This Row],[Task Name]]="","",Tasks[[#This Row],[Cost]])</f>
        <v/>
      </c>
      <c r="AO144" s="29"/>
      <c r="AP144" s="29"/>
      <c r="AQ144" s="39"/>
      <c r="AR144" s="45"/>
      <c r="AS144" s="46"/>
      <c r="AT144" s="40" t="str">
        <f aca="false">IF(OR(Tasks[[#This Row],[Task Name]]="",Tasks[[#This Row],[Baseline Duration]]=""),"",Tasks[[#This Row],[BL Source Duration]]-N(Tasks[[#This Row],[Baseline Duration]]))</f>
        <v/>
      </c>
      <c r="AU144" s="43" t="str">
        <f aca="false">IF(OR(Tasks[[#This Row],[Task Name]]="",Tasks[[#This Row],[Baseline Work]]=""),"",Tasks[[#This Row],[Work]]-N(Tasks[[#This Row],[Baseline Work]]))</f>
        <v/>
      </c>
      <c r="AV144" s="44" t="str">
        <f aca="false">IF(OR(Tasks[[#This Row],[Task Name]]="",Tasks[[#This Row],[Baseline Cost]]=""),"",Tasks[[#This Row],[Cost]]-N(Tasks[[#This Row],[Baseline Cost]]))</f>
        <v/>
      </c>
      <c r="AW144" s="47" t="str">
        <f aca="false">IF(Tasks[[#This Row],[Task Name]]="","",MAX(1,N(Tasks[[#This Row],[Level]])))</f>
        <v/>
      </c>
      <c r="AX144" s="47" t="n">
        <f aca="false">ROW()-ROW(Tasks[[#Headers],[ID]])</f>
        <v>139</v>
      </c>
      <c r="AY14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4" s="47" t="n">
        <f aca="false">IFERROR(N(INDEX(Tasks[_Level],Tasks[[#This Row],[_Row]]+1)),0)</f>
        <v>0</v>
      </c>
      <c r="BA144" s="48" t="b">
        <f aca="false">AND(Tasks[[#This Row],[Task Name]]&lt;&gt;"",Tasks[[#This Row],[_NextLevel]]&gt;Tasks[[#This Row],[_Level]])</f>
        <v>0</v>
      </c>
      <c r="BB144" s="47" t="n">
        <f aca="false">IF(Tasks[[#This Row],[_IsSummary]],COUNTIF(Tasks[WBS],Tasks[[#This Row],[WBS]]&amp;".*"),0)</f>
        <v>0</v>
      </c>
      <c r="BC144" s="47" t="n">
        <f aca="false">IF(AND(Tasks[[#This Row],[Task Name]]&lt;&gt;"",NOT(Tasks[[#This Row],[_IsSummary]])),1,0)</f>
        <v>0</v>
      </c>
      <c r="BD144" s="47" t="n">
        <f aca="false">IF(N(Tasks[[#This Row],[Pred1 UID]])=0,0,IFERROR(MATCH(Tasks[[#This Row],[Pred1 UID]],Tasks[UID],0),-1))</f>
        <v>0</v>
      </c>
      <c r="BE144" s="47" t="n">
        <f aca="false">IF(N(Tasks[[#This Row],[Pred2 UID]])=0,0,IFERROR(MATCH(Tasks[[#This Row],[Pred2 UID]],Tasks[UID],0),-1))</f>
        <v>0</v>
      </c>
      <c r="BF14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4" s="47" t="n">
        <f aca="false">IF(NOT(Tasks[[#This Row],[_IsLeaf]]=1),0,IF(N(Tasks[[#This Row],[Actual Finish]])&gt;0,1,MIN(1,N(Tasks[[#This Row],[% Complete]]))))</f>
        <v>0</v>
      </c>
      <c r="BK14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4" s="47" t="n">
        <f aca="false">IF(Tasks[[#This Row],[_LeafWork]]=0,0,Tasks[[#This Row],[_LeafWork]]*IFERROR(INDEX(res_Rate,MATCH(Tasks[[#This Row],[Resource]],res_Name,0)),0))</f>
        <v>0</v>
      </c>
      <c r="BM14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4" s="47" t="n">
        <f aca="false">IF(AND(Tasks[[#This Row],[_IsLeaf]]=1,Tasks[[#This Row],[_LeafWork]]&gt;0),NETWORKDAYS.INTL(ProjectStart,Tasks[[#This Row],[_LeafFcstStart]],WorkWeek,Holidays),0)</f>
        <v>0</v>
      </c>
      <c r="BV14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4" s="47" t="n">
        <f aca="false">IF(AND(Tasks[[#This Row],[_IsLeaf]]=1,Tasks[[#This Row],[_LeafWork]]&gt;0),Tasks[[#This Row],[_LeafWork]]/(Tasks[[#This Row],[_FinishWorkday]]-Tasks[[#This Row],[_StartWorkday]]+1),0)</f>
        <v>0</v>
      </c>
      <c r="BX144" s="47" t="n">
        <f aca="false">Tasks[[#This Row],[_WorkPerWorkday]]*(Tasks[[#This Row],[_StartWorkday]]-1)</f>
        <v>-0</v>
      </c>
      <c r="BY144" s="47" t="n">
        <f aca="false">IF(Tasks[[#This Row],[_IsLeaf]]=1,MAX(N(Tasks[[#This Row],[Duration]]),0.1),0)</f>
        <v>0</v>
      </c>
      <c r="BZ144" s="47" t="n">
        <f aca="false">Tasks[[#This Row],[_WeightDur]]*Tasks[[#This Row],[_LeafProgress]]</f>
        <v>0</v>
      </c>
      <c r="CA14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5" customFormat="false" ht="15" hidden="false" customHeight="false" outlineLevel="0" collapsed="false">
      <c r="A145" s="38" t="str">
        <f aca="false">IF(Tasks[[#This Row],[Task Name]]="","",COUNTA(Tasks[[#Headers],[Task Name]]:Tasks[[#This Row],[Task Name]])-1)</f>
        <v/>
      </c>
      <c r="B145" s="39" t="n">
        <v>140</v>
      </c>
      <c r="C14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5" s="39"/>
      <c r="E145" s="41"/>
      <c r="F145" s="39"/>
      <c r="G145" s="39"/>
      <c r="H145" s="39"/>
      <c r="I145" s="39"/>
      <c r="J145" s="39"/>
      <c r="K145" s="39"/>
      <c r="L145" s="39"/>
      <c r="M145" s="39"/>
      <c r="N145" s="29"/>
      <c r="O145" s="29"/>
      <c r="P145" s="24" t="str">
        <f aca="false">IF(Tasks[[#This Row],[Task Name]]="","",IF(N(Tasks[[#This Row],[Baseline Start]])&gt;0,Tasks[[#This Row],[Baseline Start]],Tasks[[#This Row],[_CalcStart]]))</f>
        <v/>
      </c>
      <c r="Q145" s="24" t="str">
        <f aca="false">IF(Tasks[[#This Row],[Task Name]]="","",IF(N(Tasks[[#This Row],[Baseline Finish]])&gt;0,Tasks[[#This Row],[Baseline Finish]],Tasks[[#This Row],[_CalcFinish]]))</f>
        <v/>
      </c>
      <c r="R145" s="29"/>
      <c r="S145" s="29"/>
      <c r="T14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5" s="31"/>
      <c r="AA14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5" s="41"/>
      <c r="AD145" s="31"/>
      <c r="AE14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5" s="41"/>
      <c r="AJ145" s="24" t="str">
        <f aca="false">IF(Tasks[[#This Row],[Task Name]]="","",Tasks[[#This Row],[Forecast Start]])</f>
        <v/>
      </c>
      <c r="AK145" s="24" t="str">
        <f aca="false">IF(Tasks[[#This Row],[Task Name]]="","",Tasks[[#This Row],[Forecast Finish]])</f>
        <v/>
      </c>
      <c r="AL14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5" s="43" t="str">
        <f aca="false">IF(Tasks[[#This Row],[Task Name]]="","",Tasks[[#This Row],[Work]])</f>
        <v/>
      </c>
      <c r="AN145" s="44" t="str">
        <f aca="false">IF(Tasks[[#This Row],[Task Name]]="","",Tasks[[#This Row],[Cost]])</f>
        <v/>
      </c>
      <c r="AO145" s="29"/>
      <c r="AP145" s="29"/>
      <c r="AQ145" s="39"/>
      <c r="AR145" s="45"/>
      <c r="AS145" s="46"/>
      <c r="AT145" s="40" t="str">
        <f aca="false">IF(OR(Tasks[[#This Row],[Task Name]]="",Tasks[[#This Row],[Baseline Duration]]=""),"",Tasks[[#This Row],[BL Source Duration]]-N(Tasks[[#This Row],[Baseline Duration]]))</f>
        <v/>
      </c>
      <c r="AU145" s="43" t="str">
        <f aca="false">IF(OR(Tasks[[#This Row],[Task Name]]="",Tasks[[#This Row],[Baseline Work]]=""),"",Tasks[[#This Row],[Work]]-N(Tasks[[#This Row],[Baseline Work]]))</f>
        <v/>
      </c>
      <c r="AV145" s="44" t="str">
        <f aca="false">IF(OR(Tasks[[#This Row],[Task Name]]="",Tasks[[#This Row],[Baseline Cost]]=""),"",Tasks[[#This Row],[Cost]]-N(Tasks[[#This Row],[Baseline Cost]]))</f>
        <v/>
      </c>
      <c r="AW145" s="47" t="str">
        <f aca="false">IF(Tasks[[#This Row],[Task Name]]="","",MAX(1,N(Tasks[[#This Row],[Level]])))</f>
        <v/>
      </c>
      <c r="AX145" s="47" t="n">
        <f aca="false">ROW()-ROW(Tasks[[#Headers],[ID]])</f>
        <v>140</v>
      </c>
      <c r="AY14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5" s="47" t="n">
        <f aca="false">IFERROR(N(INDEX(Tasks[_Level],Tasks[[#This Row],[_Row]]+1)),0)</f>
        <v>0</v>
      </c>
      <c r="BA145" s="48" t="b">
        <f aca="false">AND(Tasks[[#This Row],[Task Name]]&lt;&gt;"",Tasks[[#This Row],[_NextLevel]]&gt;Tasks[[#This Row],[_Level]])</f>
        <v>0</v>
      </c>
      <c r="BB145" s="47" t="n">
        <f aca="false">IF(Tasks[[#This Row],[_IsSummary]],COUNTIF(Tasks[WBS],Tasks[[#This Row],[WBS]]&amp;".*"),0)</f>
        <v>0</v>
      </c>
      <c r="BC145" s="47" t="n">
        <f aca="false">IF(AND(Tasks[[#This Row],[Task Name]]&lt;&gt;"",NOT(Tasks[[#This Row],[_IsSummary]])),1,0)</f>
        <v>0</v>
      </c>
      <c r="BD145" s="47" t="n">
        <f aca="false">IF(N(Tasks[[#This Row],[Pred1 UID]])=0,0,IFERROR(MATCH(Tasks[[#This Row],[Pred1 UID]],Tasks[UID],0),-1))</f>
        <v>0</v>
      </c>
      <c r="BE145" s="47" t="n">
        <f aca="false">IF(N(Tasks[[#This Row],[Pred2 UID]])=0,0,IFERROR(MATCH(Tasks[[#This Row],[Pred2 UID]],Tasks[UID],0),-1))</f>
        <v>0</v>
      </c>
      <c r="BF14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5" s="47" t="n">
        <f aca="false">IF(NOT(Tasks[[#This Row],[_IsLeaf]]=1),0,IF(N(Tasks[[#This Row],[Actual Finish]])&gt;0,1,MIN(1,N(Tasks[[#This Row],[% Complete]]))))</f>
        <v>0</v>
      </c>
      <c r="BK14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5" s="47" t="n">
        <f aca="false">IF(Tasks[[#This Row],[_LeafWork]]=0,0,Tasks[[#This Row],[_LeafWork]]*IFERROR(INDEX(res_Rate,MATCH(Tasks[[#This Row],[Resource]],res_Name,0)),0))</f>
        <v>0</v>
      </c>
      <c r="BM14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5" s="47" t="n">
        <f aca="false">IF(AND(Tasks[[#This Row],[_IsLeaf]]=1,Tasks[[#This Row],[_LeafWork]]&gt;0),NETWORKDAYS.INTL(ProjectStart,Tasks[[#This Row],[_LeafFcstStart]],WorkWeek,Holidays),0)</f>
        <v>0</v>
      </c>
      <c r="BV14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5" s="47" t="n">
        <f aca="false">IF(AND(Tasks[[#This Row],[_IsLeaf]]=1,Tasks[[#This Row],[_LeafWork]]&gt;0),Tasks[[#This Row],[_LeafWork]]/(Tasks[[#This Row],[_FinishWorkday]]-Tasks[[#This Row],[_StartWorkday]]+1),0)</f>
        <v>0</v>
      </c>
      <c r="BX145" s="47" t="n">
        <f aca="false">Tasks[[#This Row],[_WorkPerWorkday]]*(Tasks[[#This Row],[_StartWorkday]]-1)</f>
        <v>-0</v>
      </c>
      <c r="BY145" s="47" t="n">
        <f aca="false">IF(Tasks[[#This Row],[_IsLeaf]]=1,MAX(N(Tasks[[#This Row],[Duration]]),0.1),0)</f>
        <v>0</v>
      </c>
      <c r="BZ145" s="47" t="n">
        <f aca="false">Tasks[[#This Row],[_WeightDur]]*Tasks[[#This Row],[_LeafProgress]]</f>
        <v>0</v>
      </c>
      <c r="CA14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6" customFormat="false" ht="15" hidden="false" customHeight="false" outlineLevel="0" collapsed="false">
      <c r="A146" s="38" t="str">
        <f aca="false">IF(Tasks[[#This Row],[Task Name]]="","",COUNTA(Tasks[[#Headers],[Task Name]]:Tasks[[#This Row],[Task Name]])-1)</f>
        <v/>
      </c>
      <c r="B146" s="39" t="n">
        <v>141</v>
      </c>
      <c r="C14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6" s="39"/>
      <c r="E146" s="41"/>
      <c r="F146" s="39"/>
      <c r="G146" s="39"/>
      <c r="H146" s="39"/>
      <c r="I146" s="39"/>
      <c r="J146" s="39"/>
      <c r="K146" s="39"/>
      <c r="L146" s="39"/>
      <c r="M146" s="39"/>
      <c r="N146" s="29"/>
      <c r="O146" s="29"/>
      <c r="P146" s="24" t="str">
        <f aca="false">IF(Tasks[[#This Row],[Task Name]]="","",IF(N(Tasks[[#This Row],[Baseline Start]])&gt;0,Tasks[[#This Row],[Baseline Start]],Tasks[[#This Row],[_CalcStart]]))</f>
        <v/>
      </c>
      <c r="Q146" s="24" t="str">
        <f aca="false">IF(Tasks[[#This Row],[Task Name]]="","",IF(N(Tasks[[#This Row],[Baseline Finish]])&gt;0,Tasks[[#This Row],[Baseline Finish]],Tasks[[#This Row],[_CalcFinish]]))</f>
        <v/>
      </c>
      <c r="R146" s="29"/>
      <c r="S146" s="29"/>
      <c r="T14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6" s="31"/>
      <c r="AA14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6" s="41"/>
      <c r="AD146" s="31"/>
      <c r="AE14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6" s="41"/>
      <c r="AJ146" s="24" t="str">
        <f aca="false">IF(Tasks[[#This Row],[Task Name]]="","",Tasks[[#This Row],[Forecast Start]])</f>
        <v/>
      </c>
      <c r="AK146" s="24" t="str">
        <f aca="false">IF(Tasks[[#This Row],[Task Name]]="","",Tasks[[#This Row],[Forecast Finish]])</f>
        <v/>
      </c>
      <c r="AL14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6" s="43" t="str">
        <f aca="false">IF(Tasks[[#This Row],[Task Name]]="","",Tasks[[#This Row],[Work]])</f>
        <v/>
      </c>
      <c r="AN146" s="44" t="str">
        <f aca="false">IF(Tasks[[#This Row],[Task Name]]="","",Tasks[[#This Row],[Cost]])</f>
        <v/>
      </c>
      <c r="AO146" s="29"/>
      <c r="AP146" s="29"/>
      <c r="AQ146" s="39"/>
      <c r="AR146" s="45"/>
      <c r="AS146" s="46"/>
      <c r="AT146" s="40" t="str">
        <f aca="false">IF(OR(Tasks[[#This Row],[Task Name]]="",Tasks[[#This Row],[Baseline Duration]]=""),"",Tasks[[#This Row],[BL Source Duration]]-N(Tasks[[#This Row],[Baseline Duration]]))</f>
        <v/>
      </c>
      <c r="AU146" s="43" t="str">
        <f aca="false">IF(OR(Tasks[[#This Row],[Task Name]]="",Tasks[[#This Row],[Baseline Work]]=""),"",Tasks[[#This Row],[Work]]-N(Tasks[[#This Row],[Baseline Work]]))</f>
        <v/>
      </c>
      <c r="AV146" s="44" t="str">
        <f aca="false">IF(OR(Tasks[[#This Row],[Task Name]]="",Tasks[[#This Row],[Baseline Cost]]=""),"",Tasks[[#This Row],[Cost]]-N(Tasks[[#This Row],[Baseline Cost]]))</f>
        <v/>
      </c>
      <c r="AW146" s="47" t="str">
        <f aca="false">IF(Tasks[[#This Row],[Task Name]]="","",MAX(1,N(Tasks[[#This Row],[Level]])))</f>
        <v/>
      </c>
      <c r="AX146" s="47" t="n">
        <f aca="false">ROW()-ROW(Tasks[[#Headers],[ID]])</f>
        <v>141</v>
      </c>
      <c r="AY14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6" s="47" t="n">
        <f aca="false">IFERROR(N(INDEX(Tasks[_Level],Tasks[[#This Row],[_Row]]+1)),0)</f>
        <v>0</v>
      </c>
      <c r="BA146" s="48" t="b">
        <f aca="false">AND(Tasks[[#This Row],[Task Name]]&lt;&gt;"",Tasks[[#This Row],[_NextLevel]]&gt;Tasks[[#This Row],[_Level]])</f>
        <v>0</v>
      </c>
      <c r="BB146" s="47" t="n">
        <f aca="false">IF(Tasks[[#This Row],[_IsSummary]],COUNTIF(Tasks[WBS],Tasks[[#This Row],[WBS]]&amp;".*"),0)</f>
        <v>0</v>
      </c>
      <c r="BC146" s="47" t="n">
        <f aca="false">IF(AND(Tasks[[#This Row],[Task Name]]&lt;&gt;"",NOT(Tasks[[#This Row],[_IsSummary]])),1,0)</f>
        <v>0</v>
      </c>
      <c r="BD146" s="47" t="n">
        <f aca="false">IF(N(Tasks[[#This Row],[Pred1 UID]])=0,0,IFERROR(MATCH(Tasks[[#This Row],[Pred1 UID]],Tasks[UID],0),-1))</f>
        <v>0</v>
      </c>
      <c r="BE146" s="47" t="n">
        <f aca="false">IF(N(Tasks[[#This Row],[Pred2 UID]])=0,0,IFERROR(MATCH(Tasks[[#This Row],[Pred2 UID]],Tasks[UID],0),-1))</f>
        <v>0</v>
      </c>
      <c r="BF14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6" s="47" t="n">
        <f aca="false">IF(NOT(Tasks[[#This Row],[_IsLeaf]]=1),0,IF(N(Tasks[[#This Row],[Actual Finish]])&gt;0,1,MIN(1,N(Tasks[[#This Row],[% Complete]]))))</f>
        <v>0</v>
      </c>
      <c r="BK14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6" s="47" t="n">
        <f aca="false">IF(Tasks[[#This Row],[_LeafWork]]=0,0,Tasks[[#This Row],[_LeafWork]]*IFERROR(INDEX(res_Rate,MATCH(Tasks[[#This Row],[Resource]],res_Name,0)),0))</f>
        <v>0</v>
      </c>
      <c r="BM14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6" s="47" t="n">
        <f aca="false">IF(AND(Tasks[[#This Row],[_IsLeaf]]=1,Tasks[[#This Row],[_LeafWork]]&gt;0),NETWORKDAYS.INTL(ProjectStart,Tasks[[#This Row],[_LeafFcstStart]],WorkWeek,Holidays),0)</f>
        <v>0</v>
      </c>
      <c r="BV14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6" s="47" t="n">
        <f aca="false">IF(AND(Tasks[[#This Row],[_IsLeaf]]=1,Tasks[[#This Row],[_LeafWork]]&gt;0),Tasks[[#This Row],[_LeafWork]]/(Tasks[[#This Row],[_FinishWorkday]]-Tasks[[#This Row],[_StartWorkday]]+1),0)</f>
        <v>0</v>
      </c>
      <c r="BX146" s="47" t="n">
        <f aca="false">Tasks[[#This Row],[_WorkPerWorkday]]*(Tasks[[#This Row],[_StartWorkday]]-1)</f>
        <v>-0</v>
      </c>
      <c r="BY146" s="47" t="n">
        <f aca="false">IF(Tasks[[#This Row],[_IsLeaf]]=1,MAX(N(Tasks[[#This Row],[Duration]]),0.1),0)</f>
        <v>0</v>
      </c>
      <c r="BZ146" s="47" t="n">
        <f aca="false">Tasks[[#This Row],[_WeightDur]]*Tasks[[#This Row],[_LeafProgress]]</f>
        <v>0</v>
      </c>
      <c r="CA14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7" customFormat="false" ht="15" hidden="false" customHeight="false" outlineLevel="0" collapsed="false">
      <c r="A147" s="38" t="str">
        <f aca="false">IF(Tasks[[#This Row],[Task Name]]="","",COUNTA(Tasks[[#Headers],[Task Name]]:Tasks[[#This Row],[Task Name]])-1)</f>
        <v/>
      </c>
      <c r="B147" s="39" t="n">
        <v>142</v>
      </c>
      <c r="C14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7" s="39"/>
      <c r="E147" s="41"/>
      <c r="F147" s="39"/>
      <c r="G147" s="39"/>
      <c r="H147" s="39"/>
      <c r="I147" s="39"/>
      <c r="J147" s="39"/>
      <c r="K147" s="39"/>
      <c r="L147" s="39"/>
      <c r="M147" s="39"/>
      <c r="N147" s="29"/>
      <c r="O147" s="29"/>
      <c r="P147" s="24" t="str">
        <f aca="false">IF(Tasks[[#This Row],[Task Name]]="","",IF(N(Tasks[[#This Row],[Baseline Start]])&gt;0,Tasks[[#This Row],[Baseline Start]],Tasks[[#This Row],[_CalcStart]]))</f>
        <v/>
      </c>
      <c r="Q147" s="24" t="str">
        <f aca="false">IF(Tasks[[#This Row],[Task Name]]="","",IF(N(Tasks[[#This Row],[Baseline Finish]])&gt;0,Tasks[[#This Row],[Baseline Finish]],Tasks[[#This Row],[_CalcFinish]]))</f>
        <v/>
      </c>
      <c r="R147" s="29"/>
      <c r="S147" s="29"/>
      <c r="T14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7" s="31"/>
      <c r="AA14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7" s="41"/>
      <c r="AD147" s="31"/>
      <c r="AE14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7" s="41"/>
      <c r="AJ147" s="24" t="str">
        <f aca="false">IF(Tasks[[#This Row],[Task Name]]="","",Tasks[[#This Row],[Forecast Start]])</f>
        <v/>
      </c>
      <c r="AK147" s="24" t="str">
        <f aca="false">IF(Tasks[[#This Row],[Task Name]]="","",Tasks[[#This Row],[Forecast Finish]])</f>
        <v/>
      </c>
      <c r="AL14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7" s="43" t="str">
        <f aca="false">IF(Tasks[[#This Row],[Task Name]]="","",Tasks[[#This Row],[Work]])</f>
        <v/>
      </c>
      <c r="AN147" s="44" t="str">
        <f aca="false">IF(Tasks[[#This Row],[Task Name]]="","",Tasks[[#This Row],[Cost]])</f>
        <v/>
      </c>
      <c r="AO147" s="29"/>
      <c r="AP147" s="29"/>
      <c r="AQ147" s="39"/>
      <c r="AR147" s="45"/>
      <c r="AS147" s="46"/>
      <c r="AT147" s="40" t="str">
        <f aca="false">IF(OR(Tasks[[#This Row],[Task Name]]="",Tasks[[#This Row],[Baseline Duration]]=""),"",Tasks[[#This Row],[BL Source Duration]]-N(Tasks[[#This Row],[Baseline Duration]]))</f>
        <v/>
      </c>
      <c r="AU147" s="43" t="str">
        <f aca="false">IF(OR(Tasks[[#This Row],[Task Name]]="",Tasks[[#This Row],[Baseline Work]]=""),"",Tasks[[#This Row],[Work]]-N(Tasks[[#This Row],[Baseline Work]]))</f>
        <v/>
      </c>
      <c r="AV147" s="44" t="str">
        <f aca="false">IF(OR(Tasks[[#This Row],[Task Name]]="",Tasks[[#This Row],[Baseline Cost]]=""),"",Tasks[[#This Row],[Cost]]-N(Tasks[[#This Row],[Baseline Cost]]))</f>
        <v/>
      </c>
      <c r="AW147" s="47" t="str">
        <f aca="false">IF(Tasks[[#This Row],[Task Name]]="","",MAX(1,N(Tasks[[#This Row],[Level]])))</f>
        <v/>
      </c>
      <c r="AX147" s="47" t="n">
        <f aca="false">ROW()-ROW(Tasks[[#Headers],[ID]])</f>
        <v>142</v>
      </c>
      <c r="AY14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7" s="47" t="n">
        <f aca="false">IFERROR(N(INDEX(Tasks[_Level],Tasks[[#This Row],[_Row]]+1)),0)</f>
        <v>0</v>
      </c>
      <c r="BA147" s="48" t="b">
        <f aca="false">AND(Tasks[[#This Row],[Task Name]]&lt;&gt;"",Tasks[[#This Row],[_NextLevel]]&gt;Tasks[[#This Row],[_Level]])</f>
        <v>0</v>
      </c>
      <c r="BB147" s="47" t="n">
        <f aca="false">IF(Tasks[[#This Row],[_IsSummary]],COUNTIF(Tasks[WBS],Tasks[[#This Row],[WBS]]&amp;".*"),0)</f>
        <v>0</v>
      </c>
      <c r="BC147" s="47" t="n">
        <f aca="false">IF(AND(Tasks[[#This Row],[Task Name]]&lt;&gt;"",NOT(Tasks[[#This Row],[_IsSummary]])),1,0)</f>
        <v>0</v>
      </c>
      <c r="BD147" s="47" t="n">
        <f aca="false">IF(N(Tasks[[#This Row],[Pred1 UID]])=0,0,IFERROR(MATCH(Tasks[[#This Row],[Pred1 UID]],Tasks[UID],0),-1))</f>
        <v>0</v>
      </c>
      <c r="BE147" s="47" t="n">
        <f aca="false">IF(N(Tasks[[#This Row],[Pred2 UID]])=0,0,IFERROR(MATCH(Tasks[[#This Row],[Pred2 UID]],Tasks[UID],0),-1))</f>
        <v>0</v>
      </c>
      <c r="BF14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7" s="47" t="n">
        <f aca="false">IF(NOT(Tasks[[#This Row],[_IsLeaf]]=1),0,IF(N(Tasks[[#This Row],[Actual Finish]])&gt;0,1,MIN(1,N(Tasks[[#This Row],[% Complete]]))))</f>
        <v>0</v>
      </c>
      <c r="BK14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7" s="47" t="n">
        <f aca="false">IF(Tasks[[#This Row],[_LeafWork]]=0,0,Tasks[[#This Row],[_LeafWork]]*IFERROR(INDEX(res_Rate,MATCH(Tasks[[#This Row],[Resource]],res_Name,0)),0))</f>
        <v>0</v>
      </c>
      <c r="BM14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7" s="47" t="n">
        <f aca="false">IF(AND(Tasks[[#This Row],[_IsLeaf]]=1,Tasks[[#This Row],[_LeafWork]]&gt;0),NETWORKDAYS.INTL(ProjectStart,Tasks[[#This Row],[_LeafFcstStart]],WorkWeek,Holidays),0)</f>
        <v>0</v>
      </c>
      <c r="BV14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7" s="47" t="n">
        <f aca="false">IF(AND(Tasks[[#This Row],[_IsLeaf]]=1,Tasks[[#This Row],[_LeafWork]]&gt;0),Tasks[[#This Row],[_LeafWork]]/(Tasks[[#This Row],[_FinishWorkday]]-Tasks[[#This Row],[_StartWorkday]]+1),0)</f>
        <v>0</v>
      </c>
      <c r="BX147" s="47" t="n">
        <f aca="false">Tasks[[#This Row],[_WorkPerWorkday]]*(Tasks[[#This Row],[_StartWorkday]]-1)</f>
        <v>-0</v>
      </c>
      <c r="BY147" s="47" t="n">
        <f aca="false">IF(Tasks[[#This Row],[_IsLeaf]]=1,MAX(N(Tasks[[#This Row],[Duration]]),0.1),0)</f>
        <v>0</v>
      </c>
      <c r="BZ147" s="47" t="n">
        <f aca="false">Tasks[[#This Row],[_WeightDur]]*Tasks[[#This Row],[_LeafProgress]]</f>
        <v>0</v>
      </c>
      <c r="CA14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8" customFormat="false" ht="15" hidden="false" customHeight="false" outlineLevel="0" collapsed="false">
      <c r="A148" s="38" t="str">
        <f aca="false">IF(Tasks[[#This Row],[Task Name]]="","",COUNTA(Tasks[[#Headers],[Task Name]]:Tasks[[#This Row],[Task Name]])-1)</f>
        <v/>
      </c>
      <c r="B148" s="39" t="n">
        <v>143</v>
      </c>
      <c r="C14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8" s="39"/>
      <c r="E148" s="41"/>
      <c r="F148" s="39"/>
      <c r="G148" s="39"/>
      <c r="H148" s="39"/>
      <c r="I148" s="39"/>
      <c r="J148" s="39"/>
      <c r="K148" s="39"/>
      <c r="L148" s="39"/>
      <c r="M148" s="39"/>
      <c r="N148" s="29"/>
      <c r="O148" s="29"/>
      <c r="P148" s="24" t="str">
        <f aca="false">IF(Tasks[[#This Row],[Task Name]]="","",IF(N(Tasks[[#This Row],[Baseline Start]])&gt;0,Tasks[[#This Row],[Baseline Start]],Tasks[[#This Row],[_CalcStart]]))</f>
        <v/>
      </c>
      <c r="Q148" s="24" t="str">
        <f aca="false">IF(Tasks[[#This Row],[Task Name]]="","",IF(N(Tasks[[#This Row],[Baseline Finish]])&gt;0,Tasks[[#This Row],[Baseline Finish]],Tasks[[#This Row],[_CalcFinish]]))</f>
        <v/>
      </c>
      <c r="R148" s="29"/>
      <c r="S148" s="29"/>
      <c r="T14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8" s="31"/>
      <c r="AA14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8" s="41"/>
      <c r="AD148" s="31"/>
      <c r="AE14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8" s="41"/>
      <c r="AJ148" s="24" t="str">
        <f aca="false">IF(Tasks[[#This Row],[Task Name]]="","",Tasks[[#This Row],[Forecast Start]])</f>
        <v/>
      </c>
      <c r="AK148" s="24" t="str">
        <f aca="false">IF(Tasks[[#This Row],[Task Name]]="","",Tasks[[#This Row],[Forecast Finish]])</f>
        <v/>
      </c>
      <c r="AL14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8" s="43" t="str">
        <f aca="false">IF(Tasks[[#This Row],[Task Name]]="","",Tasks[[#This Row],[Work]])</f>
        <v/>
      </c>
      <c r="AN148" s="44" t="str">
        <f aca="false">IF(Tasks[[#This Row],[Task Name]]="","",Tasks[[#This Row],[Cost]])</f>
        <v/>
      </c>
      <c r="AO148" s="29"/>
      <c r="AP148" s="29"/>
      <c r="AQ148" s="39"/>
      <c r="AR148" s="45"/>
      <c r="AS148" s="46"/>
      <c r="AT148" s="40" t="str">
        <f aca="false">IF(OR(Tasks[[#This Row],[Task Name]]="",Tasks[[#This Row],[Baseline Duration]]=""),"",Tasks[[#This Row],[BL Source Duration]]-N(Tasks[[#This Row],[Baseline Duration]]))</f>
        <v/>
      </c>
      <c r="AU148" s="43" t="str">
        <f aca="false">IF(OR(Tasks[[#This Row],[Task Name]]="",Tasks[[#This Row],[Baseline Work]]=""),"",Tasks[[#This Row],[Work]]-N(Tasks[[#This Row],[Baseline Work]]))</f>
        <v/>
      </c>
      <c r="AV148" s="44" t="str">
        <f aca="false">IF(OR(Tasks[[#This Row],[Task Name]]="",Tasks[[#This Row],[Baseline Cost]]=""),"",Tasks[[#This Row],[Cost]]-N(Tasks[[#This Row],[Baseline Cost]]))</f>
        <v/>
      </c>
      <c r="AW148" s="47" t="str">
        <f aca="false">IF(Tasks[[#This Row],[Task Name]]="","",MAX(1,N(Tasks[[#This Row],[Level]])))</f>
        <v/>
      </c>
      <c r="AX148" s="47" t="n">
        <f aca="false">ROW()-ROW(Tasks[[#Headers],[ID]])</f>
        <v>143</v>
      </c>
      <c r="AY14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8" s="47" t="n">
        <f aca="false">IFERROR(N(INDEX(Tasks[_Level],Tasks[[#This Row],[_Row]]+1)),0)</f>
        <v>0</v>
      </c>
      <c r="BA148" s="48" t="b">
        <f aca="false">AND(Tasks[[#This Row],[Task Name]]&lt;&gt;"",Tasks[[#This Row],[_NextLevel]]&gt;Tasks[[#This Row],[_Level]])</f>
        <v>0</v>
      </c>
      <c r="BB148" s="47" t="n">
        <f aca="false">IF(Tasks[[#This Row],[_IsSummary]],COUNTIF(Tasks[WBS],Tasks[[#This Row],[WBS]]&amp;".*"),0)</f>
        <v>0</v>
      </c>
      <c r="BC148" s="47" t="n">
        <f aca="false">IF(AND(Tasks[[#This Row],[Task Name]]&lt;&gt;"",NOT(Tasks[[#This Row],[_IsSummary]])),1,0)</f>
        <v>0</v>
      </c>
      <c r="BD148" s="47" t="n">
        <f aca="false">IF(N(Tasks[[#This Row],[Pred1 UID]])=0,0,IFERROR(MATCH(Tasks[[#This Row],[Pred1 UID]],Tasks[UID],0),-1))</f>
        <v>0</v>
      </c>
      <c r="BE148" s="47" t="n">
        <f aca="false">IF(N(Tasks[[#This Row],[Pred2 UID]])=0,0,IFERROR(MATCH(Tasks[[#This Row],[Pred2 UID]],Tasks[UID],0),-1))</f>
        <v>0</v>
      </c>
      <c r="BF14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8" s="47" t="n">
        <f aca="false">IF(NOT(Tasks[[#This Row],[_IsLeaf]]=1),0,IF(N(Tasks[[#This Row],[Actual Finish]])&gt;0,1,MIN(1,N(Tasks[[#This Row],[% Complete]]))))</f>
        <v>0</v>
      </c>
      <c r="BK14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8" s="47" t="n">
        <f aca="false">IF(Tasks[[#This Row],[_LeafWork]]=0,0,Tasks[[#This Row],[_LeafWork]]*IFERROR(INDEX(res_Rate,MATCH(Tasks[[#This Row],[Resource]],res_Name,0)),0))</f>
        <v>0</v>
      </c>
      <c r="BM14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8" s="47" t="n">
        <f aca="false">IF(AND(Tasks[[#This Row],[_IsLeaf]]=1,Tasks[[#This Row],[_LeafWork]]&gt;0),NETWORKDAYS.INTL(ProjectStart,Tasks[[#This Row],[_LeafFcstStart]],WorkWeek,Holidays),0)</f>
        <v>0</v>
      </c>
      <c r="BV14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8" s="47" t="n">
        <f aca="false">IF(AND(Tasks[[#This Row],[_IsLeaf]]=1,Tasks[[#This Row],[_LeafWork]]&gt;0),Tasks[[#This Row],[_LeafWork]]/(Tasks[[#This Row],[_FinishWorkday]]-Tasks[[#This Row],[_StartWorkday]]+1),0)</f>
        <v>0</v>
      </c>
      <c r="BX148" s="47" t="n">
        <f aca="false">Tasks[[#This Row],[_WorkPerWorkday]]*(Tasks[[#This Row],[_StartWorkday]]-1)</f>
        <v>-0</v>
      </c>
      <c r="BY148" s="47" t="n">
        <f aca="false">IF(Tasks[[#This Row],[_IsLeaf]]=1,MAX(N(Tasks[[#This Row],[Duration]]),0.1),0)</f>
        <v>0</v>
      </c>
      <c r="BZ148" s="47" t="n">
        <f aca="false">Tasks[[#This Row],[_WeightDur]]*Tasks[[#This Row],[_LeafProgress]]</f>
        <v>0</v>
      </c>
      <c r="CA14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9" customFormat="false" ht="15" hidden="false" customHeight="false" outlineLevel="0" collapsed="false">
      <c r="A149" s="38" t="str">
        <f aca="false">IF(Tasks[[#This Row],[Task Name]]="","",COUNTA(Tasks[[#Headers],[Task Name]]:Tasks[[#This Row],[Task Name]])-1)</f>
        <v/>
      </c>
      <c r="B149" s="39" t="n">
        <v>144</v>
      </c>
      <c r="C14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9" s="39"/>
      <c r="E149" s="41"/>
      <c r="F149" s="39"/>
      <c r="G149" s="39"/>
      <c r="H149" s="39"/>
      <c r="I149" s="39"/>
      <c r="J149" s="39"/>
      <c r="K149" s="39"/>
      <c r="L149" s="39"/>
      <c r="M149" s="39"/>
      <c r="N149" s="29"/>
      <c r="O149" s="29"/>
      <c r="P149" s="24" t="str">
        <f aca="false">IF(Tasks[[#This Row],[Task Name]]="","",IF(N(Tasks[[#This Row],[Baseline Start]])&gt;0,Tasks[[#This Row],[Baseline Start]],Tasks[[#This Row],[_CalcStart]]))</f>
        <v/>
      </c>
      <c r="Q149" s="24" t="str">
        <f aca="false">IF(Tasks[[#This Row],[Task Name]]="","",IF(N(Tasks[[#This Row],[Baseline Finish]])&gt;0,Tasks[[#This Row],[Baseline Finish]],Tasks[[#This Row],[_CalcFinish]]))</f>
        <v/>
      </c>
      <c r="R149" s="29"/>
      <c r="S149" s="29"/>
      <c r="T14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9" s="31"/>
      <c r="AA14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9" s="41"/>
      <c r="AD149" s="31"/>
      <c r="AE14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9" s="41"/>
      <c r="AJ149" s="24" t="str">
        <f aca="false">IF(Tasks[[#This Row],[Task Name]]="","",Tasks[[#This Row],[Forecast Start]])</f>
        <v/>
      </c>
      <c r="AK149" s="24" t="str">
        <f aca="false">IF(Tasks[[#This Row],[Task Name]]="","",Tasks[[#This Row],[Forecast Finish]])</f>
        <v/>
      </c>
      <c r="AL14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9" s="43" t="str">
        <f aca="false">IF(Tasks[[#This Row],[Task Name]]="","",Tasks[[#This Row],[Work]])</f>
        <v/>
      </c>
      <c r="AN149" s="44" t="str">
        <f aca="false">IF(Tasks[[#This Row],[Task Name]]="","",Tasks[[#This Row],[Cost]])</f>
        <v/>
      </c>
      <c r="AO149" s="29"/>
      <c r="AP149" s="29"/>
      <c r="AQ149" s="39"/>
      <c r="AR149" s="45"/>
      <c r="AS149" s="46"/>
      <c r="AT149" s="40" t="str">
        <f aca="false">IF(OR(Tasks[[#This Row],[Task Name]]="",Tasks[[#This Row],[Baseline Duration]]=""),"",Tasks[[#This Row],[BL Source Duration]]-N(Tasks[[#This Row],[Baseline Duration]]))</f>
        <v/>
      </c>
      <c r="AU149" s="43" t="str">
        <f aca="false">IF(OR(Tasks[[#This Row],[Task Name]]="",Tasks[[#This Row],[Baseline Work]]=""),"",Tasks[[#This Row],[Work]]-N(Tasks[[#This Row],[Baseline Work]]))</f>
        <v/>
      </c>
      <c r="AV149" s="44" t="str">
        <f aca="false">IF(OR(Tasks[[#This Row],[Task Name]]="",Tasks[[#This Row],[Baseline Cost]]=""),"",Tasks[[#This Row],[Cost]]-N(Tasks[[#This Row],[Baseline Cost]]))</f>
        <v/>
      </c>
      <c r="AW149" s="47" t="str">
        <f aca="false">IF(Tasks[[#This Row],[Task Name]]="","",MAX(1,N(Tasks[[#This Row],[Level]])))</f>
        <v/>
      </c>
      <c r="AX149" s="47" t="n">
        <f aca="false">ROW()-ROW(Tasks[[#Headers],[ID]])</f>
        <v>144</v>
      </c>
      <c r="AY14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9" s="47" t="n">
        <f aca="false">IFERROR(N(INDEX(Tasks[_Level],Tasks[[#This Row],[_Row]]+1)),0)</f>
        <v>0</v>
      </c>
      <c r="BA149" s="48" t="b">
        <f aca="false">AND(Tasks[[#This Row],[Task Name]]&lt;&gt;"",Tasks[[#This Row],[_NextLevel]]&gt;Tasks[[#This Row],[_Level]])</f>
        <v>0</v>
      </c>
      <c r="BB149" s="47" t="n">
        <f aca="false">IF(Tasks[[#This Row],[_IsSummary]],COUNTIF(Tasks[WBS],Tasks[[#This Row],[WBS]]&amp;".*"),0)</f>
        <v>0</v>
      </c>
      <c r="BC149" s="47" t="n">
        <f aca="false">IF(AND(Tasks[[#This Row],[Task Name]]&lt;&gt;"",NOT(Tasks[[#This Row],[_IsSummary]])),1,0)</f>
        <v>0</v>
      </c>
      <c r="BD149" s="47" t="n">
        <f aca="false">IF(N(Tasks[[#This Row],[Pred1 UID]])=0,0,IFERROR(MATCH(Tasks[[#This Row],[Pred1 UID]],Tasks[UID],0),-1))</f>
        <v>0</v>
      </c>
      <c r="BE149" s="47" t="n">
        <f aca="false">IF(N(Tasks[[#This Row],[Pred2 UID]])=0,0,IFERROR(MATCH(Tasks[[#This Row],[Pred2 UID]],Tasks[UID],0),-1))</f>
        <v>0</v>
      </c>
      <c r="BF14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9" s="47" t="n">
        <f aca="false">IF(NOT(Tasks[[#This Row],[_IsLeaf]]=1),0,IF(N(Tasks[[#This Row],[Actual Finish]])&gt;0,1,MIN(1,N(Tasks[[#This Row],[% Complete]]))))</f>
        <v>0</v>
      </c>
      <c r="BK14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9" s="47" t="n">
        <f aca="false">IF(Tasks[[#This Row],[_LeafWork]]=0,0,Tasks[[#This Row],[_LeafWork]]*IFERROR(INDEX(res_Rate,MATCH(Tasks[[#This Row],[Resource]],res_Name,0)),0))</f>
        <v>0</v>
      </c>
      <c r="BM14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4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4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4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4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4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49" s="47" t="n">
        <f aca="false">IF(AND(Tasks[[#This Row],[_IsLeaf]]=1,Tasks[[#This Row],[_LeafWork]]&gt;0),NETWORKDAYS.INTL(ProjectStart,Tasks[[#This Row],[_LeafFcstStart]],WorkWeek,Holidays),0)</f>
        <v>0</v>
      </c>
      <c r="BV14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9" s="47" t="n">
        <f aca="false">IF(AND(Tasks[[#This Row],[_IsLeaf]]=1,Tasks[[#This Row],[_LeafWork]]&gt;0),Tasks[[#This Row],[_LeafWork]]/(Tasks[[#This Row],[_FinishWorkday]]-Tasks[[#This Row],[_StartWorkday]]+1),0)</f>
        <v>0</v>
      </c>
      <c r="BX149" s="47" t="n">
        <f aca="false">Tasks[[#This Row],[_WorkPerWorkday]]*(Tasks[[#This Row],[_StartWorkday]]-1)</f>
        <v>-0</v>
      </c>
      <c r="BY149" s="47" t="n">
        <f aca="false">IF(Tasks[[#This Row],[_IsLeaf]]=1,MAX(N(Tasks[[#This Row],[Duration]]),0.1),0)</f>
        <v>0</v>
      </c>
      <c r="BZ149" s="47" t="n">
        <f aca="false">Tasks[[#This Row],[_WeightDur]]*Tasks[[#This Row],[_LeafProgress]]</f>
        <v>0</v>
      </c>
      <c r="CA14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0" customFormat="false" ht="15" hidden="false" customHeight="false" outlineLevel="0" collapsed="false">
      <c r="A150" s="38" t="str">
        <f aca="false">IF(Tasks[[#This Row],[Task Name]]="","",COUNTA(Tasks[[#Headers],[Task Name]]:Tasks[[#This Row],[Task Name]])-1)</f>
        <v/>
      </c>
      <c r="B150" s="39" t="n">
        <v>145</v>
      </c>
      <c r="C15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0" s="39"/>
      <c r="E150" s="41"/>
      <c r="F150" s="39"/>
      <c r="G150" s="39"/>
      <c r="H150" s="39"/>
      <c r="I150" s="39"/>
      <c r="J150" s="39"/>
      <c r="K150" s="39"/>
      <c r="L150" s="39"/>
      <c r="M150" s="39"/>
      <c r="N150" s="29"/>
      <c r="O150" s="29"/>
      <c r="P150" s="24" t="str">
        <f aca="false">IF(Tasks[[#This Row],[Task Name]]="","",IF(N(Tasks[[#This Row],[Baseline Start]])&gt;0,Tasks[[#This Row],[Baseline Start]],Tasks[[#This Row],[_CalcStart]]))</f>
        <v/>
      </c>
      <c r="Q150" s="24" t="str">
        <f aca="false">IF(Tasks[[#This Row],[Task Name]]="","",IF(N(Tasks[[#This Row],[Baseline Finish]])&gt;0,Tasks[[#This Row],[Baseline Finish]],Tasks[[#This Row],[_CalcFinish]]))</f>
        <v/>
      </c>
      <c r="R150" s="29"/>
      <c r="S150" s="29"/>
      <c r="T15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0" s="31"/>
      <c r="AA15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0" s="41"/>
      <c r="AD150" s="31"/>
      <c r="AE15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0" s="41"/>
      <c r="AJ150" s="24" t="str">
        <f aca="false">IF(Tasks[[#This Row],[Task Name]]="","",Tasks[[#This Row],[Forecast Start]])</f>
        <v/>
      </c>
      <c r="AK150" s="24" t="str">
        <f aca="false">IF(Tasks[[#This Row],[Task Name]]="","",Tasks[[#This Row],[Forecast Finish]])</f>
        <v/>
      </c>
      <c r="AL15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0" s="43" t="str">
        <f aca="false">IF(Tasks[[#This Row],[Task Name]]="","",Tasks[[#This Row],[Work]])</f>
        <v/>
      </c>
      <c r="AN150" s="44" t="str">
        <f aca="false">IF(Tasks[[#This Row],[Task Name]]="","",Tasks[[#This Row],[Cost]])</f>
        <v/>
      </c>
      <c r="AO150" s="29"/>
      <c r="AP150" s="29"/>
      <c r="AQ150" s="39"/>
      <c r="AR150" s="45"/>
      <c r="AS150" s="46"/>
      <c r="AT150" s="40" t="str">
        <f aca="false">IF(OR(Tasks[[#This Row],[Task Name]]="",Tasks[[#This Row],[Baseline Duration]]=""),"",Tasks[[#This Row],[BL Source Duration]]-N(Tasks[[#This Row],[Baseline Duration]]))</f>
        <v/>
      </c>
      <c r="AU150" s="43" t="str">
        <f aca="false">IF(OR(Tasks[[#This Row],[Task Name]]="",Tasks[[#This Row],[Baseline Work]]=""),"",Tasks[[#This Row],[Work]]-N(Tasks[[#This Row],[Baseline Work]]))</f>
        <v/>
      </c>
      <c r="AV150" s="44" t="str">
        <f aca="false">IF(OR(Tasks[[#This Row],[Task Name]]="",Tasks[[#This Row],[Baseline Cost]]=""),"",Tasks[[#This Row],[Cost]]-N(Tasks[[#This Row],[Baseline Cost]]))</f>
        <v/>
      </c>
      <c r="AW150" s="47" t="str">
        <f aca="false">IF(Tasks[[#This Row],[Task Name]]="","",MAX(1,N(Tasks[[#This Row],[Level]])))</f>
        <v/>
      </c>
      <c r="AX150" s="47" t="n">
        <f aca="false">ROW()-ROW(Tasks[[#Headers],[ID]])</f>
        <v>145</v>
      </c>
      <c r="AY15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0" s="47" t="n">
        <f aca="false">IFERROR(N(INDEX(Tasks[_Level],Tasks[[#This Row],[_Row]]+1)),0)</f>
        <v>0</v>
      </c>
      <c r="BA150" s="48" t="b">
        <f aca="false">AND(Tasks[[#This Row],[Task Name]]&lt;&gt;"",Tasks[[#This Row],[_NextLevel]]&gt;Tasks[[#This Row],[_Level]])</f>
        <v>0</v>
      </c>
      <c r="BB150" s="47" t="n">
        <f aca="false">IF(Tasks[[#This Row],[_IsSummary]],COUNTIF(Tasks[WBS],Tasks[[#This Row],[WBS]]&amp;".*"),0)</f>
        <v>0</v>
      </c>
      <c r="BC150" s="47" t="n">
        <f aca="false">IF(AND(Tasks[[#This Row],[Task Name]]&lt;&gt;"",NOT(Tasks[[#This Row],[_IsSummary]])),1,0)</f>
        <v>0</v>
      </c>
      <c r="BD150" s="47" t="n">
        <f aca="false">IF(N(Tasks[[#This Row],[Pred1 UID]])=0,0,IFERROR(MATCH(Tasks[[#This Row],[Pred1 UID]],Tasks[UID],0),-1))</f>
        <v>0</v>
      </c>
      <c r="BE150" s="47" t="n">
        <f aca="false">IF(N(Tasks[[#This Row],[Pred2 UID]])=0,0,IFERROR(MATCH(Tasks[[#This Row],[Pred2 UID]],Tasks[UID],0),-1))</f>
        <v>0</v>
      </c>
      <c r="BF15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0" s="47" t="n">
        <f aca="false">IF(NOT(Tasks[[#This Row],[_IsLeaf]]=1),0,IF(N(Tasks[[#This Row],[Actual Finish]])&gt;0,1,MIN(1,N(Tasks[[#This Row],[% Complete]]))))</f>
        <v>0</v>
      </c>
      <c r="BK15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0" s="47" t="n">
        <f aca="false">IF(Tasks[[#This Row],[_LeafWork]]=0,0,Tasks[[#This Row],[_LeafWork]]*IFERROR(INDEX(res_Rate,MATCH(Tasks[[#This Row],[Resource]],res_Name,0)),0))</f>
        <v>0</v>
      </c>
      <c r="BM15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0" s="47" t="n">
        <f aca="false">IF(AND(Tasks[[#This Row],[_IsLeaf]]=1,Tasks[[#This Row],[_LeafWork]]&gt;0),NETWORKDAYS.INTL(ProjectStart,Tasks[[#This Row],[_LeafFcstStart]],WorkWeek,Holidays),0)</f>
        <v>0</v>
      </c>
      <c r="BV15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0" s="47" t="n">
        <f aca="false">IF(AND(Tasks[[#This Row],[_IsLeaf]]=1,Tasks[[#This Row],[_LeafWork]]&gt;0),Tasks[[#This Row],[_LeafWork]]/(Tasks[[#This Row],[_FinishWorkday]]-Tasks[[#This Row],[_StartWorkday]]+1),0)</f>
        <v>0</v>
      </c>
      <c r="BX150" s="47" t="n">
        <f aca="false">Tasks[[#This Row],[_WorkPerWorkday]]*(Tasks[[#This Row],[_StartWorkday]]-1)</f>
        <v>-0</v>
      </c>
      <c r="BY150" s="47" t="n">
        <f aca="false">IF(Tasks[[#This Row],[_IsLeaf]]=1,MAX(N(Tasks[[#This Row],[Duration]]),0.1),0)</f>
        <v>0</v>
      </c>
      <c r="BZ150" s="47" t="n">
        <f aca="false">Tasks[[#This Row],[_WeightDur]]*Tasks[[#This Row],[_LeafProgress]]</f>
        <v>0</v>
      </c>
      <c r="CA15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1" customFormat="false" ht="15" hidden="false" customHeight="false" outlineLevel="0" collapsed="false">
      <c r="A151" s="38" t="str">
        <f aca="false">IF(Tasks[[#This Row],[Task Name]]="","",COUNTA(Tasks[[#Headers],[Task Name]]:Tasks[[#This Row],[Task Name]])-1)</f>
        <v/>
      </c>
      <c r="B151" s="39" t="n">
        <v>146</v>
      </c>
      <c r="C15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1" s="39"/>
      <c r="E151" s="41"/>
      <c r="F151" s="39"/>
      <c r="G151" s="39"/>
      <c r="H151" s="39"/>
      <c r="I151" s="39"/>
      <c r="J151" s="39"/>
      <c r="K151" s="39"/>
      <c r="L151" s="39"/>
      <c r="M151" s="39"/>
      <c r="N151" s="29"/>
      <c r="O151" s="29"/>
      <c r="P151" s="24" t="str">
        <f aca="false">IF(Tasks[[#This Row],[Task Name]]="","",IF(N(Tasks[[#This Row],[Baseline Start]])&gt;0,Tasks[[#This Row],[Baseline Start]],Tasks[[#This Row],[_CalcStart]]))</f>
        <v/>
      </c>
      <c r="Q151" s="24" t="str">
        <f aca="false">IF(Tasks[[#This Row],[Task Name]]="","",IF(N(Tasks[[#This Row],[Baseline Finish]])&gt;0,Tasks[[#This Row],[Baseline Finish]],Tasks[[#This Row],[_CalcFinish]]))</f>
        <v/>
      </c>
      <c r="R151" s="29"/>
      <c r="S151" s="29"/>
      <c r="T15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1" s="31"/>
      <c r="AA15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1" s="41"/>
      <c r="AD151" s="31"/>
      <c r="AE15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1" s="41"/>
      <c r="AJ151" s="24" t="str">
        <f aca="false">IF(Tasks[[#This Row],[Task Name]]="","",Tasks[[#This Row],[Forecast Start]])</f>
        <v/>
      </c>
      <c r="AK151" s="24" t="str">
        <f aca="false">IF(Tasks[[#This Row],[Task Name]]="","",Tasks[[#This Row],[Forecast Finish]])</f>
        <v/>
      </c>
      <c r="AL15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1" s="43" t="str">
        <f aca="false">IF(Tasks[[#This Row],[Task Name]]="","",Tasks[[#This Row],[Work]])</f>
        <v/>
      </c>
      <c r="AN151" s="44" t="str">
        <f aca="false">IF(Tasks[[#This Row],[Task Name]]="","",Tasks[[#This Row],[Cost]])</f>
        <v/>
      </c>
      <c r="AO151" s="29"/>
      <c r="AP151" s="29"/>
      <c r="AQ151" s="39"/>
      <c r="AR151" s="45"/>
      <c r="AS151" s="46"/>
      <c r="AT151" s="40" t="str">
        <f aca="false">IF(OR(Tasks[[#This Row],[Task Name]]="",Tasks[[#This Row],[Baseline Duration]]=""),"",Tasks[[#This Row],[BL Source Duration]]-N(Tasks[[#This Row],[Baseline Duration]]))</f>
        <v/>
      </c>
      <c r="AU151" s="43" t="str">
        <f aca="false">IF(OR(Tasks[[#This Row],[Task Name]]="",Tasks[[#This Row],[Baseline Work]]=""),"",Tasks[[#This Row],[Work]]-N(Tasks[[#This Row],[Baseline Work]]))</f>
        <v/>
      </c>
      <c r="AV151" s="44" t="str">
        <f aca="false">IF(OR(Tasks[[#This Row],[Task Name]]="",Tasks[[#This Row],[Baseline Cost]]=""),"",Tasks[[#This Row],[Cost]]-N(Tasks[[#This Row],[Baseline Cost]]))</f>
        <v/>
      </c>
      <c r="AW151" s="47" t="str">
        <f aca="false">IF(Tasks[[#This Row],[Task Name]]="","",MAX(1,N(Tasks[[#This Row],[Level]])))</f>
        <v/>
      </c>
      <c r="AX151" s="47" t="n">
        <f aca="false">ROW()-ROW(Tasks[[#Headers],[ID]])</f>
        <v>146</v>
      </c>
      <c r="AY15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1" s="47" t="n">
        <f aca="false">IFERROR(N(INDEX(Tasks[_Level],Tasks[[#This Row],[_Row]]+1)),0)</f>
        <v>0</v>
      </c>
      <c r="BA151" s="48" t="b">
        <f aca="false">AND(Tasks[[#This Row],[Task Name]]&lt;&gt;"",Tasks[[#This Row],[_NextLevel]]&gt;Tasks[[#This Row],[_Level]])</f>
        <v>0</v>
      </c>
      <c r="BB151" s="47" t="n">
        <f aca="false">IF(Tasks[[#This Row],[_IsSummary]],COUNTIF(Tasks[WBS],Tasks[[#This Row],[WBS]]&amp;".*"),0)</f>
        <v>0</v>
      </c>
      <c r="BC151" s="47" t="n">
        <f aca="false">IF(AND(Tasks[[#This Row],[Task Name]]&lt;&gt;"",NOT(Tasks[[#This Row],[_IsSummary]])),1,0)</f>
        <v>0</v>
      </c>
      <c r="BD151" s="47" t="n">
        <f aca="false">IF(N(Tasks[[#This Row],[Pred1 UID]])=0,0,IFERROR(MATCH(Tasks[[#This Row],[Pred1 UID]],Tasks[UID],0),-1))</f>
        <v>0</v>
      </c>
      <c r="BE151" s="47" t="n">
        <f aca="false">IF(N(Tasks[[#This Row],[Pred2 UID]])=0,0,IFERROR(MATCH(Tasks[[#This Row],[Pred2 UID]],Tasks[UID],0),-1))</f>
        <v>0</v>
      </c>
      <c r="BF15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1" s="47" t="n">
        <f aca="false">IF(NOT(Tasks[[#This Row],[_IsLeaf]]=1),0,IF(N(Tasks[[#This Row],[Actual Finish]])&gt;0,1,MIN(1,N(Tasks[[#This Row],[% Complete]]))))</f>
        <v>0</v>
      </c>
      <c r="BK15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1" s="47" t="n">
        <f aca="false">IF(Tasks[[#This Row],[_LeafWork]]=0,0,Tasks[[#This Row],[_LeafWork]]*IFERROR(INDEX(res_Rate,MATCH(Tasks[[#This Row],[Resource]],res_Name,0)),0))</f>
        <v>0</v>
      </c>
      <c r="BM15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1" s="47" t="n">
        <f aca="false">IF(AND(Tasks[[#This Row],[_IsLeaf]]=1,Tasks[[#This Row],[_LeafWork]]&gt;0),NETWORKDAYS.INTL(ProjectStart,Tasks[[#This Row],[_LeafFcstStart]],WorkWeek,Holidays),0)</f>
        <v>0</v>
      </c>
      <c r="BV15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1" s="47" t="n">
        <f aca="false">IF(AND(Tasks[[#This Row],[_IsLeaf]]=1,Tasks[[#This Row],[_LeafWork]]&gt;0),Tasks[[#This Row],[_LeafWork]]/(Tasks[[#This Row],[_FinishWorkday]]-Tasks[[#This Row],[_StartWorkday]]+1),0)</f>
        <v>0</v>
      </c>
      <c r="BX151" s="47" t="n">
        <f aca="false">Tasks[[#This Row],[_WorkPerWorkday]]*(Tasks[[#This Row],[_StartWorkday]]-1)</f>
        <v>-0</v>
      </c>
      <c r="BY151" s="47" t="n">
        <f aca="false">IF(Tasks[[#This Row],[_IsLeaf]]=1,MAX(N(Tasks[[#This Row],[Duration]]),0.1),0)</f>
        <v>0</v>
      </c>
      <c r="BZ151" s="47" t="n">
        <f aca="false">Tasks[[#This Row],[_WeightDur]]*Tasks[[#This Row],[_LeafProgress]]</f>
        <v>0</v>
      </c>
      <c r="CA15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2" customFormat="false" ht="15" hidden="false" customHeight="false" outlineLevel="0" collapsed="false">
      <c r="A152" s="38" t="str">
        <f aca="false">IF(Tasks[[#This Row],[Task Name]]="","",COUNTA(Tasks[[#Headers],[Task Name]]:Tasks[[#This Row],[Task Name]])-1)</f>
        <v/>
      </c>
      <c r="B152" s="39" t="n">
        <v>147</v>
      </c>
      <c r="C15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2" s="39"/>
      <c r="E152" s="41"/>
      <c r="F152" s="39"/>
      <c r="G152" s="39"/>
      <c r="H152" s="39"/>
      <c r="I152" s="39"/>
      <c r="J152" s="39"/>
      <c r="K152" s="39"/>
      <c r="L152" s="39"/>
      <c r="M152" s="39"/>
      <c r="N152" s="29"/>
      <c r="O152" s="29"/>
      <c r="P152" s="24" t="str">
        <f aca="false">IF(Tasks[[#This Row],[Task Name]]="","",IF(N(Tasks[[#This Row],[Baseline Start]])&gt;0,Tasks[[#This Row],[Baseline Start]],Tasks[[#This Row],[_CalcStart]]))</f>
        <v/>
      </c>
      <c r="Q152" s="24" t="str">
        <f aca="false">IF(Tasks[[#This Row],[Task Name]]="","",IF(N(Tasks[[#This Row],[Baseline Finish]])&gt;0,Tasks[[#This Row],[Baseline Finish]],Tasks[[#This Row],[_CalcFinish]]))</f>
        <v/>
      </c>
      <c r="R152" s="29"/>
      <c r="S152" s="29"/>
      <c r="T15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2" s="31"/>
      <c r="AA15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2" s="41"/>
      <c r="AD152" s="31"/>
      <c r="AE15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2" s="41"/>
      <c r="AJ152" s="24" t="str">
        <f aca="false">IF(Tasks[[#This Row],[Task Name]]="","",Tasks[[#This Row],[Forecast Start]])</f>
        <v/>
      </c>
      <c r="AK152" s="24" t="str">
        <f aca="false">IF(Tasks[[#This Row],[Task Name]]="","",Tasks[[#This Row],[Forecast Finish]])</f>
        <v/>
      </c>
      <c r="AL15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2" s="43" t="str">
        <f aca="false">IF(Tasks[[#This Row],[Task Name]]="","",Tasks[[#This Row],[Work]])</f>
        <v/>
      </c>
      <c r="AN152" s="44" t="str">
        <f aca="false">IF(Tasks[[#This Row],[Task Name]]="","",Tasks[[#This Row],[Cost]])</f>
        <v/>
      </c>
      <c r="AO152" s="29"/>
      <c r="AP152" s="29"/>
      <c r="AQ152" s="39"/>
      <c r="AR152" s="45"/>
      <c r="AS152" s="46"/>
      <c r="AT152" s="40" t="str">
        <f aca="false">IF(OR(Tasks[[#This Row],[Task Name]]="",Tasks[[#This Row],[Baseline Duration]]=""),"",Tasks[[#This Row],[BL Source Duration]]-N(Tasks[[#This Row],[Baseline Duration]]))</f>
        <v/>
      </c>
      <c r="AU152" s="43" t="str">
        <f aca="false">IF(OR(Tasks[[#This Row],[Task Name]]="",Tasks[[#This Row],[Baseline Work]]=""),"",Tasks[[#This Row],[Work]]-N(Tasks[[#This Row],[Baseline Work]]))</f>
        <v/>
      </c>
      <c r="AV152" s="44" t="str">
        <f aca="false">IF(OR(Tasks[[#This Row],[Task Name]]="",Tasks[[#This Row],[Baseline Cost]]=""),"",Tasks[[#This Row],[Cost]]-N(Tasks[[#This Row],[Baseline Cost]]))</f>
        <v/>
      </c>
      <c r="AW152" s="47" t="str">
        <f aca="false">IF(Tasks[[#This Row],[Task Name]]="","",MAX(1,N(Tasks[[#This Row],[Level]])))</f>
        <v/>
      </c>
      <c r="AX152" s="47" t="n">
        <f aca="false">ROW()-ROW(Tasks[[#Headers],[ID]])</f>
        <v>147</v>
      </c>
      <c r="AY15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2" s="47" t="n">
        <f aca="false">IFERROR(N(INDEX(Tasks[_Level],Tasks[[#This Row],[_Row]]+1)),0)</f>
        <v>0</v>
      </c>
      <c r="BA152" s="48" t="b">
        <f aca="false">AND(Tasks[[#This Row],[Task Name]]&lt;&gt;"",Tasks[[#This Row],[_NextLevel]]&gt;Tasks[[#This Row],[_Level]])</f>
        <v>0</v>
      </c>
      <c r="BB152" s="47" t="n">
        <f aca="false">IF(Tasks[[#This Row],[_IsSummary]],COUNTIF(Tasks[WBS],Tasks[[#This Row],[WBS]]&amp;".*"),0)</f>
        <v>0</v>
      </c>
      <c r="BC152" s="47" t="n">
        <f aca="false">IF(AND(Tasks[[#This Row],[Task Name]]&lt;&gt;"",NOT(Tasks[[#This Row],[_IsSummary]])),1,0)</f>
        <v>0</v>
      </c>
      <c r="BD152" s="47" t="n">
        <f aca="false">IF(N(Tasks[[#This Row],[Pred1 UID]])=0,0,IFERROR(MATCH(Tasks[[#This Row],[Pred1 UID]],Tasks[UID],0),-1))</f>
        <v>0</v>
      </c>
      <c r="BE152" s="47" t="n">
        <f aca="false">IF(N(Tasks[[#This Row],[Pred2 UID]])=0,0,IFERROR(MATCH(Tasks[[#This Row],[Pred2 UID]],Tasks[UID],0),-1))</f>
        <v>0</v>
      </c>
      <c r="BF15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2" s="47" t="n">
        <f aca="false">IF(NOT(Tasks[[#This Row],[_IsLeaf]]=1),0,IF(N(Tasks[[#This Row],[Actual Finish]])&gt;0,1,MIN(1,N(Tasks[[#This Row],[% Complete]]))))</f>
        <v>0</v>
      </c>
      <c r="BK15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2" s="47" t="n">
        <f aca="false">IF(Tasks[[#This Row],[_LeafWork]]=0,0,Tasks[[#This Row],[_LeafWork]]*IFERROR(INDEX(res_Rate,MATCH(Tasks[[#This Row],[Resource]],res_Name,0)),0))</f>
        <v>0</v>
      </c>
      <c r="BM15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2" s="47" t="n">
        <f aca="false">IF(AND(Tasks[[#This Row],[_IsLeaf]]=1,Tasks[[#This Row],[_LeafWork]]&gt;0),NETWORKDAYS.INTL(ProjectStart,Tasks[[#This Row],[_LeafFcstStart]],WorkWeek,Holidays),0)</f>
        <v>0</v>
      </c>
      <c r="BV15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2" s="47" t="n">
        <f aca="false">IF(AND(Tasks[[#This Row],[_IsLeaf]]=1,Tasks[[#This Row],[_LeafWork]]&gt;0),Tasks[[#This Row],[_LeafWork]]/(Tasks[[#This Row],[_FinishWorkday]]-Tasks[[#This Row],[_StartWorkday]]+1),0)</f>
        <v>0</v>
      </c>
      <c r="BX152" s="47" t="n">
        <f aca="false">Tasks[[#This Row],[_WorkPerWorkday]]*(Tasks[[#This Row],[_StartWorkday]]-1)</f>
        <v>-0</v>
      </c>
      <c r="BY152" s="47" t="n">
        <f aca="false">IF(Tasks[[#This Row],[_IsLeaf]]=1,MAX(N(Tasks[[#This Row],[Duration]]),0.1),0)</f>
        <v>0</v>
      </c>
      <c r="BZ152" s="47" t="n">
        <f aca="false">Tasks[[#This Row],[_WeightDur]]*Tasks[[#This Row],[_LeafProgress]]</f>
        <v>0</v>
      </c>
      <c r="CA15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3" customFormat="false" ht="15" hidden="false" customHeight="false" outlineLevel="0" collapsed="false">
      <c r="A153" s="38" t="str">
        <f aca="false">IF(Tasks[[#This Row],[Task Name]]="","",COUNTA(Tasks[[#Headers],[Task Name]]:Tasks[[#This Row],[Task Name]])-1)</f>
        <v/>
      </c>
      <c r="B153" s="39" t="n">
        <v>148</v>
      </c>
      <c r="C15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3" s="39"/>
      <c r="E153" s="41"/>
      <c r="F153" s="39"/>
      <c r="G153" s="39"/>
      <c r="H153" s="39"/>
      <c r="I153" s="39"/>
      <c r="J153" s="39"/>
      <c r="K153" s="39"/>
      <c r="L153" s="39"/>
      <c r="M153" s="39"/>
      <c r="N153" s="29"/>
      <c r="O153" s="29"/>
      <c r="P153" s="24" t="str">
        <f aca="false">IF(Tasks[[#This Row],[Task Name]]="","",IF(N(Tasks[[#This Row],[Baseline Start]])&gt;0,Tasks[[#This Row],[Baseline Start]],Tasks[[#This Row],[_CalcStart]]))</f>
        <v/>
      </c>
      <c r="Q153" s="24" t="str">
        <f aca="false">IF(Tasks[[#This Row],[Task Name]]="","",IF(N(Tasks[[#This Row],[Baseline Finish]])&gt;0,Tasks[[#This Row],[Baseline Finish]],Tasks[[#This Row],[_CalcFinish]]))</f>
        <v/>
      </c>
      <c r="R153" s="29"/>
      <c r="S153" s="29"/>
      <c r="T15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3" s="31"/>
      <c r="AA15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3" s="41"/>
      <c r="AD153" s="31"/>
      <c r="AE15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3" s="41"/>
      <c r="AJ153" s="24" t="str">
        <f aca="false">IF(Tasks[[#This Row],[Task Name]]="","",Tasks[[#This Row],[Forecast Start]])</f>
        <v/>
      </c>
      <c r="AK153" s="24" t="str">
        <f aca="false">IF(Tasks[[#This Row],[Task Name]]="","",Tasks[[#This Row],[Forecast Finish]])</f>
        <v/>
      </c>
      <c r="AL15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3" s="43" t="str">
        <f aca="false">IF(Tasks[[#This Row],[Task Name]]="","",Tasks[[#This Row],[Work]])</f>
        <v/>
      </c>
      <c r="AN153" s="44" t="str">
        <f aca="false">IF(Tasks[[#This Row],[Task Name]]="","",Tasks[[#This Row],[Cost]])</f>
        <v/>
      </c>
      <c r="AO153" s="29"/>
      <c r="AP153" s="29"/>
      <c r="AQ153" s="39"/>
      <c r="AR153" s="45"/>
      <c r="AS153" s="46"/>
      <c r="AT153" s="40" t="str">
        <f aca="false">IF(OR(Tasks[[#This Row],[Task Name]]="",Tasks[[#This Row],[Baseline Duration]]=""),"",Tasks[[#This Row],[BL Source Duration]]-N(Tasks[[#This Row],[Baseline Duration]]))</f>
        <v/>
      </c>
      <c r="AU153" s="43" t="str">
        <f aca="false">IF(OR(Tasks[[#This Row],[Task Name]]="",Tasks[[#This Row],[Baseline Work]]=""),"",Tasks[[#This Row],[Work]]-N(Tasks[[#This Row],[Baseline Work]]))</f>
        <v/>
      </c>
      <c r="AV153" s="44" t="str">
        <f aca="false">IF(OR(Tasks[[#This Row],[Task Name]]="",Tasks[[#This Row],[Baseline Cost]]=""),"",Tasks[[#This Row],[Cost]]-N(Tasks[[#This Row],[Baseline Cost]]))</f>
        <v/>
      </c>
      <c r="AW153" s="47" t="str">
        <f aca="false">IF(Tasks[[#This Row],[Task Name]]="","",MAX(1,N(Tasks[[#This Row],[Level]])))</f>
        <v/>
      </c>
      <c r="AX153" s="47" t="n">
        <f aca="false">ROW()-ROW(Tasks[[#Headers],[ID]])</f>
        <v>148</v>
      </c>
      <c r="AY15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3" s="47" t="n">
        <f aca="false">IFERROR(N(INDEX(Tasks[_Level],Tasks[[#This Row],[_Row]]+1)),0)</f>
        <v>0</v>
      </c>
      <c r="BA153" s="48" t="b">
        <f aca="false">AND(Tasks[[#This Row],[Task Name]]&lt;&gt;"",Tasks[[#This Row],[_NextLevel]]&gt;Tasks[[#This Row],[_Level]])</f>
        <v>0</v>
      </c>
      <c r="BB153" s="47" t="n">
        <f aca="false">IF(Tasks[[#This Row],[_IsSummary]],COUNTIF(Tasks[WBS],Tasks[[#This Row],[WBS]]&amp;".*"),0)</f>
        <v>0</v>
      </c>
      <c r="BC153" s="47" t="n">
        <f aca="false">IF(AND(Tasks[[#This Row],[Task Name]]&lt;&gt;"",NOT(Tasks[[#This Row],[_IsSummary]])),1,0)</f>
        <v>0</v>
      </c>
      <c r="BD153" s="47" t="n">
        <f aca="false">IF(N(Tasks[[#This Row],[Pred1 UID]])=0,0,IFERROR(MATCH(Tasks[[#This Row],[Pred1 UID]],Tasks[UID],0),-1))</f>
        <v>0</v>
      </c>
      <c r="BE153" s="47" t="n">
        <f aca="false">IF(N(Tasks[[#This Row],[Pred2 UID]])=0,0,IFERROR(MATCH(Tasks[[#This Row],[Pred2 UID]],Tasks[UID],0),-1))</f>
        <v>0</v>
      </c>
      <c r="BF15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3" s="47" t="n">
        <f aca="false">IF(NOT(Tasks[[#This Row],[_IsLeaf]]=1),0,IF(N(Tasks[[#This Row],[Actual Finish]])&gt;0,1,MIN(1,N(Tasks[[#This Row],[% Complete]]))))</f>
        <v>0</v>
      </c>
      <c r="BK15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3" s="47" t="n">
        <f aca="false">IF(Tasks[[#This Row],[_LeafWork]]=0,0,Tasks[[#This Row],[_LeafWork]]*IFERROR(INDEX(res_Rate,MATCH(Tasks[[#This Row],[Resource]],res_Name,0)),0))</f>
        <v>0</v>
      </c>
      <c r="BM15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3" s="47" t="n">
        <f aca="false">IF(AND(Tasks[[#This Row],[_IsLeaf]]=1,Tasks[[#This Row],[_LeafWork]]&gt;0),NETWORKDAYS.INTL(ProjectStart,Tasks[[#This Row],[_LeafFcstStart]],WorkWeek,Holidays),0)</f>
        <v>0</v>
      </c>
      <c r="BV15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3" s="47" t="n">
        <f aca="false">IF(AND(Tasks[[#This Row],[_IsLeaf]]=1,Tasks[[#This Row],[_LeafWork]]&gt;0),Tasks[[#This Row],[_LeafWork]]/(Tasks[[#This Row],[_FinishWorkday]]-Tasks[[#This Row],[_StartWorkday]]+1),0)</f>
        <v>0</v>
      </c>
      <c r="BX153" s="47" t="n">
        <f aca="false">Tasks[[#This Row],[_WorkPerWorkday]]*(Tasks[[#This Row],[_StartWorkday]]-1)</f>
        <v>-0</v>
      </c>
      <c r="BY153" s="47" t="n">
        <f aca="false">IF(Tasks[[#This Row],[_IsLeaf]]=1,MAX(N(Tasks[[#This Row],[Duration]]),0.1),0)</f>
        <v>0</v>
      </c>
      <c r="BZ153" s="47" t="n">
        <f aca="false">Tasks[[#This Row],[_WeightDur]]*Tasks[[#This Row],[_LeafProgress]]</f>
        <v>0</v>
      </c>
      <c r="CA15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4" customFormat="false" ht="15" hidden="false" customHeight="false" outlineLevel="0" collapsed="false">
      <c r="A154" s="38" t="str">
        <f aca="false">IF(Tasks[[#This Row],[Task Name]]="","",COUNTA(Tasks[[#Headers],[Task Name]]:Tasks[[#This Row],[Task Name]])-1)</f>
        <v/>
      </c>
      <c r="B154" s="39" t="n">
        <v>149</v>
      </c>
      <c r="C15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4" s="39"/>
      <c r="E154" s="41"/>
      <c r="F154" s="39"/>
      <c r="G154" s="39"/>
      <c r="H154" s="39"/>
      <c r="I154" s="39"/>
      <c r="J154" s="39"/>
      <c r="K154" s="39"/>
      <c r="L154" s="39"/>
      <c r="M154" s="39"/>
      <c r="N154" s="29"/>
      <c r="O154" s="29"/>
      <c r="P154" s="24" t="str">
        <f aca="false">IF(Tasks[[#This Row],[Task Name]]="","",IF(N(Tasks[[#This Row],[Baseline Start]])&gt;0,Tasks[[#This Row],[Baseline Start]],Tasks[[#This Row],[_CalcStart]]))</f>
        <v/>
      </c>
      <c r="Q154" s="24" t="str">
        <f aca="false">IF(Tasks[[#This Row],[Task Name]]="","",IF(N(Tasks[[#This Row],[Baseline Finish]])&gt;0,Tasks[[#This Row],[Baseline Finish]],Tasks[[#This Row],[_CalcFinish]]))</f>
        <v/>
      </c>
      <c r="R154" s="29"/>
      <c r="S154" s="29"/>
      <c r="T15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4" s="31"/>
      <c r="AA15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4" s="41"/>
      <c r="AD154" s="31"/>
      <c r="AE15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4" s="41"/>
      <c r="AJ154" s="24" t="str">
        <f aca="false">IF(Tasks[[#This Row],[Task Name]]="","",Tasks[[#This Row],[Forecast Start]])</f>
        <v/>
      </c>
      <c r="AK154" s="24" t="str">
        <f aca="false">IF(Tasks[[#This Row],[Task Name]]="","",Tasks[[#This Row],[Forecast Finish]])</f>
        <v/>
      </c>
      <c r="AL15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4" s="43" t="str">
        <f aca="false">IF(Tasks[[#This Row],[Task Name]]="","",Tasks[[#This Row],[Work]])</f>
        <v/>
      </c>
      <c r="AN154" s="44" t="str">
        <f aca="false">IF(Tasks[[#This Row],[Task Name]]="","",Tasks[[#This Row],[Cost]])</f>
        <v/>
      </c>
      <c r="AO154" s="29"/>
      <c r="AP154" s="29"/>
      <c r="AQ154" s="39"/>
      <c r="AR154" s="45"/>
      <c r="AS154" s="46"/>
      <c r="AT154" s="40" t="str">
        <f aca="false">IF(OR(Tasks[[#This Row],[Task Name]]="",Tasks[[#This Row],[Baseline Duration]]=""),"",Tasks[[#This Row],[BL Source Duration]]-N(Tasks[[#This Row],[Baseline Duration]]))</f>
        <v/>
      </c>
      <c r="AU154" s="43" t="str">
        <f aca="false">IF(OR(Tasks[[#This Row],[Task Name]]="",Tasks[[#This Row],[Baseline Work]]=""),"",Tasks[[#This Row],[Work]]-N(Tasks[[#This Row],[Baseline Work]]))</f>
        <v/>
      </c>
      <c r="AV154" s="44" t="str">
        <f aca="false">IF(OR(Tasks[[#This Row],[Task Name]]="",Tasks[[#This Row],[Baseline Cost]]=""),"",Tasks[[#This Row],[Cost]]-N(Tasks[[#This Row],[Baseline Cost]]))</f>
        <v/>
      </c>
      <c r="AW154" s="47" t="str">
        <f aca="false">IF(Tasks[[#This Row],[Task Name]]="","",MAX(1,N(Tasks[[#This Row],[Level]])))</f>
        <v/>
      </c>
      <c r="AX154" s="47" t="n">
        <f aca="false">ROW()-ROW(Tasks[[#Headers],[ID]])</f>
        <v>149</v>
      </c>
      <c r="AY15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4" s="47" t="n">
        <f aca="false">IFERROR(N(INDEX(Tasks[_Level],Tasks[[#This Row],[_Row]]+1)),0)</f>
        <v>0</v>
      </c>
      <c r="BA154" s="48" t="b">
        <f aca="false">AND(Tasks[[#This Row],[Task Name]]&lt;&gt;"",Tasks[[#This Row],[_NextLevel]]&gt;Tasks[[#This Row],[_Level]])</f>
        <v>0</v>
      </c>
      <c r="BB154" s="47" t="n">
        <f aca="false">IF(Tasks[[#This Row],[_IsSummary]],COUNTIF(Tasks[WBS],Tasks[[#This Row],[WBS]]&amp;".*"),0)</f>
        <v>0</v>
      </c>
      <c r="BC154" s="47" t="n">
        <f aca="false">IF(AND(Tasks[[#This Row],[Task Name]]&lt;&gt;"",NOT(Tasks[[#This Row],[_IsSummary]])),1,0)</f>
        <v>0</v>
      </c>
      <c r="BD154" s="47" t="n">
        <f aca="false">IF(N(Tasks[[#This Row],[Pred1 UID]])=0,0,IFERROR(MATCH(Tasks[[#This Row],[Pred1 UID]],Tasks[UID],0),-1))</f>
        <v>0</v>
      </c>
      <c r="BE154" s="47" t="n">
        <f aca="false">IF(N(Tasks[[#This Row],[Pred2 UID]])=0,0,IFERROR(MATCH(Tasks[[#This Row],[Pred2 UID]],Tasks[UID],0),-1))</f>
        <v>0</v>
      </c>
      <c r="BF15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4" s="47" t="n">
        <f aca="false">IF(NOT(Tasks[[#This Row],[_IsLeaf]]=1),0,IF(N(Tasks[[#This Row],[Actual Finish]])&gt;0,1,MIN(1,N(Tasks[[#This Row],[% Complete]]))))</f>
        <v>0</v>
      </c>
      <c r="BK15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4" s="47" t="n">
        <f aca="false">IF(Tasks[[#This Row],[_LeafWork]]=0,0,Tasks[[#This Row],[_LeafWork]]*IFERROR(INDEX(res_Rate,MATCH(Tasks[[#This Row],[Resource]],res_Name,0)),0))</f>
        <v>0</v>
      </c>
      <c r="BM15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4" s="47" t="n">
        <f aca="false">IF(AND(Tasks[[#This Row],[_IsLeaf]]=1,Tasks[[#This Row],[_LeafWork]]&gt;0),NETWORKDAYS.INTL(ProjectStart,Tasks[[#This Row],[_LeafFcstStart]],WorkWeek,Holidays),0)</f>
        <v>0</v>
      </c>
      <c r="BV15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4" s="47" t="n">
        <f aca="false">IF(AND(Tasks[[#This Row],[_IsLeaf]]=1,Tasks[[#This Row],[_LeafWork]]&gt;0),Tasks[[#This Row],[_LeafWork]]/(Tasks[[#This Row],[_FinishWorkday]]-Tasks[[#This Row],[_StartWorkday]]+1),0)</f>
        <v>0</v>
      </c>
      <c r="BX154" s="47" t="n">
        <f aca="false">Tasks[[#This Row],[_WorkPerWorkday]]*(Tasks[[#This Row],[_StartWorkday]]-1)</f>
        <v>-0</v>
      </c>
      <c r="BY154" s="47" t="n">
        <f aca="false">IF(Tasks[[#This Row],[_IsLeaf]]=1,MAX(N(Tasks[[#This Row],[Duration]]),0.1),0)</f>
        <v>0</v>
      </c>
      <c r="BZ154" s="47" t="n">
        <f aca="false">Tasks[[#This Row],[_WeightDur]]*Tasks[[#This Row],[_LeafProgress]]</f>
        <v>0</v>
      </c>
      <c r="CA15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5" customFormat="false" ht="15" hidden="false" customHeight="false" outlineLevel="0" collapsed="false">
      <c r="A155" s="38" t="str">
        <f aca="false">IF(Tasks[[#This Row],[Task Name]]="","",COUNTA(Tasks[[#Headers],[Task Name]]:Tasks[[#This Row],[Task Name]])-1)</f>
        <v/>
      </c>
      <c r="B155" s="39" t="n">
        <v>150</v>
      </c>
      <c r="C15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5" s="39"/>
      <c r="E155" s="41"/>
      <c r="F155" s="39"/>
      <c r="G155" s="39"/>
      <c r="H155" s="39"/>
      <c r="I155" s="39"/>
      <c r="J155" s="39"/>
      <c r="K155" s="39"/>
      <c r="L155" s="39"/>
      <c r="M155" s="39"/>
      <c r="N155" s="29"/>
      <c r="O155" s="29"/>
      <c r="P155" s="24" t="str">
        <f aca="false">IF(Tasks[[#This Row],[Task Name]]="","",IF(N(Tasks[[#This Row],[Baseline Start]])&gt;0,Tasks[[#This Row],[Baseline Start]],Tasks[[#This Row],[_CalcStart]]))</f>
        <v/>
      </c>
      <c r="Q155" s="24" t="str">
        <f aca="false">IF(Tasks[[#This Row],[Task Name]]="","",IF(N(Tasks[[#This Row],[Baseline Finish]])&gt;0,Tasks[[#This Row],[Baseline Finish]],Tasks[[#This Row],[_CalcFinish]]))</f>
        <v/>
      </c>
      <c r="R155" s="29"/>
      <c r="S155" s="29"/>
      <c r="T15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5" s="31"/>
      <c r="AA15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5" s="41"/>
      <c r="AD155" s="31"/>
      <c r="AE15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5" s="41"/>
      <c r="AJ155" s="24" t="str">
        <f aca="false">IF(Tasks[[#This Row],[Task Name]]="","",Tasks[[#This Row],[Forecast Start]])</f>
        <v/>
      </c>
      <c r="AK155" s="24" t="str">
        <f aca="false">IF(Tasks[[#This Row],[Task Name]]="","",Tasks[[#This Row],[Forecast Finish]])</f>
        <v/>
      </c>
      <c r="AL15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5" s="43" t="str">
        <f aca="false">IF(Tasks[[#This Row],[Task Name]]="","",Tasks[[#This Row],[Work]])</f>
        <v/>
      </c>
      <c r="AN155" s="44" t="str">
        <f aca="false">IF(Tasks[[#This Row],[Task Name]]="","",Tasks[[#This Row],[Cost]])</f>
        <v/>
      </c>
      <c r="AO155" s="29"/>
      <c r="AP155" s="29"/>
      <c r="AQ155" s="39"/>
      <c r="AR155" s="45"/>
      <c r="AS155" s="46"/>
      <c r="AT155" s="40" t="str">
        <f aca="false">IF(OR(Tasks[[#This Row],[Task Name]]="",Tasks[[#This Row],[Baseline Duration]]=""),"",Tasks[[#This Row],[BL Source Duration]]-N(Tasks[[#This Row],[Baseline Duration]]))</f>
        <v/>
      </c>
      <c r="AU155" s="43" t="str">
        <f aca="false">IF(OR(Tasks[[#This Row],[Task Name]]="",Tasks[[#This Row],[Baseline Work]]=""),"",Tasks[[#This Row],[Work]]-N(Tasks[[#This Row],[Baseline Work]]))</f>
        <v/>
      </c>
      <c r="AV155" s="44" t="str">
        <f aca="false">IF(OR(Tasks[[#This Row],[Task Name]]="",Tasks[[#This Row],[Baseline Cost]]=""),"",Tasks[[#This Row],[Cost]]-N(Tasks[[#This Row],[Baseline Cost]]))</f>
        <v/>
      </c>
      <c r="AW155" s="47" t="str">
        <f aca="false">IF(Tasks[[#This Row],[Task Name]]="","",MAX(1,N(Tasks[[#This Row],[Level]])))</f>
        <v/>
      </c>
      <c r="AX155" s="47" t="n">
        <f aca="false">ROW()-ROW(Tasks[[#Headers],[ID]])</f>
        <v>150</v>
      </c>
      <c r="AY15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5" s="47" t="n">
        <f aca="false">IFERROR(N(INDEX(Tasks[_Level],Tasks[[#This Row],[_Row]]+1)),0)</f>
        <v>0</v>
      </c>
      <c r="BA155" s="48" t="b">
        <f aca="false">AND(Tasks[[#This Row],[Task Name]]&lt;&gt;"",Tasks[[#This Row],[_NextLevel]]&gt;Tasks[[#This Row],[_Level]])</f>
        <v>0</v>
      </c>
      <c r="BB155" s="47" t="n">
        <f aca="false">IF(Tasks[[#This Row],[_IsSummary]],COUNTIF(Tasks[WBS],Tasks[[#This Row],[WBS]]&amp;".*"),0)</f>
        <v>0</v>
      </c>
      <c r="BC155" s="47" t="n">
        <f aca="false">IF(AND(Tasks[[#This Row],[Task Name]]&lt;&gt;"",NOT(Tasks[[#This Row],[_IsSummary]])),1,0)</f>
        <v>0</v>
      </c>
      <c r="BD155" s="47" t="n">
        <f aca="false">IF(N(Tasks[[#This Row],[Pred1 UID]])=0,0,IFERROR(MATCH(Tasks[[#This Row],[Pred1 UID]],Tasks[UID],0),-1))</f>
        <v>0</v>
      </c>
      <c r="BE155" s="47" t="n">
        <f aca="false">IF(N(Tasks[[#This Row],[Pred2 UID]])=0,0,IFERROR(MATCH(Tasks[[#This Row],[Pred2 UID]],Tasks[UID],0),-1))</f>
        <v>0</v>
      </c>
      <c r="BF15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5" s="47" t="n">
        <f aca="false">IF(NOT(Tasks[[#This Row],[_IsLeaf]]=1),0,IF(N(Tasks[[#This Row],[Actual Finish]])&gt;0,1,MIN(1,N(Tasks[[#This Row],[% Complete]]))))</f>
        <v>0</v>
      </c>
      <c r="BK15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5" s="47" t="n">
        <f aca="false">IF(Tasks[[#This Row],[_LeafWork]]=0,0,Tasks[[#This Row],[_LeafWork]]*IFERROR(INDEX(res_Rate,MATCH(Tasks[[#This Row],[Resource]],res_Name,0)),0))</f>
        <v>0</v>
      </c>
      <c r="BM15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5" s="47" t="n">
        <f aca="false">IF(AND(Tasks[[#This Row],[_IsLeaf]]=1,Tasks[[#This Row],[_LeafWork]]&gt;0),NETWORKDAYS.INTL(ProjectStart,Tasks[[#This Row],[_LeafFcstStart]],WorkWeek,Holidays),0)</f>
        <v>0</v>
      </c>
      <c r="BV15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5" s="47" t="n">
        <f aca="false">IF(AND(Tasks[[#This Row],[_IsLeaf]]=1,Tasks[[#This Row],[_LeafWork]]&gt;0),Tasks[[#This Row],[_LeafWork]]/(Tasks[[#This Row],[_FinishWorkday]]-Tasks[[#This Row],[_StartWorkday]]+1),0)</f>
        <v>0</v>
      </c>
      <c r="BX155" s="47" t="n">
        <f aca="false">Tasks[[#This Row],[_WorkPerWorkday]]*(Tasks[[#This Row],[_StartWorkday]]-1)</f>
        <v>-0</v>
      </c>
      <c r="BY155" s="47" t="n">
        <f aca="false">IF(Tasks[[#This Row],[_IsLeaf]]=1,MAX(N(Tasks[[#This Row],[Duration]]),0.1),0)</f>
        <v>0</v>
      </c>
      <c r="BZ155" s="47" t="n">
        <f aca="false">Tasks[[#This Row],[_WeightDur]]*Tasks[[#This Row],[_LeafProgress]]</f>
        <v>0</v>
      </c>
      <c r="CA15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6" customFormat="false" ht="15" hidden="false" customHeight="false" outlineLevel="0" collapsed="false">
      <c r="A156" s="38" t="str">
        <f aca="false">IF(Tasks[[#This Row],[Task Name]]="","",COUNTA(Tasks[[#Headers],[Task Name]]:Tasks[[#This Row],[Task Name]])-1)</f>
        <v/>
      </c>
      <c r="B156" s="39" t="n">
        <v>151</v>
      </c>
      <c r="C15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6" s="39"/>
      <c r="E156" s="41"/>
      <c r="F156" s="39"/>
      <c r="G156" s="39"/>
      <c r="H156" s="39"/>
      <c r="I156" s="39"/>
      <c r="J156" s="39"/>
      <c r="K156" s="39"/>
      <c r="L156" s="39"/>
      <c r="M156" s="39"/>
      <c r="N156" s="29"/>
      <c r="O156" s="29"/>
      <c r="P156" s="24" t="str">
        <f aca="false">IF(Tasks[[#This Row],[Task Name]]="","",IF(N(Tasks[[#This Row],[Baseline Start]])&gt;0,Tasks[[#This Row],[Baseline Start]],Tasks[[#This Row],[_CalcStart]]))</f>
        <v/>
      </c>
      <c r="Q156" s="24" t="str">
        <f aca="false">IF(Tasks[[#This Row],[Task Name]]="","",IF(N(Tasks[[#This Row],[Baseline Finish]])&gt;0,Tasks[[#This Row],[Baseline Finish]],Tasks[[#This Row],[_CalcFinish]]))</f>
        <v/>
      </c>
      <c r="R156" s="29"/>
      <c r="S156" s="29"/>
      <c r="T15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6" s="31"/>
      <c r="AA15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6" s="41"/>
      <c r="AD156" s="31"/>
      <c r="AE15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6" s="41"/>
      <c r="AJ156" s="24" t="str">
        <f aca="false">IF(Tasks[[#This Row],[Task Name]]="","",Tasks[[#This Row],[Forecast Start]])</f>
        <v/>
      </c>
      <c r="AK156" s="24" t="str">
        <f aca="false">IF(Tasks[[#This Row],[Task Name]]="","",Tasks[[#This Row],[Forecast Finish]])</f>
        <v/>
      </c>
      <c r="AL15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6" s="43" t="str">
        <f aca="false">IF(Tasks[[#This Row],[Task Name]]="","",Tasks[[#This Row],[Work]])</f>
        <v/>
      </c>
      <c r="AN156" s="44" t="str">
        <f aca="false">IF(Tasks[[#This Row],[Task Name]]="","",Tasks[[#This Row],[Cost]])</f>
        <v/>
      </c>
      <c r="AO156" s="29"/>
      <c r="AP156" s="29"/>
      <c r="AQ156" s="39"/>
      <c r="AR156" s="45"/>
      <c r="AS156" s="46"/>
      <c r="AT156" s="40" t="str">
        <f aca="false">IF(OR(Tasks[[#This Row],[Task Name]]="",Tasks[[#This Row],[Baseline Duration]]=""),"",Tasks[[#This Row],[BL Source Duration]]-N(Tasks[[#This Row],[Baseline Duration]]))</f>
        <v/>
      </c>
      <c r="AU156" s="43" t="str">
        <f aca="false">IF(OR(Tasks[[#This Row],[Task Name]]="",Tasks[[#This Row],[Baseline Work]]=""),"",Tasks[[#This Row],[Work]]-N(Tasks[[#This Row],[Baseline Work]]))</f>
        <v/>
      </c>
      <c r="AV156" s="44" t="str">
        <f aca="false">IF(OR(Tasks[[#This Row],[Task Name]]="",Tasks[[#This Row],[Baseline Cost]]=""),"",Tasks[[#This Row],[Cost]]-N(Tasks[[#This Row],[Baseline Cost]]))</f>
        <v/>
      </c>
      <c r="AW156" s="47" t="str">
        <f aca="false">IF(Tasks[[#This Row],[Task Name]]="","",MAX(1,N(Tasks[[#This Row],[Level]])))</f>
        <v/>
      </c>
      <c r="AX156" s="47" t="n">
        <f aca="false">ROW()-ROW(Tasks[[#Headers],[ID]])</f>
        <v>151</v>
      </c>
      <c r="AY15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6" s="47" t="n">
        <f aca="false">IFERROR(N(INDEX(Tasks[_Level],Tasks[[#This Row],[_Row]]+1)),0)</f>
        <v>0</v>
      </c>
      <c r="BA156" s="48" t="b">
        <f aca="false">AND(Tasks[[#This Row],[Task Name]]&lt;&gt;"",Tasks[[#This Row],[_NextLevel]]&gt;Tasks[[#This Row],[_Level]])</f>
        <v>0</v>
      </c>
      <c r="BB156" s="47" t="n">
        <f aca="false">IF(Tasks[[#This Row],[_IsSummary]],COUNTIF(Tasks[WBS],Tasks[[#This Row],[WBS]]&amp;".*"),0)</f>
        <v>0</v>
      </c>
      <c r="BC156" s="47" t="n">
        <f aca="false">IF(AND(Tasks[[#This Row],[Task Name]]&lt;&gt;"",NOT(Tasks[[#This Row],[_IsSummary]])),1,0)</f>
        <v>0</v>
      </c>
      <c r="BD156" s="47" t="n">
        <f aca="false">IF(N(Tasks[[#This Row],[Pred1 UID]])=0,0,IFERROR(MATCH(Tasks[[#This Row],[Pred1 UID]],Tasks[UID],0),-1))</f>
        <v>0</v>
      </c>
      <c r="BE156" s="47" t="n">
        <f aca="false">IF(N(Tasks[[#This Row],[Pred2 UID]])=0,0,IFERROR(MATCH(Tasks[[#This Row],[Pred2 UID]],Tasks[UID],0),-1))</f>
        <v>0</v>
      </c>
      <c r="BF15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6" s="47" t="n">
        <f aca="false">IF(NOT(Tasks[[#This Row],[_IsLeaf]]=1),0,IF(N(Tasks[[#This Row],[Actual Finish]])&gt;0,1,MIN(1,N(Tasks[[#This Row],[% Complete]]))))</f>
        <v>0</v>
      </c>
      <c r="BK15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6" s="47" t="n">
        <f aca="false">IF(Tasks[[#This Row],[_LeafWork]]=0,0,Tasks[[#This Row],[_LeafWork]]*IFERROR(INDEX(res_Rate,MATCH(Tasks[[#This Row],[Resource]],res_Name,0)),0))</f>
        <v>0</v>
      </c>
      <c r="BM15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6" s="47" t="n">
        <f aca="false">IF(AND(Tasks[[#This Row],[_IsLeaf]]=1,Tasks[[#This Row],[_LeafWork]]&gt;0),NETWORKDAYS.INTL(ProjectStart,Tasks[[#This Row],[_LeafFcstStart]],WorkWeek,Holidays),0)</f>
        <v>0</v>
      </c>
      <c r="BV15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6" s="47" t="n">
        <f aca="false">IF(AND(Tasks[[#This Row],[_IsLeaf]]=1,Tasks[[#This Row],[_LeafWork]]&gt;0),Tasks[[#This Row],[_LeafWork]]/(Tasks[[#This Row],[_FinishWorkday]]-Tasks[[#This Row],[_StartWorkday]]+1),0)</f>
        <v>0</v>
      </c>
      <c r="BX156" s="47" t="n">
        <f aca="false">Tasks[[#This Row],[_WorkPerWorkday]]*(Tasks[[#This Row],[_StartWorkday]]-1)</f>
        <v>-0</v>
      </c>
      <c r="BY156" s="47" t="n">
        <f aca="false">IF(Tasks[[#This Row],[_IsLeaf]]=1,MAX(N(Tasks[[#This Row],[Duration]]),0.1),0)</f>
        <v>0</v>
      </c>
      <c r="BZ156" s="47" t="n">
        <f aca="false">Tasks[[#This Row],[_WeightDur]]*Tasks[[#This Row],[_LeafProgress]]</f>
        <v>0</v>
      </c>
      <c r="CA15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7" customFormat="false" ht="15" hidden="false" customHeight="false" outlineLevel="0" collapsed="false">
      <c r="A157" s="38" t="str">
        <f aca="false">IF(Tasks[[#This Row],[Task Name]]="","",COUNTA(Tasks[[#Headers],[Task Name]]:Tasks[[#This Row],[Task Name]])-1)</f>
        <v/>
      </c>
      <c r="B157" s="39" t="n">
        <v>152</v>
      </c>
      <c r="C15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7" s="39"/>
      <c r="E157" s="41"/>
      <c r="F157" s="39"/>
      <c r="G157" s="39"/>
      <c r="H157" s="39"/>
      <c r="I157" s="39"/>
      <c r="J157" s="39"/>
      <c r="K157" s="39"/>
      <c r="L157" s="39"/>
      <c r="M157" s="39"/>
      <c r="N157" s="29"/>
      <c r="O157" s="29"/>
      <c r="P157" s="24" t="str">
        <f aca="false">IF(Tasks[[#This Row],[Task Name]]="","",IF(N(Tasks[[#This Row],[Baseline Start]])&gt;0,Tasks[[#This Row],[Baseline Start]],Tasks[[#This Row],[_CalcStart]]))</f>
        <v/>
      </c>
      <c r="Q157" s="24" t="str">
        <f aca="false">IF(Tasks[[#This Row],[Task Name]]="","",IF(N(Tasks[[#This Row],[Baseline Finish]])&gt;0,Tasks[[#This Row],[Baseline Finish]],Tasks[[#This Row],[_CalcFinish]]))</f>
        <v/>
      </c>
      <c r="R157" s="29"/>
      <c r="S157" s="29"/>
      <c r="T15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7" s="31"/>
      <c r="AA15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7" s="41"/>
      <c r="AD157" s="31"/>
      <c r="AE15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7" s="41"/>
      <c r="AJ157" s="24" t="str">
        <f aca="false">IF(Tasks[[#This Row],[Task Name]]="","",Tasks[[#This Row],[Forecast Start]])</f>
        <v/>
      </c>
      <c r="AK157" s="24" t="str">
        <f aca="false">IF(Tasks[[#This Row],[Task Name]]="","",Tasks[[#This Row],[Forecast Finish]])</f>
        <v/>
      </c>
      <c r="AL15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7" s="43" t="str">
        <f aca="false">IF(Tasks[[#This Row],[Task Name]]="","",Tasks[[#This Row],[Work]])</f>
        <v/>
      </c>
      <c r="AN157" s="44" t="str">
        <f aca="false">IF(Tasks[[#This Row],[Task Name]]="","",Tasks[[#This Row],[Cost]])</f>
        <v/>
      </c>
      <c r="AO157" s="29"/>
      <c r="AP157" s="29"/>
      <c r="AQ157" s="39"/>
      <c r="AR157" s="45"/>
      <c r="AS157" s="46"/>
      <c r="AT157" s="40" t="str">
        <f aca="false">IF(OR(Tasks[[#This Row],[Task Name]]="",Tasks[[#This Row],[Baseline Duration]]=""),"",Tasks[[#This Row],[BL Source Duration]]-N(Tasks[[#This Row],[Baseline Duration]]))</f>
        <v/>
      </c>
      <c r="AU157" s="43" t="str">
        <f aca="false">IF(OR(Tasks[[#This Row],[Task Name]]="",Tasks[[#This Row],[Baseline Work]]=""),"",Tasks[[#This Row],[Work]]-N(Tasks[[#This Row],[Baseline Work]]))</f>
        <v/>
      </c>
      <c r="AV157" s="44" t="str">
        <f aca="false">IF(OR(Tasks[[#This Row],[Task Name]]="",Tasks[[#This Row],[Baseline Cost]]=""),"",Tasks[[#This Row],[Cost]]-N(Tasks[[#This Row],[Baseline Cost]]))</f>
        <v/>
      </c>
      <c r="AW157" s="47" t="str">
        <f aca="false">IF(Tasks[[#This Row],[Task Name]]="","",MAX(1,N(Tasks[[#This Row],[Level]])))</f>
        <v/>
      </c>
      <c r="AX157" s="47" t="n">
        <f aca="false">ROW()-ROW(Tasks[[#Headers],[ID]])</f>
        <v>152</v>
      </c>
      <c r="AY15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7" s="47" t="n">
        <f aca="false">IFERROR(N(INDEX(Tasks[_Level],Tasks[[#This Row],[_Row]]+1)),0)</f>
        <v>0</v>
      </c>
      <c r="BA157" s="48" t="b">
        <f aca="false">AND(Tasks[[#This Row],[Task Name]]&lt;&gt;"",Tasks[[#This Row],[_NextLevel]]&gt;Tasks[[#This Row],[_Level]])</f>
        <v>0</v>
      </c>
      <c r="BB157" s="47" t="n">
        <f aca="false">IF(Tasks[[#This Row],[_IsSummary]],COUNTIF(Tasks[WBS],Tasks[[#This Row],[WBS]]&amp;".*"),0)</f>
        <v>0</v>
      </c>
      <c r="BC157" s="47" t="n">
        <f aca="false">IF(AND(Tasks[[#This Row],[Task Name]]&lt;&gt;"",NOT(Tasks[[#This Row],[_IsSummary]])),1,0)</f>
        <v>0</v>
      </c>
      <c r="BD157" s="47" t="n">
        <f aca="false">IF(N(Tasks[[#This Row],[Pred1 UID]])=0,0,IFERROR(MATCH(Tasks[[#This Row],[Pred1 UID]],Tasks[UID],0),-1))</f>
        <v>0</v>
      </c>
      <c r="BE157" s="47" t="n">
        <f aca="false">IF(N(Tasks[[#This Row],[Pred2 UID]])=0,0,IFERROR(MATCH(Tasks[[#This Row],[Pred2 UID]],Tasks[UID],0),-1))</f>
        <v>0</v>
      </c>
      <c r="BF15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7" s="47" t="n">
        <f aca="false">IF(NOT(Tasks[[#This Row],[_IsLeaf]]=1),0,IF(N(Tasks[[#This Row],[Actual Finish]])&gt;0,1,MIN(1,N(Tasks[[#This Row],[% Complete]]))))</f>
        <v>0</v>
      </c>
      <c r="BK15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7" s="47" t="n">
        <f aca="false">IF(Tasks[[#This Row],[_LeafWork]]=0,0,Tasks[[#This Row],[_LeafWork]]*IFERROR(INDEX(res_Rate,MATCH(Tasks[[#This Row],[Resource]],res_Name,0)),0))</f>
        <v>0</v>
      </c>
      <c r="BM15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7" s="47" t="n">
        <f aca="false">IF(AND(Tasks[[#This Row],[_IsLeaf]]=1,Tasks[[#This Row],[_LeafWork]]&gt;0),NETWORKDAYS.INTL(ProjectStart,Tasks[[#This Row],[_LeafFcstStart]],WorkWeek,Holidays),0)</f>
        <v>0</v>
      </c>
      <c r="BV15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7" s="47" t="n">
        <f aca="false">IF(AND(Tasks[[#This Row],[_IsLeaf]]=1,Tasks[[#This Row],[_LeafWork]]&gt;0),Tasks[[#This Row],[_LeafWork]]/(Tasks[[#This Row],[_FinishWorkday]]-Tasks[[#This Row],[_StartWorkday]]+1),0)</f>
        <v>0</v>
      </c>
      <c r="BX157" s="47" t="n">
        <f aca="false">Tasks[[#This Row],[_WorkPerWorkday]]*(Tasks[[#This Row],[_StartWorkday]]-1)</f>
        <v>-0</v>
      </c>
      <c r="BY157" s="47" t="n">
        <f aca="false">IF(Tasks[[#This Row],[_IsLeaf]]=1,MAX(N(Tasks[[#This Row],[Duration]]),0.1),0)</f>
        <v>0</v>
      </c>
      <c r="BZ157" s="47" t="n">
        <f aca="false">Tasks[[#This Row],[_WeightDur]]*Tasks[[#This Row],[_LeafProgress]]</f>
        <v>0</v>
      </c>
      <c r="CA15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8" customFormat="false" ht="15" hidden="false" customHeight="false" outlineLevel="0" collapsed="false">
      <c r="A158" s="38" t="str">
        <f aca="false">IF(Tasks[[#This Row],[Task Name]]="","",COUNTA(Tasks[[#Headers],[Task Name]]:Tasks[[#This Row],[Task Name]])-1)</f>
        <v/>
      </c>
      <c r="B158" s="39" t="n">
        <v>153</v>
      </c>
      <c r="C15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8" s="39"/>
      <c r="E158" s="41"/>
      <c r="F158" s="39"/>
      <c r="G158" s="39"/>
      <c r="H158" s="39"/>
      <c r="I158" s="39"/>
      <c r="J158" s="39"/>
      <c r="K158" s="39"/>
      <c r="L158" s="39"/>
      <c r="M158" s="39"/>
      <c r="N158" s="29"/>
      <c r="O158" s="29"/>
      <c r="P158" s="24" t="str">
        <f aca="false">IF(Tasks[[#This Row],[Task Name]]="","",IF(N(Tasks[[#This Row],[Baseline Start]])&gt;0,Tasks[[#This Row],[Baseline Start]],Tasks[[#This Row],[_CalcStart]]))</f>
        <v/>
      </c>
      <c r="Q158" s="24" t="str">
        <f aca="false">IF(Tasks[[#This Row],[Task Name]]="","",IF(N(Tasks[[#This Row],[Baseline Finish]])&gt;0,Tasks[[#This Row],[Baseline Finish]],Tasks[[#This Row],[_CalcFinish]]))</f>
        <v/>
      </c>
      <c r="R158" s="29"/>
      <c r="S158" s="29"/>
      <c r="T15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8" s="31"/>
      <c r="AA15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8" s="41"/>
      <c r="AD158" s="31"/>
      <c r="AE15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8" s="41"/>
      <c r="AJ158" s="24" t="str">
        <f aca="false">IF(Tasks[[#This Row],[Task Name]]="","",Tasks[[#This Row],[Forecast Start]])</f>
        <v/>
      </c>
      <c r="AK158" s="24" t="str">
        <f aca="false">IF(Tasks[[#This Row],[Task Name]]="","",Tasks[[#This Row],[Forecast Finish]])</f>
        <v/>
      </c>
      <c r="AL15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8" s="43" t="str">
        <f aca="false">IF(Tasks[[#This Row],[Task Name]]="","",Tasks[[#This Row],[Work]])</f>
        <v/>
      </c>
      <c r="AN158" s="44" t="str">
        <f aca="false">IF(Tasks[[#This Row],[Task Name]]="","",Tasks[[#This Row],[Cost]])</f>
        <v/>
      </c>
      <c r="AO158" s="29"/>
      <c r="AP158" s="29"/>
      <c r="AQ158" s="39"/>
      <c r="AR158" s="45"/>
      <c r="AS158" s="46"/>
      <c r="AT158" s="40" t="str">
        <f aca="false">IF(OR(Tasks[[#This Row],[Task Name]]="",Tasks[[#This Row],[Baseline Duration]]=""),"",Tasks[[#This Row],[BL Source Duration]]-N(Tasks[[#This Row],[Baseline Duration]]))</f>
        <v/>
      </c>
      <c r="AU158" s="43" t="str">
        <f aca="false">IF(OR(Tasks[[#This Row],[Task Name]]="",Tasks[[#This Row],[Baseline Work]]=""),"",Tasks[[#This Row],[Work]]-N(Tasks[[#This Row],[Baseline Work]]))</f>
        <v/>
      </c>
      <c r="AV158" s="44" t="str">
        <f aca="false">IF(OR(Tasks[[#This Row],[Task Name]]="",Tasks[[#This Row],[Baseline Cost]]=""),"",Tasks[[#This Row],[Cost]]-N(Tasks[[#This Row],[Baseline Cost]]))</f>
        <v/>
      </c>
      <c r="AW158" s="47" t="str">
        <f aca="false">IF(Tasks[[#This Row],[Task Name]]="","",MAX(1,N(Tasks[[#This Row],[Level]])))</f>
        <v/>
      </c>
      <c r="AX158" s="47" t="n">
        <f aca="false">ROW()-ROW(Tasks[[#Headers],[ID]])</f>
        <v>153</v>
      </c>
      <c r="AY15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8" s="47" t="n">
        <f aca="false">IFERROR(N(INDEX(Tasks[_Level],Tasks[[#This Row],[_Row]]+1)),0)</f>
        <v>0</v>
      </c>
      <c r="BA158" s="48" t="b">
        <f aca="false">AND(Tasks[[#This Row],[Task Name]]&lt;&gt;"",Tasks[[#This Row],[_NextLevel]]&gt;Tasks[[#This Row],[_Level]])</f>
        <v>0</v>
      </c>
      <c r="BB158" s="47" t="n">
        <f aca="false">IF(Tasks[[#This Row],[_IsSummary]],COUNTIF(Tasks[WBS],Tasks[[#This Row],[WBS]]&amp;".*"),0)</f>
        <v>0</v>
      </c>
      <c r="BC158" s="47" t="n">
        <f aca="false">IF(AND(Tasks[[#This Row],[Task Name]]&lt;&gt;"",NOT(Tasks[[#This Row],[_IsSummary]])),1,0)</f>
        <v>0</v>
      </c>
      <c r="BD158" s="47" t="n">
        <f aca="false">IF(N(Tasks[[#This Row],[Pred1 UID]])=0,0,IFERROR(MATCH(Tasks[[#This Row],[Pred1 UID]],Tasks[UID],0),-1))</f>
        <v>0</v>
      </c>
      <c r="BE158" s="47" t="n">
        <f aca="false">IF(N(Tasks[[#This Row],[Pred2 UID]])=0,0,IFERROR(MATCH(Tasks[[#This Row],[Pred2 UID]],Tasks[UID],0),-1))</f>
        <v>0</v>
      </c>
      <c r="BF15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8" s="47" t="n">
        <f aca="false">IF(NOT(Tasks[[#This Row],[_IsLeaf]]=1),0,IF(N(Tasks[[#This Row],[Actual Finish]])&gt;0,1,MIN(1,N(Tasks[[#This Row],[% Complete]]))))</f>
        <v>0</v>
      </c>
      <c r="BK15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8" s="47" t="n">
        <f aca="false">IF(Tasks[[#This Row],[_LeafWork]]=0,0,Tasks[[#This Row],[_LeafWork]]*IFERROR(INDEX(res_Rate,MATCH(Tasks[[#This Row],[Resource]],res_Name,0)),0))</f>
        <v>0</v>
      </c>
      <c r="BM15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8" s="47" t="n">
        <f aca="false">IF(AND(Tasks[[#This Row],[_IsLeaf]]=1,Tasks[[#This Row],[_LeafWork]]&gt;0),NETWORKDAYS.INTL(ProjectStart,Tasks[[#This Row],[_LeafFcstStart]],WorkWeek,Holidays),0)</f>
        <v>0</v>
      </c>
      <c r="BV15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8" s="47" t="n">
        <f aca="false">IF(AND(Tasks[[#This Row],[_IsLeaf]]=1,Tasks[[#This Row],[_LeafWork]]&gt;0),Tasks[[#This Row],[_LeafWork]]/(Tasks[[#This Row],[_FinishWorkday]]-Tasks[[#This Row],[_StartWorkday]]+1),0)</f>
        <v>0</v>
      </c>
      <c r="BX158" s="47" t="n">
        <f aca="false">Tasks[[#This Row],[_WorkPerWorkday]]*(Tasks[[#This Row],[_StartWorkday]]-1)</f>
        <v>-0</v>
      </c>
      <c r="BY158" s="47" t="n">
        <f aca="false">IF(Tasks[[#This Row],[_IsLeaf]]=1,MAX(N(Tasks[[#This Row],[Duration]]),0.1),0)</f>
        <v>0</v>
      </c>
      <c r="BZ158" s="47" t="n">
        <f aca="false">Tasks[[#This Row],[_WeightDur]]*Tasks[[#This Row],[_LeafProgress]]</f>
        <v>0</v>
      </c>
      <c r="CA15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9" customFormat="false" ht="15" hidden="false" customHeight="false" outlineLevel="0" collapsed="false">
      <c r="A159" s="38" t="str">
        <f aca="false">IF(Tasks[[#This Row],[Task Name]]="","",COUNTA(Tasks[[#Headers],[Task Name]]:Tasks[[#This Row],[Task Name]])-1)</f>
        <v/>
      </c>
      <c r="B159" s="39" t="n">
        <v>154</v>
      </c>
      <c r="C15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9" s="39"/>
      <c r="E159" s="41"/>
      <c r="F159" s="39"/>
      <c r="G159" s="39"/>
      <c r="H159" s="39"/>
      <c r="I159" s="39"/>
      <c r="J159" s="39"/>
      <c r="K159" s="39"/>
      <c r="L159" s="39"/>
      <c r="M159" s="39"/>
      <c r="N159" s="29"/>
      <c r="O159" s="29"/>
      <c r="P159" s="24" t="str">
        <f aca="false">IF(Tasks[[#This Row],[Task Name]]="","",IF(N(Tasks[[#This Row],[Baseline Start]])&gt;0,Tasks[[#This Row],[Baseline Start]],Tasks[[#This Row],[_CalcStart]]))</f>
        <v/>
      </c>
      <c r="Q159" s="24" t="str">
        <f aca="false">IF(Tasks[[#This Row],[Task Name]]="","",IF(N(Tasks[[#This Row],[Baseline Finish]])&gt;0,Tasks[[#This Row],[Baseline Finish]],Tasks[[#This Row],[_CalcFinish]]))</f>
        <v/>
      </c>
      <c r="R159" s="29"/>
      <c r="S159" s="29"/>
      <c r="T15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9" s="31"/>
      <c r="AA15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9" s="41"/>
      <c r="AD159" s="31"/>
      <c r="AE15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9" s="41"/>
      <c r="AJ159" s="24" t="str">
        <f aca="false">IF(Tasks[[#This Row],[Task Name]]="","",Tasks[[#This Row],[Forecast Start]])</f>
        <v/>
      </c>
      <c r="AK159" s="24" t="str">
        <f aca="false">IF(Tasks[[#This Row],[Task Name]]="","",Tasks[[#This Row],[Forecast Finish]])</f>
        <v/>
      </c>
      <c r="AL15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9" s="43" t="str">
        <f aca="false">IF(Tasks[[#This Row],[Task Name]]="","",Tasks[[#This Row],[Work]])</f>
        <v/>
      </c>
      <c r="AN159" s="44" t="str">
        <f aca="false">IF(Tasks[[#This Row],[Task Name]]="","",Tasks[[#This Row],[Cost]])</f>
        <v/>
      </c>
      <c r="AO159" s="29"/>
      <c r="AP159" s="29"/>
      <c r="AQ159" s="39"/>
      <c r="AR159" s="45"/>
      <c r="AS159" s="46"/>
      <c r="AT159" s="40" t="str">
        <f aca="false">IF(OR(Tasks[[#This Row],[Task Name]]="",Tasks[[#This Row],[Baseline Duration]]=""),"",Tasks[[#This Row],[BL Source Duration]]-N(Tasks[[#This Row],[Baseline Duration]]))</f>
        <v/>
      </c>
      <c r="AU159" s="43" t="str">
        <f aca="false">IF(OR(Tasks[[#This Row],[Task Name]]="",Tasks[[#This Row],[Baseline Work]]=""),"",Tasks[[#This Row],[Work]]-N(Tasks[[#This Row],[Baseline Work]]))</f>
        <v/>
      </c>
      <c r="AV159" s="44" t="str">
        <f aca="false">IF(OR(Tasks[[#This Row],[Task Name]]="",Tasks[[#This Row],[Baseline Cost]]=""),"",Tasks[[#This Row],[Cost]]-N(Tasks[[#This Row],[Baseline Cost]]))</f>
        <v/>
      </c>
      <c r="AW159" s="47" t="str">
        <f aca="false">IF(Tasks[[#This Row],[Task Name]]="","",MAX(1,N(Tasks[[#This Row],[Level]])))</f>
        <v/>
      </c>
      <c r="AX159" s="47" t="n">
        <f aca="false">ROW()-ROW(Tasks[[#Headers],[ID]])</f>
        <v>154</v>
      </c>
      <c r="AY15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9" s="47" t="n">
        <f aca="false">IFERROR(N(INDEX(Tasks[_Level],Tasks[[#This Row],[_Row]]+1)),0)</f>
        <v>0</v>
      </c>
      <c r="BA159" s="48" t="b">
        <f aca="false">AND(Tasks[[#This Row],[Task Name]]&lt;&gt;"",Tasks[[#This Row],[_NextLevel]]&gt;Tasks[[#This Row],[_Level]])</f>
        <v>0</v>
      </c>
      <c r="BB159" s="47" t="n">
        <f aca="false">IF(Tasks[[#This Row],[_IsSummary]],COUNTIF(Tasks[WBS],Tasks[[#This Row],[WBS]]&amp;".*"),0)</f>
        <v>0</v>
      </c>
      <c r="BC159" s="47" t="n">
        <f aca="false">IF(AND(Tasks[[#This Row],[Task Name]]&lt;&gt;"",NOT(Tasks[[#This Row],[_IsSummary]])),1,0)</f>
        <v>0</v>
      </c>
      <c r="BD159" s="47" t="n">
        <f aca="false">IF(N(Tasks[[#This Row],[Pred1 UID]])=0,0,IFERROR(MATCH(Tasks[[#This Row],[Pred1 UID]],Tasks[UID],0),-1))</f>
        <v>0</v>
      </c>
      <c r="BE159" s="47" t="n">
        <f aca="false">IF(N(Tasks[[#This Row],[Pred2 UID]])=0,0,IFERROR(MATCH(Tasks[[#This Row],[Pred2 UID]],Tasks[UID],0),-1))</f>
        <v>0</v>
      </c>
      <c r="BF15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9" s="47" t="n">
        <f aca="false">IF(NOT(Tasks[[#This Row],[_IsLeaf]]=1),0,IF(N(Tasks[[#This Row],[Actual Finish]])&gt;0,1,MIN(1,N(Tasks[[#This Row],[% Complete]]))))</f>
        <v>0</v>
      </c>
      <c r="BK15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9" s="47" t="n">
        <f aca="false">IF(Tasks[[#This Row],[_LeafWork]]=0,0,Tasks[[#This Row],[_LeafWork]]*IFERROR(INDEX(res_Rate,MATCH(Tasks[[#This Row],[Resource]],res_Name,0)),0))</f>
        <v>0</v>
      </c>
      <c r="BM15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5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5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5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5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5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59" s="47" t="n">
        <f aca="false">IF(AND(Tasks[[#This Row],[_IsLeaf]]=1,Tasks[[#This Row],[_LeafWork]]&gt;0),NETWORKDAYS.INTL(ProjectStart,Tasks[[#This Row],[_LeafFcstStart]],WorkWeek,Holidays),0)</f>
        <v>0</v>
      </c>
      <c r="BV15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9" s="47" t="n">
        <f aca="false">IF(AND(Tasks[[#This Row],[_IsLeaf]]=1,Tasks[[#This Row],[_LeafWork]]&gt;0),Tasks[[#This Row],[_LeafWork]]/(Tasks[[#This Row],[_FinishWorkday]]-Tasks[[#This Row],[_StartWorkday]]+1),0)</f>
        <v>0</v>
      </c>
      <c r="BX159" s="47" t="n">
        <f aca="false">Tasks[[#This Row],[_WorkPerWorkday]]*(Tasks[[#This Row],[_StartWorkday]]-1)</f>
        <v>-0</v>
      </c>
      <c r="BY159" s="47" t="n">
        <f aca="false">IF(Tasks[[#This Row],[_IsLeaf]]=1,MAX(N(Tasks[[#This Row],[Duration]]),0.1),0)</f>
        <v>0</v>
      </c>
      <c r="BZ159" s="47" t="n">
        <f aca="false">Tasks[[#This Row],[_WeightDur]]*Tasks[[#This Row],[_LeafProgress]]</f>
        <v>0</v>
      </c>
      <c r="CA15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0" customFormat="false" ht="15" hidden="false" customHeight="false" outlineLevel="0" collapsed="false">
      <c r="A160" s="38" t="str">
        <f aca="false">IF(Tasks[[#This Row],[Task Name]]="","",COUNTA(Tasks[[#Headers],[Task Name]]:Tasks[[#This Row],[Task Name]])-1)</f>
        <v/>
      </c>
      <c r="B160" s="39" t="n">
        <v>155</v>
      </c>
      <c r="C16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0" s="39"/>
      <c r="E160" s="41"/>
      <c r="F160" s="39"/>
      <c r="G160" s="39"/>
      <c r="H160" s="39"/>
      <c r="I160" s="39"/>
      <c r="J160" s="39"/>
      <c r="K160" s="39"/>
      <c r="L160" s="39"/>
      <c r="M160" s="39"/>
      <c r="N160" s="29"/>
      <c r="O160" s="29"/>
      <c r="P160" s="24" t="str">
        <f aca="false">IF(Tasks[[#This Row],[Task Name]]="","",IF(N(Tasks[[#This Row],[Baseline Start]])&gt;0,Tasks[[#This Row],[Baseline Start]],Tasks[[#This Row],[_CalcStart]]))</f>
        <v/>
      </c>
      <c r="Q160" s="24" t="str">
        <f aca="false">IF(Tasks[[#This Row],[Task Name]]="","",IF(N(Tasks[[#This Row],[Baseline Finish]])&gt;0,Tasks[[#This Row],[Baseline Finish]],Tasks[[#This Row],[_CalcFinish]]))</f>
        <v/>
      </c>
      <c r="R160" s="29"/>
      <c r="S160" s="29"/>
      <c r="T16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0" s="31"/>
      <c r="AA16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0" s="41"/>
      <c r="AD160" s="31"/>
      <c r="AE16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0" s="41"/>
      <c r="AJ160" s="24" t="str">
        <f aca="false">IF(Tasks[[#This Row],[Task Name]]="","",Tasks[[#This Row],[Forecast Start]])</f>
        <v/>
      </c>
      <c r="AK160" s="24" t="str">
        <f aca="false">IF(Tasks[[#This Row],[Task Name]]="","",Tasks[[#This Row],[Forecast Finish]])</f>
        <v/>
      </c>
      <c r="AL16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0" s="43" t="str">
        <f aca="false">IF(Tasks[[#This Row],[Task Name]]="","",Tasks[[#This Row],[Work]])</f>
        <v/>
      </c>
      <c r="AN160" s="44" t="str">
        <f aca="false">IF(Tasks[[#This Row],[Task Name]]="","",Tasks[[#This Row],[Cost]])</f>
        <v/>
      </c>
      <c r="AO160" s="29"/>
      <c r="AP160" s="29"/>
      <c r="AQ160" s="39"/>
      <c r="AR160" s="45"/>
      <c r="AS160" s="46"/>
      <c r="AT160" s="40" t="str">
        <f aca="false">IF(OR(Tasks[[#This Row],[Task Name]]="",Tasks[[#This Row],[Baseline Duration]]=""),"",Tasks[[#This Row],[BL Source Duration]]-N(Tasks[[#This Row],[Baseline Duration]]))</f>
        <v/>
      </c>
      <c r="AU160" s="43" t="str">
        <f aca="false">IF(OR(Tasks[[#This Row],[Task Name]]="",Tasks[[#This Row],[Baseline Work]]=""),"",Tasks[[#This Row],[Work]]-N(Tasks[[#This Row],[Baseline Work]]))</f>
        <v/>
      </c>
      <c r="AV160" s="44" t="str">
        <f aca="false">IF(OR(Tasks[[#This Row],[Task Name]]="",Tasks[[#This Row],[Baseline Cost]]=""),"",Tasks[[#This Row],[Cost]]-N(Tasks[[#This Row],[Baseline Cost]]))</f>
        <v/>
      </c>
      <c r="AW160" s="47" t="str">
        <f aca="false">IF(Tasks[[#This Row],[Task Name]]="","",MAX(1,N(Tasks[[#This Row],[Level]])))</f>
        <v/>
      </c>
      <c r="AX160" s="47" t="n">
        <f aca="false">ROW()-ROW(Tasks[[#Headers],[ID]])</f>
        <v>155</v>
      </c>
      <c r="AY16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0" s="47" t="n">
        <f aca="false">IFERROR(N(INDEX(Tasks[_Level],Tasks[[#This Row],[_Row]]+1)),0)</f>
        <v>0</v>
      </c>
      <c r="BA160" s="48" t="b">
        <f aca="false">AND(Tasks[[#This Row],[Task Name]]&lt;&gt;"",Tasks[[#This Row],[_NextLevel]]&gt;Tasks[[#This Row],[_Level]])</f>
        <v>0</v>
      </c>
      <c r="BB160" s="47" t="n">
        <f aca="false">IF(Tasks[[#This Row],[_IsSummary]],COUNTIF(Tasks[WBS],Tasks[[#This Row],[WBS]]&amp;".*"),0)</f>
        <v>0</v>
      </c>
      <c r="BC160" s="47" t="n">
        <f aca="false">IF(AND(Tasks[[#This Row],[Task Name]]&lt;&gt;"",NOT(Tasks[[#This Row],[_IsSummary]])),1,0)</f>
        <v>0</v>
      </c>
      <c r="BD160" s="47" t="n">
        <f aca="false">IF(N(Tasks[[#This Row],[Pred1 UID]])=0,0,IFERROR(MATCH(Tasks[[#This Row],[Pred1 UID]],Tasks[UID],0),-1))</f>
        <v>0</v>
      </c>
      <c r="BE160" s="47" t="n">
        <f aca="false">IF(N(Tasks[[#This Row],[Pred2 UID]])=0,0,IFERROR(MATCH(Tasks[[#This Row],[Pred2 UID]],Tasks[UID],0),-1))</f>
        <v>0</v>
      </c>
      <c r="BF16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0" s="47" t="n">
        <f aca="false">IF(NOT(Tasks[[#This Row],[_IsLeaf]]=1),0,IF(N(Tasks[[#This Row],[Actual Finish]])&gt;0,1,MIN(1,N(Tasks[[#This Row],[% Complete]]))))</f>
        <v>0</v>
      </c>
      <c r="BK16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0" s="47" t="n">
        <f aca="false">IF(Tasks[[#This Row],[_LeafWork]]=0,0,Tasks[[#This Row],[_LeafWork]]*IFERROR(INDEX(res_Rate,MATCH(Tasks[[#This Row],[Resource]],res_Name,0)),0))</f>
        <v>0</v>
      </c>
      <c r="BM16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0" s="47" t="n">
        <f aca="false">IF(AND(Tasks[[#This Row],[_IsLeaf]]=1,Tasks[[#This Row],[_LeafWork]]&gt;0),NETWORKDAYS.INTL(ProjectStart,Tasks[[#This Row],[_LeafFcstStart]],WorkWeek,Holidays),0)</f>
        <v>0</v>
      </c>
      <c r="BV16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0" s="47" t="n">
        <f aca="false">IF(AND(Tasks[[#This Row],[_IsLeaf]]=1,Tasks[[#This Row],[_LeafWork]]&gt;0),Tasks[[#This Row],[_LeafWork]]/(Tasks[[#This Row],[_FinishWorkday]]-Tasks[[#This Row],[_StartWorkday]]+1),0)</f>
        <v>0</v>
      </c>
      <c r="BX160" s="47" t="n">
        <f aca="false">Tasks[[#This Row],[_WorkPerWorkday]]*(Tasks[[#This Row],[_StartWorkday]]-1)</f>
        <v>-0</v>
      </c>
      <c r="BY160" s="47" t="n">
        <f aca="false">IF(Tasks[[#This Row],[_IsLeaf]]=1,MAX(N(Tasks[[#This Row],[Duration]]),0.1),0)</f>
        <v>0</v>
      </c>
      <c r="BZ160" s="47" t="n">
        <f aca="false">Tasks[[#This Row],[_WeightDur]]*Tasks[[#This Row],[_LeafProgress]]</f>
        <v>0</v>
      </c>
      <c r="CA16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1" customFormat="false" ht="15" hidden="false" customHeight="false" outlineLevel="0" collapsed="false">
      <c r="A161" s="38" t="str">
        <f aca="false">IF(Tasks[[#This Row],[Task Name]]="","",COUNTA(Tasks[[#Headers],[Task Name]]:Tasks[[#This Row],[Task Name]])-1)</f>
        <v/>
      </c>
      <c r="B161" s="39" t="n">
        <v>156</v>
      </c>
      <c r="C16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1" s="39"/>
      <c r="E161" s="41"/>
      <c r="F161" s="39"/>
      <c r="G161" s="39"/>
      <c r="H161" s="39"/>
      <c r="I161" s="39"/>
      <c r="J161" s="39"/>
      <c r="K161" s="39"/>
      <c r="L161" s="39"/>
      <c r="M161" s="39"/>
      <c r="N161" s="29"/>
      <c r="O161" s="29"/>
      <c r="P161" s="24" t="str">
        <f aca="false">IF(Tasks[[#This Row],[Task Name]]="","",IF(N(Tasks[[#This Row],[Baseline Start]])&gt;0,Tasks[[#This Row],[Baseline Start]],Tasks[[#This Row],[_CalcStart]]))</f>
        <v/>
      </c>
      <c r="Q161" s="24" t="str">
        <f aca="false">IF(Tasks[[#This Row],[Task Name]]="","",IF(N(Tasks[[#This Row],[Baseline Finish]])&gt;0,Tasks[[#This Row],[Baseline Finish]],Tasks[[#This Row],[_CalcFinish]]))</f>
        <v/>
      </c>
      <c r="R161" s="29"/>
      <c r="S161" s="29"/>
      <c r="T16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1" s="31"/>
      <c r="AA16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1" s="41"/>
      <c r="AD161" s="31"/>
      <c r="AE16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1" s="41"/>
      <c r="AJ161" s="24" t="str">
        <f aca="false">IF(Tasks[[#This Row],[Task Name]]="","",Tasks[[#This Row],[Forecast Start]])</f>
        <v/>
      </c>
      <c r="AK161" s="24" t="str">
        <f aca="false">IF(Tasks[[#This Row],[Task Name]]="","",Tasks[[#This Row],[Forecast Finish]])</f>
        <v/>
      </c>
      <c r="AL16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1" s="43" t="str">
        <f aca="false">IF(Tasks[[#This Row],[Task Name]]="","",Tasks[[#This Row],[Work]])</f>
        <v/>
      </c>
      <c r="AN161" s="44" t="str">
        <f aca="false">IF(Tasks[[#This Row],[Task Name]]="","",Tasks[[#This Row],[Cost]])</f>
        <v/>
      </c>
      <c r="AO161" s="29"/>
      <c r="AP161" s="29"/>
      <c r="AQ161" s="39"/>
      <c r="AR161" s="45"/>
      <c r="AS161" s="46"/>
      <c r="AT161" s="40" t="str">
        <f aca="false">IF(OR(Tasks[[#This Row],[Task Name]]="",Tasks[[#This Row],[Baseline Duration]]=""),"",Tasks[[#This Row],[BL Source Duration]]-N(Tasks[[#This Row],[Baseline Duration]]))</f>
        <v/>
      </c>
      <c r="AU161" s="43" t="str">
        <f aca="false">IF(OR(Tasks[[#This Row],[Task Name]]="",Tasks[[#This Row],[Baseline Work]]=""),"",Tasks[[#This Row],[Work]]-N(Tasks[[#This Row],[Baseline Work]]))</f>
        <v/>
      </c>
      <c r="AV161" s="44" t="str">
        <f aca="false">IF(OR(Tasks[[#This Row],[Task Name]]="",Tasks[[#This Row],[Baseline Cost]]=""),"",Tasks[[#This Row],[Cost]]-N(Tasks[[#This Row],[Baseline Cost]]))</f>
        <v/>
      </c>
      <c r="AW161" s="47" t="str">
        <f aca="false">IF(Tasks[[#This Row],[Task Name]]="","",MAX(1,N(Tasks[[#This Row],[Level]])))</f>
        <v/>
      </c>
      <c r="AX161" s="47" t="n">
        <f aca="false">ROW()-ROW(Tasks[[#Headers],[ID]])</f>
        <v>156</v>
      </c>
      <c r="AY16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1" s="47" t="n">
        <f aca="false">IFERROR(N(INDEX(Tasks[_Level],Tasks[[#This Row],[_Row]]+1)),0)</f>
        <v>0</v>
      </c>
      <c r="BA161" s="48" t="b">
        <f aca="false">AND(Tasks[[#This Row],[Task Name]]&lt;&gt;"",Tasks[[#This Row],[_NextLevel]]&gt;Tasks[[#This Row],[_Level]])</f>
        <v>0</v>
      </c>
      <c r="BB161" s="47" t="n">
        <f aca="false">IF(Tasks[[#This Row],[_IsSummary]],COUNTIF(Tasks[WBS],Tasks[[#This Row],[WBS]]&amp;".*"),0)</f>
        <v>0</v>
      </c>
      <c r="BC161" s="47" t="n">
        <f aca="false">IF(AND(Tasks[[#This Row],[Task Name]]&lt;&gt;"",NOT(Tasks[[#This Row],[_IsSummary]])),1,0)</f>
        <v>0</v>
      </c>
      <c r="BD161" s="47" t="n">
        <f aca="false">IF(N(Tasks[[#This Row],[Pred1 UID]])=0,0,IFERROR(MATCH(Tasks[[#This Row],[Pred1 UID]],Tasks[UID],0),-1))</f>
        <v>0</v>
      </c>
      <c r="BE161" s="47" t="n">
        <f aca="false">IF(N(Tasks[[#This Row],[Pred2 UID]])=0,0,IFERROR(MATCH(Tasks[[#This Row],[Pred2 UID]],Tasks[UID],0),-1))</f>
        <v>0</v>
      </c>
      <c r="BF16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1" s="47" t="n">
        <f aca="false">IF(NOT(Tasks[[#This Row],[_IsLeaf]]=1),0,IF(N(Tasks[[#This Row],[Actual Finish]])&gt;0,1,MIN(1,N(Tasks[[#This Row],[% Complete]]))))</f>
        <v>0</v>
      </c>
      <c r="BK16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1" s="47" t="n">
        <f aca="false">IF(Tasks[[#This Row],[_LeafWork]]=0,0,Tasks[[#This Row],[_LeafWork]]*IFERROR(INDEX(res_Rate,MATCH(Tasks[[#This Row],[Resource]],res_Name,0)),0))</f>
        <v>0</v>
      </c>
      <c r="BM16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1" s="47" t="n">
        <f aca="false">IF(AND(Tasks[[#This Row],[_IsLeaf]]=1,Tasks[[#This Row],[_LeafWork]]&gt;0),NETWORKDAYS.INTL(ProjectStart,Tasks[[#This Row],[_LeafFcstStart]],WorkWeek,Holidays),0)</f>
        <v>0</v>
      </c>
      <c r="BV16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1" s="47" t="n">
        <f aca="false">IF(AND(Tasks[[#This Row],[_IsLeaf]]=1,Tasks[[#This Row],[_LeafWork]]&gt;0),Tasks[[#This Row],[_LeafWork]]/(Tasks[[#This Row],[_FinishWorkday]]-Tasks[[#This Row],[_StartWorkday]]+1),0)</f>
        <v>0</v>
      </c>
      <c r="BX161" s="47" t="n">
        <f aca="false">Tasks[[#This Row],[_WorkPerWorkday]]*(Tasks[[#This Row],[_StartWorkday]]-1)</f>
        <v>-0</v>
      </c>
      <c r="BY161" s="47" t="n">
        <f aca="false">IF(Tasks[[#This Row],[_IsLeaf]]=1,MAX(N(Tasks[[#This Row],[Duration]]),0.1),0)</f>
        <v>0</v>
      </c>
      <c r="BZ161" s="47" t="n">
        <f aca="false">Tasks[[#This Row],[_WeightDur]]*Tasks[[#This Row],[_LeafProgress]]</f>
        <v>0</v>
      </c>
      <c r="CA16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2" customFormat="false" ht="15" hidden="false" customHeight="false" outlineLevel="0" collapsed="false">
      <c r="A162" s="38" t="str">
        <f aca="false">IF(Tasks[[#This Row],[Task Name]]="","",COUNTA(Tasks[[#Headers],[Task Name]]:Tasks[[#This Row],[Task Name]])-1)</f>
        <v/>
      </c>
      <c r="B162" s="39" t="n">
        <v>157</v>
      </c>
      <c r="C16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2" s="39"/>
      <c r="E162" s="41"/>
      <c r="F162" s="39"/>
      <c r="G162" s="39"/>
      <c r="H162" s="39"/>
      <c r="I162" s="39"/>
      <c r="J162" s="39"/>
      <c r="K162" s="39"/>
      <c r="L162" s="39"/>
      <c r="M162" s="39"/>
      <c r="N162" s="29"/>
      <c r="O162" s="29"/>
      <c r="P162" s="24" t="str">
        <f aca="false">IF(Tasks[[#This Row],[Task Name]]="","",IF(N(Tasks[[#This Row],[Baseline Start]])&gt;0,Tasks[[#This Row],[Baseline Start]],Tasks[[#This Row],[_CalcStart]]))</f>
        <v/>
      </c>
      <c r="Q162" s="24" t="str">
        <f aca="false">IF(Tasks[[#This Row],[Task Name]]="","",IF(N(Tasks[[#This Row],[Baseline Finish]])&gt;0,Tasks[[#This Row],[Baseline Finish]],Tasks[[#This Row],[_CalcFinish]]))</f>
        <v/>
      </c>
      <c r="R162" s="29"/>
      <c r="S162" s="29"/>
      <c r="T16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2" s="31"/>
      <c r="AA16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2" s="41"/>
      <c r="AD162" s="31"/>
      <c r="AE16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2" s="41"/>
      <c r="AJ162" s="24" t="str">
        <f aca="false">IF(Tasks[[#This Row],[Task Name]]="","",Tasks[[#This Row],[Forecast Start]])</f>
        <v/>
      </c>
      <c r="AK162" s="24" t="str">
        <f aca="false">IF(Tasks[[#This Row],[Task Name]]="","",Tasks[[#This Row],[Forecast Finish]])</f>
        <v/>
      </c>
      <c r="AL16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2" s="43" t="str">
        <f aca="false">IF(Tasks[[#This Row],[Task Name]]="","",Tasks[[#This Row],[Work]])</f>
        <v/>
      </c>
      <c r="AN162" s="44" t="str">
        <f aca="false">IF(Tasks[[#This Row],[Task Name]]="","",Tasks[[#This Row],[Cost]])</f>
        <v/>
      </c>
      <c r="AO162" s="29"/>
      <c r="AP162" s="29"/>
      <c r="AQ162" s="39"/>
      <c r="AR162" s="45"/>
      <c r="AS162" s="46"/>
      <c r="AT162" s="40" t="str">
        <f aca="false">IF(OR(Tasks[[#This Row],[Task Name]]="",Tasks[[#This Row],[Baseline Duration]]=""),"",Tasks[[#This Row],[BL Source Duration]]-N(Tasks[[#This Row],[Baseline Duration]]))</f>
        <v/>
      </c>
      <c r="AU162" s="43" t="str">
        <f aca="false">IF(OR(Tasks[[#This Row],[Task Name]]="",Tasks[[#This Row],[Baseline Work]]=""),"",Tasks[[#This Row],[Work]]-N(Tasks[[#This Row],[Baseline Work]]))</f>
        <v/>
      </c>
      <c r="AV162" s="44" t="str">
        <f aca="false">IF(OR(Tasks[[#This Row],[Task Name]]="",Tasks[[#This Row],[Baseline Cost]]=""),"",Tasks[[#This Row],[Cost]]-N(Tasks[[#This Row],[Baseline Cost]]))</f>
        <v/>
      </c>
      <c r="AW162" s="47" t="str">
        <f aca="false">IF(Tasks[[#This Row],[Task Name]]="","",MAX(1,N(Tasks[[#This Row],[Level]])))</f>
        <v/>
      </c>
      <c r="AX162" s="47" t="n">
        <f aca="false">ROW()-ROW(Tasks[[#Headers],[ID]])</f>
        <v>157</v>
      </c>
      <c r="AY16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2" s="47" t="n">
        <f aca="false">IFERROR(N(INDEX(Tasks[_Level],Tasks[[#This Row],[_Row]]+1)),0)</f>
        <v>0</v>
      </c>
      <c r="BA162" s="48" t="b">
        <f aca="false">AND(Tasks[[#This Row],[Task Name]]&lt;&gt;"",Tasks[[#This Row],[_NextLevel]]&gt;Tasks[[#This Row],[_Level]])</f>
        <v>0</v>
      </c>
      <c r="BB162" s="47" t="n">
        <f aca="false">IF(Tasks[[#This Row],[_IsSummary]],COUNTIF(Tasks[WBS],Tasks[[#This Row],[WBS]]&amp;".*"),0)</f>
        <v>0</v>
      </c>
      <c r="BC162" s="47" t="n">
        <f aca="false">IF(AND(Tasks[[#This Row],[Task Name]]&lt;&gt;"",NOT(Tasks[[#This Row],[_IsSummary]])),1,0)</f>
        <v>0</v>
      </c>
      <c r="BD162" s="47" t="n">
        <f aca="false">IF(N(Tasks[[#This Row],[Pred1 UID]])=0,0,IFERROR(MATCH(Tasks[[#This Row],[Pred1 UID]],Tasks[UID],0),-1))</f>
        <v>0</v>
      </c>
      <c r="BE162" s="47" t="n">
        <f aca="false">IF(N(Tasks[[#This Row],[Pred2 UID]])=0,0,IFERROR(MATCH(Tasks[[#This Row],[Pred2 UID]],Tasks[UID],0),-1))</f>
        <v>0</v>
      </c>
      <c r="BF16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2" s="47" t="n">
        <f aca="false">IF(NOT(Tasks[[#This Row],[_IsLeaf]]=1),0,IF(N(Tasks[[#This Row],[Actual Finish]])&gt;0,1,MIN(1,N(Tasks[[#This Row],[% Complete]]))))</f>
        <v>0</v>
      </c>
      <c r="BK16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2" s="47" t="n">
        <f aca="false">IF(Tasks[[#This Row],[_LeafWork]]=0,0,Tasks[[#This Row],[_LeafWork]]*IFERROR(INDEX(res_Rate,MATCH(Tasks[[#This Row],[Resource]],res_Name,0)),0))</f>
        <v>0</v>
      </c>
      <c r="BM16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2" s="47" t="n">
        <f aca="false">IF(AND(Tasks[[#This Row],[_IsLeaf]]=1,Tasks[[#This Row],[_LeafWork]]&gt;0),NETWORKDAYS.INTL(ProjectStart,Tasks[[#This Row],[_LeafFcstStart]],WorkWeek,Holidays),0)</f>
        <v>0</v>
      </c>
      <c r="BV16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2" s="47" t="n">
        <f aca="false">IF(AND(Tasks[[#This Row],[_IsLeaf]]=1,Tasks[[#This Row],[_LeafWork]]&gt;0),Tasks[[#This Row],[_LeafWork]]/(Tasks[[#This Row],[_FinishWorkday]]-Tasks[[#This Row],[_StartWorkday]]+1),0)</f>
        <v>0</v>
      </c>
      <c r="BX162" s="47" t="n">
        <f aca="false">Tasks[[#This Row],[_WorkPerWorkday]]*(Tasks[[#This Row],[_StartWorkday]]-1)</f>
        <v>-0</v>
      </c>
      <c r="BY162" s="47" t="n">
        <f aca="false">IF(Tasks[[#This Row],[_IsLeaf]]=1,MAX(N(Tasks[[#This Row],[Duration]]),0.1),0)</f>
        <v>0</v>
      </c>
      <c r="BZ162" s="47" t="n">
        <f aca="false">Tasks[[#This Row],[_WeightDur]]*Tasks[[#This Row],[_LeafProgress]]</f>
        <v>0</v>
      </c>
      <c r="CA16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3" customFormat="false" ht="15" hidden="false" customHeight="false" outlineLevel="0" collapsed="false">
      <c r="A163" s="38" t="str">
        <f aca="false">IF(Tasks[[#This Row],[Task Name]]="","",COUNTA(Tasks[[#Headers],[Task Name]]:Tasks[[#This Row],[Task Name]])-1)</f>
        <v/>
      </c>
      <c r="B163" s="39" t="n">
        <v>158</v>
      </c>
      <c r="C16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3" s="39"/>
      <c r="E163" s="41"/>
      <c r="F163" s="39"/>
      <c r="G163" s="39"/>
      <c r="H163" s="39"/>
      <c r="I163" s="39"/>
      <c r="J163" s="39"/>
      <c r="K163" s="39"/>
      <c r="L163" s="39"/>
      <c r="M163" s="39"/>
      <c r="N163" s="29"/>
      <c r="O163" s="29"/>
      <c r="P163" s="24" t="str">
        <f aca="false">IF(Tasks[[#This Row],[Task Name]]="","",IF(N(Tasks[[#This Row],[Baseline Start]])&gt;0,Tasks[[#This Row],[Baseline Start]],Tasks[[#This Row],[_CalcStart]]))</f>
        <v/>
      </c>
      <c r="Q163" s="24" t="str">
        <f aca="false">IF(Tasks[[#This Row],[Task Name]]="","",IF(N(Tasks[[#This Row],[Baseline Finish]])&gt;0,Tasks[[#This Row],[Baseline Finish]],Tasks[[#This Row],[_CalcFinish]]))</f>
        <v/>
      </c>
      <c r="R163" s="29"/>
      <c r="S163" s="29"/>
      <c r="T16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3" s="31"/>
      <c r="AA16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3" s="41"/>
      <c r="AD163" s="31"/>
      <c r="AE16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3" s="41"/>
      <c r="AJ163" s="24" t="str">
        <f aca="false">IF(Tasks[[#This Row],[Task Name]]="","",Tasks[[#This Row],[Forecast Start]])</f>
        <v/>
      </c>
      <c r="AK163" s="24" t="str">
        <f aca="false">IF(Tasks[[#This Row],[Task Name]]="","",Tasks[[#This Row],[Forecast Finish]])</f>
        <v/>
      </c>
      <c r="AL16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3" s="43" t="str">
        <f aca="false">IF(Tasks[[#This Row],[Task Name]]="","",Tasks[[#This Row],[Work]])</f>
        <v/>
      </c>
      <c r="AN163" s="44" t="str">
        <f aca="false">IF(Tasks[[#This Row],[Task Name]]="","",Tasks[[#This Row],[Cost]])</f>
        <v/>
      </c>
      <c r="AO163" s="29"/>
      <c r="AP163" s="29"/>
      <c r="AQ163" s="39"/>
      <c r="AR163" s="45"/>
      <c r="AS163" s="46"/>
      <c r="AT163" s="40" t="str">
        <f aca="false">IF(OR(Tasks[[#This Row],[Task Name]]="",Tasks[[#This Row],[Baseline Duration]]=""),"",Tasks[[#This Row],[BL Source Duration]]-N(Tasks[[#This Row],[Baseline Duration]]))</f>
        <v/>
      </c>
      <c r="AU163" s="43" t="str">
        <f aca="false">IF(OR(Tasks[[#This Row],[Task Name]]="",Tasks[[#This Row],[Baseline Work]]=""),"",Tasks[[#This Row],[Work]]-N(Tasks[[#This Row],[Baseline Work]]))</f>
        <v/>
      </c>
      <c r="AV163" s="44" t="str">
        <f aca="false">IF(OR(Tasks[[#This Row],[Task Name]]="",Tasks[[#This Row],[Baseline Cost]]=""),"",Tasks[[#This Row],[Cost]]-N(Tasks[[#This Row],[Baseline Cost]]))</f>
        <v/>
      </c>
      <c r="AW163" s="47" t="str">
        <f aca="false">IF(Tasks[[#This Row],[Task Name]]="","",MAX(1,N(Tasks[[#This Row],[Level]])))</f>
        <v/>
      </c>
      <c r="AX163" s="47" t="n">
        <f aca="false">ROW()-ROW(Tasks[[#Headers],[ID]])</f>
        <v>158</v>
      </c>
      <c r="AY16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3" s="47" t="n">
        <f aca="false">IFERROR(N(INDEX(Tasks[_Level],Tasks[[#This Row],[_Row]]+1)),0)</f>
        <v>0</v>
      </c>
      <c r="BA163" s="48" t="b">
        <f aca="false">AND(Tasks[[#This Row],[Task Name]]&lt;&gt;"",Tasks[[#This Row],[_NextLevel]]&gt;Tasks[[#This Row],[_Level]])</f>
        <v>0</v>
      </c>
      <c r="BB163" s="47" t="n">
        <f aca="false">IF(Tasks[[#This Row],[_IsSummary]],COUNTIF(Tasks[WBS],Tasks[[#This Row],[WBS]]&amp;".*"),0)</f>
        <v>0</v>
      </c>
      <c r="BC163" s="47" t="n">
        <f aca="false">IF(AND(Tasks[[#This Row],[Task Name]]&lt;&gt;"",NOT(Tasks[[#This Row],[_IsSummary]])),1,0)</f>
        <v>0</v>
      </c>
      <c r="BD163" s="47" t="n">
        <f aca="false">IF(N(Tasks[[#This Row],[Pred1 UID]])=0,0,IFERROR(MATCH(Tasks[[#This Row],[Pred1 UID]],Tasks[UID],0),-1))</f>
        <v>0</v>
      </c>
      <c r="BE163" s="47" t="n">
        <f aca="false">IF(N(Tasks[[#This Row],[Pred2 UID]])=0,0,IFERROR(MATCH(Tasks[[#This Row],[Pred2 UID]],Tasks[UID],0),-1))</f>
        <v>0</v>
      </c>
      <c r="BF16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3" s="47" t="n">
        <f aca="false">IF(NOT(Tasks[[#This Row],[_IsLeaf]]=1),0,IF(N(Tasks[[#This Row],[Actual Finish]])&gt;0,1,MIN(1,N(Tasks[[#This Row],[% Complete]]))))</f>
        <v>0</v>
      </c>
      <c r="BK16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3" s="47" t="n">
        <f aca="false">IF(Tasks[[#This Row],[_LeafWork]]=0,0,Tasks[[#This Row],[_LeafWork]]*IFERROR(INDEX(res_Rate,MATCH(Tasks[[#This Row],[Resource]],res_Name,0)),0))</f>
        <v>0</v>
      </c>
      <c r="BM16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3" s="47" t="n">
        <f aca="false">IF(AND(Tasks[[#This Row],[_IsLeaf]]=1,Tasks[[#This Row],[_LeafWork]]&gt;0),NETWORKDAYS.INTL(ProjectStart,Tasks[[#This Row],[_LeafFcstStart]],WorkWeek,Holidays),0)</f>
        <v>0</v>
      </c>
      <c r="BV16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3" s="47" t="n">
        <f aca="false">IF(AND(Tasks[[#This Row],[_IsLeaf]]=1,Tasks[[#This Row],[_LeafWork]]&gt;0),Tasks[[#This Row],[_LeafWork]]/(Tasks[[#This Row],[_FinishWorkday]]-Tasks[[#This Row],[_StartWorkday]]+1),0)</f>
        <v>0</v>
      </c>
      <c r="BX163" s="47" t="n">
        <f aca="false">Tasks[[#This Row],[_WorkPerWorkday]]*(Tasks[[#This Row],[_StartWorkday]]-1)</f>
        <v>-0</v>
      </c>
      <c r="BY163" s="47" t="n">
        <f aca="false">IF(Tasks[[#This Row],[_IsLeaf]]=1,MAX(N(Tasks[[#This Row],[Duration]]),0.1),0)</f>
        <v>0</v>
      </c>
      <c r="BZ163" s="47" t="n">
        <f aca="false">Tasks[[#This Row],[_WeightDur]]*Tasks[[#This Row],[_LeafProgress]]</f>
        <v>0</v>
      </c>
      <c r="CA16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4" customFormat="false" ht="15" hidden="false" customHeight="false" outlineLevel="0" collapsed="false">
      <c r="A164" s="38" t="str">
        <f aca="false">IF(Tasks[[#This Row],[Task Name]]="","",COUNTA(Tasks[[#Headers],[Task Name]]:Tasks[[#This Row],[Task Name]])-1)</f>
        <v/>
      </c>
      <c r="B164" s="39" t="n">
        <v>159</v>
      </c>
      <c r="C16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4" s="39"/>
      <c r="E164" s="41"/>
      <c r="F164" s="39"/>
      <c r="G164" s="39"/>
      <c r="H164" s="39"/>
      <c r="I164" s="39"/>
      <c r="J164" s="39"/>
      <c r="K164" s="39"/>
      <c r="L164" s="39"/>
      <c r="M164" s="39"/>
      <c r="N164" s="29"/>
      <c r="O164" s="29"/>
      <c r="P164" s="24" t="str">
        <f aca="false">IF(Tasks[[#This Row],[Task Name]]="","",IF(N(Tasks[[#This Row],[Baseline Start]])&gt;0,Tasks[[#This Row],[Baseline Start]],Tasks[[#This Row],[_CalcStart]]))</f>
        <v/>
      </c>
      <c r="Q164" s="24" t="str">
        <f aca="false">IF(Tasks[[#This Row],[Task Name]]="","",IF(N(Tasks[[#This Row],[Baseline Finish]])&gt;0,Tasks[[#This Row],[Baseline Finish]],Tasks[[#This Row],[_CalcFinish]]))</f>
        <v/>
      </c>
      <c r="R164" s="29"/>
      <c r="S164" s="29"/>
      <c r="T16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4" s="31"/>
      <c r="AA16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4" s="41"/>
      <c r="AD164" s="31"/>
      <c r="AE16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4" s="41"/>
      <c r="AJ164" s="24" t="str">
        <f aca="false">IF(Tasks[[#This Row],[Task Name]]="","",Tasks[[#This Row],[Forecast Start]])</f>
        <v/>
      </c>
      <c r="AK164" s="24" t="str">
        <f aca="false">IF(Tasks[[#This Row],[Task Name]]="","",Tasks[[#This Row],[Forecast Finish]])</f>
        <v/>
      </c>
      <c r="AL16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4" s="43" t="str">
        <f aca="false">IF(Tasks[[#This Row],[Task Name]]="","",Tasks[[#This Row],[Work]])</f>
        <v/>
      </c>
      <c r="AN164" s="44" t="str">
        <f aca="false">IF(Tasks[[#This Row],[Task Name]]="","",Tasks[[#This Row],[Cost]])</f>
        <v/>
      </c>
      <c r="AO164" s="29"/>
      <c r="AP164" s="29"/>
      <c r="AQ164" s="39"/>
      <c r="AR164" s="45"/>
      <c r="AS164" s="46"/>
      <c r="AT164" s="40" t="str">
        <f aca="false">IF(OR(Tasks[[#This Row],[Task Name]]="",Tasks[[#This Row],[Baseline Duration]]=""),"",Tasks[[#This Row],[BL Source Duration]]-N(Tasks[[#This Row],[Baseline Duration]]))</f>
        <v/>
      </c>
      <c r="AU164" s="43" t="str">
        <f aca="false">IF(OR(Tasks[[#This Row],[Task Name]]="",Tasks[[#This Row],[Baseline Work]]=""),"",Tasks[[#This Row],[Work]]-N(Tasks[[#This Row],[Baseline Work]]))</f>
        <v/>
      </c>
      <c r="AV164" s="44" t="str">
        <f aca="false">IF(OR(Tasks[[#This Row],[Task Name]]="",Tasks[[#This Row],[Baseline Cost]]=""),"",Tasks[[#This Row],[Cost]]-N(Tasks[[#This Row],[Baseline Cost]]))</f>
        <v/>
      </c>
      <c r="AW164" s="47" t="str">
        <f aca="false">IF(Tasks[[#This Row],[Task Name]]="","",MAX(1,N(Tasks[[#This Row],[Level]])))</f>
        <v/>
      </c>
      <c r="AX164" s="47" t="n">
        <f aca="false">ROW()-ROW(Tasks[[#Headers],[ID]])</f>
        <v>159</v>
      </c>
      <c r="AY16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4" s="47" t="n">
        <f aca="false">IFERROR(N(INDEX(Tasks[_Level],Tasks[[#This Row],[_Row]]+1)),0)</f>
        <v>0</v>
      </c>
      <c r="BA164" s="48" t="b">
        <f aca="false">AND(Tasks[[#This Row],[Task Name]]&lt;&gt;"",Tasks[[#This Row],[_NextLevel]]&gt;Tasks[[#This Row],[_Level]])</f>
        <v>0</v>
      </c>
      <c r="BB164" s="47" t="n">
        <f aca="false">IF(Tasks[[#This Row],[_IsSummary]],COUNTIF(Tasks[WBS],Tasks[[#This Row],[WBS]]&amp;".*"),0)</f>
        <v>0</v>
      </c>
      <c r="BC164" s="47" t="n">
        <f aca="false">IF(AND(Tasks[[#This Row],[Task Name]]&lt;&gt;"",NOT(Tasks[[#This Row],[_IsSummary]])),1,0)</f>
        <v>0</v>
      </c>
      <c r="BD164" s="47" t="n">
        <f aca="false">IF(N(Tasks[[#This Row],[Pred1 UID]])=0,0,IFERROR(MATCH(Tasks[[#This Row],[Pred1 UID]],Tasks[UID],0),-1))</f>
        <v>0</v>
      </c>
      <c r="BE164" s="47" t="n">
        <f aca="false">IF(N(Tasks[[#This Row],[Pred2 UID]])=0,0,IFERROR(MATCH(Tasks[[#This Row],[Pred2 UID]],Tasks[UID],0),-1))</f>
        <v>0</v>
      </c>
      <c r="BF16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4" s="47" t="n">
        <f aca="false">IF(NOT(Tasks[[#This Row],[_IsLeaf]]=1),0,IF(N(Tasks[[#This Row],[Actual Finish]])&gt;0,1,MIN(1,N(Tasks[[#This Row],[% Complete]]))))</f>
        <v>0</v>
      </c>
      <c r="BK16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4" s="47" t="n">
        <f aca="false">IF(Tasks[[#This Row],[_LeafWork]]=0,0,Tasks[[#This Row],[_LeafWork]]*IFERROR(INDEX(res_Rate,MATCH(Tasks[[#This Row],[Resource]],res_Name,0)),0))</f>
        <v>0</v>
      </c>
      <c r="BM16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4" s="47" t="n">
        <f aca="false">IF(AND(Tasks[[#This Row],[_IsLeaf]]=1,Tasks[[#This Row],[_LeafWork]]&gt;0),NETWORKDAYS.INTL(ProjectStart,Tasks[[#This Row],[_LeafFcstStart]],WorkWeek,Holidays),0)</f>
        <v>0</v>
      </c>
      <c r="BV16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4" s="47" t="n">
        <f aca="false">IF(AND(Tasks[[#This Row],[_IsLeaf]]=1,Tasks[[#This Row],[_LeafWork]]&gt;0),Tasks[[#This Row],[_LeafWork]]/(Tasks[[#This Row],[_FinishWorkday]]-Tasks[[#This Row],[_StartWorkday]]+1),0)</f>
        <v>0</v>
      </c>
      <c r="BX164" s="47" t="n">
        <f aca="false">Tasks[[#This Row],[_WorkPerWorkday]]*(Tasks[[#This Row],[_StartWorkday]]-1)</f>
        <v>-0</v>
      </c>
      <c r="BY164" s="47" t="n">
        <f aca="false">IF(Tasks[[#This Row],[_IsLeaf]]=1,MAX(N(Tasks[[#This Row],[Duration]]),0.1),0)</f>
        <v>0</v>
      </c>
      <c r="BZ164" s="47" t="n">
        <f aca="false">Tasks[[#This Row],[_WeightDur]]*Tasks[[#This Row],[_LeafProgress]]</f>
        <v>0</v>
      </c>
      <c r="CA16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5" customFormat="false" ht="15" hidden="false" customHeight="false" outlineLevel="0" collapsed="false">
      <c r="A165" s="38" t="str">
        <f aca="false">IF(Tasks[[#This Row],[Task Name]]="","",COUNTA(Tasks[[#Headers],[Task Name]]:Tasks[[#This Row],[Task Name]])-1)</f>
        <v/>
      </c>
      <c r="B165" s="39" t="n">
        <v>160</v>
      </c>
      <c r="C16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5" s="39"/>
      <c r="E165" s="41"/>
      <c r="F165" s="39"/>
      <c r="G165" s="39"/>
      <c r="H165" s="39"/>
      <c r="I165" s="39"/>
      <c r="J165" s="39"/>
      <c r="K165" s="39"/>
      <c r="L165" s="39"/>
      <c r="M165" s="39"/>
      <c r="N165" s="29"/>
      <c r="O165" s="29"/>
      <c r="P165" s="24" t="str">
        <f aca="false">IF(Tasks[[#This Row],[Task Name]]="","",IF(N(Tasks[[#This Row],[Baseline Start]])&gt;0,Tasks[[#This Row],[Baseline Start]],Tasks[[#This Row],[_CalcStart]]))</f>
        <v/>
      </c>
      <c r="Q165" s="24" t="str">
        <f aca="false">IF(Tasks[[#This Row],[Task Name]]="","",IF(N(Tasks[[#This Row],[Baseline Finish]])&gt;0,Tasks[[#This Row],[Baseline Finish]],Tasks[[#This Row],[_CalcFinish]]))</f>
        <v/>
      </c>
      <c r="R165" s="29"/>
      <c r="S165" s="29"/>
      <c r="T16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5" s="31"/>
      <c r="AA16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5" s="41"/>
      <c r="AD165" s="31"/>
      <c r="AE16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5" s="41"/>
      <c r="AJ165" s="24" t="str">
        <f aca="false">IF(Tasks[[#This Row],[Task Name]]="","",Tasks[[#This Row],[Forecast Start]])</f>
        <v/>
      </c>
      <c r="AK165" s="24" t="str">
        <f aca="false">IF(Tasks[[#This Row],[Task Name]]="","",Tasks[[#This Row],[Forecast Finish]])</f>
        <v/>
      </c>
      <c r="AL16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5" s="43" t="str">
        <f aca="false">IF(Tasks[[#This Row],[Task Name]]="","",Tasks[[#This Row],[Work]])</f>
        <v/>
      </c>
      <c r="AN165" s="44" t="str">
        <f aca="false">IF(Tasks[[#This Row],[Task Name]]="","",Tasks[[#This Row],[Cost]])</f>
        <v/>
      </c>
      <c r="AO165" s="29"/>
      <c r="AP165" s="29"/>
      <c r="AQ165" s="39"/>
      <c r="AR165" s="45"/>
      <c r="AS165" s="46"/>
      <c r="AT165" s="40" t="str">
        <f aca="false">IF(OR(Tasks[[#This Row],[Task Name]]="",Tasks[[#This Row],[Baseline Duration]]=""),"",Tasks[[#This Row],[BL Source Duration]]-N(Tasks[[#This Row],[Baseline Duration]]))</f>
        <v/>
      </c>
      <c r="AU165" s="43" t="str">
        <f aca="false">IF(OR(Tasks[[#This Row],[Task Name]]="",Tasks[[#This Row],[Baseline Work]]=""),"",Tasks[[#This Row],[Work]]-N(Tasks[[#This Row],[Baseline Work]]))</f>
        <v/>
      </c>
      <c r="AV165" s="44" t="str">
        <f aca="false">IF(OR(Tasks[[#This Row],[Task Name]]="",Tasks[[#This Row],[Baseline Cost]]=""),"",Tasks[[#This Row],[Cost]]-N(Tasks[[#This Row],[Baseline Cost]]))</f>
        <v/>
      </c>
      <c r="AW165" s="47" t="str">
        <f aca="false">IF(Tasks[[#This Row],[Task Name]]="","",MAX(1,N(Tasks[[#This Row],[Level]])))</f>
        <v/>
      </c>
      <c r="AX165" s="47" t="n">
        <f aca="false">ROW()-ROW(Tasks[[#Headers],[ID]])</f>
        <v>160</v>
      </c>
      <c r="AY16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5" s="47" t="n">
        <f aca="false">IFERROR(N(INDEX(Tasks[_Level],Tasks[[#This Row],[_Row]]+1)),0)</f>
        <v>0</v>
      </c>
      <c r="BA165" s="48" t="b">
        <f aca="false">AND(Tasks[[#This Row],[Task Name]]&lt;&gt;"",Tasks[[#This Row],[_NextLevel]]&gt;Tasks[[#This Row],[_Level]])</f>
        <v>0</v>
      </c>
      <c r="BB165" s="47" t="n">
        <f aca="false">IF(Tasks[[#This Row],[_IsSummary]],COUNTIF(Tasks[WBS],Tasks[[#This Row],[WBS]]&amp;".*"),0)</f>
        <v>0</v>
      </c>
      <c r="BC165" s="47" t="n">
        <f aca="false">IF(AND(Tasks[[#This Row],[Task Name]]&lt;&gt;"",NOT(Tasks[[#This Row],[_IsSummary]])),1,0)</f>
        <v>0</v>
      </c>
      <c r="BD165" s="47" t="n">
        <f aca="false">IF(N(Tasks[[#This Row],[Pred1 UID]])=0,0,IFERROR(MATCH(Tasks[[#This Row],[Pred1 UID]],Tasks[UID],0),-1))</f>
        <v>0</v>
      </c>
      <c r="BE165" s="47" t="n">
        <f aca="false">IF(N(Tasks[[#This Row],[Pred2 UID]])=0,0,IFERROR(MATCH(Tasks[[#This Row],[Pred2 UID]],Tasks[UID],0),-1))</f>
        <v>0</v>
      </c>
      <c r="BF16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5" s="47" t="n">
        <f aca="false">IF(NOT(Tasks[[#This Row],[_IsLeaf]]=1),0,IF(N(Tasks[[#This Row],[Actual Finish]])&gt;0,1,MIN(1,N(Tasks[[#This Row],[% Complete]]))))</f>
        <v>0</v>
      </c>
      <c r="BK16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5" s="47" t="n">
        <f aca="false">IF(Tasks[[#This Row],[_LeafWork]]=0,0,Tasks[[#This Row],[_LeafWork]]*IFERROR(INDEX(res_Rate,MATCH(Tasks[[#This Row],[Resource]],res_Name,0)),0))</f>
        <v>0</v>
      </c>
      <c r="BM16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5" s="47" t="n">
        <f aca="false">IF(AND(Tasks[[#This Row],[_IsLeaf]]=1,Tasks[[#This Row],[_LeafWork]]&gt;0),NETWORKDAYS.INTL(ProjectStart,Tasks[[#This Row],[_LeafFcstStart]],WorkWeek,Holidays),0)</f>
        <v>0</v>
      </c>
      <c r="BV16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5" s="47" t="n">
        <f aca="false">IF(AND(Tasks[[#This Row],[_IsLeaf]]=1,Tasks[[#This Row],[_LeafWork]]&gt;0),Tasks[[#This Row],[_LeafWork]]/(Tasks[[#This Row],[_FinishWorkday]]-Tasks[[#This Row],[_StartWorkday]]+1),0)</f>
        <v>0</v>
      </c>
      <c r="BX165" s="47" t="n">
        <f aca="false">Tasks[[#This Row],[_WorkPerWorkday]]*(Tasks[[#This Row],[_StartWorkday]]-1)</f>
        <v>-0</v>
      </c>
      <c r="BY165" s="47" t="n">
        <f aca="false">IF(Tasks[[#This Row],[_IsLeaf]]=1,MAX(N(Tasks[[#This Row],[Duration]]),0.1),0)</f>
        <v>0</v>
      </c>
      <c r="BZ165" s="47" t="n">
        <f aca="false">Tasks[[#This Row],[_WeightDur]]*Tasks[[#This Row],[_LeafProgress]]</f>
        <v>0</v>
      </c>
      <c r="CA16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6" customFormat="false" ht="15" hidden="false" customHeight="false" outlineLevel="0" collapsed="false">
      <c r="A166" s="38" t="str">
        <f aca="false">IF(Tasks[[#This Row],[Task Name]]="","",COUNTA(Tasks[[#Headers],[Task Name]]:Tasks[[#This Row],[Task Name]])-1)</f>
        <v/>
      </c>
      <c r="B166" s="39" t="n">
        <v>161</v>
      </c>
      <c r="C16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6" s="39"/>
      <c r="E166" s="41"/>
      <c r="F166" s="39"/>
      <c r="G166" s="39"/>
      <c r="H166" s="39"/>
      <c r="I166" s="39"/>
      <c r="J166" s="39"/>
      <c r="K166" s="39"/>
      <c r="L166" s="39"/>
      <c r="M166" s="39"/>
      <c r="N166" s="29"/>
      <c r="O166" s="29"/>
      <c r="P166" s="24" t="str">
        <f aca="false">IF(Tasks[[#This Row],[Task Name]]="","",IF(N(Tasks[[#This Row],[Baseline Start]])&gt;0,Tasks[[#This Row],[Baseline Start]],Tasks[[#This Row],[_CalcStart]]))</f>
        <v/>
      </c>
      <c r="Q166" s="24" t="str">
        <f aca="false">IF(Tasks[[#This Row],[Task Name]]="","",IF(N(Tasks[[#This Row],[Baseline Finish]])&gt;0,Tasks[[#This Row],[Baseline Finish]],Tasks[[#This Row],[_CalcFinish]]))</f>
        <v/>
      </c>
      <c r="R166" s="29"/>
      <c r="S166" s="29"/>
      <c r="T16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6" s="31"/>
      <c r="AA16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6" s="41"/>
      <c r="AD166" s="31"/>
      <c r="AE16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6" s="41"/>
      <c r="AJ166" s="24" t="str">
        <f aca="false">IF(Tasks[[#This Row],[Task Name]]="","",Tasks[[#This Row],[Forecast Start]])</f>
        <v/>
      </c>
      <c r="AK166" s="24" t="str">
        <f aca="false">IF(Tasks[[#This Row],[Task Name]]="","",Tasks[[#This Row],[Forecast Finish]])</f>
        <v/>
      </c>
      <c r="AL16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6" s="43" t="str">
        <f aca="false">IF(Tasks[[#This Row],[Task Name]]="","",Tasks[[#This Row],[Work]])</f>
        <v/>
      </c>
      <c r="AN166" s="44" t="str">
        <f aca="false">IF(Tasks[[#This Row],[Task Name]]="","",Tasks[[#This Row],[Cost]])</f>
        <v/>
      </c>
      <c r="AO166" s="29"/>
      <c r="AP166" s="29"/>
      <c r="AQ166" s="39"/>
      <c r="AR166" s="45"/>
      <c r="AS166" s="46"/>
      <c r="AT166" s="40" t="str">
        <f aca="false">IF(OR(Tasks[[#This Row],[Task Name]]="",Tasks[[#This Row],[Baseline Duration]]=""),"",Tasks[[#This Row],[BL Source Duration]]-N(Tasks[[#This Row],[Baseline Duration]]))</f>
        <v/>
      </c>
      <c r="AU166" s="43" t="str">
        <f aca="false">IF(OR(Tasks[[#This Row],[Task Name]]="",Tasks[[#This Row],[Baseline Work]]=""),"",Tasks[[#This Row],[Work]]-N(Tasks[[#This Row],[Baseline Work]]))</f>
        <v/>
      </c>
      <c r="AV166" s="44" t="str">
        <f aca="false">IF(OR(Tasks[[#This Row],[Task Name]]="",Tasks[[#This Row],[Baseline Cost]]=""),"",Tasks[[#This Row],[Cost]]-N(Tasks[[#This Row],[Baseline Cost]]))</f>
        <v/>
      </c>
      <c r="AW166" s="47" t="str">
        <f aca="false">IF(Tasks[[#This Row],[Task Name]]="","",MAX(1,N(Tasks[[#This Row],[Level]])))</f>
        <v/>
      </c>
      <c r="AX166" s="47" t="n">
        <f aca="false">ROW()-ROW(Tasks[[#Headers],[ID]])</f>
        <v>161</v>
      </c>
      <c r="AY16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6" s="47" t="n">
        <f aca="false">IFERROR(N(INDEX(Tasks[_Level],Tasks[[#This Row],[_Row]]+1)),0)</f>
        <v>0</v>
      </c>
      <c r="BA166" s="48" t="b">
        <f aca="false">AND(Tasks[[#This Row],[Task Name]]&lt;&gt;"",Tasks[[#This Row],[_NextLevel]]&gt;Tasks[[#This Row],[_Level]])</f>
        <v>0</v>
      </c>
      <c r="BB166" s="47" t="n">
        <f aca="false">IF(Tasks[[#This Row],[_IsSummary]],COUNTIF(Tasks[WBS],Tasks[[#This Row],[WBS]]&amp;".*"),0)</f>
        <v>0</v>
      </c>
      <c r="BC166" s="47" t="n">
        <f aca="false">IF(AND(Tasks[[#This Row],[Task Name]]&lt;&gt;"",NOT(Tasks[[#This Row],[_IsSummary]])),1,0)</f>
        <v>0</v>
      </c>
      <c r="BD166" s="47" t="n">
        <f aca="false">IF(N(Tasks[[#This Row],[Pred1 UID]])=0,0,IFERROR(MATCH(Tasks[[#This Row],[Pred1 UID]],Tasks[UID],0),-1))</f>
        <v>0</v>
      </c>
      <c r="BE166" s="47" t="n">
        <f aca="false">IF(N(Tasks[[#This Row],[Pred2 UID]])=0,0,IFERROR(MATCH(Tasks[[#This Row],[Pred2 UID]],Tasks[UID],0),-1))</f>
        <v>0</v>
      </c>
      <c r="BF16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6" s="47" t="n">
        <f aca="false">IF(NOT(Tasks[[#This Row],[_IsLeaf]]=1),0,IF(N(Tasks[[#This Row],[Actual Finish]])&gt;0,1,MIN(1,N(Tasks[[#This Row],[% Complete]]))))</f>
        <v>0</v>
      </c>
      <c r="BK16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6" s="47" t="n">
        <f aca="false">IF(Tasks[[#This Row],[_LeafWork]]=0,0,Tasks[[#This Row],[_LeafWork]]*IFERROR(INDEX(res_Rate,MATCH(Tasks[[#This Row],[Resource]],res_Name,0)),0))</f>
        <v>0</v>
      </c>
      <c r="BM16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6" s="47" t="n">
        <f aca="false">IF(AND(Tasks[[#This Row],[_IsLeaf]]=1,Tasks[[#This Row],[_LeafWork]]&gt;0),NETWORKDAYS.INTL(ProjectStart,Tasks[[#This Row],[_LeafFcstStart]],WorkWeek,Holidays),0)</f>
        <v>0</v>
      </c>
      <c r="BV16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6" s="47" t="n">
        <f aca="false">IF(AND(Tasks[[#This Row],[_IsLeaf]]=1,Tasks[[#This Row],[_LeafWork]]&gt;0),Tasks[[#This Row],[_LeafWork]]/(Tasks[[#This Row],[_FinishWorkday]]-Tasks[[#This Row],[_StartWorkday]]+1),0)</f>
        <v>0</v>
      </c>
      <c r="BX166" s="47" t="n">
        <f aca="false">Tasks[[#This Row],[_WorkPerWorkday]]*(Tasks[[#This Row],[_StartWorkday]]-1)</f>
        <v>-0</v>
      </c>
      <c r="BY166" s="47" t="n">
        <f aca="false">IF(Tasks[[#This Row],[_IsLeaf]]=1,MAX(N(Tasks[[#This Row],[Duration]]),0.1),0)</f>
        <v>0</v>
      </c>
      <c r="BZ166" s="47" t="n">
        <f aca="false">Tasks[[#This Row],[_WeightDur]]*Tasks[[#This Row],[_LeafProgress]]</f>
        <v>0</v>
      </c>
      <c r="CA16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7" customFormat="false" ht="15" hidden="false" customHeight="false" outlineLevel="0" collapsed="false">
      <c r="A167" s="38" t="str">
        <f aca="false">IF(Tasks[[#This Row],[Task Name]]="","",COUNTA(Tasks[[#Headers],[Task Name]]:Tasks[[#This Row],[Task Name]])-1)</f>
        <v/>
      </c>
      <c r="B167" s="39" t="n">
        <v>162</v>
      </c>
      <c r="C16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7" s="39"/>
      <c r="E167" s="41"/>
      <c r="F167" s="39"/>
      <c r="G167" s="39"/>
      <c r="H167" s="39"/>
      <c r="I167" s="39"/>
      <c r="J167" s="39"/>
      <c r="K167" s="39"/>
      <c r="L167" s="39"/>
      <c r="M167" s="39"/>
      <c r="N167" s="29"/>
      <c r="O167" s="29"/>
      <c r="P167" s="24" t="str">
        <f aca="false">IF(Tasks[[#This Row],[Task Name]]="","",IF(N(Tasks[[#This Row],[Baseline Start]])&gt;0,Tasks[[#This Row],[Baseline Start]],Tasks[[#This Row],[_CalcStart]]))</f>
        <v/>
      </c>
      <c r="Q167" s="24" t="str">
        <f aca="false">IF(Tasks[[#This Row],[Task Name]]="","",IF(N(Tasks[[#This Row],[Baseline Finish]])&gt;0,Tasks[[#This Row],[Baseline Finish]],Tasks[[#This Row],[_CalcFinish]]))</f>
        <v/>
      </c>
      <c r="R167" s="29"/>
      <c r="S167" s="29"/>
      <c r="T16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7" s="31"/>
      <c r="AA16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7" s="41"/>
      <c r="AD167" s="31"/>
      <c r="AE16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7" s="41"/>
      <c r="AJ167" s="24" t="str">
        <f aca="false">IF(Tasks[[#This Row],[Task Name]]="","",Tasks[[#This Row],[Forecast Start]])</f>
        <v/>
      </c>
      <c r="AK167" s="24" t="str">
        <f aca="false">IF(Tasks[[#This Row],[Task Name]]="","",Tasks[[#This Row],[Forecast Finish]])</f>
        <v/>
      </c>
      <c r="AL16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7" s="43" t="str">
        <f aca="false">IF(Tasks[[#This Row],[Task Name]]="","",Tasks[[#This Row],[Work]])</f>
        <v/>
      </c>
      <c r="AN167" s="44" t="str">
        <f aca="false">IF(Tasks[[#This Row],[Task Name]]="","",Tasks[[#This Row],[Cost]])</f>
        <v/>
      </c>
      <c r="AO167" s="29"/>
      <c r="AP167" s="29"/>
      <c r="AQ167" s="39"/>
      <c r="AR167" s="45"/>
      <c r="AS167" s="46"/>
      <c r="AT167" s="40" t="str">
        <f aca="false">IF(OR(Tasks[[#This Row],[Task Name]]="",Tasks[[#This Row],[Baseline Duration]]=""),"",Tasks[[#This Row],[BL Source Duration]]-N(Tasks[[#This Row],[Baseline Duration]]))</f>
        <v/>
      </c>
      <c r="AU167" s="43" t="str">
        <f aca="false">IF(OR(Tasks[[#This Row],[Task Name]]="",Tasks[[#This Row],[Baseline Work]]=""),"",Tasks[[#This Row],[Work]]-N(Tasks[[#This Row],[Baseline Work]]))</f>
        <v/>
      </c>
      <c r="AV167" s="44" t="str">
        <f aca="false">IF(OR(Tasks[[#This Row],[Task Name]]="",Tasks[[#This Row],[Baseline Cost]]=""),"",Tasks[[#This Row],[Cost]]-N(Tasks[[#This Row],[Baseline Cost]]))</f>
        <v/>
      </c>
      <c r="AW167" s="47" t="str">
        <f aca="false">IF(Tasks[[#This Row],[Task Name]]="","",MAX(1,N(Tasks[[#This Row],[Level]])))</f>
        <v/>
      </c>
      <c r="AX167" s="47" t="n">
        <f aca="false">ROW()-ROW(Tasks[[#Headers],[ID]])</f>
        <v>162</v>
      </c>
      <c r="AY16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7" s="47" t="n">
        <f aca="false">IFERROR(N(INDEX(Tasks[_Level],Tasks[[#This Row],[_Row]]+1)),0)</f>
        <v>0</v>
      </c>
      <c r="BA167" s="48" t="b">
        <f aca="false">AND(Tasks[[#This Row],[Task Name]]&lt;&gt;"",Tasks[[#This Row],[_NextLevel]]&gt;Tasks[[#This Row],[_Level]])</f>
        <v>0</v>
      </c>
      <c r="BB167" s="47" t="n">
        <f aca="false">IF(Tasks[[#This Row],[_IsSummary]],COUNTIF(Tasks[WBS],Tasks[[#This Row],[WBS]]&amp;".*"),0)</f>
        <v>0</v>
      </c>
      <c r="BC167" s="47" t="n">
        <f aca="false">IF(AND(Tasks[[#This Row],[Task Name]]&lt;&gt;"",NOT(Tasks[[#This Row],[_IsSummary]])),1,0)</f>
        <v>0</v>
      </c>
      <c r="BD167" s="47" t="n">
        <f aca="false">IF(N(Tasks[[#This Row],[Pred1 UID]])=0,0,IFERROR(MATCH(Tasks[[#This Row],[Pred1 UID]],Tasks[UID],0),-1))</f>
        <v>0</v>
      </c>
      <c r="BE167" s="47" t="n">
        <f aca="false">IF(N(Tasks[[#This Row],[Pred2 UID]])=0,0,IFERROR(MATCH(Tasks[[#This Row],[Pred2 UID]],Tasks[UID],0),-1))</f>
        <v>0</v>
      </c>
      <c r="BF16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7" s="47" t="n">
        <f aca="false">IF(NOT(Tasks[[#This Row],[_IsLeaf]]=1),0,IF(N(Tasks[[#This Row],[Actual Finish]])&gt;0,1,MIN(1,N(Tasks[[#This Row],[% Complete]]))))</f>
        <v>0</v>
      </c>
      <c r="BK16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7" s="47" t="n">
        <f aca="false">IF(Tasks[[#This Row],[_LeafWork]]=0,0,Tasks[[#This Row],[_LeafWork]]*IFERROR(INDEX(res_Rate,MATCH(Tasks[[#This Row],[Resource]],res_Name,0)),0))</f>
        <v>0</v>
      </c>
      <c r="BM16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7" s="47" t="n">
        <f aca="false">IF(AND(Tasks[[#This Row],[_IsLeaf]]=1,Tasks[[#This Row],[_LeafWork]]&gt;0),NETWORKDAYS.INTL(ProjectStart,Tasks[[#This Row],[_LeafFcstStart]],WorkWeek,Holidays),0)</f>
        <v>0</v>
      </c>
      <c r="BV16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7" s="47" t="n">
        <f aca="false">IF(AND(Tasks[[#This Row],[_IsLeaf]]=1,Tasks[[#This Row],[_LeafWork]]&gt;0),Tasks[[#This Row],[_LeafWork]]/(Tasks[[#This Row],[_FinishWorkday]]-Tasks[[#This Row],[_StartWorkday]]+1),0)</f>
        <v>0</v>
      </c>
      <c r="BX167" s="47" t="n">
        <f aca="false">Tasks[[#This Row],[_WorkPerWorkday]]*(Tasks[[#This Row],[_StartWorkday]]-1)</f>
        <v>-0</v>
      </c>
      <c r="BY167" s="47" t="n">
        <f aca="false">IF(Tasks[[#This Row],[_IsLeaf]]=1,MAX(N(Tasks[[#This Row],[Duration]]),0.1),0)</f>
        <v>0</v>
      </c>
      <c r="BZ167" s="47" t="n">
        <f aca="false">Tasks[[#This Row],[_WeightDur]]*Tasks[[#This Row],[_LeafProgress]]</f>
        <v>0</v>
      </c>
      <c r="CA16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8" customFormat="false" ht="15" hidden="false" customHeight="false" outlineLevel="0" collapsed="false">
      <c r="A168" s="38" t="str">
        <f aca="false">IF(Tasks[[#This Row],[Task Name]]="","",COUNTA(Tasks[[#Headers],[Task Name]]:Tasks[[#This Row],[Task Name]])-1)</f>
        <v/>
      </c>
      <c r="B168" s="39" t="n">
        <v>163</v>
      </c>
      <c r="C16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8" s="39"/>
      <c r="E168" s="41"/>
      <c r="F168" s="39"/>
      <c r="G168" s="39"/>
      <c r="H168" s="39"/>
      <c r="I168" s="39"/>
      <c r="J168" s="39"/>
      <c r="K168" s="39"/>
      <c r="L168" s="39"/>
      <c r="M168" s="39"/>
      <c r="N168" s="29"/>
      <c r="O168" s="29"/>
      <c r="P168" s="24" t="str">
        <f aca="false">IF(Tasks[[#This Row],[Task Name]]="","",IF(N(Tasks[[#This Row],[Baseline Start]])&gt;0,Tasks[[#This Row],[Baseline Start]],Tasks[[#This Row],[_CalcStart]]))</f>
        <v/>
      </c>
      <c r="Q168" s="24" t="str">
        <f aca="false">IF(Tasks[[#This Row],[Task Name]]="","",IF(N(Tasks[[#This Row],[Baseline Finish]])&gt;0,Tasks[[#This Row],[Baseline Finish]],Tasks[[#This Row],[_CalcFinish]]))</f>
        <v/>
      </c>
      <c r="R168" s="29"/>
      <c r="S168" s="29"/>
      <c r="T16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8" s="31"/>
      <c r="AA16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8" s="41"/>
      <c r="AD168" s="31"/>
      <c r="AE16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8" s="41"/>
      <c r="AJ168" s="24" t="str">
        <f aca="false">IF(Tasks[[#This Row],[Task Name]]="","",Tasks[[#This Row],[Forecast Start]])</f>
        <v/>
      </c>
      <c r="AK168" s="24" t="str">
        <f aca="false">IF(Tasks[[#This Row],[Task Name]]="","",Tasks[[#This Row],[Forecast Finish]])</f>
        <v/>
      </c>
      <c r="AL16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8" s="43" t="str">
        <f aca="false">IF(Tasks[[#This Row],[Task Name]]="","",Tasks[[#This Row],[Work]])</f>
        <v/>
      </c>
      <c r="AN168" s="44" t="str">
        <f aca="false">IF(Tasks[[#This Row],[Task Name]]="","",Tasks[[#This Row],[Cost]])</f>
        <v/>
      </c>
      <c r="AO168" s="29"/>
      <c r="AP168" s="29"/>
      <c r="AQ168" s="39"/>
      <c r="AR168" s="45"/>
      <c r="AS168" s="46"/>
      <c r="AT168" s="40" t="str">
        <f aca="false">IF(OR(Tasks[[#This Row],[Task Name]]="",Tasks[[#This Row],[Baseline Duration]]=""),"",Tasks[[#This Row],[BL Source Duration]]-N(Tasks[[#This Row],[Baseline Duration]]))</f>
        <v/>
      </c>
      <c r="AU168" s="43" t="str">
        <f aca="false">IF(OR(Tasks[[#This Row],[Task Name]]="",Tasks[[#This Row],[Baseline Work]]=""),"",Tasks[[#This Row],[Work]]-N(Tasks[[#This Row],[Baseline Work]]))</f>
        <v/>
      </c>
      <c r="AV168" s="44" t="str">
        <f aca="false">IF(OR(Tasks[[#This Row],[Task Name]]="",Tasks[[#This Row],[Baseline Cost]]=""),"",Tasks[[#This Row],[Cost]]-N(Tasks[[#This Row],[Baseline Cost]]))</f>
        <v/>
      </c>
      <c r="AW168" s="47" t="str">
        <f aca="false">IF(Tasks[[#This Row],[Task Name]]="","",MAX(1,N(Tasks[[#This Row],[Level]])))</f>
        <v/>
      </c>
      <c r="AX168" s="47" t="n">
        <f aca="false">ROW()-ROW(Tasks[[#Headers],[ID]])</f>
        <v>163</v>
      </c>
      <c r="AY16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8" s="47" t="n">
        <f aca="false">IFERROR(N(INDEX(Tasks[_Level],Tasks[[#This Row],[_Row]]+1)),0)</f>
        <v>0</v>
      </c>
      <c r="BA168" s="48" t="b">
        <f aca="false">AND(Tasks[[#This Row],[Task Name]]&lt;&gt;"",Tasks[[#This Row],[_NextLevel]]&gt;Tasks[[#This Row],[_Level]])</f>
        <v>0</v>
      </c>
      <c r="BB168" s="47" t="n">
        <f aca="false">IF(Tasks[[#This Row],[_IsSummary]],COUNTIF(Tasks[WBS],Tasks[[#This Row],[WBS]]&amp;".*"),0)</f>
        <v>0</v>
      </c>
      <c r="BC168" s="47" t="n">
        <f aca="false">IF(AND(Tasks[[#This Row],[Task Name]]&lt;&gt;"",NOT(Tasks[[#This Row],[_IsSummary]])),1,0)</f>
        <v>0</v>
      </c>
      <c r="BD168" s="47" t="n">
        <f aca="false">IF(N(Tasks[[#This Row],[Pred1 UID]])=0,0,IFERROR(MATCH(Tasks[[#This Row],[Pred1 UID]],Tasks[UID],0),-1))</f>
        <v>0</v>
      </c>
      <c r="BE168" s="47" t="n">
        <f aca="false">IF(N(Tasks[[#This Row],[Pred2 UID]])=0,0,IFERROR(MATCH(Tasks[[#This Row],[Pred2 UID]],Tasks[UID],0),-1))</f>
        <v>0</v>
      </c>
      <c r="BF16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8" s="47" t="n">
        <f aca="false">IF(NOT(Tasks[[#This Row],[_IsLeaf]]=1),0,IF(N(Tasks[[#This Row],[Actual Finish]])&gt;0,1,MIN(1,N(Tasks[[#This Row],[% Complete]]))))</f>
        <v>0</v>
      </c>
      <c r="BK16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8" s="47" t="n">
        <f aca="false">IF(Tasks[[#This Row],[_LeafWork]]=0,0,Tasks[[#This Row],[_LeafWork]]*IFERROR(INDEX(res_Rate,MATCH(Tasks[[#This Row],[Resource]],res_Name,0)),0))</f>
        <v>0</v>
      </c>
      <c r="BM16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8" s="47" t="n">
        <f aca="false">IF(AND(Tasks[[#This Row],[_IsLeaf]]=1,Tasks[[#This Row],[_LeafWork]]&gt;0),NETWORKDAYS.INTL(ProjectStart,Tasks[[#This Row],[_LeafFcstStart]],WorkWeek,Holidays),0)</f>
        <v>0</v>
      </c>
      <c r="BV16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8" s="47" t="n">
        <f aca="false">IF(AND(Tasks[[#This Row],[_IsLeaf]]=1,Tasks[[#This Row],[_LeafWork]]&gt;0),Tasks[[#This Row],[_LeafWork]]/(Tasks[[#This Row],[_FinishWorkday]]-Tasks[[#This Row],[_StartWorkday]]+1),0)</f>
        <v>0</v>
      </c>
      <c r="BX168" s="47" t="n">
        <f aca="false">Tasks[[#This Row],[_WorkPerWorkday]]*(Tasks[[#This Row],[_StartWorkday]]-1)</f>
        <v>-0</v>
      </c>
      <c r="BY168" s="47" t="n">
        <f aca="false">IF(Tasks[[#This Row],[_IsLeaf]]=1,MAX(N(Tasks[[#This Row],[Duration]]),0.1),0)</f>
        <v>0</v>
      </c>
      <c r="BZ168" s="47" t="n">
        <f aca="false">Tasks[[#This Row],[_WeightDur]]*Tasks[[#This Row],[_LeafProgress]]</f>
        <v>0</v>
      </c>
      <c r="CA16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9" customFormat="false" ht="15" hidden="false" customHeight="false" outlineLevel="0" collapsed="false">
      <c r="A169" s="38" t="str">
        <f aca="false">IF(Tasks[[#This Row],[Task Name]]="","",COUNTA(Tasks[[#Headers],[Task Name]]:Tasks[[#This Row],[Task Name]])-1)</f>
        <v/>
      </c>
      <c r="B169" s="39" t="n">
        <v>164</v>
      </c>
      <c r="C16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9" s="39"/>
      <c r="E169" s="41"/>
      <c r="F169" s="39"/>
      <c r="G169" s="39"/>
      <c r="H169" s="39"/>
      <c r="I169" s="39"/>
      <c r="J169" s="39"/>
      <c r="K169" s="39"/>
      <c r="L169" s="39"/>
      <c r="M169" s="39"/>
      <c r="N169" s="29"/>
      <c r="O169" s="29"/>
      <c r="P169" s="24" t="str">
        <f aca="false">IF(Tasks[[#This Row],[Task Name]]="","",IF(N(Tasks[[#This Row],[Baseline Start]])&gt;0,Tasks[[#This Row],[Baseline Start]],Tasks[[#This Row],[_CalcStart]]))</f>
        <v/>
      </c>
      <c r="Q169" s="24" t="str">
        <f aca="false">IF(Tasks[[#This Row],[Task Name]]="","",IF(N(Tasks[[#This Row],[Baseline Finish]])&gt;0,Tasks[[#This Row],[Baseline Finish]],Tasks[[#This Row],[_CalcFinish]]))</f>
        <v/>
      </c>
      <c r="R169" s="29"/>
      <c r="S169" s="29"/>
      <c r="T16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9" s="31"/>
      <c r="AA16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9" s="41"/>
      <c r="AD169" s="31"/>
      <c r="AE16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9" s="41"/>
      <c r="AJ169" s="24" t="str">
        <f aca="false">IF(Tasks[[#This Row],[Task Name]]="","",Tasks[[#This Row],[Forecast Start]])</f>
        <v/>
      </c>
      <c r="AK169" s="24" t="str">
        <f aca="false">IF(Tasks[[#This Row],[Task Name]]="","",Tasks[[#This Row],[Forecast Finish]])</f>
        <v/>
      </c>
      <c r="AL16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9" s="43" t="str">
        <f aca="false">IF(Tasks[[#This Row],[Task Name]]="","",Tasks[[#This Row],[Work]])</f>
        <v/>
      </c>
      <c r="AN169" s="44" t="str">
        <f aca="false">IF(Tasks[[#This Row],[Task Name]]="","",Tasks[[#This Row],[Cost]])</f>
        <v/>
      </c>
      <c r="AO169" s="29"/>
      <c r="AP169" s="29"/>
      <c r="AQ169" s="39"/>
      <c r="AR169" s="45"/>
      <c r="AS169" s="46"/>
      <c r="AT169" s="40" t="str">
        <f aca="false">IF(OR(Tasks[[#This Row],[Task Name]]="",Tasks[[#This Row],[Baseline Duration]]=""),"",Tasks[[#This Row],[BL Source Duration]]-N(Tasks[[#This Row],[Baseline Duration]]))</f>
        <v/>
      </c>
      <c r="AU169" s="43" t="str">
        <f aca="false">IF(OR(Tasks[[#This Row],[Task Name]]="",Tasks[[#This Row],[Baseline Work]]=""),"",Tasks[[#This Row],[Work]]-N(Tasks[[#This Row],[Baseline Work]]))</f>
        <v/>
      </c>
      <c r="AV169" s="44" t="str">
        <f aca="false">IF(OR(Tasks[[#This Row],[Task Name]]="",Tasks[[#This Row],[Baseline Cost]]=""),"",Tasks[[#This Row],[Cost]]-N(Tasks[[#This Row],[Baseline Cost]]))</f>
        <v/>
      </c>
      <c r="AW169" s="47" t="str">
        <f aca="false">IF(Tasks[[#This Row],[Task Name]]="","",MAX(1,N(Tasks[[#This Row],[Level]])))</f>
        <v/>
      </c>
      <c r="AX169" s="47" t="n">
        <f aca="false">ROW()-ROW(Tasks[[#Headers],[ID]])</f>
        <v>164</v>
      </c>
      <c r="AY16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9" s="47" t="n">
        <f aca="false">IFERROR(N(INDEX(Tasks[_Level],Tasks[[#This Row],[_Row]]+1)),0)</f>
        <v>0</v>
      </c>
      <c r="BA169" s="48" t="b">
        <f aca="false">AND(Tasks[[#This Row],[Task Name]]&lt;&gt;"",Tasks[[#This Row],[_NextLevel]]&gt;Tasks[[#This Row],[_Level]])</f>
        <v>0</v>
      </c>
      <c r="BB169" s="47" t="n">
        <f aca="false">IF(Tasks[[#This Row],[_IsSummary]],COUNTIF(Tasks[WBS],Tasks[[#This Row],[WBS]]&amp;".*"),0)</f>
        <v>0</v>
      </c>
      <c r="BC169" s="47" t="n">
        <f aca="false">IF(AND(Tasks[[#This Row],[Task Name]]&lt;&gt;"",NOT(Tasks[[#This Row],[_IsSummary]])),1,0)</f>
        <v>0</v>
      </c>
      <c r="BD169" s="47" t="n">
        <f aca="false">IF(N(Tasks[[#This Row],[Pred1 UID]])=0,0,IFERROR(MATCH(Tasks[[#This Row],[Pred1 UID]],Tasks[UID],0),-1))</f>
        <v>0</v>
      </c>
      <c r="BE169" s="47" t="n">
        <f aca="false">IF(N(Tasks[[#This Row],[Pred2 UID]])=0,0,IFERROR(MATCH(Tasks[[#This Row],[Pred2 UID]],Tasks[UID],0),-1))</f>
        <v>0</v>
      </c>
      <c r="BF16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9" s="47" t="n">
        <f aca="false">IF(NOT(Tasks[[#This Row],[_IsLeaf]]=1),0,IF(N(Tasks[[#This Row],[Actual Finish]])&gt;0,1,MIN(1,N(Tasks[[#This Row],[% Complete]]))))</f>
        <v>0</v>
      </c>
      <c r="BK16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9" s="47" t="n">
        <f aca="false">IF(Tasks[[#This Row],[_LeafWork]]=0,0,Tasks[[#This Row],[_LeafWork]]*IFERROR(INDEX(res_Rate,MATCH(Tasks[[#This Row],[Resource]],res_Name,0)),0))</f>
        <v>0</v>
      </c>
      <c r="BM16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6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6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6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6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6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69" s="47" t="n">
        <f aca="false">IF(AND(Tasks[[#This Row],[_IsLeaf]]=1,Tasks[[#This Row],[_LeafWork]]&gt;0),NETWORKDAYS.INTL(ProjectStart,Tasks[[#This Row],[_LeafFcstStart]],WorkWeek,Holidays),0)</f>
        <v>0</v>
      </c>
      <c r="BV16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9" s="47" t="n">
        <f aca="false">IF(AND(Tasks[[#This Row],[_IsLeaf]]=1,Tasks[[#This Row],[_LeafWork]]&gt;0),Tasks[[#This Row],[_LeafWork]]/(Tasks[[#This Row],[_FinishWorkday]]-Tasks[[#This Row],[_StartWorkday]]+1),0)</f>
        <v>0</v>
      </c>
      <c r="BX169" s="47" t="n">
        <f aca="false">Tasks[[#This Row],[_WorkPerWorkday]]*(Tasks[[#This Row],[_StartWorkday]]-1)</f>
        <v>-0</v>
      </c>
      <c r="BY169" s="47" t="n">
        <f aca="false">IF(Tasks[[#This Row],[_IsLeaf]]=1,MAX(N(Tasks[[#This Row],[Duration]]),0.1),0)</f>
        <v>0</v>
      </c>
      <c r="BZ169" s="47" t="n">
        <f aca="false">Tasks[[#This Row],[_WeightDur]]*Tasks[[#This Row],[_LeafProgress]]</f>
        <v>0</v>
      </c>
      <c r="CA16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0" customFormat="false" ht="15" hidden="false" customHeight="false" outlineLevel="0" collapsed="false">
      <c r="A170" s="38" t="str">
        <f aca="false">IF(Tasks[[#This Row],[Task Name]]="","",COUNTA(Tasks[[#Headers],[Task Name]]:Tasks[[#This Row],[Task Name]])-1)</f>
        <v/>
      </c>
      <c r="B170" s="39" t="n">
        <v>165</v>
      </c>
      <c r="C17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0" s="39"/>
      <c r="E170" s="41"/>
      <c r="F170" s="39"/>
      <c r="G170" s="39"/>
      <c r="H170" s="39"/>
      <c r="I170" s="39"/>
      <c r="J170" s="39"/>
      <c r="K170" s="39"/>
      <c r="L170" s="39"/>
      <c r="M170" s="39"/>
      <c r="N170" s="29"/>
      <c r="O170" s="29"/>
      <c r="P170" s="24" t="str">
        <f aca="false">IF(Tasks[[#This Row],[Task Name]]="","",IF(N(Tasks[[#This Row],[Baseline Start]])&gt;0,Tasks[[#This Row],[Baseline Start]],Tasks[[#This Row],[_CalcStart]]))</f>
        <v/>
      </c>
      <c r="Q170" s="24" t="str">
        <f aca="false">IF(Tasks[[#This Row],[Task Name]]="","",IF(N(Tasks[[#This Row],[Baseline Finish]])&gt;0,Tasks[[#This Row],[Baseline Finish]],Tasks[[#This Row],[_CalcFinish]]))</f>
        <v/>
      </c>
      <c r="R170" s="29"/>
      <c r="S170" s="29"/>
      <c r="T17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0" s="31"/>
      <c r="AA17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0" s="41"/>
      <c r="AD170" s="31"/>
      <c r="AE17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0" s="41"/>
      <c r="AJ170" s="24" t="str">
        <f aca="false">IF(Tasks[[#This Row],[Task Name]]="","",Tasks[[#This Row],[Forecast Start]])</f>
        <v/>
      </c>
      <c r="AK170" s="24" t="str">
        <f aca="false">IF(Tasks[[#This Row],[Task Name]]="","",Tasks[[#This Row],[Forecast Finish]])</f>
        <v/>
      </c>
      <c r="AL17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0" s="43" t="str">
        <f aca="false">IF(Tasks[[#This Row],[Task Name]]="","",Tasks[[#This Row],[Work]])</f>
        <v/>
      </c>
      <c r="AN170" s="44" t="str">
        <f aca="false">IF(Tasks[[#This Row],[Task Name]]="","",Tasks[[#This Row],[Cost]])</f>
        <v/>
      </c>
      <c r="AO170" s="29"/>
      <c r="AP170" s="29"/>
      <c r="AQ170" s="39"/>
      <c r="AR170" s="45"/>
      <c r="AS170" s="46"/>
      <c r="AT170" s="40" t="str">
        <f aca="false">IF(OR(Tasks[[#This Row],[Task Name]]="",Tasks[[#This Row],[Baseline Duration]]=""),"",Tasks[[#This Row],[BL Source Duration]]-N(Tasks[[#This Row],[Baseline Duration]]))</f>
        <v/>
      </c>
      <c r="AU170" s="43" t="str">
        <f aca="false">IF(OR(Tasks[[#This Row],[Task Name]]="",Tasks[[#This Row],[Baseline Work]]=""),"",Tasks[[#This Row],[Work]]-N(Tasks[[#This Row],[Baseline Work]]))</f>
        <v/>
      </c>
      <c r="AV170" s="44" t="str">
        <f aca="false">IF(OR(Tasks[[#This Row],[Task Name]]="",Tasks[[#This Row],[Baseline Cost]]=""),"",Tasks[[#This Row],[Cost]]-N(Tasks[[#This Row],[Baseline Cost]]))</f>
        <v/>
      </c>
      <c r="AW170" s="47" t="str">
        <f aca="false">IF(Tasks[[#This Row],[Task Name]]="","",MAX(1,N(Tasks[[#This Row],[Level]])))</f>
        <v/>
      </c>
      <c r="AX170" s="47" t="n">
        <f aca="false">ROW()-ROW(Tasks[[#Headers],[ID]])</f>
        <v>165</v>
      </c>
      <c r="AY17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0" s="47" t="n">
        <f aca="false">IFERROR(N(INDEX(Tasks[_Level],Tasks[[#This Row],[_Row]]+1)),0)</f>
        <v>0</v>
      </c>
      <c r="BA170" s="48" t="b">
        <f aca="false">AND(Tasks[[#This Row],[Task Name]]&lt;&gt;"",Tasks[[#This Row],[_NextLevel]]&gt;Tasks[[#This Row],[_Level]])</f>
        <v>0</v>
      </c>
      <c r="BB170" s="47" t="n">
        <f aca="false">IF(Tasks[[#This Row],[_IsSummary]],COUNTIF(Tasks[WBS],Tasks[[#This Row],[WBS]]&amp;".*"),0)</f>
        <v>0</v>
      </c>
      <c r="BC170" s="47" t="n">
        <f aca="false">IF(AND(Tasks[[#This Row],[Task Name]]&lt;&gt;"",NOT(Tasks[[#This Row],[_IsSummary]])),1,0)</f>
        <v>0</v>
      </c>
      <c r="BD170" s="47" t="n">
        <f aca="false">IF(N(Tasks[[#This Row],[Pred1 UID]])=0,0,IFERROR(MATCH(Tasks[[#This Row],[Pred1 UID]],Tasks[UID],0),-1))</f>
        <v>0</v>
      </c>
      <c r="BE170" s="47" t="n">
        <f aca="false">IF(N(Tasks[[#This Row],[Pred2 UID]])=0,0,IFERROR(MATCH(Tasks[[#This Row],[Pred2 UID]],Tasks[UID],0),-1))</f>
        <v>0</v>
      </c>
      <c r="BF17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0" s="47" t="n">
        <f aca="false">IF(NOT(Tasks[[#This Row],[_IsLeaf]]=1),0,IF(N(Tasks[[#This Row],[Actual Finish]])&gt;0,1,MIN(1,N(Tasks[[#This Row],[% Complete]]))))</f>
        <v>0</v>
      </c>
      <c r="BK17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0" s="47" t="n">
        <f aca="false">IF(Tasks[[#This Row],[_LeafWork]]=0,0,Tasks[[#This Row],[_LeafWork]]*IFERROR(INDEX(res_Rate,MATCH(Tasks[[#This Row],[Resource]],res_Name,0)),0))</f>
        <v>0</v>
      </c>
      <c r="BM17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0" s="47" t="n">
        <f aca="false">IF(AND(Tasks[[#This Row],[_IsLeaf]]=1,Tasks[[#This Row],[_LeafWork]]&gt;0),NETWORKDAYS.INTL(ProjectStart,Tasks[[#This Row],[_LeafFcstStart]],WorkWeek,Holidays),0)</f>
        <v>0</v>
      </c>
      <c r="BV17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0" s="47" t="n">
        <f aca="false">IF(AND(Tasks[[#This Row],[_IsLeaf]]=1,Tasks[[#This Row],[_LeafWork]]&gt;0),Tasks[[#This Row],[_LeafWork]]/(Tasks[[#This Row],[_FinishWorkday]]-Tasks[[#This Row],[_StartWorkday]]+1),0)</f>
        <v>0</v>
      </c>
      <c r="BX170" s="47" t="n">
        <f aca="false">Tasks[[#This Row],[_WorkPerWorkday]]*(Tasks[[#This Row],[_StartWorkday]]-1)</f>
        <v>-0</v>
      </c>
      <c r="BY170" s="47" t="n">
        <f aca="false">IF(Tasks[[#This Row],[_IsLeaf]]=1,MAX(N(Tasks[[#This Row],[Duration]]),0.1),0)</f>
        <v>0</v>
      </c>
      <c r="BZ170" s="47" t="n">
        <f aca="false">Tasks[[#This Row],[_WeightDur]]*Tasks[[#This Row],[_LeafProgress]]</f>
        <v>0</v>
      </c>
      <c r="CA17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1" customFormat="false" ht="15" hidden="false" customHeight="false" outlineLevel="0" collapsed="false">
      <c r="A171" s="38" t="str">
        <f aca="false">IF(Tasks[[#This Row],[Task Name]]="","",COUNTA(Tasks[[#Headers],[Task Name]]:Tasks[[#This Row],[Task Name]])-1)</f>
        <v/>
      </c>
      <c r="B171" s="39" t="n">
        <v>166</v>
      </c>
      <c r="C17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1" s="39"/>
      <c r="E171" s="41"/>
      <c r="F171" s="39"/>
      <c r="G171" s="39"/>
      <c r="H171" s="39"/>
      <c r="I171" s="39"/>
      <c r="J171" s="39"/>
      <c r="K171" s="39"/>
      <c r="L171" s="39"/>
      <c r="M171" s="39"/>
      <c r="N171" s="29"/>
      <c r="O171" s="29"/>
      <c r="P171" s="24" t="str">
        <f aca="false">IF(Tasks[[#This Row],[Task Name]]="","",IF(N(Tasks[[#This Row],[Baseline Start]])&gt;0,Tasks[[#This Row],[Baseline Start]],Tasks[[#This Row],[_CalcStart]]))</f>
        <v/>
      </c>
      <c r="Q171" s="24" t="str">
        <f aca="false">IF(Tasks[[#This Row],[Task Name]]="","",IF(N(Tasks[[#This Row],[Baseline Finish]])&gt;0,Tasks[[#This Row],[Baseline Finish]],Tasks[[#This Row],[_CalcFinish]]))</f>
        <v/>
      </c>
      <c r="R171" s="29"/>
      <c r="S171" s="29"/>
      <c r="T17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1" s="31"/>
      <c r="AA17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1" s="41"/>
      <c r="AD171" s="31"/>
      <c r="AE17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1" s="41"/>
      <c r="AJ171" s="24" t="str">
        <f aca="false">IF(Tasks[[#This Row],[Task Name]]="","",Tasks[[#This Row],[Forecast Start]])</f>
        <v/>
      </c>
      <c r="AK171" s="24" t="str">
        <f aca="false">IF(Tasks[[#This Row],[Task Name]]="","",Tasks[[#This Row],[Forecast Finish]])</f>
        <v/>
      </c>
      <c r="AL17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1" s="43" t="str">
        <f aca="false">IF(Tasks[[#This Row],[Task Name]]="","",Tasks[[#This Row],[Work]])</f>
        <v/>
      </c>
      <c r="AN171" s="44" t="str">
        <f aca="false">IF(Tasks[[#This Row],[Task Name]]="","",Tasks[[#This Row],[Cost]])</f>
        <v/>
      </c>
      <c r="AO171" s="29"/>
      <c r="AP171" s="29"/>
      <c r="AQ171" s="39"/>
      <c r="AR171" s="45"/>
      <c r="AS171" s="46"/>
      <c r="AT171" s="40" t="str">
        <f aca="false">IF(OR(Tasks[[#This Row],[Task Name]]="",Tasks[[#This Row],[Baseline Duration]]=""),"",Tasks[[#This Row],[BL Source Duration]]-N(Tasks[[#This Row],[Baseline Duration]]))</f>
        <v/>
      </c>
      <c r="AU171" s="43" t="str">
        <f aca="false">IF(OR(Tasks[[#This Row],[Task Name]]="",Tasks[[#This Row],[Baseline Work]]=""),"",Tasks[[#This Row],[Work]]-N(Tasks[[#This Row],[Baseline Work]]))</f>
        <v/>
      </c>
      <c r="AV171" s="44" t="str">
        <f aca="false">IF(OR(Tasks[[#This Row],[Task Name]]="",Tasks[[#This Row],[Baseline Cost]]=""),"",Tasks[[#This Row],[Cost]]-N(Tasks[[#This Row],[Baseline Cost]]))</f>
        <v/>
      </c>
      <c r="AW171" s="47" t="str">
        <f aca="false">IF(Tasks[[#This Row],[Task Name]]="","",MAX(1,N(Tasks[[#This Row],[Level]])))</f>
        <v/>
      </c>
      <c r="AX171" s="47" t="n">
        <f aca="false">ROW()-ROW(Tasks[[#Headers],[ID]])</f>
        <v>166</v>
      </c>
      <c r="AY17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1" s="47" t="n">
        <f aca="false">IFERROR(N(INDEX(Tasks[_Level],Tasks[[#This Row],[_Row]]+1)),0)</f>
        <v>0</v>
      </c>
      <c r="BA171" s="48" t="b">
        <f aca="false">AND(Tasks[[#This Row],[Task Name]]&lt;&gt;"",Tasks[[#This Row],[_NextLevel]]&gt;Tasks[[#This Row],[_Level]])</f>
        <v>0</v>
      </c>
      <c r="BB171" s="47" t="n">
        <f aca="false">IF(Tasks[[#This Row],[_IsSummary]],COUNTIF(Tasks[WBS],Tasks[[#This Row],[WBS]]&amp;".*"),0)</f>
        <v>0</v>
      </c>
      <c r="BC171" s="47" t="n">
        <f aca="false">IF(AND(Tasks[[#This Row],[Task Name]]&lt;&gt;"",NOT(Tasks[[#This Row],[_IsSummary]])),1,0)</f>
        <v>0</v>
      </c>
      <c r="BD171" s="47" t="n">
        <f aca="false">IF(N(Tasks[[#This Row],[Pred1 UID]])=0,0,IFERROR(MATCH(Tasks[[#This Row],[Pred1 UID]],Tasks[UID],0),-1))</f>
        <v>0</v>
      </c>
      <c r="BE171" s="47" t="n">
        <f aca="false">IF(N(Tasks[[#This Row],[Pred2 UID]])=0,0,IFERROR(MATCH(Tasks[[#This Row],[Pred2 UID]],Tasks[UID],0),-1))</f>
        <v>0</v>
      </c>
      <c r="BF17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1" s="47" t="n">
        <f aca="false">IF(NOT(Tasks[[#This Row],[_IsLeaf]]=1),0,IF(N(Tasks[[#This Row],[Actual Finish]])&gt;0,1,MIN(1,N(Tasks[[#This Row],[% Complete]]))))</f>
        <v>0</v>
      </c>
      <c r="BK17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1" s="47" t="n">
        <f aca="false">IF(Tasks[[#This Row],[_LeafWork]]=0,0,Tasks[[#This Row],[_LeafWork]]*IFERROR(INDEX(res_Rate,MATCH(Tasks[[#This Row],[Resource]],res_Name,0)),0))</f>
        <v>0</v>
      </c>
      <c r="BM17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1" s="47" t="n">
        <f aca="false">IF(AND(Tasks[[#This Row],[_IsLeaf]]=1,Tasks[[#This Row],[_LeafWork]]&gt;0),NETWORKDAYS.INTL(ProjectStart,Tasks[[#This Row],[_LeafFcstStart]],WorkWeek,Holidays),0)</f>
        <v>0</v>
      </c>
      <c r="BV17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1" s="47" t="n">
        <f aca="false">IF(AND(Tasks[[#This Row],[_IsLeaf]]=1,Tasks[[#This Row],[_LeafWork]]&gt;0),Tasks[[#This Row],[_LeafWork]]/(Tasks[[#This Row],[_FinishWorkday]]-Tasks[[#This Row],[_StartWorkday]]+1),0)</f>
        <v>0</v>
      </c>
      <c r="BX171" s="47" t="n">
        <f aca="false">Tasks[[#This Row],[_WorkPerWorkday]]*(Tasks[[#This Row],[_StartWorkday]]-1)</f>
        <v>-0</v>
      </c>
      <c r="BY171" s="47" t="n">
        <f aca="false">IF(Tasks[[#This Row],[_IsLeaf]]=1,MAX(N(Tasks[[#This Row],[Duration]]),0.1),0)</f>
        <v>0</v>
      </c>
      <c r="BZ171" s="47" t="n">
        <f aca="false">Tasks[[#This Row],[_WeightDur]]*Tasks[[#This Row],[_LeafProgress]]</f>
        <v>0</v>
      </c>
      <c r="CA17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2" customFormat="false" ht="15" hidden="false" customHeight="false" outlineLevel="0" collapsed="false">
      <c r="A172" s="38" t="str">
        <f aca="false">IF(Tasks[[#This Row],[Task Name]]="","",COUNTA(Tasks[[#Headers],[Task Name]]:Tasks[[#This Row],[Task Name]])-1)</f>
        <v/>
      </c>
      <c r="B172" s="39" t="n">
        <v>167</v>
      </c>
      <c r="C17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2" s="39"/>
      <c r="E172" s="41"/>
      <c r="F172" s="39"/>
      <c r="G172" s="39"/>
      <c r="H172" s="39"/>
      <c r="I172" s="39"/>
      <c r="J172" s="39"/>
      <c r="K172" s="39"/>
      <c r="L172" s="39"/>
      <c r="M172" s="39"/>
      <c r="N172" s="29"/>
      <c r="O172" s="29"/>
      <c r="P172" s="24" t="str">
        <f aca="false">IF(Tasks[[#This Row],[Task Name]]="","",IF(N(Tasks[[#This Row],[Baseline Start]])&gt;0,Tasks[[#This Row],[Baseline Start]],Tasks[[#This Row],[_CalcStart]]))</f>
        <v/>
      </c>
      <c r="Q172" s="24" t="str">
        <f aca="false">IF(Tasks[[#This Row],[Task Name]]="","",IF(N(Tasks[[#This Row],[Baseline Finish]])&gt;0,Tasks[[#This Row],[Baseline Finish]],Tasks[[#This Row],[_CalcFinish]]))</f>
        <v/>
      </c>
      <c r="R172" s="29"/>
      <c r="S172" s="29"/>
      <c r="T17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2" s="31"/>
      <c r="AA17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2" s="41"/>
      <c r="AD172" s="31"/>
      <c r="AE17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2" s="41"/>
      <c r="AJ172" s="24" t="str">
        <f aca="false">IF(Tasks[[#This Row],[Task Name]]="","",Tasks[[#This Row],[Forecast Start]])</f>
        <v/>
      </c>
      <c r="AK172" s="24" t="str">
        <f aca="false">IF(Tasks[[#This Row],[Task Name]]="","",Tasks[[#This Row],[Forecast Finish]])</f>
        <v/>
      </c>
      <c r="AL17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2" s="43" t="str">
        <f aca="false">IF(Tasks[[#This Row],[Task Name]]="","",Tasks[[#This Row],[Work]])</f>
        <v/>
      </c>
      <c r="AN172" s="44" t="str">
        <f aca="false">IF(Tasks[[#This Row],[Task Name]]="","",Tasks[[#This Row],[Cost]])</f>
        <v/>
      </c>
      <c r="AO172" s="29"/>
      <c r="AP172" s="29"/>
      <c r="AQ172" s="39"/>
      <c r="AR172" s="45"/>
      <c r="AS172" s="46"/>
      <c r="AT172" s="40" t="str">
        <f aca="false">IF(OR(Tasks[[#This Row],[Task Name]]="",Tasks[[#This Row],[Baseline Duration]]=""),"",Tasks[[#This Row],[BL Source Duration]]-N(Tasks[[#This Row],[Baseline Duration]]))</f>
        <v/>
      </c>
      <c r="AU172" s="43" t="str">
        <f aca="false">IF(OR(Tasks[[#This Row],[Task Name]]="",Tasks[[#This Row],[Baseline Work]]=""),"",Tasks[[#This Row],[Work]]-N(Tasks[[#This Row],[Baseline Work]]))</f>
        <v/>
      </c>
      <c r="AV172" s="44" t="str">
        <f aca="false">IF(OR(Tasks[[#This Row],[Task Name]]="",Tasks[[#This Row],[Baseline Cost]]=""),"",Tasks[[#This Row],[Cost]]-N(Tasks[[#This Row],[Baseline Cost]]))</f>
        <v/>
      </c>
      <c r="AW172" s="47" t="str">
        <f aca="false">IF(Tasks[[#This Row],[Task Name]]="","",MAX(1,N(Tasks[[#This Row],[Level]])))</f>
        <v/>
      </c>
      <c r="AX172" s="47" t="n">
        <f aca="false">ROW()-ROW(Tasks[[#Headers],[ID]])</f>
        <v>167</v>
      </c>
      <c r="AY17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2" s="47" t="n">
        <f aca="false">IFERROR(N(INDEX(Tasks[_Level],Tasks[[#This Row],[_Row]]+1)),0)</f>
        <v>0</v>
      </c>
      <c r="BA172" s="48" t="b">
        <f aca="false">AND(Tasks[[#This Row],[Task Name]]&lt;&gt;"",Tasks[[#This Row],[_NextLevel]]&gt;Tasks[[#This Row],[_Level]])</f>
        <v>0</v>
      </c>
      <c r="BB172" s="47" t="n">
        <f aca="false">IF(Tasks[[#This Row],[_IsSummary]],COUNTIF(Tasks[WBS],Tasks[[#This Row],[WBS]]&amp;".*"),0)</f>
        <v>0</v>
      </c>
      <c r="BC172" s="47" t="n">
        <f aca="false">IF(AND(Tasks[[#This Row],[Task Name]]&lt;&gt;"",NOT(Tasks[[#This Row],[_IsSummary]])),1,0)</f>
        <v>0</v>
      </c>
      <c r="BD172" s="47" t="n">
        <f aca="false">IF(N(Tasks[[#This Row],[Pred1 UID]])=0,0,IFERROR(MATCH(Tasks[[#This Row],[Pred1 UID]],Tasks[UID],0),-1))</f>
        <v>0</v>
      </c>
      <c r="BE172" s="47" t="n">
        <f aca="false">IF(N(Tasks[[#This Row],[Pred2 UID]])=0,0,IFERROR(MATCH(Tasks[[#This Row],[Pred2 UID]],Tasks[UID],0),-1))</f>
        <v>0</v>
      </c>
      <c r="BF17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2" s="47" t="n">
        <f aca="false">IF(NOT(Tasks[[#This Row],[_IsLeaf]]=1),0,IF(N(Tasks[[#This Row],[Actual Finish]])&gt;0,1,MIN(1,N(Tasks[[#This Row],[% Complete]]))))</f>
        <v>0</v>
      </c>
      <c r="BK17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2" s="47" t="n">
        <f aca="false">IF(Tasks[[#This Row],[_LeafWork]]=0,0,Tasks[[#This Row],[_LeafWork]]*IFERROR(INDEX(res_Rate,MATCH(Tasks[[#This Row],[Resource]],res_Name,0)),0))</f>
        <v>0</v>
      </c>
      <c r="BM17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2" s="47" t="n">
        <f aca="false">IF(AND(Tasks[[#This Row],[_IsLeaf]]=1,Tasks[[#This Row],[_LeafWork]]&gt;0),NETWORKDAYS.INTL(ProjectStart,Tasks[[#This Row],[_LeafFcstStart]],WorkWeek,Holidays),0)</f>
        <v>0</v>
      </c>
      <c r="BV17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2" s="47" t="n">
        <f aca="false">IF(AND(Tasks[[#This Row],[_IsLeaf]]=1,Tasks[[#This Row],[_LeafWork]]&gt;0),Tasks[[#This Row],[_LeafWork]]/(Tasks[[#This Row],[_FinishWorkday]]-Tasks[[#This Row],[_StartWorkday]]+1),0)</f>
        <v>0</v>
      </c>
      <c r="BX172" s="47" t="n">
        <f aca="false">Tasks[[#This Row],[_WorkPerWorkday]]*(Tasks[[#This Row],[_StartWorkday]]-1)</f>
        <v>-0</v>
      </c>
      <c r="BY172" s="47" t="n">
        <f aca="false">IF(Tasks[[#This Row],[_IsLeaf]]=1,MAX(N(Tasks[[#This Row],[Duration]]),0.1),0)</f>
        <v>0</v>
      </c>
      <c r="BZ172" s="47" t="n">
        <f aca="false">Tasks[[#This Row],[_WeightDur]]*Tasks[[#This Row],[_LeafProgress]]</f>
        <v>0</v>
      </c>
      <c r="CA17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3" customFormat="false" ht="15" hidden="false" customHeight="false" outlineLevel="0" collapsed="false">
      <c r="A173" s="38" t="str">
        <f aca="false">IF(Tasks[[#This Row],[Task Name]]="","",COUNTA(Tasks[[#Headers],[Task Name]]:Tasks[[#This Row],[Task Name]])-1)</f>
        <v/>
      </c>
      <c r="B173" s="39" t="n">
        <v>168</v>
      </c>
      <c r="C17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3" s="39"/>
      <c r="E173" s="41"/>
      <c r="F173" s="39"/>
      <c r="G173" s="39"/>
      <c r="H173" s="39"/>
      <c r="I173" s="39"/>
      <c r="J173" s="39"/>
      <c r="K173" s="39"/>
      <c r="L173" s="39"/>
      <c r="M173" s="39"/>
      <c r="N173" s="29"/>
      <c r="O173" s="29"/>
      <c r="P173" s="24" t="str">
        <f aca="false">IF(Tasks[[#This Row],[Task Name]]="","",IF(N(Tasks[[#This Row],[Baseline Start]])&gt;0,Tasks[[#This Row],[Baseline Start]],Tasks[[#This Row],[_CalcStart]]))</f>
        <v/>
      </c>
      <c r="Q173" s="24" t="str">
        <f aca="false">IF(Tasks[[#This Row],[Task Name]]="","",IF(N(Tasks[[#This Row],[Baseline Finish]])&gt;0,Tasks[[#This Row],[Baseline Finish]],Tasks[[#This Row],[_CalcFinish]]))</f>
        <v/>
      </c>
      <c r="R173" s="29"/>
      <c r="S173" s="29"/>
      <c r="T17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3" s="31"/>
      <c r="AA17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3" s="41"/>
      <c r="AD173" s="31"/>
      <c r="AE17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3" s="41"/>
      <c r="AJ173" s="24" t="str">
        <f aca="false">IF(Tasks[[#This Row],[Task Name]]="","",Tasks[[#This Row],[Forecast Start]])</f>
        <v/>
      </c>
      <c r="AK173" s="24" t="str">
        <f aca="false">IF(Tasks[[#This Row],[Task Name]]="","",Tasks[[#This Row],[Forecast Finish]])</f>
        <v/>
      </c>
      <c r="AL17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3" s="43" t="str">
        <f aca="false">IF(Tasks[[#This Row],[Task Name]]="","",Tasks[[#This Row],[Work]])</f>
        <v/>
      </c>
      <c r="AN173" s="44" t="str">
        <f aca="false">IF(Tasks[[#This Row],[Task Name]]="","",Tasks[[#This Row],[Cost]])</f>
        <v/>
      </c>
      <c r="AO173" s="29"/>
      <c r="AP173" s="29"/>
      <c r="AQ173" s="39"/>
      <c r="AR173" s="45"/>
      <c r="AS173" s="46"/>
      <c r="AT173" s="40" t="str">
        <f aca="false">IF(OR(Tasks[[#This Row],[Task Name]]="",Tasks[[#This Row],[Baseline Duration]]=""),"",Tasks[[#This Row],[BL Source Duration]]-N(Tasks[[#This Row],[Baseline Duration]]))</f>
        <v/>
      </c>
      <c r="AU173" s="43" t="str">
        <f aca="false">IF(OR(Tasks[[#This Row],[Task Name]]="",Tasks[[#This Row],[Baseline Work]]=""),"",Tasks[[#This Row],[Work]]-N(Tasks[[#This Row],[Baseline Work]]))</f>
        <v/>
      </c>
      <c r="AV173" s="44" t="str">
        <f aca="false">IF(OR(Tasks[[#This Row],[Task Name]]="",Tasks[[#This Row],[Baseline Cost]]=""),"",Tasks[[#This Row],[Cost]]-N(Tasks[[#This Row],[Baseline Cost]]))</f>
        <v/>
      </c>
      <c r="AW173" s="47" t="str">
        <f aca="false">IF(Tasks[[#This Row],[Task Name]]="","",MAX(1,N(Tasks[[#This Row],[Level]])))</f>
        <v/>
      </c>
      <c r="AX173" s="47" t="n">
        <f aca="false">ROW()-ROW(Tasks[[#Headers],[ID]])</f>
        <v>168</v>
      </c>
      <c r="AY17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3" s="47" t="n">
        <f aca="false">IFERROR(N(INDEX(Tasks[_Level],Tasks[[#This Row],[_Row]]+1)),0)</f>
        <v>0</v>
      </c>
      <c r="BA173" s="48" t="b">
        <f aca="false">AND(Tasks[[#This Row],[Task Name]]&lt;&gt;"",Tasks[[#This Row],[_NextLevel]]&gt;Tasks[[#This Row],[_Level]])</f>
        <v>0</v>
      </c>
      <c r="BB173" s="47" t="n">
        <f aca="false">IF(Tasks[[#This Row],[_IsSummary]],COUNTIF(Tasks[WBS],Tasks[[#This Row],[WBS]]&amp;".*"),0)</f>
        <v>0</v>
      </c>
      <c r="BC173" s="47" t="n">
        <f aca="false">IF(AND(Tasks[[#This Row],[Task Name]]&lt;&gt;"",NOT(Tasks[[#This Row],[_IsSummary]])),1,0)</f>
        <v>0</v>
      </c>
      <c r="BD173" s="47" t="n">
        <f aca="false">IF(N(Tasks[[#This Row],[Pred1 UID]])=0,0,IFERROR(MATCH(Tasks[[#This Row],[Pred1 UID]],Tasks[UID],0),-1))</f>
        <v>0</v>
      </c>
      <c r="BE173" s="47" t="n">
        <f aca="false">IF(N(Tasks[[#This Row],[Pred2 UID]])=0,0,IFERROR(MATCH(Tasks[[#This Row],[Pred2 UID]],Tasks[UID],0),-1))</f>
        <v>0</v>
      </c>
      <c r="BF17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3" s="47" t="n">
        <f aca="false">IF(NOT(Tasks[[#This Row],[_IsLeaf]]=1),0,IF(N(Tasks[[#This Row],[Actual Finish]])&gt;0,1,MIN(1,N(Tasks[[#This Row],[% Complete]]))))</f>
        <v>0</v>
      </c>
      <c r="BK17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3" s="47" t="n">
        <f aca="false">IF(Tasks[[#This Row],[_LeafWork]]=0,0,Tasks[[#This Row],[_LeafWork]]*IFERROR(INDEX(res_Rate,MATCH(Tasks[[#This Row],[Resource]],res_Name,0)),0))</f>
        <v>0</v>
      </c>
      <c r="BM17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3" s="47" t="n">
        <f aca="false">IF(AND(Tasks[[#This Row],[_IsLeaf]]=1,Tasks[[#This Row],[_LeafWork]]&gt;0),NETWORKDAYS.INTL(ProjectStart,Tasks[[#This Row],[_LeafFcstStart]],WorkWeek,Holidays),0)</f>
        <v>0</v>
      </c>
      <c r="BV17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3" s="47" t="n">
        <f aca="false">IF(AND(Tasks[[#This Row],[_IsLeaf]]=1,Tasks[[#This Row],[_LeafWork]]&gt;0),Tasks[[#This Row],[_LeafWork]]/(Tasks[[#This Row],[_FinishWorkday]]-Tasks[[#This Row],[_StartWorkday]]+1),0)</f>
        <v>0</v>
      </c>
      <c r="BX173" s="47" t="n">
        <f aca="false">Tasks[[#This Row],[_WorkPerWorkday]]*(Tasks[[#This Row],[_StartWorkday]]-1)</f>
        <v>-0</v>
      </c>
      <c r="BY173" s="47" t="n">
        <f aca="false">IF(Tasks[[#This Row],[_IsLeaf]]=1,MAX(N(Tasks[[#This Row],[Duration]]),0.1),0)</f>
        <v>0</v>
      </c>
      <c r="BZ173" s="47" t="n">
        <f aca="false">Tasks[[#This Row],[_WeightDur]]*Tasks[[#This Row],[_LeafProgress]]</f>
        <v>0</v>
      </c>
      <c r="CA17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4" customFormat="false" ht="15" hidden="false" customHeight="false" outlineLevel="0" collapsed="false">
      <c r="A174" s="38" t="str">
        <f aca="false">IF(Tasks[[#This Row],[Task Name]]="","",COUNTA(Tasks[[#Headers],[Task Name]]:Tasks[[#This Row],[Task Name]])-1)</f>
        <v/>
      </c>
      <c r="B174" s="39" t="n">
        <v>169</v>
      </c>
      <c r="C17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4" s="39"/>
      <c r="E174" s="41"/>
      <c r="F174" s="39"/>
      <c r="G174" s="39"/>
      <c r="H174" s="39"/>
      <c r="I174" s="39"/>
      <c r="J174" s="39"/>
      <c r="K174" s="39"/>
      <c r="L174" s="39"/>
      <c r="M174" s="39"/>
      <c r="N174" s="29"/>
      <c r="O174" s="29"/>
      <c r="P174" s="24" t="str">
        <f aca="false">IF(Tasks[[#This Row],[Task Name]]="","",IF(N(Tasks[[#This Row],[Baseline Start]])&gt;0,Tasks[[#This Row],[Baseline Start]],Tasks[[#This Row],[_CalcStart]]))</f>
        <v/>
      </c>
      <c r="Q174" s="24" t="str">
        <f aca="false">IF(Tasks[[#This Row],[Task Name]]="","",IF(N(Tasks[[#This Row],[Baseline Finish]])&gt;0,Tasks[[#This Row],[Baseline Finish]],Tasks[[#This Row],[_CalcFinish]]))</f>
        <v/>
      </c>
      <c r="R174" s="29"/>
      <c r="S174" s="29"/>
      <c r="T17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4" s="31"/>
      <c r="AA17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4" s="41"/>
      <c r="AD174" s="31"/>
      <c r="AE17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4" s="41"/>
      <c r="AJ174" s="24" t="str">
        <f aca="false">IF(Tasks[[#This Row],[Task Name]]="","",Tasks[[#This Row],[Forecast Start]])</f>
        <v/>
      </c>
      <c r="AK174" s="24" t="str">
        <f aca="false">IF(Tasks[[#This Row],[Task Name]]="","",Tasks[[#This Row],[Forecast Finish]])</f>
        <v/>
      </c>
      <c r="AL17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4" s="43" t="str">
        <f aca="false">IF(Tasks[[#This Row],[Task Name]]="","",Tasks[[#This Row],[Work]])</f>
        <v/>
      </c>
      <c r="AN174" s="44" t="str">
        <f aca="false">IF(Tasks[[#This Row],[Task Name]]="","",Tasks[[#This Row],[Cost]])</f>
        <v/>
      </c>
      <c r="AO174" s="29"/>
      <c r="AP174" s="29"/>
      <c r="AQ174" s="39"/>
      <c r="AR174" s="45"/>
      <c r="AS174" s="46"/>
      <c r="AT174" s="40" t="str">
        <f aca="false">IF(OR(Tasks[[#This Row],[Task Name]]="",Tasks[[#This Row],[Baseline Duration]]=""),"",Tasks[[#This Row],[BL Source Duration]]-N(Tasks[[#This Row],[Baseline Duration]]))</f>
        <v/>
      </c>
      <c r="AU174" s="43" t="str">
        <f aca="false">IF(OR(Tasks[[#This Row],[Task Name]]="",Tasks[[#This Row],[Baseline Work]]=""),"",Tasks[[#This Row],[Work]]-N(Tasks[[#This Row],[Baseline Work]]))</f>
        <v/>
      </c>
      <c r="AV174" s="44" t="str">
        <f aca="false">IF(OR(Tasks[[#This Row],[Task Name]]="",Tasks[[#This Row],[Baseline Cost]]=""),"",Tasks[[#This Row],[Cost]]-N(Tasks[[#This Row],[Baseline Cost]]))</f>
        <v/>
      </c>
      <c r="AW174" s="47" t="str">
        <f aca="false">IF(Tasks[[#This Row],[Task Name]]="","",MAX(1,N(Tasks[[#This Row],[Level]])))</f>
        <v/>
      </c>
      <c r="AX174" s="47" t="n">
        <f aca="false">ROW()-ROW(Tasks[[#Headers],[ID]])</f>
        <v>169</v>
      </c>
      <c r="AY17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4" s="47" t="n">
        <f aca="false">IFERROR(N(INDEX(Tasks[_Level],Tasks[[#This Row],[_Row]]+1)),0)</f>
        <v>0</v>
      </c>
      <c r="BA174" s="48" t="b">
        <f aca="false">AND(Tasks[[#This Row],[Task Name]]&lt;&gt;"",Tasks[[#This Row],[_NextLevel]]&gt;Tasks[[#This Row],[_Level]])</f>
        <v>0</v>
      </c>
      <c r="BB174" s="47" t="n">
        <f aca="false">IF(Tasks[[#This Row],[_IsSummary]],COUNTIF(Tasks[WBS],Tasks[[#This Row],[WBS]]&amp;".*"),0)</f>
        <v>0</v>
      </c>
      <c r="BC174" s="47" t="n">
        <f aca="false">IF(AND(Tasks[[#This Row],[Task Name]]&lt;&gt;"",NOT(Tasks[[#This Row],[_IsSummary]])),1,0)</f>
        <v>0</v>
      </c>
      <c r="BD174" s="47" t="n">
        <f aca="false">IF(N(Tasks[[#This Row],[Pred1 UID]])=0,0,IFERROR(MATCH(Tasks[[#This Row],[Pred1 UID]],Tasks[UID],0),-1))</f>
        <v>0</v>
      </c>
      <c r="BE174" s="47" t="n">
        <f aca="false">IF(N(Tasks[[#This Row],[Pred2 UID]])=0,0,IFERROR(MATCH(Tasks[[#This Row],[Pred2 UID]],Tasks[UID],0),-1))</f>
        <v>0</v>
      </c>
      <c r="BF17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4" s="47" t="n">
        <f aca="false">IF(NOT(Tasks[[#This Row],[_IsLeaf]]=1),0,IF(N(Tasks[[#This Row],[Actual Finish]])&gt;0,1,MIN(1,N(Tasks[[#This Row],[% Complete]]))))</f>
        <v>0</v>
      </c>
      <c r="BK17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4" s="47" t="n">
        <f aca="false">IF(Tasks[[#This Row],[_LeafWork]]=0,0,Tasks[[#This Row],[_LeafWork]]*IFERROR(INDEX(res_Rate,MATCH(Tasks[[#This Row],[Resource]],res_Name,0)),0))</f>
        <v>0</v>
      </c>
      <c r="BM17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4" s="47" t="n">
        <f aca="false">IF(AND(Tasks[[#This Row],[_IsLeaf]]=1,Tasks[[#This Row],[_LeafWork]]&gt;0),NETWORKDAYS.INTL(ProjectStart,Tasks[[#This Row],[_LeafFcstStart]],WorkWeek,Holidays),0)</f>
        <v>0</v>
      </c>
      <c r="BV17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4" s="47" t="n">
        <f aca="false">IF(AND(Tasks[[#This Row],[_IsLeaf]]=1,Tasks[[#This Row],[_LeafWork]]&gt;0),Tasks[[#This Row],[_LeafWork]]/(Tasks[[#This Row],[_FinishWorkday]]-Tasks[[#This Row],[_StartWorkday]]+1),0)</f>
        <v>0</v>
      </c>
      <c r="BX174" s="47" t="n">
        <f aca="false">Tasks[[#This Row],[_WorkPerWorkday]]*(Tasks[[#This Row],[_StartWorkday]]-1)</f>
        <v>-0</v>
      </c>
      <c r="BY174" s="47" t="n">
        <f aca="false">IF(Tasks[[#This Row],[_IsLeaf]]=1,MAX(N(Tasks[[#This Row],[Duration]]),0.1),0)</f>
        <v>0</v>
      </c>
      <c r="BZ174" s="47" t="n">
        <f aca="false">Tasks[[#This Row],[_WeightDur]]*Tasks[[#This Row],[_LeafProgress]]</f>
        <v>0</v>
      </c>
      <c r="CA17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5" customFormat="false" ht="15" hidden="false" customHeight="false" outlineLevel="0" collapsed="false">
      <c r="A175" s="38" t="str">
        <f aca="false">IF(Tasks[[#This Row],[Task Name]]="","",COUNTA(Tasks[[#Headers],[Task Name]]:Tasks[[#This Row],[Task Name]])-1)</f>
        <v/>
      </c>
      <c r="B175" s="39" t="n">
        <v>170</v>
      </c>
      <c r="C17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5" s="39"/>
      <c r="E175" s="41"/>
      <c r="F175" s="39"/>
      <c r="G175" s="39"/>
      <c r="H175" s="39"/>
      <c r="I175" s="39"/>
      <c r="J175" s="39"/>
      <c r="K175" s="39"/>
      <c r="L175" s="39"/>
      <c r="M175" s="39"/>
      <c r="N175" s="29"/>
      <c r="O175" s="29"/>
      <c r="P175" s="24" t="str">
        <f aca="false">IF(Tasks[[#This Row],[Task Name]]="","",IF(N(Tasks[[#This Row],[Baseline Start]])&gt;0,Tasks[[#This Row],[Baseline Start]],Tasks[[#This Row],[_CalcStart]]))</f>
        <v/>
      </c>
      <c r="Q175" s="24" t="str">
        <f aca="false">IF(Tasks[[#This Row],[Task Name]]="","",IF(N(Tasks[[#This Row],[Baseline Finish]])&gt;0,Tasks[[#This Row],[Baseline Finish]],Tasks[[#This Row],[_CalcFinish]]))</f>
        <v/>
      </c>
      <c r="R175" s="29"/>
      <c r="S175" s="29"/>
      <c r="T17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5" s="31"/>
      <c r="AA17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5" s="41"/>
      <c r="AD175" s="31"/>
      <c r="AE17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5" s="41"/>
      <c r="AJ175" s="24" t="str">
        <f aca="false">IF(Tasks[[#This Row],[Task Name]]="","",Tasks[[#This Row],[Forecast Start]])</f>
        <v/>
      </c>
      <c r="AK175" s="24" t="str">
        <f aca="false">IF(Tasks[[#This Row],[Task Name]]="","",Tasks[[#This Row],[Forecast Finish]])</f>
        <v/>
      </c>
      <c r="AL17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5" s="43" t="str">
        <f aca="false">IF(Tasks[[#This Row],[Task Name]]="","",Tasks[[#This Row],[Work]])</f>
        <v/>
      </c>
      <c r="AN175" s="44" t="str">
        <f aca="false">IF(Tasks[[#This Row],[Task Name]]="","",Tasks[[#This Row],[Cost]])</f>
        <v/>
      </c>
      <c r="AO175" s="29"/>
      <c r="AP175" s="29"/>
      <c r="AQ175" s="39"/>
      <c r="AR175" s="45"/>
      <c r="AS175" s="46"/>
      <c r="AT175" s="40" t="str">
        <f aca="false">IF(OR(Tasks[[#This Row],[Task Name]]="",Tasks[[#This Row],[Baseline Duration]]=""),"",Tasks[[#This Row],[BL Source Duration]]-N(Tasks[[#This Row],[Baseline Duration]]))</f>
        <v/>
      </c>
      <c r="AU175" s="43" t="str">
        <f aca="false">IF(OR(Tasks[[#This Row],[Task Name]]="",Tasks[[#This Row],[Baseline Work]]=""),"",Tasks[[#This Row],[Work]]-N(Tasks[[#This Row],[Baseline Work]]))</f>
        <v/>
      </c>
      <c r="AV175" s="44" t="str">
        <f aca="false">IF(OR(Tasks[[#This Row],[Task Name]]="",Tasks[[#This Row],[Baseline Cost]]=""),"",Tasks[[#This Row],[Cost]]-N(Tasks[[#This Row],[Baseline Cost]]))</f>
        <v/>
      </c>
      <c r="AW175" s="47" t="str">
        <f aca="false">IF(Tasks[[#This Row],[Task Name]]="","",MAX(1,N(Tasks[[#This Row],[Level]])))</f>
        <v/>
      </c>
      <c r="AX175" s="47" t="n">
        <f aca="false">ROW()-ROW(Tasks[[#Headers],[ID]])</f>
        <v>170</v>
      </c>
      <c r="AY17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5" s="47" t="n">
        <f aca="false">IFERROR(N(INDEX(Tasks[_Level],Tasks[[#This Row],[_Row]]+1)),0)</f>
        <v>0</v>
      </c>
      <c r="BA175" s="48" t="b">
        <f aca="false">AND(Tasks[[#This Row],[Task Name]]&lt;&gt;"",Tasks[[#This Row],[_NextLevel]]&gt;Tasks[[#This Row],[_Level]])</f>
        <v>0</v>
      </c>
      <c r="BB175" s="47" t="n">
        <f aca="false">IF(Tasks[[#This Row],[_IsSummary]],COUNTIF(Tasks[WBS],Tasks[[#This Row],[WBS]]&amp;".*"),0)</f>
        <v>0</v>
      </c>
      <c r="BC175" s="47" t="n">
        <f aca="false">IF(AND(Tasks[[#This Row],[Task Name]]&lt;&gt;"",NOT(Tasks[[#This Row],[_IsSummary]])),1,0)</f>
        <v>0</v>
      </c>
      <c r="BD175" s="47" t="n">
        <f aca="false">IF(N(Tasks[[#This Row],[Pred1 UID]])=0,0,IFERROR(MATCH(Tasks[[#This Row],[Pred1 UID]],Tasks[UID],0),-1))</f>
        <v>0</v>
      </c>
      <c r="BE175" s="47" t="n">
        <f aca="false">IF(N(Tasks[[#This Row],[Pred2 UID]])=0,0,IFERROR(MATCH(Tasks[[#This Row],[Pred2 UID]],Tasks[UID],0),-1))</f>
        <v>0</v>
      </c>
      <c r="BF17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5" s="47" t="n">
        <f aca="false">IF(NOT(Tasks[[#This Row],[_IsLeaf]]=1),0,IF(N(Tasks[[#This Row],[Actual Finish]])&gt;0,1,MIN(1,N(Tasks[[#This Row],[% Complete]]))))</f>
        <v>0</v>
      </c>
      <c r="BK17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5" s="47" t="n">
        <f aca="false">IF(Tasks[[#This Row],[_LeafWork]]=0,0,Tasks[[#This Row],[_LeafWork]]*IFERROR(INDEX(res_Rate,MATCH(Tasks[[#This Row],[Resource]],res_Name,0)),0))</f>
        <v>0</v>
      </c>
      <c r="BM17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5" s="47" t="n">
        <f aca="false">IF(AND(Tasks[[#This Row],[_IsLeaf]]=1,Tasks[[#This Row],[_LeafWork]]&gt;0),NETWORKDAYS.INTL(ProjectStart,Tasks[[#This Row],[_LeafFcstStart]],WorkWeek,Holidays),0)</f>
        <v>0</v>
      </c>
      <c r="BV17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5" s="47" t="n">
        <f aca="false">IF(AND(Tasks[[#This Row],[_IsLeaf]]=1,Tasks[[#This Row],[_LeafWork]]&gt;0),Tasks[[#This Row],[_LeafWork]]/(Tasks[[#This Row],[_FinishWorkday]]-Tasks[[#This Row],[_StartWorkday]]+1),0)</f>
        <v>0</v>
      </c>
      <c r="BX175" s="47" t="n">
        <f aca="false">Tasks[[#This Row],[_WorkPerWorkday]]*(Tasks[[#This Row],[_StartWorkday]]-1)</f>
        <v>-0</v>
      </c>
      <c r="BY175" s="47" t="n">
        <f aca="false">IF(Tasks[[#This Row],[_IsLeaf]]=1,MAX(N(Tasks[[#This Row],[Duration]]),0.1),0)</f>
        <v>0</v>
      </c>
      <c r="BZ175" s="47" t="n">
        <f aca="false">Tasks[[#This Row],[_WeightDur]]*Tasks[[#This Row],[_LeafProgress]]</f>
        <v>0</v>
      </c>
      <c r="CA17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6" customFormat="false" ht="15" hidden="false" customHeight="false" outlineLevel="0" collapsed="false">
      <c r="A176" s="38" t="str">
        <f aca="false">IF(Tasks[[#This Row],[Task Name]]="","",COUNTA(Tasks[[#Headers],[Task Name]]:Tasks[[#This Row],[Task Name]])-1)</f>
        <v/>
      </c>
      <c r="B176" s="39" t="n">
        <v>171</v>
      </c>
      <c r="C17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6" s="39"/>
      <c r="E176" s="41"/>
      <c r="F176" s="39"/>
      <c r="G176" s="39"/>
      <c r="H176" s="39"/>
      <c r="I176" s="39"/>
      <c r="J176" s="39"/>
      <c r="K176" s="39"/>
      <c r="L176" s="39"/>
      <c r="M176" s="39"/>
      <c r="N176" s="29"/>
      <c r="O176" s="29"/>
      <c r="P176" s="24" t="str">
        <f aca="false">IF(Tasks[[#This Row],[Task Name]]="","",IF(N(Tasks[[#This Row],[Baseline Start]])&gt;0,Tasks[[#This Row],[Baseline Start]],Tasks[[#This Row],[_CalcStart]]))</f>
        <v/>
      </c>
      <c r="Q176" s="24" t="str">
        <f aca="false">IF(Tasks[[#This Row],[Task Name]]="","",IF(N(Tasks[[#This Row],[Baseline Finish]])&gt;0,Tasks[[#This Row],[Baseline Finish]],Tasks[[#This Row],[_CalcFinish]]))</f>
        <v/>
      </c>
      <c r="R176" s="29"/>
      <c r="S176" s="29"/>
      <c r="T17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6" s="31"/>
      <c r="AA17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6" s="41"/>
      <c r="AD176" s="31"/>
      <c r="AE17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6" s="41"/>
      <c r="AJ176" s="24" t="str">
        <f aca="false">IF(Tasks[[#This Row],[Task Name]]="","",Tasks[[#This Row],[Forecast Start]])</f>
        <v/>
      </c>
      <c r="AK176" s="24" t="str">
        <f aca="false">IF(Tasks[[#This Row],[Task Name]]="","",Tasks[[#This Row],[Forecast Finish]])</f>
        <v/>
      </c>
      <c r="AL17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6" s="43" t="str">
        <f aca="false">IF(Tasks[[#This Row],[Task Name]]="","",Tasks[[#This Row],[Work]])</f>
        <v/>
      </c>
      <c r="AN176" s="44" t="str">
        <f aca="false">IF(Tasks[[#This Row],[Task Name]]="","",Tasks[[#This Row],[Cost]])</f>
        <v/>
      </c>
      <c r="AO176" s="29"/>
      <c r="AP176" s="29"/>
      <c r="AQ176" s="39"/>
      <c r="AR176" s="45"/>
      <c r="AS176" s="46"/>
      <c r="AT176" s="40" t="str">
        <f aca="false">IF(OR(Tasks[[#This Row],[Task Name]]="",Tasks[[#This Row],[Baseline Duration]]=""),"",Tasks[[#This Row],[BL Source Duration]]-N(Tasks[[#This Row],[Baseline Duration]]))</f>
        <v/>
      </c>
      <c r="AU176" s="43" t="str">
        <f aca="false">IF(OR(Tasks[[#This Row],[Task Name]]="",Tasks[[#This Row],[Baseline Work]]=""),"",Tasks[[#This Row],[Work]]-N(Tasks[[#This Row],[Baseline Work]]))</f>
        <v/>
      </c>
      <c r="AV176" s="44" t="str">
        <f aca="false">IF(OR(Tasks[[#This Row],[Task Name]]="",Tasks[[#This Row],[Baseline Cost]]=""),"",Tasks[[#This Row],[Cost]]-N(Tasks[[#This Row],[Baseline Cost]]))</f>
        <v/>
      </c>
      <c r="AW176" s="47" t="str">
        <f aca="false">IF(Tasks[[#This Row],[Task Name]]="","",MAX(1,N(Tasks[[#This Row],[Level]])))</f>
        <v/>
      </c>
      <c r="AX176" s="47" t="n">
        <f aca="false">ROW()-ROW(Tasks[[#Headers],[ID]])</f>
        <v>171</v>
      </c>
      <c r="AY17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6" s="47" t="n">
        <f aca="false">IFERROR(N(INDEX(Tasks[_Level],Tasks[[#This Row],[_Row]]+1)),0)</f>
        <v>0</v>
      </c>
      <c r="BA176" s="48" t="b">
        <f aca="false">AND(Tasks[[#This Row],[Task Name]]&lt;&gt;"",Tasks[[#This Row],[_NextLevel]]&gt;Tasks[[#This Row],[_Level]])</f>
        <v>0</v>
      </c>
      <c r="BB176" s="47" t="n">
        <f aca="false">IF(Tasks[[#This Row],[_IsSummary]],COUNTIF(Tasks[WBS],Tasks[[#This Row],[WBS]]&amp;".*"),0)</f>
        <v>0</v>
      </c>
      <c r="BC176" s="47" t="n">
        <f aca="false">IF(AND(Tasks[[#This Row],[Task Name]]&lt;&gt;"",NOT(Tasks[[#This Row],[_IsSummary]])),1,0)</f>
        <v>0</v>
      </c>
      <c r="BD176" s="47" t="n">
        <f aca="false">IF(N(Tasks[[#This Row],[Pred1 UID]])=0,0,IFERROR(MATCH(Tasks[[#This Row],[Pred1 UID]],Tasks[UID],0),-1))</f>
        <v>0</v>
      </c>
      <c r="BE176" s="47" t="n">
        <f aca="false">IF(N(Tasks[[#This Row],[Pred2 UID]])=0,0,IFERROR(MATCH(Tasks[[#This Row],[Pred2 UID]],Tasks[UID],0),-1))</f>
        <v>0</v>
      </c>
      <c r="BF17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6" s="47" t="n">
        <f aca="false">IF(NOT(Tasks[[#This Row],[_IsLeaf]]=1),0,IF(N(Tasks[[#This Row],[Actual Finish]])&gt;0,1,MIN(1,N(Tasks[[#This Row],[% Complete]]))))</f>
        <v>0</v>
      </c>
      <c r="BK17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6" s="47" t="n">
        <f aca="false">IF(Tasks[[#This Row],[_LeafWork]]=0,0,Tasks[[#This Row],[_LeafWork]]*IFERROR(INDEX(res_Rate,MATCH(Tasks[[#This Row],[Resource]],res_Name,0)),0))</f>
        <v>0</v>
      </c>
      <c r="BM17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6" s="47" t="n">
        <f aca="false">IF(AND(Tasks[[#This Row],[_IsLeaf]]=1,Tasks[[#This Row],[_LeafWork]]&gt;0),NETWORKDAYS.INTL(ProjectStart,Tasks[[#This Row],[_LeafFcstStart]],WorkWeek,Holidays),0)</f>
        <v>0</v>
      </c>
      <c r="BV17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6" s="47" t="n">
        <f aca="false">IF(AND(Tasks[[#This Row],[_IsLeaf]]=1,Tasks[[#This Row],[_LeafWork]]&gt;0),Tasks[[#This Row],[_LeafWork]]/(Tasks[[#This Row],[_FinishWorkday]]-Tasks[[#This Row],[_StartWorkday]]+1),0)</f>
        <v>0</v>
      </c>
      <c r="BX176" s="47" t="n">
        <f aca="false">Tasks[[#This Row],[_WorkPerWorkday]]*(Tasks[[#This Row],[_StartWorkday]]-1)</f>
        <v>-0</v>
      </c>
      <c r="BY176" s="47" t="n">
        <f aca="false">IF(Tasks[[#This Row],[_IsLeaf]]=1,MAX(N(Tasks[[#This Row],[Duration]]),0.1),0)</f>
        <v>0</v>
      </c>
      <c r="BZ176" s="47" t="n">
        <f aca="false">Tasks[[#This Row],[_WeightDur]]*Tasks[[#This Row],[_LeafProgress]]</f>
        <v>0</v>
      </c>
      <c r="CA17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7" customFormat="false" ht="15" hidden="false" customHeight="false" outlineLevel="0" collapsed="false">
      <c r="A177" s="38" t="str">
        <f aca="false">IF(Tasks[[#This Row],[Task Name]]="","",COUNTA(Tasks[[#Headers],[Task Name]]:Tasks[[#This Row],[Task Name]])-1)</f>
        <v/>
      </c>
      <c r="B177" s="39" t="n">
        <v>172</v>
      </c>
      <c r="C17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7" s="39"/>
      <c r="E177" s="41"/>
      <c r="F177" s="39"/>
      <c r="G177" s="39"/>
      <c r="H177" s="39"/>
      <c r="I177" s="39"/>
      <c r="J177" s="39"/>
      <c r="K177" s="39"/>
      <c r="L177" s="39"/>
      <c r="M177" s="39"/>
      <c r="N177" s="29"/>
      <c r="O177" s="29"/>
      <c r="P177" s="24" t="str">
        <f aca="false">IF(Tasks[[#This Row],[Task Name]]="","",IF(N(Tasks[[#This Row],[Baseline Start]])&gt;0,Tasks[[#This Row],[Baseline Start]],Tasks[[#This Row],[_CalcStart]]))</f>
        <v/>
      </c>
      <c r="Q177" s="24" t="str">
        <f aca="false">IF(Tasks[[#This Row],[Task Name]]="","",IF(N(Tasks[[#This Row],[Baseline Finish]])&gt;0,Tasks[[#This Row],[Baseline Finish]],Tasks[[#This Row],[_CalcFinish]]))</f>
        <v/>
      </c>
      <c r="R177" s="29"/>
      <c r="S177" s="29"/>
      <c r="T17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7" s="31"/>
      <c r="AA17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7" s="41"/>
      <c r="AD177" s="31"/>
      <c r="AE17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7" s="41"/>
      <c r="AJ177" s="24" t="str">
        <f aca="false">IF(Tasks[[#This Row],[Task Name]]="","",Tasks[[#This Row],[Forecast Start]])</f>
        <v/>
      </c>
      <c r="AK177" s="24" t="str">
        <f aca="false">IF(Tasks[[#This Row],[Task Name]]="","",Tasks[[#This Row],[Forecast Finish]])</f>
        <v/>
      </c>
      <c r="AL17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7" s="43" t="str">
        <f aca="false">IF(Tasks[[#This Row],[Task Name]]="","",Tasks[[#This Row],[Work]])</f>
        <v/>
      </c>
      <c r="AN177" s="44" t="str">
        <f aca="false">IF(Tasks[[#This Row],[Task Name]]="","",Tasks[[#This Row],[Cost]])</f>
        <v/>
      </c>
      <c r="AO177" s="29"/>
      <c r="AP177" s="29"/>
      <c r="AQ177" s="39"/>
      <c r="AR177" s="45"/>
      <c r="AS177" s="46"/>
      <c r="AT177" s="40" t="str">
        <f aca="false">IF(OR(Tasks[[#This Row],[Task Name]]="",Tasks[[#This Row],[Baseline Duration]]=""),"",Tasks[[#This Row],[BL Source Duration]]-N(Tasks[[#This Row],[Baseline Duration]]))</f>
        <v/>
      </c>
      <c r="AU177" s="43" t="str">
        <f aca="false">IF(OR(Tasks[[#This Row],[Task Name]]="",Tasks[[#This Row],[Baseline Work]]=""),"",Tasks[[#This Row],[Work]]-N(Tasks[[#This Row],[Baseline Work]]))</f>
        <v/>
      </c>
      <c r="AV177" s="44" t="str">
        <f aca="false">IF(OR(Tasks[[#This Row],[Task Name]]="",Tasks[[#This Row],[Baseline Cost]]=""),"",Tasks[[#This Row],[Cost]]-N(Tasks[[#This Row],[Baseline Cost]]))</f>
        <v/>
      </c>
      <c r="AW177" s="47" t="str">
        <f aca="false">IF(Tasks[[#This Row],[Task Name]]="","",MAX(1,N(Tasks[[#This Row],[Level]])))</f>
        <v/>
      </c>
      <c r="AX177" s="47" t="n">
        <f aca="false">ROW()-ROW(Tasks[[#Headers],[ID]])</f>
        <v>172</v>
      </c>
      <c r="AY17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7" s="47" t="n">
        <f aca="false">IFERROR(N(INDEX(Tasks[_Level],Tasks[[#This Row],[_Row]]+1)),0)</f>
        <v>0</v>
      </c>
      <c r="BA177" s="48" t="b">
        <f aca="false">AND(Tasks[[#This Row],[Task Name]]&lt;&gt;"",Tasks[[#This Row],[_NextLevel]]&gt;Tasks[[#This Row],[_Level]])</f>
        <v>0</v>
      </c>
      <c r="BB177" s="47" t="n">
        <f aca="false">IF(Tasks[[#This Row],[_IsSummary]],COUNTIF(Tasks[WBS],Tasks[[#This Row],[WBS]]&amp;".*"),0)</f>
        <v>0</v>
      </c>
      <c r="BC177" s="47" t="n">
        <f aca="false">IF(AND(Tasks[[#This Row],[Task Name]]&lt;&gt;"",NOT(Tasks[[#This Row],[_IsSummary]])),1,0)</f>
        <v>0</v>
      </c>
      <c r="BD177" s="47" t="n">
        <f aca="false">IF(N(Tasks[[#This Row],[Pred1 UID]])=0,0,IFERROR(MATCH(Tasks[[#This Row],[Pred1 UID]],Tasks[UID],0),-1))</f>
        <v>0</v>
      </c>
      <c r="BE177" s="47" t="n">
        <f aca="false">IF(N(Tasks[[#This Row],[Pred2 UID]])=0,0,IFERROR(MATCH(Tasks[[#This Row],[Pred2 UID]],Tasks[UID],0),-1))</f>
        <v>0</v>
      </c>
      <c r="BF17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7" s="47" t="n">
        <f aca="false">IF(NOT(Tasks[[#This Row],[_IsLeaf]]=1),0,IF(N(Tasks[[#This Row],[Actual Finish]])&gt;0,1,MIN(1,N(Tasks[[#This Row],[% Complete]]))))</f>
        <v>0</v>
      </c>
      <c r="BK17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7" s="47" t="n">
        <f aca="false">IF(Tasks[[#This Row],[_LeafWork]]=0,0,Tasks[[#This Row],[_LeafWork]]*IFERROR(INDEX(res_Rate,MATCH(Tasks[[#This Row],[Resource]],res_Name,0)),0))</f>
        <v>0</v>
      </c>
      <c r="BM17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7" s="47" t="n">
        <f aca="false">IF(AND(Tasks[[#This Row],[_IsLeaf]]=1,Tasks[[#This Row],[_LeafWork]]&gt;0),NETWORKDAYS.INTL(ProjectStart,Tasks[[#This Row],[_LeafFcstStart]],WorkWeek,Holidays),0)</f>
        <v>0</v>
      </c>
      <c r="BV17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7" s="47" t="n">
        <f aca="false">IF(AND(Tasks[[#This Row],[_IsLeaf]]=1,Tasks[[#This Row],[_LeafWork]]&gt;0),Tasks[[#This Row],[_LeafWork]]/(Tasks[[#This Row],[_FinishWorkday]]-Tasks[[#This Row],[_StartWorkday]]+1),0)</f>
        <v>0</v>
      </c>
      <c r="BX177" s="47" t="n">
        <f aca="false">Tasks[[#This Row],[_WorkPerWorkday]]*(Tasks[[#This Row],[_StartWorkday]]-1)</f>
        <v>-0</v>
      </c>
      <c r="BY177" s="47" t="n">
        <f aca="false">IF(Tasks[[#This Row],[_IsLeaf]]=1,MAX(N(Tasks[[#This Row],[Duration]]),0.1),0)</f>
        <v>0</v>
      </c>
      <c r="BZ177" s="47" t="n">
        <f aca="false">Tasks[[#This Row],[_WeightDur]]*Tasks[[#This Row],[_LeafProgress]]</f>
        <v>0</v>
      </c>
      <c r="CA17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8" customFormat="false" ht="15" hidden="false" customHeight="false" outlineLevel="0" collapsed="false">
      <c r="A178" s="38" t="str">
        <f aca="false">IF(Tasks[[#This Row],[Task Name]]="","",COUNTA(Tasks[[#Headers],[Task Name]]:Tasks[[#This Row],[Task Name]])-1)</f>
        <v/>
      </c>
      <c r="B178" s="39" t="n">
        <v>173</v>
      </c>
      <c r="C17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8" s="39"/>
      <c r="E178" s="41"/>
      <c r="F178" s="39"/>
      <c r="G178" s="39"/>
      <c r="H178" s="39"/>
      <c r="I178" s="39"/>
      <c r="J178" s="39"/>
      <c r="K178" s="39"/>
      <c r="L178" s="39"/>
      <c r="M178" s="39"/>
      <c r="N178" s="29"/>
      <c r="O178" s="29"/>
      <c r="P178" s="24" t="str">
        <f aca="false">IF(Tasks[[#This Row],[Task Name]]="","",IF(N(Tasks[[#This Row],[Baseline Start]])&gt;0,Tasks[[#This Row],[Baseline Start]],Tasks[[#This Row],[_CalcStart]]))</f>
        <v/>
      </c>
      <c r="Q178" s="24" t="str">
        <f aca="false">IF(Tasks[[#This Row],[Task Name]]="","",IF(N(Tasks[[#This Row],[Baseline Finish]])&gt;0,Tasks[[#This Row],[Baseline Finish]],Tasks[[#This Row],[_CalcFinish]]))</f>
        <v/>
      </c>
      <c r="R178" s="29"/>
      <c r="S178" s="29"/>
      <c r="T17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8" s="31"/>
      <c r="AA17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8" s="41"/>
      <c r="AD178" s="31"/>
      <c r="AE17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8" s="41"/>
      <c r="AJ178" s="24" t="str">
        <f aca="false">IF(Tasks[[#This Row],[Task Name]]="","",Tasks[[#This Row],[Forecast Start]])</f>
        <v/>
      </c>
      <c r="AK178" s="24" t="str">
        <f aca="false">IF(Tasks[[#This Row],[Task Name]]="","",Tasks[[#This Row],[Forecast Finish]])</f>
        <v/>
      </c>
      <c r="AL17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8" s="43" t="str">
        <f aca="false">IF(Tasks[[#This Row],[Task Name]]="","",Tasks[[#This Row],[Work]])</f>
        <v/>
      </c>
      <c r="AN178" s="44" t="str">
        <f aca="false">IF(Tasks[[#This Row],[Task Name]]="","",Tasks[[#This Row],[Cost]])</f>
        <v/>
      </c>
      <c r="AO178" s="29"/>
      <c r="AP178" s="29"/>
      <c r="AQ178" s="39"/>
      <c r="AR178" s="45"/>
      <c r="AS178" s="46"/>
      <c r="AT178" s="40" t="str">
        <f aca="false">IF(OR(Tasks[[#This Row],[Task Name]]="",Tasks[[#This Row],[Baseline Duration]]=""),"",Tasks[[#This Row],[BL Source Duration]]-N(Tasks[[#This Row],[Baseline Duration]]))</f>
        <v/>
      </c>
      <c r="AU178" s="43" t="str">
        <f aca="false">IF(OR(Tasks[[#This Row],[Task Name]]="",Tasks[[#This Row],[Baseline Work]]=""),"",Tasks[[#This Row],[Work]]-N(Tasks[[#This Row],[Baseline Work]]))</f>
        <v/>
      </c>
      <c r="AV178" s="44" t="str">
        <f aca="false">IF(OR(Tasks[[#This Row],[Task Name]]="",Tasks[[#This Row],[Baseline Cost]]=""),"",Tasks[[#This Row],[Cost]]-N(Tasks[[#This Row],[Baseline Cost]]))</f>
        <v/>
      </c>
      <c r="AW178" s="47" t="str">
        <f aca="false">IF(Tasks[[#This Row],[Task Name]]="","",MAX(1,N(Tasks[[#This Row],[Level]])))</f>
        <v/>
      </c>
      <c r="AX178" s="47" t="n">
        <f aca="false">ROW()-ROW(Tasks[[#Headers],[ID]])</f>
        <v>173</v>
      </c>
      <c r="AY17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8" s="47" t="n">
        <f aca="false">IFERROR(N(INDEX(Tasks[_Level],Tasks[[#This Row],[_Row]]+1)),0)</f>
        <v>0</v>
      </c>
      <c r="BA178" s="48" t="b">
        <f aca="false">AND(Tasks[[#This Row],[Task Name]]&lt;&gt;"",Tasks[[#This Row],[_NextLevel]]&gt;Tasks[[#This Row],[_Level]])</f>
        <v>0</v>
      </c>
      <c r="BB178" s="47" t="n">
        <f aca="false">IF(Tasks[[#This Row],[_IsSummary]],COUNTIF(Tasks[WBS],Tasks[[#This Row],[WBS]]&amp;".*"),0)</f>
        <v>0</v>
      </c>
      <c r="BC178" s="47" t="n">
        <f aca="false">IF(AND(Tasks[[#This Row],[Task Name]]&lt;&gt;"",NOT(Tasks[[#This Row],[_IsSummary]])),1,0)</f>
        <v>0</v>
      </c>
      <c r="BD178" s="47" t="n">
        <f aca="false">IF(N(Tasks[[#This Row],[Pred1 UID]])=0,0,IFERROR(MATCH(Tasks[[#This Row],[Pred1 UID]],Tasks[UID],0),-1))</f>
        <v>0</v>
      </c>
      <c r="BE178" s="47" t="n">
        <f aca="false">IF(N(Tasks[[#This Row],[Pred2 UID]])=0,0,IFERROR(MATCH(Tasks[[#This Row],[Pred2 UID]],Tasks[UID],0),-1))</f>
        <v>0</v>
      </c>
      <c r="BF17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8" s="47" t="n">
        <f aca="false">IF(NOT(Tasks[[#This Row],[_IsLeaf]]=1),0,IF(N(Tasks[[#This Row],[Actual Finish]])&gt;0,1,MIN(1,N(Tasks[[#This Row],[% Complete]]))))</f>
        <v>0</v>
      </c>
      <c r="BK17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8" s="47" t="n">
        <f aca="false">IF(Tasks[[#This Row],[_LeafWork]]=0,0,Tasks[[#This Row],[_LeafWork]]*IFERROR(INDEX(res_Rate,MATCH(Tasks[[#This Row],[Resource]],res_Name,0)),0))</f>
        <v>0</v>
      </c>
      <c r="BM17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8" s="47" t="n">
        <f aca="false">IF(AND(Tasks[[#This Row],[_IsLeaf]]=1,Tasks[[#This Row],[_LeafWork]]&gt;0),NETWORKDAYS.INTL(ProjectStart,Tasks[[#This Row],[_LeafFcstStart]],WorkWeek,Holidays),0)</f>
        <v>0</v>
      </c>
      <c r="BV17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8" s="47" t="n">
        <f aca="false">IF(AND(Tasks[[#This Row],[_IsLeaf]]=1,Tasks[[#This Row],[_LeafWork]]&gt;0),Tasks[[#This Row],[_LeafWork]]/(Tasks[[#This Row],[_FinishWorkday]]-Tasks[[#This Row],[_StartWorkday]]+1),0)</f>
        <v>0</v>
      </c>
      <c r="BX178" s="47" t="n">
        <f aca="false">Tasks[[#This Row],[_WorkPerWorkday]]*(Tasks[[#This Row],[_StartWorkday]]-1)</f>
        <v>-0</v>
      </c>
      <c r="BY178" s="47" t="n">
        <f aca="false">IF(Tasks[[#This Row],[_IsLeaf]]=1,MAX(N(Tasks[[#This Row],[Duration]]),0.1),0)</f>
        <v>0</v>
      </c>
      <c r="BZ178" s="47" t="n">
        <f aca="false">Tasks[[#This Row],[_WeightDur]]*Tasks[[#This Row],[_LeafProgress]]</f>
        <v>0</v>
      </c>
      <c r="CA17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9" customFormat="false" ht="15" hidden="false" customHeight="false" outlineLevel="0" collapsed="false">
      <c r="A179" s="38" t="str">
        <f aca="false">IF(Tasks[[#This Row],[Task Name]]="","",COUNTA(Tasks[[#Headers],[Task Name]]:Tasks[[#This Row],[Task Name]])-1)</f>
        <v/>
      </c>
      <c r="B179" s="39" t="n">
        <v>174</v>
      </c>
      <c r="C17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9" s="39"/>
      <c r="E179" s="41"/>
      <c r="F179" s="39"/>
      <c r="G179" s="39"/>
      <c r="H179" s="39"/>
      <c r="I179" s="39"/>
      <c r="J179" s="39"/>
      <c r="K179" s="39"/>
      <c r="L179" s="39"/>
      <c r="M179" s="39"/>
      <c r="N179" s="29"/>
      <c r="O179" s="29"/>
      <c r="P179" s="24" t="str">
        <f aca="false">IF(Tasks[[#This Row],[Task Name]]="","",IF(N(Tasks[[#This Row],[Baseline Start]])&gt;0,Tasks[[#This Row],[Baseline Start]],Tasks[[#This Row],[_CalcStart]]))</f>
        <v/>
      </c>
      <c r="Q179" s="24" t="str">
        <f aca="false">IF(Tasks[[#This Row],[Task Name]]="","",IF(N(Tasks[[#This Row],[Baseline Finish]])&gt;0,Tasks[[#This Row],[Baseline Finish]],Tasks[[#This Row],[_CalcFinish]]))</f>
        <v/>
      </c>
      <c r="R179" s="29"/>
      <c r="S179" s="29"/>
      <c r="T17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9" s="31"/>
      <c r="AA17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9" s="41"/>
      <c r="AD179" s="31"/>
      <c r="AE17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9" s="41"/>
      <c r="AJ179" s="24" t="str">
        <f aca="false">IF(Tasks[[#This Row],[Task Name]]="","",Tasks[[#This Row],[Forecast Start]])</f>
        <v/>
      </c>
      <c r="AK179" s="24" t="str">
        <f aca="false">IF(Tasks[[#This Row],[Task Name]]="","",Tasks[[#This Row],[Forecast Finish]])</f>
        <v/>
      </c>
      <c r="AL17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9" s="43" t="str">
        <f aca="false">IF(Tasks[[#This Row],[Task Name]]="","",Tasks[[#This Row],[Work]])</f>
        <v/>
      </c>
      <c r="AN179" s="44" t="str">
        <f aca="false">IF(Tasks[[#This Row],[Task Name]]="","",Tasks[[#This Row],[Cost]])</f>
        <v/>
      </c>
      <c r="AO179" s="29"/>
      <c r="AP179" s="29"/>
      <c r="AQ179" s="39"/>
      <c r="AR179" s="45"/>
      <c r="AS179" s="46"/>
      <c r="AT179" s="40" t="str">
        <f aca="false">IF(OR(Tasks[[#This Row],[Task Name]]="",Tasks[[#This Row],[Baseline Duration]]=""),"",Tasks[[#This Row],[BL Source Duration]]-N(Tasks[[#This Row],[Baseline Duration]]))</f>
        <v/>
      </c>
      <c r="AU179" s="43" t="str">
        <f aca="false">IF(OR(Tasks[[#This Row],[Task Name]]="",Tasks[[#This Row],[Baseline Work]]=""),"",Tasks[[#This Row],[Work]]-N(Tasks[[#This Row],[Baseline Work]]))</f>
        <v/>
      </c>
      <c r="AV179" s="44" t="str">
        <f aca="false">IF(OR(Tasks[[#This Row],[Task Name]]="",Tasks[[#This Row],[Baseline Cost]]=""),"",Tasks[[#This Row],[Cost]]-N(Tasks[[#This Row],[Baseline Cost]]))</f>
        <v/>
      </c>
      <c r="AW179" s="47" t="str">
        <f aca="false">IF(Tasks[[#This Row],[Task Name]]="","",MAX(1,N(Tasks[[#This Row],[Level]])))</f>
        <v/>
      </c>
      <c r="AX179" s="47" t="n">
        <f aca="false">ROW()-ROW(Tasks[[#Headers],[ID]])</f>
        <v>174</v>
      </c>
      <c r="AY17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9" s="47" t="n">
        <f aca="false">IFERROR(N(INDEX(Tasks[_Level],Tasks[[#This Row],[_Row]]+1)),0)</f>
        <v>0</v>
      </c>
      <c r="BA179" s="48" t="b">
        <f aca="false">AND(Tasks[[#This Row],[Task Name]]&lt;&gt;"",Tasks[[#This Row],[_NextLevel]]&gt;Tasks[[#This Row],[_Level]])</f>
        <v>0</v>
      </c>
      <c r="BB179" s="47" t="n">
        <f aca="false">IF(Tasks[[#This Row],[_IsSummary]],COUNTIF(Tasks[WBS],Tasks[[#This Row],[WBS]]&amp;".*"),0)</f>
        <v>0</v>
      </c>
      <c r="BC179" s="47" t="n">
        <f aca="false">IF(AND(Tasks[[#This Row],[Task Name]]&lt;&gt;"",NOT(Tasks[[#This Row],[_IsSummary]])),1,0)</f>
        <v>0</v>
      </c>
      <c r="BD179" s="47" t="n">
        <f aca="false">IF(N(Tasks[[#This Row],[Pred1 UID]])=0,0,IFERROR(MATCH(Tasks[[#This Row],[Pred1 UID]],Tasks[UID],0),-1))</f>
        <v>0</v>
      </c>
      <c r="BE179" s="47" t="n">
        <f aca="false">IF(N(Tasks[[#This Row],[Pred2 UID]])=0,0,IFERROR(MATCH(Tasks[[#This Row],[Pred2 UID]],Tasks[UID],0),-1))</f>
        <v>0</v>
      </c>
      <c r="BF17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9" s="47" t="n">
        <f aca="false">IF(NOT(Tasks[[#This Row],[_IsLeaf]]=1),0,IF(N(Tasks[[#This Row],[Actual Finish]])&gt;0,1,MIN(1,N(Tasks[[#This Row],[% Complete]]))))</f>
        <v>0</v>
      </c>
      <c r="BK17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9" s="47" t="n">
        <f aca="false">IF(Tasks[[#This Row],[_LeafWork]]=0,0,Tasks[[#This Row],[_LeafWork]]*IFERROR(INDEX(res_Rate,MATCH(Tasks[[#This Row],[Resource]],res_Name,0)),0))</f>
        <v>0</v>
      </c>
      <c r="BM17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7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7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7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7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7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79" s="47" t="n">
        <f aca="false">IF(AND(Tasks[[#This Row],[_IsLeaf]]=1,Tasks[[#This Row],[_LeafWork]]&gt;0),NETWORKDAYS.INTL(ProjectStart,Tasks[[#This Row],[_LeafFcstStart]],WorkWeek,Holidays),0)</f>
        <v>0</v>
      </c>
      <c r="BV17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9" s="47" t="n">
        <f aca="false">IF(AND(Tasks[[#This Row],[_IsLeaf]]=1,Tasks[[#This Row],[_LeafWork]]&gt;0),Tasks[[#This Row],[_LeafWork]]/(Tasks[[#This Row],[_FinishWorkday]]-Tasks[[#This Row],[_StartWorkday]]+1),0)</f>
        <v>0</v>
      </c>
      <c r="BX179" s="47" t="n">
        <f aca="false">Tasks[[#This Row],[_WorkPerWorkday]]*(Tasks[[#This Row],[_StartWorkday]]-1)</f>
        <v>-0</v>
      </c>
      <c r="BY179" s="47" t="n">
        <f aca="false">IF(Tasks[[#This Row],[_IsLeaf]]=1,MAX(N(Tasks[[#This Row],[Duration]]),0.1),0)</f>
        <v>0</v>
      </c>
      <c r="BZ179" s="47" t="n">
        <f aca="false">Tasks[[#This Row],[_WeightDur]]*Tasks[[#This Row],[_LeafProgress]]</f>
        <v>0</v>
      </c>
      <c r="CA17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0" customFormat="false" ht="15" hidden="false" customHeight="false" outlineLevel="0" collapsed="false">
      <c r="A180" s="38" t="str">
        <f aca="false">IF(Tasks[[#This Row],[Task Name]]="","",COUNTA(Tasks[[#Headers],[Task Name]]:Tasks[[#This Row],[Task Name]])-1)</f>
        <v/>
      </c>
      <c r="B180" s="39" t="n">
        <v>175</v>
      </c>
      <c r="C18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0" s="39"/>
      <c r="E180" s="41"/>
      <c r="F180" s="39"/>
      <c r="G180" s="39"/>
      <c r="H180" s="39"/>
      <c r="I180" s="39"/>
      <c r="J180" s="39"/>
      <c r="K180" s="39"/>
      <c r="L180" s="39"/>
      <c r="M180" s="39"/>
      <c r="N180" s="29"/>
      <c r="O180" s="29"/>
      <c r="P180" s="24" t="str">
        <f aca="false">IF(Tasks[[#This Row],[Task Name]]="","",IF(N(Tasks[[#This Row],[Baseline Start]])&gt;0,Tasks[[#This Row],[Baseline Start]],Tasks[[#This Row],[_CalcStart]]))</f>
        <v/>
      </c>
      <c r="Q180" s="24" t="str">
        <f aca="false">IF(Tasks[[#This Row],[Task Name]]="","",IF(N(Tasks[[#This Row],[Baseline Finish]])&gt;0,Tasks[[#This Row],[Baseline Finish]],Tasks[[#This Row],[_CalcFinish]]))</f>
        <v/>
      </c>
      <c r="R180" s="29"/>
      <c r="S180" s="29"/>
      <c r="T18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0" s="31"/>
      <c r="AA18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0" s="41"/>
      <c r="AD180" s="31"/>
      <c r="AE18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0" s="41"/>
      <c r="AJ180" s="24" t="str">
        <f aca="false">IF(Tasks[[#This Row],[Task Name]]="","",Tasks[[#This Row],[Forecast Start]])</f>
        <v/>
      </c>
      <c r="AK180" s="24" t="str">
        <f aca="false">IF(Tasks[[#This Row],[Task Name]]="","",Tasks[[#This Row],[Forecast Finish]])</f>
        <v/>
      </c>
      <c r="AL18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0" s="43" t="str">
        <f aca="false">IF(Tasks[[#This Row],[Task Name]]="","",Tasks[[#This Row],[Work]])</f>
        <v/>
      </c>
      <c r="AN180" s="44" t="str">
        <f aca="false">IF(Tasks[[#This Row],[Task Name]]="","",Tasks[[#This Row],[Cost]])</f>
        <v/>
      </c>
      <c r="AO180" s="29"/>
      <c r="AP180" s="29"/>
      <c r="AQ180" s="39"/>
      <c r="AR180" s="45"/>
      <c r="AS180" s="46"/>
      <c r="AT180" s="40" t="str">
        <f aca="false">IF(OR(Tasks[[#This Row],[Task Name]]="",Tasks[[#This Row],[Baseline Duration]]=""),"",Tasks[[#This Row],[BL Source Duration]]-N(Tasks[[#This Row],[Baseline Duration]]))</f>
        <v/>
      </c>
      <c r="AU180" s="43" t="str">
        <f aca="false">IF(OR(Tasks[[#This Row],[Task Name]]="",Tasks[[#This Row],[Baseline Work]]=""),"",Tasks[[#This Row],[Work]]-N(Tasks[[#This Row],[Baseline Work]]))</f>
        <v/>
      </c>
      <c r="AV180" s="44" t="str">
        <f aca="false">IF(OR(Tasks[[#This Row],[Task Name]]="",Tasks[[#This Row],[Baseline Cost]]=""),"",Tasks[[#This Row],[Cost]]-N(Tasks[[#This Row],[Baseline Cost]]))</f>
        <v/>
      </c>
      <c r="AW180" s="47" t="str">
        <f aca="false">IF(Tasks[[#This Row],[Task Name]]="","",MAX(1,N(Tasks[[#This Row],[Level]])))</f>
        <v/>
      </c>
      <c r="AX180" s="47" t="n">
        <f aca="false">ROW()-ROW(Tasks[[#Headers],[ID]])</f>
        <v>175</v>
      </c>
      <c r="AY18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0" s="47" t="n">
        <f aca="false">IFERROR(N(INDEX(Tasks[_Level],Tasks[[#This Row],[_Row]]+1)),0)</f>
        <v>0</v>
      </c>
      <c r="BA180" s="48" t="b">
        <f aca="false">AND(Tasks[[#This Row],[Task Name]]&lt;&gt;"",Tasks[[#This Row],[_NextLevel]]&gt;Tasks[[#This Row],[_Level]])</f>
        <v>0</v>
      </c>
      <c r="BB180" s="47" t="n">
        <f aca="false">IF(Tasks[[#This Row],[_IsSummary]],COUNTIF(Tasks[WBS],Tasks[[#This Row],[WBS]]&amp;".*"),0)</f>
        <v>0</v>
      </c>
      <c r="BC180" s="47" t="n">
        <f aca="false">IF(AND(Tasks[[#This Row],[Task Name]]&lt;&gt;"",NOT(Tasks[[#This Row],[_IsSummary]])),1,0)</f>
        <v>0</v>
      </c>
      <c r="BD180" s="47" t="n">
        <f aca="false">IF(N(Tasks[[#This Row],[Pred1 UID]])=0,0,IFERROR(MATCH(Tasks[[#This Row],[Pred1 UID]],Tasks[UID],0),-1))</f>
        <v>0</v>
      </c>
      <c r="BE180" s="47" t="n">
        <f aca="false">IF(N(Tasks[[#This Row],[Pred2 UID]])=0,0,IFERROR(MATCH(Tasks[[#This Row],[Pred2 UID]],Tasks[UID],0),-1))</f>
        <v>0</v>
      </c>
      <c r="BF18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0" s="47" t="n">
        <f aca="false">IF(NOT(Tasks[[#This Row],[_IsLeaf]]=1),0,IF(N(Tasks[[#This Row],[Actual Finish]])&gt;0,1,MIN(1,N(Tasks[[#This Row],[% Complete]]))))</f>
        <v>0</v>
      </c>
      <c r="BK18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0" s="47" t="n">
        <f aca="false">IF(Tasks[[#This Row],[_LeafWork]]=0,0,Tasks[[#This Row],[_LeafWork]]*IFERROR(INDEX(res_Rate,MATCH(Tasks[[#This Row],[Resource]],res_Name,0)),0))</f>
        <v>0</v>
      </c>
      <c r="BM18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0" s="47" t="n">
        <f aca="false">IF(AND(Tasks[[#This Row],[_IsLeaf]]=1,Tasks[[#This Row],[_LeafWork]]&gt;0),NETWORKDAYS.INTL(ProjectStart,Tasks[[#This Row],[_LeafFcstStart]],WorkWeek,Holidays),0)</f>
        <v>0</v>
      </c>
      <c r="BV18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0" s="47" t="n">
        <f aca="false">IF(AND(Tasks[[#This Row],[_IsLeaf]]=1,Tasks[[#This Row],[_LeafWork]]&gt;0),Tasks[[#This Row],[_LeafWork]]/(Tasks[[#This Row],[_FinishWorkday]]-Tasks[[#This Row],[_StartWorkday]]+1),0)</f>
        <v>0</v>
      </c>
      <c r="BX180" s="47" t="n">
        <f aca="false">Tasks[[#This Row],[_WorkPerWorkday]]*(Tasks[[#This Row],[_StartWorkday]]-1)</f>
        <v>-0</v>
      </c>
      <c r="BY180" s="47" t="n">
        <f aca="false">IF(Tasks[[#This Row],[_IsLeaf]]=1,MAX(N(Tasks[[#This Row],[Duration]]),0.1),0)</f>
        <v>0</v>
      </c>
      <c r="BZ180" s="47" t="n">
        <f aca="false">Tasks[[#This Row],[_WeightDur]]*Tasks[[#This Row],[_LeafProgress]]</f>
        <v>0</v>
      </c>
      <c r="CA18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1" customFormat="false" ht="15" hidden="false" customHeight="false" outlineLevel="0" collapsed="false">
      <c r="A181" s="38" t="str">
        <f aca="false">IF(Tasks[[#This Row],[Task Name]]="","",COUNTA(Tasks[[#Headers],[Task Name]]:Tasks[[#This Row],[Task Name]])-1)</f>
        <v/>
      </c>
      <c r="B181" s="39" t="n">
        <v>176</v>
      </c>
      <c r="C18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1" s="39"/>
      <c r="E181" s="41"/>
      <c r="F181" s="39"/>
      <c r="G181" s="39"/>
      <c r="H181" s="39"/>
      <c r="I181" s="39"/>
      <c r="J181" s="39"/>
      <c r="K181" s="39"/>
      <c r="L181" s="39"/>
      <c r="M181" s="39"/>
      <c r="N181" s="29"/>
      <c r="O181" s="29"/>
      <c r="P181" s="24" t="str">
        <f aca="false">IF(Tasks[[#This Row],[Task Name]]="","",IF(N(Tasks[[#This Row],[Baseline Start]])&gt;0,Tasks[[#This Row],[Baseline Start]],Tasks[[#This Row],[_CalcStart]]))</f>
        <v/>
      </c>
      <c r="Q181" s="24" t="str">
        <f aca="false">IF(Tasks[[#This Row],[Task Name]]="","",IF(N(Tasks[[#This Row],[Baseline Finish]])&gt;0,Tasks[[#This Row],[Baseline Finish]],Tasks[[#This Row],[_CalcFinish]]))</f>
        <v/>
      </c>
      <c r="R181" s="29"/>
      <c r="S181" s="29"/>
      <c r="T18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1" s="31"/>
      <c r="AA18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1" s="41"/>
      <c r="AD181" s="31"/>
      <c r="AE18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1" s="41"/>
      <c r="AJ181" s="24" t="str">
        <f aca="false">IF(Tasks[[#This Row],[Task Name]]="","",Tasks[[#This Row],[Forecast Start]])</f>
        <v/>
      </c>
      <c r="AK181" s="24" t="str">
        <f aca="false">IF(Tasks[[#This Row],[Task Name]]="","",Tasks[[#This Row],[Forecast Finish]])</f>
        <v/>
      </c>
      <c r="AL18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1" s="43" t="str">
        <f aca="false">IF(Tasks[[#This Row],[Task Name]]="","",Tasks[[#This Row],[Work]])</f>
        <v/>
      </c>
      <c r="AN181" s="44" t="str">
        <f aca="false">IF(Tasks[[#This Row],[Task Name]]="","",Tasks[[#This Row],[Cost]])</f>
        <v/>
      </c>
      <c r="AO181" s="29"/>
      <c r="AP181" s="29"/>
      <c r="AQ181" s="39"/>
      <c r="AR181" s="45"/>
      <c r="AS181" s="46"/>
      <c r="AT181" s="40" t="str">
        <f aca="false">IF(OR(Tasks[[#This Row],[Task Name]]="",Tasks[[#This Row],[Baseline Duration]]=""),"",Tasks[[#This Row],[BL Source Duration]]-N(Tasks[[#This Row],[Baseline Duration]]))</f>
        <v/>
      </c>
      <c r="AU181" s="43" t="str">
        <f aca="false">IF(OR(Tasks[[#This Row],[Task Name]]="",Tasks[[#This Row],[Baseline Work]]=""),"",Tasks[[#This Row],[Work]]-N(Tasks[[#This Row],[Baseline Work]]))</f>
        <v/>
      </c>
      <c r="AV181" s="44" t="str">
        <f aca="false">IF(OR(Tasks[[#This Row],[Task Name]]="",Tasks[[#This Row],[Baseline Cost]]=""),"",Tasks[[#This Row],[Cost]]-N(Tasks[[#This Row],[Baseline Cost]]))</f>
        <v/>
      </c>
      <c r="AW181" s="47" t="str">
        <f aca="false">IF(Tasks[[#This Row],[Task Name]]="","",MAX(1,N(Tasks[[#This Row],[Level]])))</f>
        <v/>
      </c>
      <c r="AX181" s="47" t="n">
        <f aca="false">ROW()-ROW(Tasks[[#Headers],[ID]])</f>
        <v>176</v>
      </c>
      <c r="AY18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1" s="47" t="n">
        <f aca="false">IFERROR(N(INDEX(Tasks[_Level],Tasks[[#This Row],[_Row]]+1)),0)</f>
        <v>0</v>
      </c>
      <c r="BA181" s="48" t="b">
        <f aca="false">AND(Tasks[[#This Row],[Task Name]]&lt;&gt;"",Tasks[[#This Row],[_NextLevel]]&gt;Tasks[[#This Row],[_Level]])</f>
        <v>0</v>
      </c>
      <c r="BB181" s="47" t="n">
        <f aca="false">IF(Tasks[[#This Row],[_IsSummary]],COUNTIF(Tasks[WBS],Tasks[[#This Row],[WBS]]&amp;".*"),0)</f>
        <v>0</v>
      </c>
      <c r="BC181" s="47" t="n">
        <f aca="false">IF(AND(Tasks[[#This Row],[Task Name]]&lt;&gt;"",NOT(Tasks[[#This Row],[_IsSummary]])),1,0)</f>
        <v>0</v>
      </c>
      <c r="BD181" s="47" t="n">
        <f aca="false">IF(N(Tasks[[#This Row],[Pred1 UID]])=0,0,IFERROR(MATCH(Tasks[[#This Row],[Pred1 UID]],Tasks[UID],0),-1))</f>
        <v>0</v>
      </c>
      <c r="BE181" s="47" t="n">
        <f aca="false">IF(N(Tasks[[#This Row],[Pred2 UID]])=0,0,IFERROR(MATCH(Tasks[[#This Row],[Pred2 UID]],Tasks[UID],0),-1))</f>
        <v>0</v>
      </c>
      <c r="BF18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1" s="47" t="n">
        <f aca="false">IF(NOT(Tasks[[#This Row],[_IsLeaf]]=1),0,IF(N(Tasks[[#This Row],[Actual Finish]])&gt;0,1,MIN(1,N(Tasks[[#This Row],[% Complete]]))))</f>
        <v>0</v>
      </c>
      <c r="BK18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1" s="47" t="n">
        <f aca="false">IF(Tasks[[#This Row],[_LeafWork]]=0,0,Tasks[[#This Row],[_LeafWork]]*IFERROR(INDEX(res_Rate,MATCH(Tasks[[#This Row],[Resource]],res_Name,0)),0))</f>
        <v>0</v>
      </c>
      <c r="BM18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1" s="47" t="n">
        <f aca="false">IF(AND(Tasks[[#This Row],[_IsLeaf]]=1,Tasks[[#This Row],[_LeafWork]]&gt;0),NETWORKDAYS.INTL(ProjectStart,Tasks[[#This Row],[_LeafFcstStart]],WorkWeek,Holidays),0)</f>
        <v>0</v>
      </c>
      <c r="BV18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1" s="47" t="n">
        <f aca="false">IF(AND(Tasks[[#This Row],[_IsLeaf]]=1,Tasks[[#This Row],[_LeafWork]]&gt;0),Tasks[[#This Row],[_LeafWork]]/(Tasks[[#This Row],[_FinishWorkday]]-Tasks[[#This Row],[_StartWorkday]]+1),0)</f>
        <v>0</v>
      </c>
      <c r="BX181" s="47" t="n">
        <f aca="false">Tasks[[#This Row],[_WorkPerWorkday]]*(Tasks[[#This Row],[_StartWorkday]]-1)</f>
        <v>-0</v>
      </c>
      <c r="BY181" s="47" t="n">
        <f aca="false">IF(Tasks[[#This Row],[_IsLeaf]]=1,MAX(N(Tasks[[#This Row],[Duration]]),0.1),0)</f>
        <v>0</v>
      </c>
      <c r="BZ181" s="47" t="n">
        <f aca="false">Tasks[[#This Row],[_WeightDur]]*Tasks[[#This Row],[_LeafProgress]]</f>
        <v>0</v>
      </c>
      <c r="CA18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2" customFormat="false" ht="15" hidden="false" customHeight="false" outlineLevel="0" collapsed="false">
      <c r="A182" s="38" t="str">
        <f aca="false">IF(Tasks[[#This Row],[Task Name]]="","",COUNTA(Tasks[[#Headers],[Task Name]]:Tasks[[#This Row],[Task Name]])-1)</f>
        <v/>
      </c>
      <c r="B182" s="39" t="n">
        <v>177</v>
      </c>
      <c r="C18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2" s="39"/>
      <c r="E182" s="41"/>
      <c r="F182" s="39"/>
      <c r="G182" s="39"/>
      <c r="H182" s="39"/>
      <c r="I182" s="39"/>
      <c r="J182" s="39"/>
      <c r="K182" s="39"/>
      <c r="L182" s="39"/>
      <c r="M182" s="39"/>
      <c r="N182" s="29"/>
      <c r="O182" s="29"/>
      <c r="P182" s="24" t="str">
        <f aca="false">IF(Tasks[[#This Row],[Task Name]]="","",IF(N(Tasks[[#This Row],[Baseline Start]])&gt;0,Tasks[[#This Row],[Baseline Start]],Tasks[[#This Row],[_CalcStart]]))</f>
        <v/>
      </c>
      <c r="Q182" s="24" t="str">
        <f aca="false">IF(Tasks[[#This Row],[Task Name]]="","",IF(N(Tasks[[#This Row],[Baseline Finish]])&gt;0,Tasks[[#This Row],[Baseline Finish]],Tasks[[#This Row],[_CalcFinish]]))</f>
        <v/>
      </c>
      <c r="R182" s="29"/>
      <c r="S182" s="29"/>
      <c r="T18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2" s="31"/>
      <c r="AA18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2" s="41"/>
      <c r="AD182" s="31"/>
      <c r="AE18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2" s="41"/>
      <c r="AJ182" s="24" t="str">
        <f aca="false">IF(Tasks[[#This Row],[Task Name]]="","",Tasks[[#This Row],[Forecast Start]])</f>
        <v/>
      </c>
      <c r="AK182" s="24" t="str">
        <f aca="false">IF(Tasks[[#This Row],[Task Name]]="","",Tasks[[#This Row],[Forecast Finish]])</f>
        <v/>
      </c>
      <c r="AL18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2" s="43" t="str">
        <f aca="false">IF(Tasks[[#This Row],[Task Name]]="","",Tasks[[#This Row],[Work]])</f>
        <v/>
      </c>
      <c r="AN182" s="44" t="str">
        <f aca="false">IF(Tasks[[#This Row],[Task Name]]="","",Tasks[[#This Row],[Cost]])</f>
        <v/>
      </c>
      <c r="AO182" s="29"/>
      <c r="AP182" s="29"/>
      <c r="AQ182" s="39"/>
      <c r="AR182" s="45"/>
      <c r="AS182" s="46"/>
      <c r="AT182" s="40" t="str">
        <f aca="false">IF(OR(Tasks[[#This Row],[Task Name]]="",Tasks[[#This Row],[Baseline Duration]]=""),"",Tasks[[#This Row],[BL Source Duration]]-N(Tasks[[#This Row],[Baseline Duration]]))</f>
        <v/>
      </c>
      <c r="AU182" s="43" t="str">
        <f aca="false">IF(OR(Tasks[[#This Row],[Task Name]]="",Tasks[[#This Row],[Baseline Work]]=""),"",Tasks[[#This Row],[Work]]-N(Tasks[[#This Row],[Baseline Work]]))</f>
        <v/>
      </c>
      <c r="AV182" s="44" t="str">
        <f aca="false">IF(OR(Tasks[[#This Row],[Task Name]]="",Tasks[[#This Row],[Baseline Cost]]=""),"",Tasks[[#This Row],[Cost]]-N(Tasks[[#This Row],[Baseline Cost]]))</f>
        <v/>
      </c>
      <c r="AW182" s="47" t="str">
        <f aca="false">IF(Tasks[[#This Row],[Task Name]]="","",MAX(1,N(Tasks[[#This Row],[Level]])))</f>
        <v/>
      </c>
      <c r="AX182" s="47" t="n">
        <f aca="false">ROW()-ROW(Tasks[[#Headers],[ID]])</f>
        <v>177</v>
      </c>
      <c r="AY18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2" s="47" t="n">
        <f aca="false">IFERROR(N(INDEX(Tasks[_Level],Tasks[[#This Row],[_Row]]+1)),0)</f>
        <v>0</v>
      </c>
      <c r="BA182" s="48" t="b">
        <f aca="false">AND(Tasks[[#This Row],[Task Name]]&lt;&gt;"",Tasks[[#This Row],[_NextLevel]]&gt;Tasks[[#This Row],[_Level]])</f>
        <v>0</v>
      </c>
      <c r="BB182" s="47" t="n">
        <f aca="false">IF(Tasks[[#This Row],[_IsSummary]],COUNTIF(Tasks[WBS],Tasks[[#This Row],[WBS]]&amp;".*"),0)</f>
        <v>0</v>
      </c>
      <c r="BC182" s="47" t="n">
        <f aca="false">IF(AND(Tasks[[#This Row],[Task Name]]&lt;&gt;"",NOT(Tasks[[#This Row],[_IsSummary]])),1,0)</f>
        <v>0</v>
      </c>
      <c r="BD182" s="47" t="n">
        <f aca="false">IF(N(Tasks[[#This Row],[Pred1 UID]])=0,0,IFERROR(MATCH(Tasks[[#This Row],[Pred1 UID]],Tasks[UID],0),-1))</f>
        <v>0</v>
      </c>
      <c r="BE182" s="47" t="n">
        <f aca="false">IF(N(Tasks[[#This Row],[Pred2 UID]])=0,0,IFERROR(MATCH(Tasks[[#This Row],[Pred2 UID]],Tasks[UID],0),-1))</f>
        <v>0</v>
      </c>
      <c r="BF18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2" s="47" t="n">
        <f aca="false">IF(NOT(Tasks[[#This Row],[_IsLeaf]]=1),0,IF(N(Tasks[[#This Row],[Actual Finish]])&gt;0,1,MIN(1,N(Tasks[[#This Row],[% Complete]]))))</f>
        <v>0</v>
      </c>
      <c r="BK18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2" s="47" t="n">
        <f aca="false">IF(Tasks[[#This Row],[_LeafWork]]=0,0,Tasks[[#This Row],[_LeafWork]]*IFERROR(INDEX(res_Rate,MATCH(Tasks[[#This Row],[Resource]],res_Name,0)),0))</f>
        <v>0</v>
      </c>
      <c r="BM18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2" s="47" t="n">
        <f aca="false">IF(AND(Tasks[[#This Row],[_IsLeaf]]=1,Tasks[[#This Row],[_LeafWork]]&gt;0),NETWORKDAYS.INTL(ProjectStart,Tasks[[#This Row],[_LeafFcstStart]],WorkWeek,Holidays),0)</f>
        <v>0</v>
      </c>
      <c r="BV18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2" s="47" t="n">
        <f aca="false">IF(AND(Tasks[[#This Row],[_IsLeaf]]=1,Tasks[[#This Row],[_LeafWork]]&gt;0),Tasks[[#This Row],[_LeafWork]]/(Tasks[[#This Row],[_FinishWorkday]]-Tasks[[#This Row],[_StartWorkday]]+1),0)</f>
        <v>0</v>
      </c>
      <c r="BX182" s="47" t="n">
        <f aca="false">Tasks[[#This Row],[_WorkPerWorkday]]*(Tasks[[#This Row],[_StartWorkday]]-1)</f>
        <v>-0</v>
      </c>
      <c r="BY182" s="47" t="n">
        <f aca="false">IF(Tasks[[#This Row],[_IsLeaf]]=1,MAX(N(Tasks[[#This Row],[Duration]]),0.1),0)</f>
        <v>0</v>
      </c>
      <c r="BZ182" s="47" t="n">
        <f aca="false">Tasks[[#This Row],[_WeightDur]]*Tasks[[#This Row],[_LeafProgress]]</f>
        <v>0</v>
      </c>
      <c r="CA18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3" customFormat="false" ht="15" hidden="false" customHeight="false" outlineLevel="0" collapsed="false">
      <c r="A183" s="38" t="str">
        <f aca="false">IF(Tasks[[#This Row],[Task Name]]="","",COUNTA(Tasks[[#Headers],[Task Name]]:Tasks[[#This Row],[Task Name]])-1)</f>
        <v/>
      </c>
      <c r="B183" s="39" t="n">
        <v>178</v>
      </c>
      <c r="C18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3" s="39"/>
      <c r="E183" s="41"/>
      <c r="F183" s="39"/>
      <c r="G183" s="39"/>
      <c r="H183" s="39"/>
      <c r="I183" s="39"/>
      <c r="J183" s="39"/>
      <c r="K183" s="39"/>
      <c r="L183" s="39"/>
      <c r="M183" s="39"/>
      <c r="N183" s="29"/>
      <c r="O183" s="29"/>
      <c r="P183" s="24" t="str">
        <f aca="false">IF(Tasks[[#This Row],[Task Name]]="","",IF(N(Tasks[[#This Row],[Baseline Start]])&gt;0,Tasks[[#This Row],[Baseline Start]],Tasks[[#This Row],[_CalcStart]]))</f>
        <v/>
      </c>
      <c r="Q183" s="24" t="str">
        <f aca="false">IF(Tasks[[#This Row],[Task Name]]="","",IF(N(Tasks[[#This Row],[Baseline Finish]])&gt;0,Tasks[[#This Row],[Baseline Finish]],Tasks[[#This Row],[_CalcFinish]]))</f>
        <v/>
      </c>
      <c r="R183" s="29"/>
      <c r="S183" s="29"/>
      <c r="T18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3" s="31"/>
      <c r="AA18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3" s="41"/>
      <c r="AD183" s="31"/>
      <c r="AE18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3" s="41"/>
      <c r="AJ183" s="24" t="str">
        <f aca="false">IF(Tasks[[#This Row],[Task Name]]="","",Tasks[[#This Row],[Forecast Start]])</f>
        <v/>
      </c>
      <c r="AK183" s="24" t="str">
        <f aca="false">IF(Tasks[[#This Row],[Task Name]]="","",Tasks[[#This Row],[Forecast Finish]])</f>
        <v/>
      </c>
      <c r="AL18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3" s="43" t="str">
        <f aca="false">IF(Tasks[[#This Row],[Task Name]]="","",Tasks[[#This Row],[Work]])</f>
        <v/>
      </c>
      <c r="AN183" s="44" t="str">
        <f aca="false">IF(Tasks[[#This Row],[Task Name]]="","",Tasks[[#This Row],[Cost]])</f>
        <v/>
      </c>
      <c r="AO183" s="29"/>
      <c r="AP183" s="29"/>
      <c r="AQ183" s="39"/>
      <c r="AR183" s="45"/>
      <c r="AS183" s="46"/>
      <c r="AT183" s="40" t="str">
        <f aca="false">IF(OR(Tasks[[#This Row],[Task Name]]="",Tasks[[#This Row],[Baseline Duration]]=""),"",Tasks[[#This Row],[BL Source Duration]]-N(Tasks[[#This Row],[Baseline Duration]]))</f>
        <v/>
      </c>
      <c r="AU183" s="43" t="str">
        <f aca="false">IF(OR(Tasks[[#This Row],[Task Name]]="",Tasks[[#This Row],[Baseline Work]]=""),"",Tasks[[#This Row],[Work]]-N(Tasks[[#This Row],[Baseline Work]]))</f>
        <v/>
      </c>
      <c r="AV183" s="44" t="str">
        <f aca="false">IF(OR(Tasks[[#This Row],[Task Name]]="",Tasks[[#This Row],[Baseline Cost]]=""),"",Tasks[[#This Row],[Cost]]-N(Tasks[[#This Row],[Baseline Cost]]))</f>
        <v/>
      </c>
      <c r="AW183" s="47" t="str">
        <f aca="false">IF(Tasks[[#This Row],[Task Name]]="","",MAX(1,N(Tasks[[#This Row],[Level]])))</f>
        <v/>
      </c>
      <c r="AX183" s="47" t="n">
        <f aca="false">ROW()-ROW(Tasks[[#Headers],[ID]])</f>
        <v>178</v>
      </c>
      <c r="AY18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3" s="47" t="n">
        <f aca="false">IFERROR(N(INDEX(Tasks[_Level],Tasks[[#This Row],[_Row]]+1)),0)</f>
        <v>0</v>
      </c>
      <c r="BA183" s="48" t="b">
        <f aca="false">AND(Tasks[[#This Row],[Task Name]]&lt;&gt;"",Tasks[[#This Row],[_NextLevel]]&gt;Tasks[[#This Row],[_Level]])</f>
        <v>0</v>
      </c>
      <c r="BB183" s="47" t="n">
        <f aca="false">IF(Tasks[[#This Row],[_IsSummary]],COUNTIF(Tasks[WBS],Tasks[[#This Row],[WBS]]&amp;".*"),0)</f>
        <v>0</v>
      </c>
      <c r="BC183" s="47" t="n">
        <f aca="false">IF(AND(Tasks[[#This Row],[Task Name]]&lt;&gt;"",NOT(Tasks[[#This Row],[_IsSummary]])),1,0)</f>
        <v>0</v>
      </c>
      <c r="BD183" s="47" t="n">
        <f aca="false">IF(N(Tasks[[#This Row],[Pred1 UID]])=0,0,IFERROR(MATCH(Tasks[[#This Row],[Pred1 UID]],Tasks[UID],0),-1))</f>
        <v>0</v>
      </c>
      <c r="BE183" s="47" t="n">
        <f aca="false">IF(N(Tasks[[#This Row],[Pred2 UID]])=0,0,IFERROR(MATCH(Tasks[[#This Row],[Pred2 UID]],Tasks[UID],0),-1))</f>
        <v>0</v>
      </c>
      <c r="BF18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3" s="47" t="n">
        <f aca="false">IF(NOT(Tasks[[#This Row],[_IsLeaf]]=1),0,IF(N(Tasks[[#This Row],[Actual Finish]])&gt;0,1,MIN(1,N(Tasks[[#This Row],[% Complete]]))))</f>
        <v>0</v>
      </c>
      <c r="BK18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3" s="47" t="n">
        <f aca="false">IF(Tasks[[#This Row],[_LeafWork]]=0,0,Tasks[[#This Row],[_LeafWork]]*IFERROR(INDEX(res_Rate,MATCH(Tasks[[#This Row],[Resource]],res_Name,0)),0))</f>
        <v>0</v>
      </c>
      <c r="BM18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3" s="47" t="n">
        <f aca="false">IF(AND(Tasks[[#This Row],[_IsLeaf]]=1,Tasks[[#This Row],[_LeafWork]]&gt;0),NETWORKDAYS.INTL(ProjectStart,Tasks[[#This Row],[_LeafFcstStart]],WorkWeek,Holidays),0)</f>
        <v>0</v>
      </c>
      <c r="BV18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3" s="47" t="n">
        <f aca="false">IF(AND(Tasks[[#This Row],[_IsLeaf]]=1,Tasks[[#This Row],[_LeafWork]]&gt;0),Tasks[[#This Row],[_LeafWork]]/(Tasks[[#This Row],[_FinishWorkday]]-Tasks[[#This Row],[_StartWorkday]]+1),0)</f>
        <v>0</v>
      </c>
      <c r="BX183" s="47" t="n">
        <f aca="false">Tasks[[#This Row],[_WorkPerWorkday]]*(Tasks[[#This Row],[_StartWorkday]]-1)</f>
        <v>-0</v>
      </c>
      <c r="BY183" s="47" t="n">
        <f aca="false">IF(Tasks[[#This Row],[_IsLeaf]]=1,MAX(N(Tasks[[#This Row],[Duration]]),0.1),0)</f>
        <v>0</v>
      </c>
      <c r="BZ183" s="47" t="n">
        <f aca="false">Tasks[[#This Row],[_WeightDur]]*Tasks[[#This Row],[_LeafProgress]]</f>
        <v>0</v>
      </c>
      <c r="CA18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4" customFormat="false" ht="15" hidden="false" customHeight="false" outlineLevel="0" collapsed="false">
      <c r="A184" s="38" t="str">
        <f aca="false">IF(Tasks[[#This Row],[Task Name]]="","",COUNTA(Tasks[[#Headers],[Task Name]]:Tasks[[#This Row],[Task Name]])-1)</f>
        <v/>
      </c>
      <c r="B184" s="39" t="n">
        <v>179</v>
      </c>
      <c r="C18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4" s="39"/>
      <c r="E184" s="41"/>
      <c r="F184" s="39"/>
      <c r="G184" s="39"/>
      <c r="H184" s="39"/>
      <c r="I184" s="39"/>
      <c r="J184" s="39"/>
      <c r="K184" s="39"/>
      <c r="L184" s="39"/>
      <c r="M184" s="39"/>
      <c r="N184" s="29"/>
      <c r="O184" s="29"/>
      <c r="P184" s="24" t="str">
        <f aca="false">IF(Tasks[[#This Row],[Task Name]]="","",IF(N(Tasks[[#This Row],[Baseline Start]])&gt;0,Tasks[[#This Row],[Baseline Start]],Tasks[[#This Row],[_CalcStart]]))</f>
        <v/>
      </c>
      <c r="Q184" s="24" t="str">
        <f aca="false">IF(Tasks[[#This Row],[Task Name]]="","",IF(N(Tasks[[#This Row],[Baseline Finish]])&gt;0,Tasks[[#This Row],[Baseline Finish]],Tasks[[#This Row],[_CalcFinish]]))</f>
        <v/>
      </c>
      <c r="R184" s="29"/>
      <c r="S184" s="29"/>
      <c r="T18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4" s="31"/>
      <c r="AA18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4" s="41"/>
      <c r="AD184" s="31"/>
      <c r="AE18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4" s="41"/>
      <c r="AJ184" s="24" t="str">
        <f aca="false">IF(Tasks[[#This Row],[Task Name]]="","",Tasks[[#This Row],[Forecast Start]])</f>
        <v/>
      </c>
      <c r="AK184" s="24" t="str">
        <f aca="false">IF(Tasks[[#This Row],[Task Name]]="","",Tasks[[#This Row],[Forecast Finish]])</f>
        <v/>
      </c>
      <c r="AL18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4" s="43" t="str">
        <f aca="false">IF(Tasks[[#This Row],[Task Name]]="","",Tasks[[#This Row],[Work]])</f>
        <v/>
      </c>
      <c r="AN184" s="44" t="str">
        <f aca="false">IF(Tasks[[#This Row],[Task Name]]="","",Tasks[[#This Row],[Cost]])</f>
        <v/>
      </c>
      <c r="AO184" s="29"/>
      <c r="AP184" s="29"/>
      <c r="AQ184" s="39"/>
      <c r="AR184" s="45"/>
      <c r="AS184" s="46"/>
      <c r="AT184" s="40" t="str">
        <f aca="false">IF(OR(Tasks[[#This Row],[Task Name]]="",Tasks[[#This Row],[Baseline Duration]]=""),"",Tasks[[#This Row],[BL Source Duration]]-N(Tasks[[#This Row],[Baseline Duration]]))</f>
        <v/>
      </c>
      <c r="AU184" s="43" t="str">
        <f aca="false">IF(OR(Tasks[[#This Row],[Task Name]]="",Tasks[[#This Row],[Baseline Work]]=""),"",Tasks[[#This Row],[Work]]-N(Tasks[[#This Row],[Baseline Work]]))</f>
        <v/>
      </c>
      <c r="AV184" s="44" t="str">
        <f aca="false">IF(OR(Tasks[[#This Row],[Task Name]]="",Tasks[[#This Row],[Baseline Cost]]=""),"",Tasks[[#This Row],[Cost]]-N(Tasks[[#This Row],[Baseline Cost]]))</f>
        <v/>
      </c>
      <c r="AW184" s="47" t="str">
        <f aca="false">IF(Tasks[[#This Row],[Task Name]]="","",MAX(1,N(Tasks[[#This Row],[Level]])))</f>
        <v/>
      </c>
      <c r="AX184" s="47" t="n">
        <f aca="false">ROW()-ROW(Tasks[[#Headers],[ID]])</f>
        <v>179</v>
      </c>
      <c r="AY18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4" s="47" t="n">
        <f aca="false">IFERROR(N(INDEX(Tasks[_Level],Tasks[[#This Row],[_Row]]+1)),0)</f>
        <v>0</v>
      </c>
      <c r="BA184" s="48" t="b">
        <f aca="false">AND(Tasks[[#This Row],[Task Name]]&lt;&gt;"",Tasks[[#This Row],[_NextLevel]]&gt;Tasks[[#This Row],[_Level]])</f>
        <v>0</v>
      </c>
      <c r="BB184" s="47" t="n">
        <f aca="false">IF(Tasks[[#This Row],[_IsSummary]],COUNTIF(Tasks[WBS],Tasks[[#This Row],[WBS]]&amp;".*"),0)</f>
        <v>0</v>
      </c>
      <c r="BC184" s="47" t="n">
        <f aca="false">IF(AND(Tasks[[#This Row],[Task Name]]&lt;&gt;"",NOT(Tasks[[#This Row],[_IsSummary]])),1,0)</f>
        <v>0</v>
      </c>
      <c r="BD184" s="47" t="n">
        <f aca="false">IF(N(Tasks[[#This Row],[Pred1 UID]])=0,0,IFERROR(MATCH(Tasks[[#This Row],[Pred1 UID]],Tasks[UID],0),-1))</f>
        <v>0</v>
      </c>
      <c r="BE184" s="47" t="n">
        <f aca="false">IF(N(Tasks[[#This Row],[Pred2 UID]])=0,0,IFERROR(MATCH(Tasks[[#This Row],[Pred2 UID]],Tasks[UID],0),-1))</f>
        <v>0</v>
      </c>
      <c r="BF18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4" s="47" t="n">
        <f aca="false">IF(NOT(Tasks[[#This Row],[_IsLeaf]]=1),0,IF(N(Tasks[[#This Row],[Actual Finish]])&gt;0,1,MIN(1,N(Tasks[[#This Row],[% Complete]]))))</f>
        <v>0</v>
      </c>
      <c r="BK18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4" s="47" t="n">
        <f aca="false">IF(Tasks[[#This Row],[_LeafWork]]=0,0,Tasks[[#This Row],[_LeafWork]]*IFERROR(INDEX(res_Rate,MATCH(Tasks[[#This Row],[Resource]],res_Name,0)),0))</f>
        <v>0</v>
      </c>
      <c r="BM18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4" s="47" t="n">
        <f aca="false">IF(AND(Tasks[[#This Row],[_IsLeaf]]=1,Tasks[[#This Row],[_LeafWork]]&gt;0),NETWORKDAYS.INTL(ProjectStart,Tasks[[#This Row],[_LeafFcstStart]],WorkWeek,Holidays),0)</f>
        <v>0</v>
      </c>
      <c r="BV18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4" s="47" t="n">
        <f aca="false">IF(AND(Tasks[[#This Row],[_IsLeaf]]=1,Tasks[[#This Row],[_LeafWork]]&gt;0),Tasks[[#This Row],[_LeafWork]]/(Tasks[[#This Row],[_FinishWorkday]]-Tasks[[#This Row],[_StartWorkday]]+1),0)</f>
        <v>0</v>
      </c>
      <c r="BX184" s="47" t="n">
        <f aca="false">Tasks[[#This Row],[_WorkPerWorkday]]*(Tasks[[#This Row],[_StartWorkday]]-1)</f>
        <v>-0</v>
      </c>
      <c r="BY184" s="47" t="n">
        <f aca="false">IF(Tasks[[#This Row],[_IsLeaf]]=1,MAX(N(Tasks[[#This Row],[Duration]]),0.1),0)</f>
        <v>0</v>
      </c>
      <c r="BZ184" s="47" t="n">
        <f aca="false">Tasks[[#This Row],[_WeightDur]]*Tasks[[#This Row],[_LeafProgress]]</f>
        <v>0</v>
      </c>
      <c r="CA18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5" customFormat="false" ht="15" hidden="false" customHeight="false" outlineLevel="0" collapsed="false">
      <c r="A185" s="38" t="str">
        <f aca="false">IF(Tasks[[#This Row],[Task Name]]="","",COUNTA(Tasks[[#Headers],[Task Name]]:Tasks[[#This Row],[Task Name]])-1)</f>
        <v/>
      </c>
      <c r="B185" s="39" t="n">
        <v>180</v>
      </c>
      <c r="C18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5" s="39"/>
      <c r="E185" s="41"/>
      <c r="F185" s="39"/>
      <c r="G185" s="39"/>
      <c r="H185" s="39"/>
      <c r="I185" s="39"/>
      <c r="J185" s="39"/>
      <c r="K185" s="39"/>
      <c r="L185" s="39"/>
      <c r="M185" s="39"/>
      <c r="N185" s="29"/>
      <c r="O185" s="29"/>
      <c r="P185" s="24" t="str">
        <f aca="false">IF(Tasks[[#This Row],[Task Name]]="","",IF(N(Tasks[[#This Row],[Baseline Start]])&gt;0,Tasks[[#This Row],[Baseline Start]],Tasks[[#This Row],[_CalcStart]]))</f>
        <v/>
      </c>
      <c r="Q185" s="24" t="str">
        <f aca="false">IF(Tasks[[#This Row],[Task Name]]="","",IF(N(Tasks[[#This Row],[Baseline Finish]])&gt;0,Tasks[[#This Row],[Baseline Finish]],Tasks[[#This Row],[_CalcFinish]]))</f>
        <v/>
      </c>
      <c r="R185" s="29"/>
      <c r="S185" s="29"/>
      <c r="T18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5" s="31"/>
      <c r="AA18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5" s="41"/>
      <c r="AD185" s="31"/>
      <c r="AE18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5" s="41"/>
      <c r="AJ185" s="24" t="str">
        <f aca="false">IF(Tasks[[#This Row],[Task Name]]="","",Tasks[[#This Row],[Forecast Start]])</f>
        <v/>
      </c>
      <c r="AK185" s="24" t="str">
        <f aca="false">IF(Tasks[[#This Row],[Task Name]]="","",Tasks[[#This Row],[Forecast Finish]])</f>
        <v/>
      </c>
      <c r="AL18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5" s="43" t="str">
        <f aca="false">IF(Tasks[[#This Row],[Task Name]]="","",Tasks[[#This Row],[Work]])</f>
        <v/>
      </c>
      <c r="AN185" s="44" t="str">
        <f aca="false">IF(Tasks[[#This Row],[Task Name]]="","",Tasks[[#This Row],[Cost]])</f>
        <v/>
      </c>
      <c r="AO185" s="29"/>
      <c r="AP185" s="29"/>
      <c r="AQ185" s="39"/>
      <c r="AR185" s="45"/>
      <c r="AS185" s="46"/>
      <c r="AT185" s="40" t="str">
        <f aca="false">IF(OR(Tasks[[#This Row],[Task Name]]="",Tasks[[#This Row],[Baseline Duration]]=""),"",Tasks[[#This Row],[BL Source Duration]]-N(Tasks[[#This Row],[Baseline Duration]]))</f>
        <v/>
      </c>
      <c r="AU185" s="43" t="str">
        <f aca="false">IF(OR(Tasks[[#This Row],[Task Name]]="",Tasks[[#This Row],[Baseline Work]]=""),"",Tasks[[#This Row],[Work]]-N(Tasks[[#This Row],[Baseline Work]]))</f>
        <v/>
      </c>
      <c r="AV185" s="44" t="str">
        <f aca="false">IF(OR(Tasks[[#This Row],[Task Name]]="",Tasks[[#This Row],[Baseline Cost]]=""),"",Tasks[[#This Row],[Cost]]-N(Tasks[[#This Row],[Baseline Cost]]))</f>
        <v/>
      </c>
      <c r="AW185" s="47" t="str">
        <f aca="false">IF(Tasks[[#This Row],[Task Name]]="","",MAX(1,N(Tasks[[#This Row],[Level]])))</f>
        <v/>
      </c>
      <c r="AX185" s="47" t="n">
        <f aca="false">ROW()-ROW(Tasks[[#Headers],[ID]])</f>
        <v>180</v>
      </c>
      <c r="AY18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5" s="47" t="n">
        <f aca="false">IFERROR(N(INDEX(Tasks[_Level],Tasks[[#This Row],[_Row]]+1)),0)</f>
        <v>0</v>
      </c>
      <c r="BA185" s="48" t="b">
        <f aca="false">AND(Tasks[[#This Row],[Task Name]]&lt;&gt;"",Tasks[[#This Row],[_NextLevel]]&gt;Tasks[[#This Row],[_Level]])</f>
        <v>0</v>
      </c>
      <c r="BB185" s="47" t="n">
        <f aca="false">IF(Tasks[[#This Row],[_IsSummary]],COUNTIF(Tasks[WBS],Tasks[[#This Row],[WBS]]&amp;".*"),0)</f>
        <v>0</v>
      </c>
      <c r="BC185" s="47" t="n">
        <f aca="false">IF(AND(Tasks[[#This Row],[Task Name]]&lt;&gt;"",NOT(Tasks[[#This Row],[_IsSummary]])),1,0)</f>
        <v>0</v>
      </c>
      <c r="BD185" s="47" t="n">
        <f aca="false">IF(N(Tasks[[#This Row],[Pred1 UID]])=0,0,IFERROR(MATCH(Tasks[[#This Row],[Pred1 UID]],Tasks[UID],0),-1))</f>
        <v>0</v>
      </c>
      <c r="BE185" s="47" t="n">
        <f aca="false">IF(N(Tasks[[#This Row],[Pred2 UID]])=0,0,IFERROR(MATCH(Tasks[[#This Row],[Pred2 UID]],Tasks[UID],0),-1))</f>
        <v>0</v>
      </c>
      <c r="BF18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5" s="47" t="n">
        <f aca="false">IF(NOT(Tasks[[#This Row],[_IsLeaf]]=1),0,IF(N(Tasks[[#This Row],[Actual Finish]])&gt;0,1,MIN(1,N(Tasks[[#This Row],[% Complete]]))))</f>
        <v>0</v>
      </c>
      <c r="BK18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5" s="47" t="n">
        <f aca="false">IF(Tasks[[#This Row],[_LeafWork]]=0,0,Tasks[[#This Row],[_LeafWork]]*IFERROR(INDEX(res_Rate,MATCH(Tasks[[#This Row],[Resource]],res_Name,0)),0))</f>
        <v>0</v>
      </c>
      <c r="BM18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5" s="47" t="n">
        <f aca="false">IF(AND(Tasks[[#This Row],[_IsLeaf]]=1,Tasks[[#This Row],[_LeafWork]]&gt;0),NETWORKDAYS.INTL(ProjectStart,Tasks[[#This Row],[_LeafFcstStart]],WorkWeek,Holidays),0)</f>
        <v>0</v>
      </c>
      <c r="BV18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5" s="47" t="n">
        <f aca="false">IF(AND(Tasks[[#This Row],[_IsLeaf]]=1,Tasks[[#This Row],[_LeafWork]]&gt;0),Tasks[[#This Row],[_LeafWork]]/(Tasks[[#This Row],[_FinishWorkday]]-Tasks[[#This Row],[_StartWorkday]]+1),0)</f>
        <v>0</v>
      </c>
      <c r="BX185" s="47" t="n">
        <f aca="false">Tasks[[#This Row],[_WorkPerWorkday]]*(Tasks[[#This Row],[_StartWorkday]]-1)</f>
        <v>-0</v>
      </c>
      <c r="BY185" s="47" t="n">
        <f aca="false">IF(Tasks[[#This Row],[_IsLeaf]]=1,MAX(N(Tasks[[#This Row],[Duration]]),0.1),0)</f>
        <v>0</v>
      </c>
      <c r="BZ185" s="47" t="n">
        <f aca="false">Tasks[[#This Row],[_WeightDur]]*Tasks[[#This Row],[_LeafProgress]]</f>
        <v>0</v>
      </c>
      <c r="CA18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6" customFormat="false" ht="15" hidden="false" customHeight="false" outlineLevel="0" collapsed="false">
      <c r="A186" s="38" t="str">
        <f aca="false">IF(Tasks[[#This Row],[Task Name]]="","",COUNTA(Tasks[[#Headers],[Task Name]]:Tasks[[#This Row],[Task Name]])-1)</f>
        <v/>
      </c>
      <c r="B186" s="39" t="n">
        <v>181</v>
      </c>
      <c r="C18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6" s="39"/>
      <c r="E186" s="41"/>
      <c r="F186" s="39"/>
      <c r="G186" s="39"/>
      <c r="H186" s="39"/>
      <c r="I186" s="39"/>
      <c r="J186" s="39"/>
      <c r="K186" s="39"/>
      <c r="L186" s="39"/>
      <c r="M186" s="39"/>
      <c r="N186" s="29"/>
      <c r="O186" s="29"/>
      <c r="P186" s="24" t="str">
        <f aca="false">IF(Tasks[[#This Row],[Task Name]]="","",IF(N(Tasks[[#This Row],[Baseline Start]])&gt;0,Tasks[[#This Row],[Baseline Start]],Tasks[[#This Row],[_CalcStart]]))</f>
        <v/>
      </c>
      <c r="Q186" s="24" t="str">
        <f aca="false">IF(Tasks[[#This Row],[Task Name]]="","",IF(N(Tasks[[#This Row],[Baseline Finish]])&gt;0,Tasks[[#This Row],[Baseline Finish]],Tasks[[#This Row],[_CalcFinish]]))</f>
        <v/>
      </c>
      <c r="R186" s="29"/>
      <c r="S186" s="29"/>
      <c r="T18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6" s="31"/>
      <c r="AA18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6" s="41"/>
      <c r="AD186" s="31"/>
      <c r="AE18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6" s="41"/>
      <c r="AJ186" s="24" t="str">
        <f aca="false">IF(Tasks[[#This Row],[Task Name]]="","",Tasks[[#This Row],[Forecast Start]])</f>
        <v/>
      </c>
      <c r="AK186" s="24" t="str">
        <f aca="false">IF(Tasks[[#This Row],[Task Name]]="","",Tasks[[#This Row],[Forecast Finish]])</f>
        <v/>
      </c>
      <c r="AL18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6" s="43" t="str">
        <f aca="false">IF(Tasks[[#This Row],[Task Name]]="","",Tasks[[#This Row],[Work]])</f>
        <v/>
      </c>
      <c r="AN186" s="44" t="str">
        <f aca="false">IF(Tasks[[#This Row],[Task Name]]="","",Tasks[[#This Row],[Cost]])</f>
        <v/>
      </c>
      <c r="AO186" s="29"/>
      <c r="AP186" s="29"/>
      <c r="AQ186" s="39"/>
      <c r="AR186" s="45"/>
      <c r="AS186" s="46"/>
      <c r="AT186" s="40" t="str">
        <f aca="false">IF(OR(Tasks[[#This Row],[Task Name]]="",Tasks[[#This Row],[Baseline Duration]]=""),"",Tasks[[#This Row],[BL Source Duration]]-N(Tasks[[#This Row],[Baseline Duration]]))</f>
        <v/>
      </c>
      <c r="AU186" s="43" t="str">
        <f aca="false">IF(OR(Tasks[[#This Row],[Task Name]]="",Tasks[[#This Row],[Baseline Work]]=""),"",Tasks[[#This Row],[Work]]-N(Tasks[[#This Row],[Baseline Work]]))</f>
        <v/>
      </c>
      <c r="AV186" s="44" t="str">
        <f aca="false">IF(OR(Tasks[[#This Row],[Task Name]]="",Tasks[[#This Row],[Baseline Cost]]=""),"",Tasks[[#This Row],[Cost]]-N(Tasks[[#This Row],[Baseline Cost]]))</f>
        <v/>
      </c>
      <c r="AW186" s="47" t="str">
        <f aca="false">IF(Tasks[[#This Row],[Task Name]]="","",MAX(1,N(Tasks[[#This Row],[Level]])))</f>
        <v/>
      </c>
      <c r="AX186" s="47" t="n">
        <f aca="false">ROW()-ROW(Tasks[[#Headers],[ID]])</f>
        <v>181</v>
      </c>
      <c r="AY18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6" s="47" t="n">
        <f aca="false">IFERROR(N(INDEX(Tasks[_Level],Tasks[[#This Row],[_Row]]+1)),0)</f>
        <v>0</v>
      </c>
      <c r="BA186" s="48" t="b">
        <f aca="false">AND(Tasks[[#This Row],[Task Name]]&lt;&gt;"",Tasks[[#This Row],[_NextLevel]]&gt;Tasks[[#This Row],[_Level]])</f>
        <v>0</v>
      </c>
      <c r="BB186" s="47" t="n">
        <f aca="false">IF(Tasks[[#This Row],[_IsSummary]],COUNTIF(Tasks[WBS],Tasks[[#This Row],[WBS]]&amp;".*"),0)</f>
        <v>0</v>
      </c>
      <c r="BC186" s="47" t="n">
        <f aca="false">IF(AND(Tasks[[#This Row],[Task Name]]&lt;&gt;"",NOT(Tasks[[#This Row],[_IsSummary]])),1,0)</f>
        <v>0</v>
      </c>
      <c r="BD186" s="47" t="n">
        <f aca="false">IF(N(Tasks[[#This Row],[Pred1 UID]])=0,0,IFERROR(MATCH(Tasks[[#This Row],[Pred1 UID]],Tasks[UID],0),-1))</f>
        <v>0</v>
      </c>
      <c r="BE186" s="47" t="n">
        <f aca="false">IF(N(Tasks[[#This Row],[Pred2 UID]])=0,0,IFERROR(MATCH(Tasks[[#This Row],[Pred2 UID]],Tasks[UID],0),-1))</f>
        <v>0</v>
      </c>
      <c r="BF18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6" s="47" t="n">
        <f aca="false">IF(NOT(Tasks[[#This Row],[_IsLeaf]]=1),0,IF(N(Tasks[[#This Row],[Actual Finish]])&gt;0,1,MIN(1,N(Tasks[[#This Row],[% Complete]]))))</f>
        <v>0</v>
      </c>
      <c r="BK18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6" s="47" t="n">
        <f aca="false">IF(Tasks[[#This Row],[_LeafWork]]=0,0,Tasks[[#This Row],[_LeafWork]]*IFERROR(INDEX(res_Rate,MATCH(Tasks[[#This Row],[Resource]],res_Name,0)),0))</f>
        <v>0</v>
      </c>
      <c r="BM18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6" s="47" t="n">
        <f aca="false">IF(AND(Tasks[[#This Row],[_IsLeaf]]=1,Tasks[[#This Row],[_LeafWork]]&gt;0),NETWORKDAYS.INTL(ProjectStart,Tasks[[#This Row],[_LeafFcstStart]],WorkWeek,Holidays),0)</f>
        <v>0</v>
      </c>
      <c r="BV18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6" s="47" t="n">
        <f aca="false">IF(AND(Tasks[[#This Row],[_IsLeaf]]=1,Tasks[[#This Row],[_LeafWork]]&gt;0),Tasks[[#This Row],[_LeafWork]]/(Tasks[[#This Row],[_FinishWorkday]]-Tasks[[#This Row],[_StartWorkday]]+1),0)</f>
        <v>0</v>
      </c>
      <c r="BX186" s="47" t="n">
        <f aca="false">Tasks[[#This Row],[_WorkPerWorkday]]*(Tasks[[#This Row],[_StartWorkday]]-1)</f>
        <v>-0</v>
      </c>
      <c r="BY186" s="47" t="n">
        <f aca="false">IF(Tasks[[#This Row],[_IsLeaf]]=1,MAX(N(Tasks[[#This Row],[Duration]]),0.1),0)</f>
        <v>0</v>
      </c>
      <c r="BZ186" s="47" t="n">
        <f aca="false">Tasks[[#This Row],[_WeightDur]]*Tasks[[#This Row],[_LeafProgress]]</f>
        <v>0</v>
      </c>
      <c r="CA18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7" customFormat="false" ht="15" hidden="false" customHeight="false" outlineLevel="0" collapsed="false">
      <c r="A187" s="38" t="str">
        <f aca="false">IF(Tasks[[#This Row],[Task Name]]="","",COUNTA(Tasks[[#Headers],[Task Name]]:Tasks[[#This Row],[Task Name]])-1)</f>
        <v/>
      </c>
      <c r="B187" s="39" t="n">
        <v>182</v>
      </c>
      <c r="C18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7" s="39"/>
      <c r="E187" s="41"/>
      <c r="F187" s="39"/>
      <c r="G187" s="39"/>
      <c r="H187" s="39"/>
      <c r="I187" s="39"/>
      <c r="J187" s="39"/>
      <c r="K187" s="39"/>
      <c r="L187" s="39"/>
      <c r="M187" s="39"/>
      <c r="N187" s="29"/>
      <c r="O187" s="29"/>
      <c r="P187" s="24" t="str">
        <f aca="false">IF(Tasks[[#This Row],[Task Name]]="","",IF(N(Tasks[[#This Row],[Baseline Start]])&gt;0,Tasks[[#This Row],[Baseline Start]],Tasks[[#This Row],[_CalcStart]]))</f>
        <v/>
      </c>
      <c r="Q187" s="24" t="str">
        <f aca="false">IF(Tasks[[#This Row],[Task Name]]="","",IF(N(Tasks[[#This Row],[Baseline Finish]])&gt;0,Tasks[[#This Row],[Baseline Finish]],Tasks[[#This Row],[_CalcFinish]]))</f>
        <v/>
      </c>
      <c r="R187" s="29"/>
      <c r="S187" s="29"/>
      <c r="T18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7" s="31"/>
      <c r="AA18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7" s="41"/>
      <c r="AD187" s="31"/>
      <c r="AE18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7" s="41"/>
      <c r="AJ187" s="24" t="str">
        <f aca="false">IF(Tasks[[#This Row],[Task Name]]="","",Tasks[[#This Row],[Forecast Start]])</f>
        <v/>
      </c>
      <c r="AK187" s="24" t="str">
        <f aca="false">IF(Tasks[[#This Row],[Task Name]]="","",Tasks[[#This Row],[Forecast Finish]])</f>
        <v/>
      </c>
      <c r="AL18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7" s="43" t="str">
        <f aca="false">IF(Tasks[[#This Row],[Task Name]]="","",Tasks[[#This Row],[Work]])</f>
        <v/>
      </c>
      <c r="AN187" s="44" t="str">
        <f aca="false">IF(Tasks[[#This Row],[Task Name]]="","",Tasks[[#This Row],[Cost]])</f>
        <v/>
      </c>
      <c r="AO187" s="29"/>
      <c r="AP187" s="29"/>
      <c r="AQ187" s="39"/>
      <c r="AR187" s="45"/>
      <c r="AS187" s="46"/>
      <c r="AT187" s="40" t="str">
        <f aca="false">IF(OR(Tasks[[#This Row],[Task Name]]="",Tasks[[#This Row],[Baseline Duration]]=""),"",Tasks[[#This Row],[BL Source Duration]]-N(Tasks[[#This Row],[Baseline Duration]]))</f>
        <v/>
      </c>
      <c r="AU187" s="43" t="str">
        <f aca="false">IF(OR(Tasks[[#This Row],[Task Name]]="",Tasks[[#This Row],[Baseline Work]]=""),"",Tasks[[#This Row],[Work]]-N(Tasks[[#This Row],[Baseline Work]]))</f>
        <v/>
      </c>
      <c r="AV187" s="44" t="str">
        <f aca="false">IF(OR(Tasks[[#This Row],[Task Name]]="",Tasks[[#This Row],[Baseline Cost]]=""),"",Tasks[[#This Row],[Cost]]-N(Tasks[[#This Row],[Baseline Cost]]))</f>
        <v/>
      </c>
      <c r="AW187" s="47" t="str">
        <f aca="false">IF(Tasks[[#This Row],[Task Name]]="","",MAX(1,N(Tasks[[#This Row],[Level]])))</f>
        <v/>
      </c>
      <c r="AX187" s="47" t="n">
        <f aca="false">ROW()-ROW(Tasks[[#Headers],[ID]])</f>
        <v>182</v>
      </c>
      <c r="AY18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7" s="47" t="n">
        <f aca="false">IFERROR(N(INDEX(Tasks[_Level],Tasks[[#This Row],[_Row]]+1)),0)</f>
        <v>0</v>
      </c>
      <c r="BA187" s="48" t="b">
        <f aca="false">AND(Tasks[[#This Row],[Task Name]]&lt;&gt;"",Tasks[[#This Row],[_NextLevel]]&gt;Tasks[[#This Row],[_Level]])</f>
        <v>0</v>
      </c>
      <c r="BB187" s="47" t="n">
        <f aca="false">IF(Tasks[[#This Row],[_IsSummary]],COUNTIF(Tasks[WBS],Tasks[[#This Row],[WBS]]&amp;".*"),0)</f>
        <v>0</v>
      </c>
      <c r="BC187" s="47" t="n">
        <f aca="false">IF(AND(Tasks[[#This Row],[Task Name]]&lt;&gt;"",NOT(Tasks[[#This Row],[_IsSummary]])),1,0)</f>
        <v>0</v>
      </c>
      <c r="BD187" s="47" t="n">
        <f aca="false">IF(N(Tasks[[#This Row],[Pred1 UID]])=0,0,IFERROR(MATCH(Tasks[[#This Row],[Pred1 UID]],Tasks[UID],0),-1))</f>
        <v>0</v>
      </c>
      <c r="BE187" s="47" t="n">
        <f aca="false">IF(N(Tasks[[#This Row],[Pred2 UID]])=0,0,IFERROR(MATCH(Tasks[[#This Row],[Pred2 UID]],Tasks[UID],0),-1))</f>
        <v>0</v>
      </c>
      <c r="BF18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7" s="47" t="n">
        <f aca="false">IF(NOT(Tasks[[#This Row],[_IsLeaf]]=1),0,IF(N(Tasks[[#This Row],[Actual Finish]])&gt;0,1,MIN(1,N(Tasks[[#This Row],[% Complete]]))))</f>
        <v>0</v>
      </c>
      <c r="BK18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7" s="47" t="n">
        <f aca="false">IF(Tasks[[#This Row],[_LeafWork]]=0,0,Tasks[[#This Row],[_LeafWork]]*IFERROR(INDEX(res_Rate,MATCH(Tasks[[#This Row],[Resource]],res_Name,0)),0))</f>
        <v>0</v>
      </c>
      <c r="BM18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7" s="47" t="n">
        <f aca="false">IF(AND(Tasks[[#This Row],[_IsLeaf]]=1,Tasks[[#This Row],[_LeafWork]]&gt;0),NETWORKDAYS.INTL(ProjectStart,Tasks[[#This Row],[_LeafFcstStart]],WorkWeek,Holidays),0)</f>
        <v>0</v>
      </c>
      <c r="BV18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7" s="47" t="n">
        <f aca="false">IF(AND(Tasks[[#This Row],[_IsLeaf]]=1,Tasks[[#This Row],[_LeafWork]]&gt;0),Tasks[[#This Row],[_LeafWork]]/(Tasks[[#This Row],[_FinishWorkday]]-Tasks[[#This Row],[_StartWorkday]]+1),0)</f>
        <v>0</v>
      </c>
      <c r="BX187" s="47" t="n">
        <f aca="false">Tasks[[#This Row],[_WorkPerWorkday]]*(Tasks[[#This Row],[_StartWorkday]]-1)</f>
        <v>-0</v>
      </c>
      <c r="BY187" s="47" t="n">
        <f aca="false">IF(Tasks[[#This Row],[_IsLeaf]]=1,MAX(N(Tasks[[#This Row],[Duration]]),0.1),0)</f>
        <v>0</v>
      </c>
      <c r="BZ187" s="47" t="n">
        <f aca="false">Tasks[[#This Row],[_WeightDur]]*Tasks[[#This Row],[_LeafProgress]]</f>
        <v>0</v>
      </c>
      <c r="CA18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8" customFormat="false" ht="15" hidden="false" customHeight="false" outlineLevel="0" collapsed="false">
      <c r="A188" s="38" t="str">
        <f aca="false">IF(Tasks[[#This Row],[Task Name]]="","",COUNTA(Tasks[[#Headers],[Task Name]]:Tasks[[#This Row],[Task Name]])-1)</f>
        <v/>
      </c>
      <c r="B188" s="39" t="n">
        <v>183</v>
      </c>
      <c r="C18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8" s="39"/>
      <c r="E188" s="41"/>
      <c r="F188" s="39"/>
      <c r="G188" s="39"/>
      <c r="H188" s="39"/>
      <c r="I188" s="39"/>
      <c r="J188" s="39"/>
      <c r="K188" s="39"/>
      <c r="L188" s="39"/>
      <c r="M188" s="39"/>
      <c r="N188" s="29"/>
      <c r="O188" s="29"/>
      <c r="P188" s="24" t="str">
        <f aca="false">IF(Tasks[[#This Row],[Task Name]]="","",IF(N(Tasks[[#This Row],[Baseline Start]])&gt;0,Tasks[[#This Row],[Baseline Start]],Tasks[[#This Row],[_CalcStart]]))</f>
        <v/>
      </c>
      <c r="Q188" s="24" t="str">
        <f aca="false">IF(Tasks[[#This Row],[Task Name]]="","",IF(N(Tasks[[#This Row],[Baseline Finish]])&gt;0,Tasks[[#This Row],[Baseline Finish]],Tasks[[#This Row],[_CalcFinish]]))</f>
        <v/>
      </c>
      <c r="R188" s="29"/>
      <c r="S188" s="29"/>
      <c r="T18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8" s="31"/>
      <c r="AA18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8" s="41"/>
      <c r="AD188" s="31"/>
      <c r="AE18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8" s="41"/>
      <c r="AJ188" s="24" t="str">
        <f aca="false">IF(Tasks[[#This Row],[Task Name]]="","",Tasks[[#This Row],[Forecast Start]])</f>
        <v/>
      </c>
      <c r="AK188" s="24" t="str">
        <f aca="false">IF(Tasks[[#This Row],[Task Name]]="","",Tasks[[#This Row],[Forecast Finish]])</f>
        <v/>
      </c>
      <c r="AL18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8" s="43" t="str">
        <f aca="false">IF(Tasks[[#This Row],[Task Name]]="","",Tasks[[#This Row],[Work]])</f>
        <v/>
      </c>
      <c r="AN188" s="44" t="str">
        <f aca="false">IF(Tasks[[#This Row],[Task Name]]="","",Tasks[[#This Row],[Cost]])</f>
        <v/>
      </c>
      <c r="AO188" s="29"/>
      <c r="AP188" s="29"/>
      <c r="AQ188" s="39"/>
      <c r="AR188" s="45"/>
      <c r="AS188" s="46"/>
      <c r="AT188" s="40" t="str">
        <f aca="false">IF(OR(Tasks[[#This Row],[Task Name]]="",Tasks[[#This Row],[Baseline Duration]]=""),"",Tasks[[#This Row],[BL Source Duration]]-N(Tasks[[#This Row],[Baseline Duration]]))</f>
        <v/>
      </c>
      <c r="AU188" s="43" t="str">
        <f aca="false">IF(OR(Tasks[[#This Row],[Task Name]]="",Tasks[[#This Row],[Baseline Work]]=""),"",Tasks[[#This Row],[Work]]-N(Tasks[[#This Row],[Baseline Work]]))</f>
        <v/>
      </c>
      <c r="AV188" s="44" t="str">
        <f aca="false">IF(OR(Tasks[[#This Row],[Task Name]]="",Tasks[[#This Row],[Baseline Cost]]=""),"",Tasks[[#This Row],[Cost]]-N(Tasks[[#This Row],[Baseline Cost]]))</f>
        <v/>
      </c>
      <c r="AW188" s="47" t="str">
        <f aca="false">IF(Tasks[[#This Row],[Task Name]]="","",MAX(1,N(Tasks[[#This Row],[Level]])))</f>
        <v/>
      </c>
      <c r="AX188" s="47" t="n">
        <f aca="false">ROW()-ROW(Tasks[[#Headers],[ID]])</f>
        <v>183</v>
      </c>
      <c r="AY18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8" s="47" t="n">
        <f aca="false">IFERROR(N(INDEX(Tasks[_Level],Tasks[[#This Row],[_Row]]+1)),0)</f>
        <v>0</v>
      </c>
      <c r="BA188" s="48" t="b">
        <f aca="false">AND(Tasks[[#This Row],[Task Name]]&lt;&gt;"",Tasks[[#This Row],[_NextLevel]]&gt;Tasks[[#This Row],[_Level]])</f>
        <v>0</v>
      </c>
      <c r="BB188" s="47" t="n">
        <f aca="false">IF(Tasks[[#This Row],[_IsSummary]],COUNTIF(Tasks[WBS],Tasks[[#This Row],[WBS]]&amp;".*"),0)</f>
        <v>0</v>
      </c>
      <c r="BC188" s="47" t="n">
        <f aca="false">IF(AND(Tasks[[#This Row],[Task Name]]&lt;&gt;"",NOT(Tasks[[#This Row],[_IsSummary]])),1,0)</f>
        <v>0</v>
      </c>
      <c r="BD188" s="47" t="n">
        <f aca="false">IF(N(Tasks[[#This Row],[Pred1 UID]])=0,0,IFERROR(MATCH(Tasks[[#This Row],[Pred1 UID]],Tasks[UID],0),-1))</f>
        <v>0</v>
      </c>
      <c r="BE188" s="47" t="n">
        <f aca="false">IF(N(Tasks[[#This Row],[Pred2 UID]])=0,0,IFERROR(MATCH(Tasks[[#This Row],[Pred2 UID]],Tasks[UID],0),-1))</f>
        <v>0</v>
      </c>
      <c r="BF18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8" s="47" t="n">
        <f aca="false">IF(NOT(Tasks[[#This Row],[_IsLeaf]]=1),0,IF(N(Tasks[[#This Row],[Actual Finish]])&gt;0,1,MIN(1,N(Tasks[[#This Row],[% Complete]]))))</f>
        <v>0</v>
      </c>
      <c r="BK18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8" s="47" t="n">
        <f aca="false">IF(Tasks[[#This Row],[_LeafWork]]=0,0,Tasks[[#This Row],[_LeafWork]]*IFERROR(INDEX(res_Rate,MATCH(Tasks[[#This Row],[Resource]],res_Name,0)),0))</f>
        <v>0</v>
      </c>
      <c r="BM18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8" s="47" t="n">
        <f aca="false">IF(AND(Tasks[[#This Row],[_IsLeaf]]=1,Tasks[[#This Row],[_LeafWork]]&gt;0),NETWORKDAYS.INTL(ProjectStart,Tasks[[#This Row],[_LeafFcstStart]],WorkWeek,Holidays),0)</f>
        <v>0</v>
      </c>
      <c r="BV18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8" s="47" t="n">
        <f aca="false">IF(AND(Tasks[[#This Row],[_IsLeaf]]=1,Tasks[[#This Row],[_LeafWork]]&gt;0),Tasks[[#This Row],[_LeafWork]]/(Tasks[[#This Row],[_FinishWorkday]]-Tasks[[#This Row],[_StartWorkday]]+1),0)</f>
        <v>0</v>
      </c>
      <c r="BX188" s="47" t="n">
        <f aca="false">Tasks[[#This Row],[_WorkPerWorkday]]*(Tasks[[#This Row],[_StartWorkday]]-1)</f>
        <v>-0</v>
      </c>
      <c r="BY188" s="47" t="n">
        <f aca="false">IF(Tasks[[#This Row],[_IsLeaf]]=1,MAX(N(Tasks[[#This Row],[Duration]]),0.1),0)</f>
        <v>0</v>
      </c>
      <c r="BZ188" s="47" t="n">
        <f aca="false">Tasks[[#This Row],[_WeightDur]]*Tasks[[#This Row],[_LeafProgress]]</f>
        <v>0</v>
      </c>
      <c r="CA18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9" customFormat="false" ht="15" hidden="false" customHeight="false" outlineLevel="0" collapsed="false">
      <c r="A189" s="38" t="str">
        <f aca="false">IF(Tasks[[#This Row],[Task Name]]="","",COUNTA(Tasks[[#Headers],[Task Name]]:Tasks[[#This Row],[Task Name]])-1)</f>
        <v/>
      </c>
      <c r="B189" s="39" t="n">
        <v>184</v>
      </c>
      <c r="C18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9" s="39"/>
      <c r="E189" s="41"/>
      <c r="F189" s="39"/>
      <c r="G189" s="39"/>
      <c r="H189" s="39"/>
      <c r="I189" s="39"/>
      <c r="J189" s="39"/>
      <c r="K189" s="39"/>
      <c r="L189" s="39"/>
      <c r="M189" s="39"/>
      <c r="N189" s="29"/>
      <c r="O189" s="29"/>
      <c r="P189" s="24" t="str">
        <f aca="false">IF(Tasks[[#This Row],[Task Name]]="","",IF(N(Tasks[[#This Row],[Baseline Start]])&gt;0,Tasks[[#This Row],[Baseline Start]],Tasks[[#This Row],[_CalcStart]]))</f>
        <v/>
      </c>
      <c r="Q189" s="24" t="str">
        <f aca="false">IF(Tasks[[#This Row],[Task Name]]="","",IF(N(Tasks[[#This Row],[Baseline Finish]])&gt;0,Tasks[[#This Row],[Baseline Finish]],Tasks[[#This Row],[_CalcFinish]]))</f>
        <v/>
      </c>
      <c r="R189" s="29"/>
      <c r="S189" s="29"/>
      <c r="T18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9" s="31"/>
      <c r="AA18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9" s="41"/>
      <c r="AD189" s="31"/>
      <c r="AE18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9" s="41"/>
      <c r="AJ189" s="24" t="str">
        <f aca="false">IF(Tasks[[#This Row],[Task Name]]="","",Tasks[[#This Row],[Forecast Start]])</f>
        <v/>
      </c>
      <c r="AK189" s="24" t="str">
        <f aca="false">IF(Tasks[[#This Row],[Task Name]]="","",Tasks[[#This Row],[Forecast Finish]])</f>
        <v/>
      </c>
      <c r="AL18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9" s="43" t="str">
        <f aca="false">IF(Tasks[[#This Row],[Task Name]]="","",Tasks[[#This Row],[Work]])</f>
        <v/>
      </c>
      <c r="AN189" s="44" t="str">
        <f aca="false">IF(Tasks[[#This Row],[Task Name]]="","",Tasks[[#This Row],[Cost]])</f>
        <v/>
      </c>
      <c r="AO189" s="29"/>
      <c r="AP189" s="29"/>
      <c r="AQ189" s="39"/>
      <c r="AR189" s="45"/>
      <c r="AS189" s="46"/>
      <c r="AT189" s="40" t="str">
        <f aca="false">IF(OR(Tasks[[#This Row],[Task Name]]="",Tasks[[#This Row],[Baseline Duration]]=""),"",Tasks[[#This Row],[BL Source Duration]]-N(Tasks[[#This Row],[Baseline Duration]]))</f>
        <v/>
      </c>
      <c r="AU189" s="43" t="str">
        <f aca="false">IF(OR(Tasks[[#This Row],[Task Name]]="",Tasks[[#This Row],[Baseline Work]]=""),"",Tasks[[#This Row],[Work]]-N(Tasks[[#This Row],[Baseline Work]]))</f>
        <v/>
      </c>
      <c r="AV189" s="44" t="str">
        <f aca="false">IF(OR(Tasks[[#This Row],[Task Name]]="",Tasks[[#This Row],[Baseline Cost]]=""),"",Tasks[[#This Row],[Cost]]-N(Tasks[[#This Row],[Baseline Cost]]))</f>
        <v/>
      </c>
      <c r="AW189" s="47" t="str">
        <f aca="false">IF(Tasks[[#This Row],[Task Name]]="","",MAX(1,N(Tasks[[#This Row],[Level]])))</f>
        <v/>
      </c>
      <c r="AX189" s="47" t="n">
        <f aca="false">ROW()-ROW(Tasks[[#Headers],[ID]])</f>
        <v>184</v>
      </c>
      <c r="AY18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9" s="47" t="n">
        <f aca="false">IFERROR(N(INDEX(Tasks[_Level],Tasks[[#This Row],[_Row]]+1)),0)</f>
        <v>0</v>
      </c>
      <c r="BA189" s="48" t="b">
        <f aca="false">AND(Tasks[[#This Row],[Task Name]]&lt;&gt;"",Tasks[[#This Row],[_NextLevel]]&gt;Tasks[[#This Row],[_Level]])</f>
        <v>0</v>
      </c>
      <c r="BB189" s="47" t="n">
        <f aca="false">IF(Tasks[[#This Row],[_IsSummary]],COUNTIF(Tasks[WBS],Tasks[[#This Row],[WBS]]&amp;".*"),0)</f>
        <v>0</v>
      </c>
      <c r="BC189" s="47" t="n">
        <f aca="false">IF(AND(Tasks[[#This Row],[Task Name]]&lt;&gt;"",NOT(Tasks[[#This Row],[_IsSummary]])),1,0)</f>
        <v>0</v>
      </c>
      <c r="BD189" s="47" t="n">
        <f aca="false">IF(N(Tasks[[#This Row],[Pred1 UID]])=0,0,IFERROR(MATCH(Tasks[[#This Row],[Pred1 UID]],Tasks[UID],0),-1))</f>
        <v>0</v>
      </c>
      <c r="BE189" s="47" t="n">
        <f aca="false">IF(N(Tasks[[#This Row],[Pred2 UID]])=0,0,IFERROR(MATCH(Tasks[[#This Row],[Pred2 UID]],Tasks[UID],0),-1))</f>
        <v>0</v>
      </c>
      <c r="BF18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9" s="47" t="n">
        <f aca="false">IF(NOT(Tasks[[#This Row],[_IsLeaf]]=1),0,IF(N(Tasks[[#This Row],[Actual Finish]])&gt;0,1,MIN(1,N(Tasks[[#This Row],[% Complete]]))))</f>
        <v>0</v>
      </c>
      <c r="BK18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9" s="47" t="n">
        <f aca="false">IF(Tasks[[#This Row],[_LeafWork]]=0,0,Tasks[[#This Row],[_LeafWork]]*IFERROR(INDEX(res_Rate,MATCH(Tasks[[#This Row],[Resource]],res_Name,0)),0))</f>
        <v>0</v>
      </c>
      <c r="BM18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8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8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8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8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8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89" s="47" t="n">
        <f aca="false">IF(AND(Tasks[[#This Row],[_IsLeaf]]=1,Tasks[[#This Row],[_LeafWork]]&gt;0),NETWORKDAYS.INTL(ProjectStart,Tasks[[#This Row],[_LeafFcstStart]],WorkWeek,Holidays),0)</f>
        <v>0</v>
      </c>
      <c r="BV18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9" s="47" t="n">
        <f aca="false">IF(AND(Tasks[[#This Row],[_IsLeaf]]=1,Tasks[[#This Row],[_LeafWork]]&gt;0),Tasks[[#This Row],[_LeafWork]]/(Tasks[[#This Row],[_FinishWorkday]]-Tasks[[#This Row],[_StartWorkday]]+1),0)</f>
        <v>0</v>
      </c>
      <c r="BX189" s="47" t="n">
        <f aca="false">Tasks[[#This Row],[_WorkPerWorkday]]*(Tasks[[#This Row],[_StartWorkday]]-1)</f>
        <v>-0</v>
      </c>
      <c r="BY189" s="47" t="n">
        <f aca="false">IF(Tasks[[#This Row],[_IsLeaf]]=1,MAX(N(Tasks[[#This Row],[Duration]]),0.1),0)</f>
        <v>0</v>
      </c>
      <c r="BZ189" s="47" t="n">
        <f aca="false">Tasks[[#This Row],[_WeightDur]]*Tasks[[#This Row],[_LeafProgress]]</f>
        <v>0</v>
      </c>
      <c r="CA18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0" customFormat="false" ht="15" hidden="false" customHeight="false" outlineLevel="0" collapsed="false">
      <c r="A190" s="38" t="str">
        <f aca="false">IF(Tasks[[#This Row],[Task Name]]="","",COUNTA(Tasks[[#Headers],[Task Name]]:Tasks[[#This Row],[Task Name]])-1)</f>
        <v/>
      </c>
      <c r="B190" s="39" t="n">
        <v>185</v>
      </c>
      <c r="C19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0" s="39"/>
      <c r="E190" s="41"/>
      <c r="F190" s="39"/>
      <c r="G190" s="39"/>
      <c r="H190" s="39"/>
      <c r="I190" s="39"/>
      <c r="J190" s="39"/>
      <c r="K190" s="39"/>
      <c r="L190" s="39"/>
      <c r="M190" s="39"/>
      <c r="N190" s="29"/>
      <c r="O190" s="29"/>
      <c r="P190" s="24" t="str">
        <f aca="false">IF(Tasks[[#This Row],[Task Name]]="","",IF(N(Tasks[[#This Row],[Baseline Start]])&gt;0,Tasks[[#This Row],[Baseline Start]],Tasks[[#This Row],[_CalcStart]]))</f>
        <v/>
      </c>
      <c r="Q190" s="24" t="str">
        <f aca="false">IF(Tasks[[#This Row],[Task Name]]="","",IF(N(Tasks[[#This Row],[Baseline Finish]])&gt;0,Tasks[[#This Row],[Baseline Finish]],Tasks[[#This Row],[_CalcFinish]]))</f>
        <v/>
      </c>
      <c r="R190" s="29"/>
      <c r="S190" s="29"/>
      <c r="T19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0" s="31"/>
      <c r="AA19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0" s="41"/>
      <c r="AD190" s="31"/>
      <c r="AE19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0" s="41"/>
      <c r="AJ190" s="24" t="str">
        <f aca="false">IF(Tasks[[#This Row],[Task Name]]="","",Tasks[[#This Row],[Forecast Start]])</f>
        <v/>
      </c>
      <c r="AK190" s="24" t="str">
        <f aca="false">IF(Tasks[[#This Row],[Task Name]]="","",Tasks[[#This Row],[Forecast Finish]])</f>
        <v/>
      </c>
      <c r="AL19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0" s="43" t="str">
        <f aca="false">IF(Tasks[[#This Row],[Task Name]]="","",Tasks[[#This Row],[Work]])</f>
        <v/>
      </c>
      <c r="AN190" s="44" t="str">
        <f aca="false">IF(Tasks[[#This Row],[Task Name]]="","",Tasks[[#This Row],[Cost]])</f>
        <v/>
      </c>
      <c r="AO190" s="29"/>
      <c r="AP190" s="29"/>
      <c r="AQ190" s="39"/>
      <c r="AR190" s="45"/>
      <c r="AS190" s="46"/>
      <c r="AT190" s="40" t="str">
        <f aca="false">IF(OR(Tasks[[#This Row],[Task Name]]="",Tasks[[#This Row],[Baseline Duration]]=""),"",Tasks[[#This Row],[BL Source Duration]]-N(Tasks[[#This Row],[Baseline Duration]]))</f>
        <v/>
      </c>
      <c r="AU190" s="43" t="str">
        <f aca="false">IF(OR(Tasks[[#This Row],[Task Name]]="",Tasks[[#This Row],[Baseline Work]]=""),"",Tasks[[#This Row],[Work]]-N(Tasks[[#This Row],[Baseline Work]]))</f>
        <v/>
      </c>
      <c r="AV190" s="44" t="str">
        <f aca="false">IF(OR(Tasks[[#This Row],[Task Name]]="",Tasks[[#This Row],[Baseline Cost]]=""),"",Tasks[[#This Row],[Cost]]-N(Tasks[[#This Row],[Baseline Cost]]))</f>
        <v/>
      </c>
      <c r="AW190" s="47" t="str">
        <f aca="false">IF(Tasks[[#This Row],[Task Name]]="","",MAX(1,N(Tasks[[#This Row],[Level]])))</f>
        <v/>
      </c>
      <c r="AX190" s="47" t="n">
        <f aca="false">ROW()-ROW(Tasks[[#Headers],[ID]])</f>
        <v>185</v>
      </c>
      <c r="AY19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0" s="47" t="n">
        <f aca="false">IFERROR(N(INDEX(Tasks[_Level],Tasks[[#This Row],[_Row]]+1)),0)</f>
        <v>0</v>
      </c>
      <c r="BA190" s="48" t="b">
        <f aca="false">AND(Tasks[[#This Row],[Task Name]]&lt;&gt;"",Tasks[[#This Row],[_NextLevel]]&gt;Tasks[[#This Row],[_Level]])</f>
        <v>0</v>
      </c>
      <c r="BB190" s="47" t="n">
        <f aca="false">IF(Tasks[[#This Row],[_IsSummary]],COUNTIF(Tasks[WBS],Tasks[[#This Row],[WBS]]&amp;".*"),0)</f>
        <v>0</v>
      </c>
      <c r="BC190" s="47" t="n">
        <f aca="false">IF(AND(Tasks[[#This Row],[Task Name]]&lt;&gt;"",NOT(Tasks[[#This Row],[_IsSummary]])),1,0)</f>
        <v>0</v>
      </c>
      <c r="BD190" s="47" t="n">
        <f aca="false">IF(N(Tasks[[#This Row],[Pred1 UID]])=0,0,IFERROR(MATCH(Tasks[[#This Row],[Pred1 UID]],Tasks[UID],0),-1))</f>
        <v>0</v>
      </c>
      <c r="BE190" s="47" t="n">
        <f aca="false">IF(N(Tasks[[#This Row],[Pred2 UID]])=0,0,IFERROR(MATCH(Tasks[[#This Row],[Pred2 UID]],Tasks[UID],0),-1))</f>
        <v>0</v>
      </c>
      <c r="BF19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0" s="47" t="n">
        <f aca="false">IF(NOT(Tasks[[#This Row],[_IsLeaf]]=1),0,IF(N(Tasks[[#This Row],[Actual Finish]])&gt;0,1,MIN(1,N(Tasks[[#This Row],[% Complete]]))))</f>
        <v>0</v>
      </c>
      <c r="BK19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0" s="47" t="n">
        <f aca="false">IF(Tasks[[#This Row],[_LeafWork]]=0,0,Tasks[[#This Row],[_LeafWork]]*IFERROR(INDEX(res_Rate,MATCH(Tasks[[#This Row],[Resource]],res_Name,0)),0))</f>
        <v>0</v>
      </c>
      <c r="BM19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0" s="47" t="n">
        <f aca="false">IF(AND(Tasks[[#This Row],[_IsLeaf]]=1,Tasks[[#This Row],[_LeafWork]]&gt;0),NETWORKDAYS.INTL(ProjectStart,Tasks[[#This Row],[_LeafFcstStart]],WorkWeek,Holidays),0)</f>
        <v>0</v>
      </c>
      <c r="BV19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0" s="47" t="n">
        <f aca="false">IF(AND(Tasks[[#This Row],[_IsLeaf]]=1,Tasks[[#This Row],[_LeafWork]]&gt;0),Tasks[[#This Row],[_LeafWork]]/(Tasks[[#This Row],[_FinishWorkday]]-Tasks[[#This Row],[_StartWorkday]]+1),0)</f>
        <v>0</v>
      </c>
      <c r="BX190" s="47" t="n">
        <f aca="false">Tasks[[#This Row],[_WorkPerWorkday]]*(Tasks[[#This Row],[_StartWorkday]]-1)</f>
        <v>-0</v>
      </c>
      <c r="BY190" s="47" t="n">
        <f aca="false">IF(Tasks[[#This Row],[_IsLeaf]]=1,MAX(N(Tasks[[#This Row],[Duration]]),0.1),0)</f>
        <v>0</v>
      </c>
      <c r="BZ190" s="47" t="n">
        <f aca="false">Tasks[[#This Row],[_WeightDur]]*Tasks[[#This Row],[_LeafProgress]]</f>
        <v>0</v>
      </c>
      <c r="CA19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1" customFormat="false" ht="15" hidden="false" customHeight="false" outlineLevel="0" collapsed="false">
      <c r="A191" s="38" t="str">
        <f aca="false">IF(Tasks[[#This Row],[Task Name]]="","",COUNTA(Tasks[[#Headers],[Task Name]]:Tasks[[#This Row],[Task Name]])-1)</f>
        <v/>
      </c>
      <c r="B191" s="39" t="n">
        <v>186</v>
      </c>
      <c r="C19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1" s="39"/>
      <c r="E191" s="41"/>
      <c r="F191" s="39"/>
      <c r="G191" s="39"/>
      <c r="H191" s="39"/>
      <c r="I191" s="39"/>
      <c r="J191" s="39"/>
      <c r="K191" s="39"/>
      <c r="L191" s="39"/>
      <c r="M191" s="39"/>
      <c r="N191" s="29"/>
      <c r="O191" s="29"/>
      <c r="P191" s="24" t="str">
        <f aca="false">IF(Tasks[[#This Row],[Task Name]]="","",IF(N(Tasks[[#This Row],[Baseline Start]])&gt;0,Tasks[[#This Row],[Baseline Start]],Tasks[[#This Row],[_CalcStart]]))</f>
        <v/>
      </c>
      <c r="Q191" s="24" t="str">
        <f aca="false">IF(Tasks[[#This Row],[Task Name]]="","",IF(N(Tasks[[#This Row],[Baseline Finish]])&gt;0,Tasks[[#This Row],[Baseline Finish]],Tasks[[#This Row],[_CalcFinish]]))</f>
        <v/>
      </c>
      <c r="R191" s="29"/>
      <c r="S191" s="29"/>
      <c r="T19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1" s="31"/>
      <c r="AA19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1" s="41"/>
      <c r="AD191" s="31"/>
      <c r="AE19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1" s="41"/>
      <c r="AJ191" s="24" t="str">
        <f aca="false">IF(Tasks[[#This Row],[Task Name]]="","",Tasks[[#This Row],[Forecast Start]])</f>
        <v/>
      </c>
      <c r="AK191" s="24" t="str">
        <f aca="false">IF(Tasks[[#This Row],[Task Name]]="","",Tasks[[#This Row],[Forecast Finish]])</f>
        <v/>
      </c>
      <c r="AL19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1" s="43" t="str">
        <f aca="false">IF(Tasks[[#This Row],[Task Name]]="","",Tasks[[#This Row],[Work]])</f>
        <v/>
      </c>
      <c r="AN191" s="44" t="str">
        <f aca="false">IF(Tasks[[#This Row],[Task Name]]="","",Tasks[[#This Row],[Cost]])</f>
        <v/>
      </c>
      <c r="AO191" s="29"/>
      <c r="AP191" s="29"/>
      <c r="AQ191" s="39"/>
      <c r="AR191" s="45"/>
      <c r="AS191" s="46"/>
      <c r="AT191" s="40" t="str">
        <f aca="false">IF(OR(Tasks[[#This Row],[Task Name]]="",Tasks[[#This Row],[Baseline Duration]]=""),"",Tasks[[#This Row],[BL Source Duration]]-N(Tasks[[#This Row],[Baseline Duration]]))</f>
        <v/>
      </c>
      <c r="AU191" s="43" t="str">
        <f aca="false">IF(OR(Tasks[[#This Row],[Task Name]]="",Tasks[[#This Row],[Baseline Work]]=""),"",Tasks[[#This Row],[Work]]-N(Tasks[[#This Row],[Baseline Work]]))</f>
        <v/>
      </c>
      <c r="AV191" s="44" t="str">
        <f aca="false">IF(OR(Tasks[[#This Row],[Task Name]]="",Tasks[[#This Row],[Baseline Cost]]=""),"",Tasks[[#This Row],[Cost]]-N(Tasks[[#This Row],[Baseline Cost]]))</f>
        <v/>
      </c>
      <c r="AW191" s="47" t="str">
        <f aca="false">IF(Tasks[[#This Row],[Task Name]]="","",MAX(1,N(Tasks[[#This Row],[Level]])))</f>
        <v/>
      </c>
      <c r="AX191" s="47" t="n">
        <f aca="false">ROW()-ROW(Tasks[[#Headers],[ID]])</f>
        <v>186</v>
      </c>
      <c r="AY19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1" s="47" t="n">
        <f aca="false">IFERROR(N(INDEX(Tasks[_Level],Tasks[[#This Row],[_Row]]+1)),0)</f>
        <v>0</v>
      </c>
      <c r="BA191" s="48" t="b">
        <f aca="false">AND(Tasks[[#This Row],[Task Name]]&lt;&gt;"",Tasks[[#This Row],[_NextLevel]]&gt;Tasks[[#This Row],[_Level]])</f>
        <v>0</v>
      </c>
      <c r="BB191" s="47" t="n">
        <f aca="false">IF(Tasks[[#This Row],[_IsSummary]],COUNTIF(Tasks[WBS],Tasks[[#This Row],[WBS]]&amp;".*"),0)</f>
        <v>0</v>
      </c>
      <c r="BC191" s="47" t="n">
        <f aca="false">IF(AND(Tasks[[#This Row],[Task Name]]&lt;&gt;"",NOT(Tasks[[#This Row],[_IsSummary]])),1,0)</f>
        <v>0</v>
      </c>
      <c r="BD191" s="47" t="n">
        <f aca="false">IF(N(Tasks[[#This Row],[Pred1 UID]])=0,0,IFERROR(MATCH(Tasks[[#This Row],[Pred1 UID]],Tasks[UID],0),-1))</f>
        <v>0</v>
      </c>
      <c r="BE191" s="47" t="n">
        <f aca="false">IF(N(Tasks[[#This Row],[Pred2 UID]])=0,0,IFERROR(MATCH(Tasks[[#This Row],[Pred2 UID]],Tasks[UID],0),-1))</f>
        <v>0</v>
      </c>
      <c r="BF19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1" s="47" t="n">
        <f aca="false">IF(NOT(Tasks[[#This Row],[_IsLeaf]]=1),0,IF(N(Tasks[[#This Row],[Actual Finish]])&gt;0,1,MIN(1,N(Tasks[[#This Row],[% Complete]]))))</f>
        <v>0</v>
      </c>
      <c r="BK19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1" s="47" t="n">
        <f aca="false">IF(Tasks[[#This Row],[_LeafWork]]=0,0,Tasks[[#This Row],[_LeafWork]]*IFERROR(INDEX(res_Rate,MATCH(Tasks[[#This Row],[Resource]],res_Name,0)),0))</f>
        <v>0</v>
      </c>
      <c r="BM19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1" s="47" t="n">
        <f aca="false">IF(AND(Tasks[[#This Row],[_IsLeaf]]=1,Tasks[[#This Row],[_LeafWork]]&gt;0),NETWORKDAYS.INTL(ProjectStart,Tasks[[#This Row],[_LeafFcstStart]],WorkWeek,Holidays),0)</f>
        <v>0</v>
      </c>
      <c r="BV19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1" s="47" t="n">
        <f aca="false">IF(AND(Tasks[[#This Row],[_IsLeaf]]=1,Tasks[[#This Row],[_LeafWork]]&gt;0),Tasks[[#This Row],[_LeafWork]]/(Tasks[[#This Row],[_FinishWorkday]]-Tasks[[#This Row],[_StartWorkday]]+1),0)</f>
        <v>0</v>
      </c>
      <c r="BX191" s="47" t="n">
        <f aca="false">Tasks[[#This Row],[_WorkPerWorkday]]*(Tasks[[#This Row],[_StartWorkday]]-1)</f>
        <v>-0</v>
      </c>
      <c r="BY191" s="47" t="n">
        <f aca="false">IF(Tasks[[#This Row],[_IsLeaf]]=1,MAX(N(Tasks[[#This Row],[Duration]]),0.1),0)</f>
        <v>0</v>
      </c>
      <c r="BZ191" s="47" t="n">
        <f aca="false">Tasks[[#This Row],[_WeightDur]]*Tasks[[#This Row],[_LeafProgress]]</f>
        <v>0</v>
      </c>
      <c r="CA19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2" customFormat="false" ht="15" hidden="false" customHeight="false" outlineLevel="0" collapsed="false">
      <c r="A192" s="38" t="str">
        <f aca="false">IF(Tasks[[#This Row],[Task Name]]="","",COUNTA(Tasks[[#Headers],[Task Name]]:Tasks[[#This Row],[Task Name]])-1)</f>
        <v/>
      </c>
      <c r="B192" s="39" t="n">
        <v>187</v>
      </c>
      <c r="C19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2" s="39"/>
      <c r="E192" s="41"/>
      <c r="F192" s="39"/>
      <c r="G192" s="39"/>
      <c r="H192" s="39"/>
      <c r="I192" s="39"/>
      <c r="J192" s="39"/>
      <c r="K192" s="39"/>
      <c r="L192" s="39"/>
      <c r="M192" s="39"/>
      <c r="N192" s="29"/>
      <c r="O192" s="29"/>
      <c r="P192" s="24" t="str">
        <f aca="false">IF(Tasks[[#This Row],[Task Name]]="","",IF(N(Tasks[[#This Row],[Baseline Start]])&gt;0,Tasks[[#This Row],[Baseline Start]],Tasks[[#This Row],[_CalcStart]]))</f>
        <v/>
      </c>
      <c r="Q192" s="24" t="str">
        <f aca="false">IF(Tasks[[#This Row],[Task Name]]="","",IF(N(Tasks[[#This Row],[Baseline Finish]])&gt;0,Tasks[[#This Row],[Baseline Finish]],Tasks[[#This Row],[_CalcFinish]]))</f>
        <v/>
      </c>
      <c r="R192" s="29"/>
      <c r="S192" s="29"/>
      <c r="T19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2" s="31"/>
      <c r="AA19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2" s="41"/>
      <c r="AD192" s="31"/>
      <c r="AE19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2" s="41"/>
      <c r="AJ192" s="24" t="str">
        <f aca="false">IF(Tasks[[#This Row],[Task Name]]="","",Tasks[[#This Row],[Forecast Start]])</f>
        <v/>
      </c>
      <c r="AK192" s="24" t="str">
        <f aca="false">IF(Tasks[[#This Row],[Task Name]]="","",Tasks[[#This Row],[Forecast Finish]])</f>
        <v/>
      </c>
      <c r="AL19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2" s="43" t="str">
        <f aca="false">IF(Tasks[[#This Row],[Task Name]]="","",Tasks[[#This Row],[Work]])</f>
        <v/>
      </c>
      <c r="AN192" s="44" t="str">
        <f aca="false">IF(Tasks[[#This Row],[Task Name]]="","",Tasks[[#This Row],[Cost]])</f>
        <v/>
      </c>
      <c r="AO192" s="29"/>
      <c r="AP192" s="29"/>
      <c r="AQ192" s="39"/>
      <c r="AR192" s="45"/>
      <c r="AS192" s="46"/>
      <c r="AT192" s="40" t="str">
        <f aca="false">IF(OR(Tasks[[#This Row],[Task Name]]="",Tasks[[#This Row],[Baseline Duration]]=""),"",Tasks[[#This Row],[BL Source Duration]]-N(Tasks[[#This Row],[Baseline Duration]]))</f>
        <v/>
      </c>
      <c r="AU192" s="43" t="str">
        <f aca="false">IF(OR(Tasks[[#This Row],[Task Name]]="",Tasks[[#This Row],[Baseline Work]]=""),"",Tasks[[#This Row],[Work]]-N(Tasks[[#This Row],[Baseline Work]]))</f>
        <v/>
      </c>
      <c r="AV192" s="44" t="str">
        <f aca="false">IF(OR(Tasks[[#This Row],[Task Name]]="",Tasks[[#This Row],[Baseline Cost]]=""),"",Tasks[[#This Row],[Cost]]-N(Tasks[[#This Row],[Baseline Cost]]))</f>
        <v/>
      </c>
      <c r="AW192" s="47" t="str">
        <f aca="false">IF(Tasks[[#This Row],[Task Name]]="","",MAX(1,N(Tasks[[#This Row],[Level]])))</f>
        <v/>
      </c>
      <c r="AX192" s="47" t="n">
        <f aca="false">ROW()-ROW(Tasks[[#Headers],[ID]])</f>
        <v>187</v>
      </c>
      <c r="AY19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2" s="47" t="n">
        <f aca="false">IFERROR(N(INDEX(Tasks[_Level],Tasks[[#This Row],[_Row]]+1)),0)</f>
        <v>0</v>
      </c>
      <c r="BA192" s="48" t="b">
        <f aca="false">AND(Tasks[[#This Row],[Task Name]]&lt;&gt;"",Tasks[[#This Row],[_NextLevel]]&gt;Tasks[[#This Row],[_Level]])</f>
        <v>0</v>
      </c>
      <c r="BB192" s="47" t="n">
        <f aca="false">IF(Tasks[[#This Row],[_IsSummary]],COUNTIF(Tasks[WBS],Tasks[[#This Row],[WBS]]&amp;".*"),0)</f>
        <v>0</v>
      </c>
      <c r="BC192" s="47" t="n">
        <f aca="false">IF(AND(Tasks[[#This Row],[Task Name]]&lt;&gt;"",NOT(Tasks[[#This Row],[_IsSummary]])),1,0)</f>
        <v>0</v>
      </c>
      <c r="BD192" s="47" t="n">
        <f aca="false">IF(N(Tasks[[#This Row],[Pred1 UID]])=0,0,IFERROR(MATCH(Tasks[[#This Row],[Pred1 UID]],Tasks[UID],0),-1))</f>
        <v>0</v>
      </c>
      <c r="BE192" s="47" t="n">
        <f aca="false">IF(N(Tasks[[#This Row],[Pred2 UID]])=0,0,IFERROR(MATCH(Tasks[[#This Row],[Pred2 UID]],Tasks[UID],0),-1))</f>
        <v>0</v>
      </c>
      <c r="BF19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2" s="47" t="n">
        <f aca="false">IF(NOT(Tasks[[#This Row],[_IsLeaf]]=1),0,IF(N(Tasks[[#This Row],[Actual Finish]])&gt;0,1,MIN(1,N(Tasks[[#This Row],[% Complete]]))))</f>
        <v>0</v>
      </c>
      <c r="BK19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2" s="47" t="n">
        <f aca="false">IF(Tasks[[#This Row],[_LeafWork]]=0,0,Tasks[[#This Row],[_LeafWork]]*IFERROR(INDEX(res_Rate,MATCH(Tasks[[#This Row],[Resource]],res_Name,0)),0))</f>
        <v>0</v>
      </c>
      <c r="BM19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2" s="47" t="n">
        <f aca="false">IF(AND(Tasks[[#This Row],[_IsLeaf]]=1,Tasks[[#This Row],[_LeafWork]]&gt;0),NETWORKDAYS.INTL(ProjectStart,Tasks[[#This Row],[_LeafFcstStart]],WorkWeek,Holidays),0)</f>
        <v>0</v>
      </c>
      <c r="BV19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2" s="47" t="n">
        <f aca="false">IF(AND(Tasks[[#This Row],[_IsLeaf]]=1,Tasks[[#This Row],[_LeafWork]]&gt;0),Tasks[[#This Row],[_LeafWork]]/(Tasks[[#This Row],[_FinishWorkday]]-Tasks[[#This Row],[_StartWorkday]]+1),0)</f>
        <v>0</v>
      </c>
      <c r="BX192" s="47" t="n">
        <f aca="false">Tasks[[#This Row],[_WorkPerWorkday]]*(Tasks[[#This Row],[_StartWorkday]]-1)</f>
        <v>-0</v>
      </c>
      <c r="BY192" s="47" t="n">
        <f aca="false">IF(Tasks[[#This Row],[_IsLeaf]]=1,MAX(N(Tasks[[#This Row],[Duration]]),0.1),0)</f>
        <v>0</v>
      </c>
      <c r="BZ192" s="47" t="n">
        <f aca="false">Tasks[[#This Row],[_WeightDur]]*Tasks[[#This Row],[_LeafProgress]]</f>
        <v>0</v>
      </c>
      <c r="CA19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3" customFormat="false" ht="15" hidden="false" customHeight="false" outlineLevel="0" collapsed="false">
      <c r="A193" s="38" t="str">
        <f aca="false">IF(Tasks[[#This Row],[Task Name]]="","",COUNTA(Tasks[[#Headers],[Task Name]]:Tasks[[#This Row],[Task Name]])-1)</f>
        <v/>
      </c>
      <c r="B193" s="39" t="n">
        <v>188</v>
      </c>
      <c r="C19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3" s="39"/>
      <c r="E193" s="41"/>
      <c r="F193" s="39"/>
      <c r="G193" s="39"/>
      <c r="H193" s="39"/>
      <c r="I193" s="39"/>
      <c r="J193" s="39"/>
      <c r="K193" s="39"/>
      <c r="L193" s="39"/>
      <c r="M193" s="39"/>
      <c r="N193" s="29"/>
      <c r="O193" s="29"/>
      <c r="P193" s="24" t="str">
        <f aca="false">IF(Tasks[[#This Row],[Task Name]]="","",IF(N(Tasks[[#This Row],[Baseline Start]])&gt;0,Tasks[[#This Row],[Baseline Start]],Tasks[[#This Row],[_CalcStart]]))</f>
        <v/>
      </c>
      <c r="Q193" s="24" t="str">
        <f aca="false">IF(Tasks[[#This Row],[Task Name]]="","",IF(N(Tasks[[#This Row],[Baseline Finish]])&gt;0,Tasks[[#This Row],[Baseline Finish]],Tasks[[#This Row],[_CalcFinish]]))</f>
        <v/>
      </c>
      <c r="R193" s="29"/>
      <c r="S193" s="29"/>
      <c r="T19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3" s="31"/>
      <c r="AA19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3" s="41"/>
      <c r="AD193" s="31"/>
      <c r="AE19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3" s="41"/>
      <c r="AJ193" s="24" t="str">
        <f aca="false">IF(Tasks[[#This Row],[Task Name]]="","",Tasks[[#This Row],[Forecast Start]])</f>
        <v/>
      </c>
      <c r="AK193" s="24" t="str">
        <f aca="false">IF(Tasks[[#This Row],[Task Name]]="","",Tasks[[#This Row],[Forecast Finish]])</f>
        <v/>
      </c>
      <c r="AL19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3" s="43" t="str">
        <f aca="false">IF(Tasks[[#This Row],[Task Name]]="","",Tasks[[#This Row],[Work]])</f>
        <v/>
      </c>
      <c r="AN193" s="44" t="str">
        <f aca="false">IF(Tasks[[#This Row],[Task Name]]="","",Tasks[[#This Row],[Cost]])</f>
        <v/>
      </c>
      <c r="AO193" s="29"/>
      <c r="AP193" s="29"/>
      <c r="AQ193" s="39"/>
      <c r="AR193" s="45"/>
      <c r="AS193" s="46"/>
      <c r="AT193" s="40" t="str">
        <f aca="false">IF(OR(Tasks[[#This Row],[Task Name]]="",Tasks[[#This Row],[Baseline Duration]]=""),"",Tasks[[#This Row],[BL Source Duration]]-N(Tasks[[#This Row],[Baseline Duration]]))</f>
        <v/>
      </c>
      <c r="AU193" s="43" t="str">
        <f aca="false">IF(OR(Tasks[[#This Row],[Task Name]]="",Tasks[[#This Row],[Baseline Work]]=""),"",Tasks[[#This Row],[Work]]-N(Tasks[[#This Row],[Baseline Work]]))</f>
        <v/>
      </c>
      <c r="AV193" s="44" t="str">
        <f aca="false">IF(OR(Tasks[[#This Row],[Task Name]]="",Tasks[[#This Row],[Baseline Cost]]=""),"",Tasks[[#This Row],[Cost]]-N(Tasks[[#This Row],[Baseline Cost]]))</f>
        <v/>
      </c>
      <c r="AW193" s="47" t="str">
        <f aca="false">IF(Tasks[[#This Row],[Task Name]]="","",MAX(1,N(Tasks[[#This Row],[Level]])))</f>
        <v/>
      </c>
      <c r="AX193" s="47" t="n">
        <f aca="false">ROW()-ROW(Tasks[[#Headers],[ID]])</f>
        <v>188</v>
      </c>
      <c r="AY19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3" s="47" t="n">
        <f aca="false">IFERROR(N(INDEX(Tasks[_Level],Tasks[[#This Row],[_Row]]+1)),0)</f>
        <v>0</v>
      </c>
      <c r="BA193" s="48" t="b">
        <f aca="false">AND(Tasks[[#This Row],[Task Name]]&lt;&gt;"",Tasks[[#This Row],[_NextLevel]]&gt;Tasks[[#This Row],[_Level]])</f>
        <v>0</v>
      </c>
      <c r="BB193" s="47" t="n">
        <f aca="false">IF(Tasks[[#This Row],[_IsSummary]],COUNTIF(Tasks[WBS],Tasks[[#This Row],[WBS]]&amp;".*"),0)</f>
        <v>0</v>
      </c>
      <c r="BC193" s="47" t="n">
        <f aca="false">IF(AND(Tasks[[#This Row],[Task Name]]&lt;&gt;"",NOT(Tasks[[#This Row],[_IsSummary]])),1,0)</f>
        <v>0</v>
      </c>
      <c r="BD193" s="47" t="n">
        <f aca="false">IF(N(Tasks[[#This Row],[Pred1 UID]])=0,0,IFERROR(MATCH(Tasks[[#This Row],[Pred1 UID]],Tasks[UID],0),-1))</f>
        <v>0</v>
      </c>
      <c r="BE193" s="47" t="n">
        <f aca="false">IF(N(Tasks[[#This Row],[Pred2 UID]])=0,0,IFERROR(MATCH(Tasks[[#This Row],[Pred2 UID]],Tasks[UID],0),-1))</f>
        <v>0</v>
      </c>
      <c r="BF19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3" s="47" t="n">
        <f aca="false">IF(NOT(Tasks[[#This Row],[_IsLeaf]]=1),0,IF(N(Tasks[[#This Row],[Actual Finish]])&gt;0,1,MIN(1,N(Tasks[[#This Row],[% Complete]]))))</f>
        <v>0</v>
      </c>
      <c r="BK19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3" s="47" t="n">
        <f aca="false">IF(Tasks[[#This Row],[_LeafWork]]=0,0,Tasks[[#This Row],[_LeafWork]]*IFERROR(INDEX(res_Rate,MATCH(Tasks[[#This Row],[Resource]],res_Name,0)),0))</f>
        <v>0</v>
      </c>
      <c r="BM19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3" s="47" t="n">
        <f aca="false">IF(AND(Tasks[[#This Row],[_IsLeaf]]=1,Tasks[[#This Row],[_LeafWork]]&gt;0),NETWORKDAYS.INTL(ProjectStart,Tasks[[#This Row],[_LeafFcstStart]],WorkWeek,Holidays),0)</f>
        <v>0</v>
      </c>
      <c r="BV19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3" s="47" t="n">
        <f aca="false">IF(AND(Tasks[[#This Row],[_IsLeaf]]=1,Tasks[[#This Row],[_LeafWork]]&gt;0),Tasks[[#This Row],[_LeafWork]]/(Tasks[[#This Row],[_FinishWorkday]]-Tasks[[#This Row],[_StartWorkday]]+1),0)</f>
        <v>0</v>
      </c>
      <c r="BX193" s="47" t="n">
        <f aca="false">Tasks[[#This Row],[_WorkPerWorkday]]*(Tasks[[#This Row],[_StartWorkday]]-1)</f>
        <v>-0</v>
      </c>
      <c r="BY193" s="47" t="n">
        <f aca="false">IF(Tasks[[#This Row],[_IsLeaf]]=1,MAX(N(Tasks[[#This Row],[Duration]]),0.1),0)</f>
        <v>0</v>
      </c>
      <c r="BZ193" s="47" t="n">
        <f aca="false">Tasks[[#This Row],[_WeightDur]]*Tasks[[#This Row],[_LeafProgress]]</f>
        <v>0</v>
      </c>
      <c r="CA19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4" customFormat="false" ht="15" hidden="false" customHeight="false" outlineLevel="0" collapsed="false">
      <c r="A194" s="38" t="str">
        <f aca="false">IF(Tasks[[#This Row],[Task Name]]="","",COUNTA(Tasks[[#Headers],[Task Name]]:Tasks[[#This Row],[Task Name]])-1)</f>
        <v/>
      </c>
      <c r="B194" s="39" t="n">
        <v>189</v>
      </c>
      <c r="C19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4" s="39"/>
      <c r="E194" s="41"/>
      <c r="F194" s="39"/>
      <c r="G194" s="39"/>
      <c r="H194" s="39"/>
      <c r="I194" s="39"/>
      <c r="J194" s="39"/>
      <c r="K194" s="39"/>
      <c r="L194" s="39"/>
      <c r="M194" s="39"/>
      <c r="N194" s="29"/>
      <c r="O194" s="29"/>
      <c r="P194" s="24" t="str">
        <f aca="false">IF(Tasks[[#This Row],[Task Name]]="","",IF(N(Tasks[[#This Row],[Baseline Start]])&gt;0,Tasks[[#This Row],[Baseline Start]],Tasks[[#This Row],[_CalcStart]]))</f>
        <v/>
      </c>
      <c r="Q194" s="24" t="str">
        <f aca="false">IF(Tasks[[#This Row],[Task Name]]="","",IF(N(Tasks[[#This Row],[Baseline Finish]])&gt;0,Tasks[[#This Row],[Baseline Finish]],Tasks[[#This Row],[_CalcFinish]]))</f>
        <v/>
      </c>
      <c r="R194" s="29"/>
      <c r="S194" s="29"/>
      <c r="T19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4" s="31"/>
      <c r="AA19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4" s="41"/>
      <c r="AD194" s="31"/>
      <c r="AE19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4" s="41"/>
      <c r="AJ194" s="24" t="str">
        <f aca="false">IF(Tasks[[#This Row],[Task Name]]="","",Tasks[[#This Row],[Forecast Start]])</f>
        <v/>
      </c>
      <c r="AK194" s="24" t="str">
        <f aca="false">IF(Tasks[[#This Row],[Task Name]]="","",Tasks[[#This Row],[Forecast Finish]])</f>
        <v/>
      </c>
      <c r="AL19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4" s="43" t="str">
        <f aca="false">IF(Tasks[[#This Row],[Task Name]]="","",Tasks[[#This Row],[Work]])</f>
        <v/>
      </c>
      <c r="AN194" s="44" t="str">
        <f aca="false">IF(Tasks[[#This Row],[Task Name]]="","",Tasks[[#This Row],[Cost]])</f>
        <v/>
      </c>
      <c r="AO194" s="29"/>
      <c r="AP194" s="29"/>
      <c r="AQ194" s="39"/>
      <c r="AR194" s="45"/>
      <c r="AS194" s="46"/>
      <c r="AT194" s="40" t="str">
        <f aca="false">IF(OR(Tasks[[#This Row],[Task Name]]="",Tasks[[#This Row],[Baseline Duration]]=""),"",Tasks[[#This Row],[BL Source Duration]]-N(Tasks[[#This Row],[Baseline Duration]]))</f>
        <v/>
      </c>
      <c r="AU194" s="43" t="str">
        <f aca="false">IF(OR(Tasks[[#This Row],[Task Name]]="",Tasks[[#This Row],[Baseline Work]]=""),"",Tasks[[#This Row],[Work]]-N(Tasks[[#This Row],[Baseline Work]]))</f>
        <v/>
      </c>
      <c r="AV194" s="44" t="str">
        <f aca="false">IF(OR(Tasks[[#This Row],[Task Name]]="",Tasks[[#This Row],[Baseline Cost]]=""),"",Tasks[[#This Row],[Cost]]-N(Tasks[[#This Row],[Baseline Cost]]))</f>
        <v/>
      </c>
      <c r="AW194" s="47" t="str">
        <f aca="false">IF(Tasks[[#This Row],[Task Name]]="","",MAX(1,N(Tasks[[#This Row],[Level]])))</f>
        <v/>
      </c>
      <c r="AX194" s="47" t="n">
        <f aca="false">ROW()-ROW(Tasks[[#Headers],[ID]])</f>
        <v>189</v>
      </c>
      <c r="AY19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4" s="47" t="n">
        <f aca="false">IFERROR(N(INDEX(Tasks[_Level],Tasks[[#This Row],[_Row]]+1)),0)</f>
        <v>0</v>
      </c>
      <c r="BA194" s="48" t="b">
        <f aca="false">AND(Tasks[[#This Row],[Task Name]]&lt;&gt;"",Tasks[[#This Row],[_NextLevel]]&gt;Tasks[[#This Row],[_Level]])</f>
        <v>0</v>
      </c>
      <c r="BB194" s="47" t="n">
        <f aca="false">IF(Tasks[[#This Row],[_IsSummary]],COUNTIF(Tasks[WBS],Tasks[[#This Row],[WBS]]&amp;".*"),0)</f>
        <v>0</v>
      </c>
      <c r="BC194" s="47" t="n">
        <f aca="false">IF(AND(Tasks[[#This Row],[Task Name]]&lt;&gt;"",NOT(Tasks[[#This Row],[_IsSummary]])),1,0)</f>
        <v>0</v>
      </c>
      <c r="BD194" s="47" t="n">
        <f aca="false">IF(N(Tasks[[#This Row],[Pred1 UID]])=0,0,IFERROR(MATCH(Tasks[[#This Row],[Pred1 UID]],Tasks[UID],0),-1))</f>
        <v>0</v>
      </c>
      <c r="BE194" s="47" t="n">
        <f aca="false">IF(N(Tasks[[#This Row],[Pred2 UID]])=0,0,IFERROR(MATCH(Tasks[[#This Row],[Pred2 UID]],Tasks[UID],0),-1))</f>
        <v>0</v>
      </c>
      <c r="BF19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4" s="47" t="n">
        <f aca="false">IF(NOT(Tasks[[#This Row],[_IsLeaf]]=1),0,IF(N(Tasks[[#This Row],[Actual Finish]])&gt;0,1,MIN(1,N(Tasks[[#This Row],[% Complete]]))))</f>
        <v>0</v>
      </c>
      <c r="BK19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4" s="47" t="n">
        <f aca="false">IF(Tasks[[#This Row],[_LeafWork]]=0,0,Tasks[[#This Row],[_LeafWork]]*IFERROR(INDEX(res_Rate,MATCH(Tasks[[#This Row],[Resource]],res_Name,0)),0))</f>
        <v>0</v>
      </c>
      <c r="BM19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4" s="47" t="n">
        <f aca="false">IF(AND(Tasks[[#This Row],[_IsLeaf]]=1,Tasks[[#This Row],[_LeafWork]]&gt;0),NETWORKDAYS.INTL(ProjectStart,Tasks[[#This Row],[_LeafFcstStart]],WorkWeek,Holidays),0)</f>
        <v>0</v>
      </c>
      <c r="BV19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4" s="47" t="n">
        <f aca="false">IF(AND(Tasks[[#This Row],[_IsLeaf]]=1,Tasks[[#This Row],[_LeafWork]]&gt;0),Tasks[[#This Row],[_LeafWork]]/(Tasks[[#This Row],[_FinishWorkday]]-Tasks[[#This Row],[_StartWorkday]]+1),0)</f>
        <v>0</v>
      </c>
      <c r="BX194" s="47" t="n">
        <f aca="false">Tasks[[#This Row],[_WorkPerWorkday]]*(Tasks[[#This Row],[_StartWorkday]]-1)</f>
        <v>-0</v>
      </c>
      <c r="BY194" s="47" t="n">
        <f aca="false">IF(Tasks[[#This Row],[_IsLeaf]]=1,MAX(N(Tasks[[#This Row],[Duration]]),0.1),0)</f>
        <v>0</v>
      </c>
      <c r="BZ194" s="47" t="n">
        <f aca="false">Tasks[[#This Row],[_WeightDur]]*Tasks[[#This Row],[_LeafProgress]]</f>
        <v>0</v>
      </c>
      <c r="CA19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5" customFormat="false" ht="15" hidden="false" customHeight="false" outlineLevel="0" collapsed="false">
      <c r="A195" s="38" t="str">
        <f aca="false">IF(Tasks[[#This Row],[Task Name]]="","",COUNTA(Tasks[[#Headers],[Task Name]]:Tasks[[#This Row],[Task Name]])-1)</f>
        <v/>
      </c>
      <c r="B195" s="39" t="n">
        <v>190</v>
      </c>
      <c r="C19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5" s="39"/>
      <c r="E195" s="41"/>
      <c r="F195" s="39"/>
      <c r="G195" s="39"/>
      <c r="H195" s="39"/>
      <c r="I195" s="39"/>
      <c r="J195" s="39"/>
      <c r="K195" s="39"/>
      <c r="L195" s="39"/>
      <c r="M195" s="39"/>
      <c r="N195" s="29"/>
      <c r="O195" s="29"/>
      <c r="P195" s="24" t="str">
        <f aca="false">IF(Tasks[[#This Row],[Task Name]]="","",IF(N(Tasks[[#This Row],[Baseline Start]])&gt;0,Tasks[[#This Row],[Baseline Start]],Tasks[[#This Row],[_CalcStart]]))</f>
        <v/>
      </c>
      <c r="Q195" s="24" t="str">
        <f aca="false">IF(Tasks[[#This Row],[Task Name]]="","",IF(N(Tasks[[#This Row],[Baseline Finish]])&gt;0,Tasks[[#This Row],[Baseline Finish]],Tasks[[#This Row],[_CalcFinish]]))</f>
        <v/>
      </c>
      <c r="R195" s="29"/>
      <c r="S195" s="29"/>
      <c r="T19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5" s="31"/>
      <c r="AA19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5" s="41"/>
      <c r="AD195" s="31"/>
      <c r="AE19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5" s="41"/>
      <c r="AJ195" s="24" t="str">
        <f aca="false">IF(Tasks[[#This Row],[Task Name]]="","",Tasks[[#This Row],[Forecast Start]])</f>
        <v/>
      </c>
      <c r="AK195" s="24" t="str">
        <f aca="false">IF(Tasks[[#This Row],[Task Name]]="","",Tasks[[#This Row],[Forecast Finish]])</f>
        <v/>
      </c>
      <c r="AL19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5" s="43" t="str">
        <f aca="false">IF(Tasks[[#This Row],[Task Name]]="","",Tasks[[#This Row],[Work]])</f>
        <v/>
      </c>
      <c r="AN195" s="44" t="str">
        <f aca="false">IF(Tasks[[#This Row],[Task Name]]="","",Tasks[[#This Row],[Cost]])</f>
        <v/>
      </c>
      <c r="AO195" s="29"/>
      <c r="AP195" s="29"/>
      <c r="AQ195" s="39"/>
      <c r="AR195" s="45"/>
      <c r="AS195" s="46"/>
      <c r="AT195" s="40" t="str">
        <f aca="false">IF(OR(Tasks[[#This Row],[Task Name]]="",Tasks[[#This Row],[Baseline Duration]]=""),"",Tasks[[#This Row],[BL Source Duration]]-N(Tasks[[#This Row],[Baseline Duration]]))</f>
        <v/>
      </c>
      <c r="AU195" s="43" t="str">
        <f aca="false">IF(OR(Tasks[[#This Row],[Task Name]]="",Tasks[[#This Row],[Baseline Work]]=""),"",Tasks[[#This Row],[Work]]-N(Tasks[[#This Row],[Baseline Work]]))</f>
        <v/>
      </c>
      <c r="AV195" s="44" t="str">
        <f aca="false">IF(OR(Tasks[[#This Row],[Task Name]]="",Tasks[[#This Row],[Baseline Cost]]=""),"",Tasks[[#This Row],[Cost]]-N(Tasks[[#This Row],[Baseline Cost]]))</f>
        <v/>
      </c>
      <c r="AW195" s="47" t="str">
        <f aca="false">IF(Tasks[[#This Row],[Task Name]]="","",MAX(1,N(Tasks[[#This Row],[Level]])))</f>
        <v/>
      </c>
      <c r="AX195" s="47" t="n">
        <f aca="false">ROW()-ROW(Tasks[[#Headers],[ID]])</f>
        <v>190</v>
      </c>
      <c r="AY19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5" s="47" t="n">
        <f aca="false">IFERROR(N(INDEX(Tasks[_Level],Tasks[[#This Row],[_Row]]+1)),0)</f>
        <v>0</v>
      </c>
      <c r="BA195" s="48" t="b">
        <f aca="false">AND(Tasks[[#This Row],[Task Name]]&lt;&gt;"",Tasks[[#This Row],[_NextLevel]]&gt;Tasks[[#This Row],[_Level]])</f>
        <v>0</v>
      </c>
      <c r="BB195" s="47" t="n">
        <f aca="false">IF(Tasks[[#This Row],[_IsSummary]],COUNTIF(Tasks[WBS],Tasks[[#This Row],[WBS]]&amp;".*"),0)</f>
        <v>0</v>
      </c>
      <c r="BC195" s="47" t="n">
        <f aca="false">IF(AND(Tasks[[#This Row],[Task Name]]&lt;&gt;"",NOT(Tasks[[#This Row],[_IsSummary]])),1,0)</f>
        <v>0</v>
      </c>
      <c r="BD195" s="47" t="n">
        <f aca="false">IF(N(Tasks[[#This Row],[Pred1 UID]])=0,0,IFERROR(MATCH(Tasks[[#This Row],[Pred1 UID]],Tasks[UID],0),-1))</f>
        <v>0</v>
      </c>
      <c r="BE195" s="47" t="n">
        <f aca="false">IF(N(Tasks[[#This Row],[Pred2 UID]])=0,0,IFERROR(MATCH(Tasks[[#This Row],[Pred2 UID]],Tasks[UID],0),-1))</f>
        <v>0</v>
      </c>
      <c r="BF19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5" s="47" t="n">
        <f aca="false">IF(NOT(Tasks[[#This Row],[_IsLeaf]]=1),0,IF(N(Tasks[[#This Row],[Actual Finish]])&gt;0,1,MIN(1,N(Tasks[[#This Row],[% Complete]]))))</f>
        <v>0</v>
      </c>
      <c r="BK19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5" s="47" t="n">
        <f aca="false">IF(Tasks[[#This Row],[_LeafWork]]=0,0,Tasks[[#This Row],[_LeafWork]]*IFERROR(INDEX(res_Rate,MATCH(Tasks[[#This Row],[Resource]],res_Name,0)),0))</f>
        <v>0</v>
      </c>
      <c r="BM19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5" s="47" t="n">
        <f aca="false">IF(AND(Tasks[[#This Row],[_IsLeaf]]=1,Tasks[[#This Row],[_LeafWork]]&gt;0),NETWORKDAYS.INTL(ProjectStart,Tasks[[#This Row],[_LeafFcstStart]],WorkWeek,Holidays),0)</f>
        <v>0</v>
      </c>
      <c r="BV19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5" s="47" t="n">
        <f aca="false">IF(AND(Tasks[[#This Row],[_IsLeaf]]=1,Tasks[[#This Row],[_LeafWork]]&gt;0),Tasks[[#This Row],[_LeafWork]]/(Tasks[[#This Row],[_FinishWorkday]]-Tasks[[#This Row],[_StartWorkday]]+1),0)</f>
        <v>0</v>
      </c>
      <c r="BX195" s="47" t="n">
        <f aca="false">Tasks[[#This Row],[_WorkPerWorkday]]*(Tasks[[#This Row],[_StartWorkday]]-1)</f>
        <v>-0</v>
      </c>
      <c r="BY195" s="47" t="n">
        <f aca="false">IF(Tasks[[#This Row],[_IsLeaf]]=1,MAX(N(Tasks[[#This Row],[Duration]]),0.1),0)</f>
        <v>0</v>
      </c>
      <c r="BZ195" s="47" t="n">
        <f aca="false">Tasks[[#This Row],[_WeightDur]]*Tasks[[#This Row],[_LeafProgress]]</f>
        <v>0</v>
      </c>
      <c r="CA19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6" customFormat="false" ht="15" hidden="false" customHeight="false" outlineLevel="0" collapsed="false">
      <c r="A196" s="38" t="str">
        <f aca="false">IF(Tasks[[#This Row],[Task Name]]="","",COUNTA(Tasks[[#Headers],[Task Name]]:Tasks[[#This Row],[Task Name]])-1)</f>
        <v/>
      </c>
      <c r="B196" s="39" t="n">
        <v>191</v>
      </c>
      <c r="C19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6" s="39"/>
      <c r="E196" s="41"/>
      <c r="F196" s="39"/>
      <c r="G196" s="39"/>
      <c r="H196" s="39"/>
      <c r="I196" s="39"/>
      <c r="J196" s="39"/>
      <c r="K196" s="39"/>
      <c r="L196" s="39"/>
      <c r="M196" s="39"/>
      <c r="N196" s="29"/>
      <c r="O196" s="29"/>
      <c r="P196" s="24" t="str">
        <f aca="false">IF(Tasks[[#This Row],[Task Name]]="","",IF(N(Tasks[[#This Row],[Baseline Start]])&gt;0,Tasks[[#This Row],[Baseline Start]],Tasks[[#This Row],[_CalcStart]]))</f>
        <v/>
      </c>
      <c r="Q196" s="24" t="str">
        <f aca="false">IF(Tasks[[#This Row],[Task Name]]="","",IF(N(Tasks[[#This Row],[Baseline Finish]])&gt;0,Tasks[[#This Row],[Baseline Finish]],Tasks[[#This Row],[_CalcFinish]]))</f>
        <v/>
      </c>
      <c r="R196" s="29"/>
      <c r="S196" s="29"/>
      <c r="T19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6" s="31"/>
      <c r="AA19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6" s="41"/>
      <c r="AD196" s="31"/>
      <c r="AE19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6" s="41"/>
      <c r="AJ196" s="24" t="str">
        <f aca="false">IF(Tasks[[#This Row],[Task Name]]="","",Tasks[[#This Row],[Forecast Start]])</f>
        <v/>
      </c>
      <c r="AK196" s="24" t="str">
        <f aca="false">IF(Tasks[[#This Row],[Task Name]]="","",Tasks[[#This Row],[Forecast Finish]])</f>
        <v/>
      </c>
      <c r="AL19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6" s="43" t="str">
        <f aca="false">IF(Tasks[[#This Row],[Task Name]]="","",Tasks[[#This Row],[Work]])</f>
        <v/>
      </c>
      <c r="AN196" s="44" t="str">
        <f aca="false">IF(Tasks[[#This Row],[Task Name]]="","",Tasks[[#This Row],[Cost]])</f>
        <v/>
      </c>
      <c r="AO196" s="29"/>
      <c r="AP196" s="29"/>
      <c r="AQ196" s="39"/>
      <c r="AR196" s="45"/>
      <c r="AS196" s="46"/>
      <c r="AT196" s="40" t="str">
        <f aca="false">IF(OR(Tasks[[#This Row],[Task Name]]="",Tasks[[#This Row],[Baseline Duration]]=""),"",Tasks[[#This Row],[BL Source Duration]]-N(Tasks[[#This Row],[Baseline Duration]]))</f>
        <v/>
      </c>
      <c r="AU196" s="43" t="str">
        <f aca="false">IF(OR(Tasks[[#This Row],[Task Name]]="",Tasks[[#This Row],[Baseline Work]]=""),"",Tasks[[#This Row],[Work]]-N(Tasks[[#This Row],[Baseline Work]]))</f>
        <v/>
      </c>
      <c r="AV196" s="44" t="str">
        <f aca="false">IF(OR(Tasks[[#This Row],[Task Name]]="",Tasks[[#This Row],[Baseline Cost]]=""),"",Tasks[[#This Row],[Cost]]-N(Tasks[[#This Row],[Baseline Cost]]))</f>
        <v/>
      </c>
      <c r="AW196" s="47" t="str">
        <f aca="false">IF(Tasks[[#This Row],[Task Name]]="","",MAX(1,N(Tasks[[#This Row],[Level]])))</f>
        <v/>
      </c>
      <c r="AX196" s="47" t="n">
        <f aca="false">ROW()-ROW(Tasks[[#Headers],[ID]])</f>
        <v>191</v>
      </c>
      <c r="AY19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6" s="47" t="n">
        <f aca="false">IFERROR(N(INDEX(Tasks[_Level],Tasks[[#This Row],[_Row]]+1)),0)</f>
        <v>0</v>
      </c>
      <c r="BA196" s="48" t="b">
        <f aca="false">AND(Tasks[[#This Row],[Task Name]]&lt;&gt;"",Tasks[[#This Row],[_NextLevel]]&gt;Tasks[[#This Row],[_Level]])</f>
        <v>0</v>
      </c>
      <c r="BB196" s="47" t="n">
        <f aca="false">IF(Tasks[[#This Row],[_IsSummary]],COUNTIF(Tasks[WBS],Tasks[[#This Row],[WBS]]&amp;".*"),0)</f>
        <v>0</v>
      </c>
      <c r="BC196" s="47" t="n">
        <f aca="false">IF(AND(Tasks[[#This Row],[Task Name]]&lt;&gt;"",NOT(Tasks[[#This Row],[_IsSummary]])),1,0)</f>
        <v>0</v>
      </c>
      <c r="BD196" s="47" t="n">
        <f aca="false">IF(N(Tasks[[#This Row],[Pred1 UID]])=0,0,IFERROR(MATCH(Tasks[[#This Row],[Pred1 UID]],Tasks[UID],0),-1))</f>
        <v>0</v>
      </c>
      <c r="BE196" s="47" t="n">
        <f aca="false">IF(N(Tasks[[#This Row],[Pred2 UID]])=0,0,IFERROR(MATCH(Tasks[[#This Row],[Pred2 UID]],Tasks[UID],0),-1))</f>
        <v>0</v>
      </c>
      <c r="BF19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6" s="47" t="n">
        <f aca="false">IF(NOT(Tasks[[#This Row],[_IsLeaf]]=1),0,IF(N(Tasks[[#This Row],[Actual Finish]])&gt;0,1,MIN(1,N(Tasks[[#This Row],[% Complete]]))))</f>
        <v>0</v>
      </c>
      <c r="BK19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6" s="47" t="n">
        <f aca="false">IF(Tasks[[#This Row],[_LeafWork]]=0,0,Tasks[[#This Row],[_LeafWork]]*IFERROR(INDEX(res_Rate,MATCH(Tasks[[#This Row],[Resource]],res_Name,0)),0))</f>
        <v>0</v>
      </c>
      <c r="BM19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6" s="47" t="n">
        <f aca="false">IF(AND(Tasks[[#This Row],[_IsLeaf]]=1,Tasks[[#This Row],[_LeafWork]]&gt;0),NETWORKDAYS.INTL(ProjectStart,Tasks[[#This Row],[_LeafFcstStart]],WorkWeek,Holidays),0)</f>
        <v>0</v>
      </c>
      <c r="BV19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6" s="47" t="n">
        <f aca="false">IF(AND(Tasks[[#This Row],[_IsLeaf]]=1,Tasks[[#This Row],[_LeafWork]]&gt;0),Tasks[[#This Row],[_LeafWork]]/(Tasks[[#This Row],[_FinishWorkday]]-Tasks[[#This Row],[_StartWorkday]]+1),0)</f>
        <v>0</v>
      </c>
      <c r="BX196" s="47" t="n">
        <f aca="false">Tasks[[#This Row],[_WorkPerWorkday]]*(Tasks[[#This Row],[_StartWorkday]]-1)</f>
        <v>-0</v>
      </c>
      <c r="BY196" s="47" t="n">
        <f aca="false">IF(Tasks[[#This Row],[_IsLeaf]]=1,MAX(N(Tasks[[#This Row],[Duration]]),0.1),0)</f>
        <v>0</v>
      </c>
      <c r="BZ196" s="47" t="n">
        <f aca="false">Tasks[[#This Row],[_WeightDur]]*Tasks[[#This Row],[_LeafProgress]]</f>
        <v>0</v>
      </c>
      <c r="CA19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7" customFormat="false" ht="15" hidden="false" customHeight="false" outlineLevel="0" collapsed="false">
      <c r="A197" s="38" t="str">
        <f aca="false">IF(Tasks[[#This Row],[Task Name]]="","",COUNTA(Tasks[[#Headers],[Task Name]]:Tasks[[#This Row],[Task Name]])-1)</f>
        <v/>
      </c>
      <c r="B197" s="39" t="n">
        <v>192</v>
      </c>
      <c r="C19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7" s="39"/>
      <c r="E197" s="41"/>
      <c r="F197" s="39"/>
      <c r="G197" s="39"/>
      <c r="H197" s="39"/>
      <c r="I197" s="39"/>
      <c r="J197" s="39"/>
      <c r="K197" s="39"/>
      <c r="L197" s="39"/>
      <c r="M197" s="39"/>
      <c r="N197" s="29"/>
      <c r="O197" s="29"/>
      <c r="P197" s="24" t="str">
        <f aca="false">IF(Tasks[[#This Row],[Task Name]]="","",IF(N(Tasks[[#This Row],[Baseline Start]])&gt;0,Tasks[[#This Row],[Baseline Start]],Tasks[[#This Row],[_CalcStart]]))</f>
        <v/>
      </c>
      <c r="Q197" s="24" t="str">
        <f aca="false">IF(Tasks[[#This Row],[Task Name]]="","",IF(N(Tasks[[#This Row],[Baseline Finish]])&gt;0,Tasks[[#This Row],[Baseline Finish]],Tasks[[#This Row],[_CalcFinish]]))</f>
        <v/>
      </c>
      <c r="R197" s="29"/>
      <c r="S197" s="29"/>
      <c r="T19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7" s="31"/>
      <c r="AA19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7" s="41"/>
      <c r="AD197" s="31"/>
      <c r="AE19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7" s="41"/>
      <c r="AJ197" s="24" t="str">
        <f aca="false">IF(Tasks[[#This Row],[Task Name]]="","",Tasks[[#This Row],[Forecast Start]])</f>
        <v/>
      </c>
      <c r="AK197" s="24" t="str">
        <f aca="false">IF(Tasks[[#This Row],[Task Name]]="","",Tasks[[#This Row],[Forecast Finish]])</f>
        <v/>
      </c>
      <c r="AL19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7" s="43" t="str">
        <f aca="false">IF(Tasks[[#This Row],[Task Name]]="","",Tasks[[#This Row],[Work]])</f>
        <v/>
      </c>
      <c r="AN197" s="44" t="str">
        <f aca="false">IF(Tasks[[#This Row],[Task Name]]="","",Tasks[[#This Row],[Cost]])</f>
        <v/>
      </c>
      <c r="AO197" s="29"/>
      <c r="AP197" s="29"/>
      <c r="AQ197" s="39"/>
      <c r="AR197" s="45"/>
      <c r="AS197" s="46"/>
      <c r="AT197" s="40" t="str">
        <f aca="false">IF(OR(Tasks[[#This Row],[Task Name]]="",Tasks[[#This Row],[Baseline Duration]]=""),"",Tasks[[#This Row],[BL Source Duration]]-N(Tasks[[#This Row],[Baseline Duration]]))</f>
        <v/>
      </c>
      <c r="AU197" s="43" t="str">
        <f aca="false">IF(OR(Tasks[[#This Row],[Task Name]]="",Tasks[[#This Row],[Baseline Work]]=""),"",Tasks[[#This Row],[Work]]-N(Tasks[[#This Row],[Baseline Work]]))</f>
        <v/>
      </c>
      <c r="AV197" s="44" t="str">
        <f aca="false">IF(OR(Tasks[[#This Row],[Task Name]]="",Tasks[[#This Row],[Baseline Cost]]=""),"",Tasks[[#This Row],[Cost]]-N(Tasks[[#This Row],[Baseline Cost]]))</f>
        <v/>
      </c>
      <c r="AW197" s="47" t="str">
        <f aca="false">IF(Tasks[[#This Row],[Task Name]]="","",MAX(1,N(Tasks[[#This Row],[Level]])))</f>
        <v/>
      </c>
      <c r="AX197" s="47" t="n">
        <f aca="false">ROW()-ROW(Tasks[[#Headers],[ID]])</f>
        <v>192</v>
      </c>
      <c r="AY19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7" s="47" t="n">
        <f aca="false">IFERROR(N(INDEX(Tasks[_Level],Tasks[[#This Row],[_Row]]+1)),0)</f>
        <v>0</v>
      </c>
      <c r="BA197" s="48" t="b">
        <f aca="false">AND(Tasks[[#This Row],[Task Name]]&lt;&gt;"",Tasks[[#This Row],[_NextLevel]]&gt;Tasks[[#This Row],[_Level]])</f>
        <v>0</v>
      </c>
      <c r="BB197" s="47" t="n">
        <f aca="false">IF(Tasks[[#This Row],[_IsSummary]],COUNTIF(Tasks[WBS],Tasks[[#This Row],[WBS]]&amp;".*"),0)</f>
        <v>0</v>
      </c>
      <c r="BC197" s="47" t="n">
        <f aca="false">IF(AND(Tasks[[#This Row],[Task Name]]&lt;&gt;"",NOT(Tasks[[#This Row],[_IsSummary]])),1,0)</f>
        <v>0</v>
      </c>
      <c r="BD197" s="47" t="n">
        <f aca="false">IF(N(Tasks[[#This Row],[Pred1 UID]])=0,0,IFERROR(MATCH(Tasks[[#This Row],[Pred1 UID]],Tasks[UID],0),-1))</f>
        <v>0</v>
      </c>
      <c r="BE197" s="47" t="n">
        <f aca="false">IF(N(Tasks[[#This Row],[Pred2 UID]])=0,0,IFERROR(MATCH(Tasks[[#This Row],[Pred2 UID]],Tasks[UID],0),-1))</f>
        <v>0</v>
      </c>
      <c r="BF19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7" s="47" t="n">
        <f aca="false">IF(NOT(Tasks[[#This Row],[_IsLeaf]]=1),0,IF(N(Tasks[[#This Row],[Actual Finish]])&gt;0,1,MIN(1,N(Tasks[[#This Row],[% Complete]]))))</f>
        <v>0</v>
      </c>
      <c r="BK19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7" s="47" t="n">
        <f aca="false">IF(Tasks[[#This Row],[_LeafWork]]=0,0,Tasks[[#This Row],[_LeafWork]]*IFERROR(INDEX(res_Rate,MATCH(Tasks[[#This Row],[Resource]],res_Name,0)),0))</f>
        <v>0</v>
      </c>
      <c r="BM19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7" s="47" t="n">
        <f aca="false">IF(AND(Tasks[[#This Row],[_IsLeaf]]=1,Tasks[[#This Row],[_LeafWork]]&gt;0),NETWORKDAYS.INTL(ProjectStart,Tasks[[#This Row],[_LeafFcstStart]],WorkWeek,Holidays),0)</f>
        <v>0</v>
      </c>
      <c r="BV19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7" s="47" t="n">
        <f aca="false">IF(AND(Tasks[[#This Row],[_IsLeaf]]=1,Tasks[[#This Row],[_LeafWork]]&gt;0),Tasks[[#This Row],[_LeafWork]]/(Tasks[[#This Row],[_FinishWorkday]]-Tasks[[#This Row],[_StartWorkday]]+1),0)</f>
        <v>0</v>
      </c>
      <c r="BX197" s="47" t="n">
        <f aca="false">Tasks[[#This Row],[_WorkPerWorkday]]*(Tasks[[#This Row],[_StartWorkday]]-1)</f>
        <v>-0</v>
      </c>
      <c r="BY197" s="47" t="n">
        <f aca="false">IF(Tasks[[#This Row],[_IsLeaf]]=1,MAX(N(Tasks[[#This Row],[Duration]]),0.1),0)</f>
        <v>0</v>
      </c>
      <c r="BZ197" s="47" t="n">
        <f aca="false">Tasks[[#This Row],[_WeightDur]]*Tasks[[#This Row],[_LeafProgress]]</f>
        <v>0</v>
      </c>
      <c r="CA19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8" customFormat="false" ht="15" hidden="false" customHeight="false" outlineLevel="0" collapsed="false">
      <c r="A198" s="38" t="str">
        <f aca="false">IF(Tasks[[#This Row],[Task Name]]="","",COUNTA(Tasks[[#Headers],[Task Name]]:Tasks[[#This Row],[Task Name]])-1)</f>
        <v/>
      </c>
      <c r="B198" s="39" t="n">
        <v>193</v>
      </c>
      <c r="C19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8" s="39"/>
      <c r="E198" s="41"/>
      <c r="F198" s="39"/>
      <c r="G198" s="39"/>
      <c r="H198" s="39"/>
      <c r="I198" s="39"/>
      <c r="J198" s="39"/>
      <c r="K198" s="39"/>
      <c r="L198" s="39"/>
      <c r="M198" s="39"/>
      <c r="N198" s="29"/>
      <c r="O198" s="29"/>
      <c r="P198" s="24" t="str">
        <f aca="false">IF(Tasks[[#This Row],[Task Name]]="","",IF(N(Tasks[[#This Row],[Baseline Start]])&gt;0,Tasks[[#This Row],[Baseline Start]],Tasks[[#This Row],[_CalcStart]]))</f>
        <v/>
      </c>
      <c r="Q198" s="24" t="str">
        <f aca="false">IF(Tasks[[#This Row],[Task Name]]="","",IF(N(Tasks[[#This Row],[Baseline Finish]])&gt;0,Tasks[[#This Row],[Baseline Finish]],Tasks[[#This Row],[_CalcFinish]]))</f>
        <v/>
      </c>
      <c r="R198" s="29"/>
      <c r="S198" s="29"/>
      <c r="T19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8" s="31"/>
      <c r="AA19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8" s="41"/>
      <c r="AD198" s="31"/>
      <c r="AE19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8" s="41"/>
      <c r="AJ198" s="24" t="str">
        <f aca="false">IF(Tasks[[#This Row],[Task Name]]="","",Tasks[[#This Row],[Forecast Start]])</f>
        <v/>
      </c>
      <c r="AK198" s="24" t="str">
        <f aca="false">IF(Tasks[[#This Row],[Task Name]]="","",Tasks[[#This Row],[Forecast Finish]])</f>
        <v/>
      </c>
      <c r="AL19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8" s="43" t="str">
        <f aca="false">IF(Tasks[[#This Row],[Task Name]]="","",Tasks[[#This Row],[Work]])</f>
        <v/>
      </c>
      <c r="AN198" s="44" t="str">
        <f aca="false">IF(Tasks[[#This Row],[Task Name]]="","",Tasks[[#This Row],[Cost]])</f>
        <v/>
      </c>
      <c r="AO198" s="29"/>
      <c r="AP198" s="29"/>
      <c r="AQ198" s="39"/>
      <c r="AR198" s="45"/>
      <c r="AS198" s="46"/>
      <c r="AT198" s="40" t="str">
        <f aca="false">IF(OR(Tasks[[#This Row],[Task Name]]="",Tasks[[#This Row],[Baseline Duration]]=""),"",Tasks[[#This Row],[BL Source Duration]]-N(Tasks[[#This Row],[Baseline Duration]]))</f>
        <v/>
      </c>
      <c r="AU198" s="43" t="str">
        <f aca="false">IF(OR(Tasks[[#This Row],[Task Name]]="",Tasks[[#This Row],[Baseline Work]]=""),"",Tasks[[#This Row],[Work]]-N(Tasks[[#This Row],[Baseline Work]]))</f>
        <v/>
      </c>
      <c r="AV198" s="44" t="str">
        <f aca="false">IF(OR(Tasks[[#This Row],[Task Name]]="",Tasks[[#This Row],[Baseline Cost]]=""),"",Tasks[[#This Row],[Cost]]-N(Tasks[[#This Row],[Baseline Cost]]))</f>
        <v/>
      </c>
      <c r="AW198" s="47" t="str">
        <f aca="false">IF(Tasks[[#This Row],[Task Name]]="","",MAX(1,N(Tasks[[#This Row],[Level]])))</f>
        <v/>
      </c>
      <c r="AX198" s="47" t="n">
        <f aca="false">ROW()-ROW(Tasks[[#Headers],[ID]])</f>
        <v>193</v>
      </c>
      <c r="AY19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8" s="47" t="n">
        <f aca="false">IFERROR(N(INDEX(Tasks[_Level],Tasks[[#This Row],[_Row]]+1)),0)</f>
        <v>0</v>
      </c>
      <c r="BA198" s="48" t="b">
        <f aca="false">AND(Tasks[[#This Row],[Task Name]]&lt;&gt;"",Tasks[[#This Row],[_NextLevel]]&gt;Tasks[[#This Row],[_Level]])</f>
        <v>0</v>
      </c>
      <c r="BB198" s="47" t="n">
        <f aca="false">IF(Tasks[[#This Row],[_IsSummary]],COUNTIF(Tasks[WBS],Tasks[[#This Row],[WBS]]&amp;".*"),0)</f>
        <v>0</v>
      </c>
      <c r="BC198" s="47" t="n">
        <f aca="false">IF(AND(Tasks[[#This Row],[Task Name]]&lt;&gt;"",NOT(Tasks[[#This Row],[_IsSummary]])),1,0)</f>
        <v>0</v>
      </c>
      <c r="BD198" s="47" t="n">
        <f aca="false">IF(N(Tasks[[#This Row],[Pred1 UID]])=0,0,IFERROR(MATCH(Tasks[[#This Row],[Pred1 UID]],Tasks[UID],0),-1))</f>
        <v>0</v>
      </c>
      <c r="BE198" s="47" t="n">
        <f aca="false">IF(N(Tasks[[#This Row],[Pred2 UID]])=0,0,IFERROR(MATCH(Tasks[[#This Row],[Pred2 UID]],Tasks[UID],0),-1))</f>
        <v>0</v>
      </c>
      <c r="BF19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8" s="47" t="n">
        <f aca="false">IF(NOT(Tasks[[#This Row],[_IsLeaf]]=1),0,IF(N(Tasks[[#This Row],[Actual Finish]])&gt;0,1,MIN(1,N(Tasks[[#This Row],[% Complete]]))))</f>
        <v>0</v>
      </c>
      <c r="BK19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8" s="47" t="n">
        <f aca="false">IF(Tasks[[#This Row],[_LeafWork]]=0,0,Tasks[[#This Row],[_LeafWork]]*IFERROR(INDEX(res_Rate,MATCH(Tasks[[#This Row],[Resource]],res_Name,0)),0))</f>
        <v>0</v>
      </c>
      <c r="BM19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8" s="47" t="n">
        <f aca="false">IF(AND(Tasks[[#This Row],[_IsLeaf]]=1,Tasks[[#This Row],[_LeafWork]]&gt;0),NETWORKDAYS.INTL(ProjectStart,Tasks[[#This Row],[_LeafFcstStart]],WorkWeek,Holidays),0)</f>
        <v>0</v>
      </c>
      <c r="BV19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8" s="47" t="n">
        <f aca="false">IF(AND(Tasks[[#This Row],[_IsLeaf]]=1,Tasks[[#This Row],[_LeafWork]]&gt;0),Tasks[[#This Row],[_LeafWork]]/(Tasks[[#This Row],[_FinishWorkday]]-Tasks[[#This Row],[_StartWorkday]]+1),0)</f>
        <v>0</v>
      </c>
      <c r="BX198" s="47" t="n">
        <f aca="false">Tasks[[#This Row],[_WorkPerWorkday]]*(Tasks[[#This Row],[_StartWorkday]]-1)</f>
        <v>-0</v>
      </c>
      <c r="BY198" s="47" t="n">
        <f aca="false">IF(Tasks[[#This Row],[_IsLeaf]]=1,MAX(N(Tasks[[#This Row],[Duration]]),0.1),0)</f>
        <v>0</v>
      </c>
      <c r="BZ198" s="47" t="n">
        <f aca="false">Tasks[[#This Row],[_WeightDur]]*Tasks[[#This Row],[_LeafProgress]]</f>
        <v>0</v>
      </c>
      <c r="CA19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9" customFormat="false" ht="15" hidden="false" customHeight="false" outlineLevel="0" collapsed="false">
      <c r="A199" s="38" t="str">
        <f aca="false">IF(Tasks[[#This Row],[Task Name]]="","",COUNTA(Tasks[[#Headers],[Task Name]]:Tasks[[#This Row],[Task Name]])-1)</f>
        <v/>
      </c>
      <c r="B199" s="39" t="n">
        <v>194</v>
      </c>
      <c r="C19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9" s="39"/>
      <c r="E199" s="41"/>
      <c r="F199" s="39"/>
      <c r="G199" s="39"/>
      <c r="H199" s="39"/>
      <c r="I199" s="39"/>
      <c r="J199" s="39"/>
      <c r="K199" s="39"/>
      <c r="L199" s="39"/>
      <c r="M199" s="39"/>
      <c r="N199" s="29"/>
      <c r="O199" s="29"/>
      <c r="P199" s="24" t="str">
        <f aca="false">IF(Tasks[[#This Row],[Task Name]]="","",IF(N(Tasks[[#This Row],[Baseline Start]])&gt;0,Tasks[[#This Row],[Baseline Start]],Tasks[[#This Row],[_CalcStart]]))</f>
        <v/>
      </c>
      <c r="Q199" s="24" t="str">
        <f aca="false">IF(Tasks[[#This Row],[Task Name]]="","",IF(N(Tasks[[#This Row],[Baseline Finish]])&gt;0,Tasks[[#This Row],[Baseline Finish]],Tasks[[#This Row],[_CalcFinish]]))</f>
        <v/>
      </c>
      <c r="R199" s="29"/>
      <c r="S199" s="29"/>
      <c r="T19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9" s="31"/>
      <c r="AA19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9" s="41"/>
      <c r="AD199" s="31"/>
      <c r="AE19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9" s="41"/>
      <c r="AJ199" s="24" t="str">
        <f aca="false">IF(Tasks[[#This Row],[Task Name]]="","",Tasks[[#This Row],[Forecast Start]])</f>
        <v/>
      </c>
      <c r="AK199" s="24" t="str">
        <f aca="false">IF(Tasks[[#This Row],[Task Name]]="","",Tasks[[#This Row],[Forecast Finish]])</f>
        <v/>
      </c>
      <c r="AL19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9" s="43" t="str">
        <f aca="false">IF(Tasks[[#This Row],[Task Name]]="","",Tasks[[#This Row],[Work]])</f>
        <v/>
      </c>
      <c r="AN199" s="44" t="str">
        <f aca="false">IF(Tasks[[#This Row],[Task Name]]="","",Tasks[[#This Row],[Cost]])</f>
        <v/>
      </c>
      <c r="AO199" s="29"/>
      <c r="AP199" s="29"/>
      <c r="AQ199" s="39"/>
      <c r="AR199" s="45"/>
      <c r="AS199" s="46"/>
      <c r="AT199" s="40" t="str">
        <f aca="false">IF(OR(Tasks[[#This Row],[Task Name]]="",Tasks[[#This Row],[Baseline Duration]]=""),"",Tasks[[#This Row],[BL Source Duration]]-N(Tasks[[#This Row],[Baseline Duration]]))</f>
        <v/>
      </c>
      <c r="AU199" s="43" t="str">
        <f aca="false">IF(OR(Tasks[[#This Row],[Task Name]]="",Tasks[[#This Row],[Baseline Work]]=""),"",Tasks[[#This Row],[Work]]-N(Tasks[[#This Row],[Baseline Work]]))</f>
        <v/>
      </c>
      <c r="AV199" s="44" t="str">
        <f aca="false">IF(OR(Tasks[[#This Row],[Task Name]]="",Tasks[[#This Row],[Baseline Cost]]=""),"",Tasks[[#This Row],[Cost]]-N(Tasks[[#This Row],[Baseline Cost]]))</f>
        <v/>
      </c>
      <c r="AW199" s="47" t="str">
        <f aca="false">IF(Tasks[[#This Row],[Task Name]]="","",MAX(1,N(Tasks[[#This Row],[Level]])))</f>
        <v/>
      </c>
      <c r="AX199" s="47" t="n">
        <f aca="false">ROW()-ROW(Tasks[[#Headers],[ID]])</f>
        <v>194</v>
      </c>
      <c r="AY19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9" s="47" t="n">
        <f aca="false">IFERROR(N(INDEX(Tasks[_Level],Tasks[[#This Row],[_Row]]+1)),0)</f>
        <v>0</v>
      </c>
      <c r="BA199" s="48" t="b">
        <f aca="false">AND(Tasks[[#This Row],[Task Name]]&lt;&gt;"",Tasks[[#This Row],[_NextLevel]]&gt;Tasks[[#This Row],[_Level]])</f>
        <v>0</v>
      </c>
      <c r="BB199" s="47" t="n">
        <f aca="false">IF(Tasks[[#This Row],[_IsSummary]],COUNTIF(Tasks[WBS],Tasks[[#This Row],[WBS]]&amp;".*"),0)</f>
        <v>0</v>
      </c>
      <c r="BC199" s="47" t="n">
        <f aca="false">IF(AND(Tasks[[#This Row],[Task Name]]&lt;&gt;"",NOT(Tasks[[#This Row],[_IsSummary]])),1,0)</f>
        <v>0</v>
      </c>
      <c r="BD199" s="47" t="n">
        <f aca="false">IF(N(Tasks[[#This Row],[Pred1 UID]])=0,0,IFERROR(MATCH(Tasks[[#This Row],[Pred1 UID]],Tasks[UID],0),-1))</f>
        <v>0</v>
      </c>
      <c r="BE199" s="47" t="n">
        <f aca="false">IF(N(Tasks[[#This Row],[Pred2 UID]])=0,0,IFERROR(MATCH(Tasks[[#This Row],[Pred2 UID]],Tasks[UID],0),-1))</f>
        <v>0</v>
      </c>
      <c r="BF19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9" s="47" t="n">
        <f aca="false">IF(NOT(Tasks[[#This Row],[_IsLeaf]]=1),0,IF(N(Tasks[[#This Row],[Actual Finish]])&gt;0,1,MIN(1,N(Tasks[[#This Row],[% Complete]]))))</f>
        <v>0</v>
      </c>
      <c r="BK19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9" s="47" t="n">
        <f aca="false">IF(Tasks[[#This Row],[_LeafWork]]=0,0,Tasks[[#This Row],[_LeafWork]]*IFERROR(INDEX(res_Rate,MATCH(Tasks[[#This Row],[Resource]],res_Name,0)),0))</f>
        <v>0</v>
      </c>
      <c r="BM19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19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19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19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19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19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199" s="47" t="n">
        <f aca="false">IF(AND(Tasks[[#This Row],[_IsLeaf]]=1,Tasks[[#This Row],[_LeafWork]]&gt;0),NETWORKDAYS.INTL(ProjectStart,Tasks[[#This Row],[_LeafFcstStart]],WorkWeek,Holidays),0)</f>
        <v>0</v>
      </c>
      <c r="BV19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9" s="47" t="n">
        <f aca="false">IF(AND(Tasks[[#This Row],[_IsLeaf]]=1,Tasks[[#This Row],[_LeafWork]]&gt;0),Tasks[[#This Row],[_LeafWork]]/(Tasks[[#This Row],[_FinishWorkday]]-Tasks[[#This Row],[_StartWorkday]]+1),0)</f>
        <v>0</v>
      </c>
      <c r="BX199" s="47" t="n">
        <f aca="false">Tasks[[#This Row],[_WorkPerWorkday]]*(Tasks[[#This Row],[_StartWorkday]]-1)</f>
        <v>-0</v>
      </c>
      <c r="BY199" s="47" t="n">
        <f aca="false">IF(Tasks[[#This Row],[_IsLeaf]]=1,MAX(N(Tasks[[#This Row],[Duration]]),0.1),0)</f>
        <v>0</v>
      </c>
      <c r="BZ199" s="47" t="n">
        <f aca="false">Tasks[[#This Row],[_WeightDur]]*Tasks[[#This Row],[_LeafProgress]]</f>
        <v>0</v>
      </c>
      <c r="CA19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0" customFormat="false" ht="15" hidden="false" customHeight="false" outlineLevel="0" collapsed="false">
      <c r="A200" s="38" t="str">
        <f aca="false">IF(Tasks[[#This Row],[Task Name]]="","",COUNTA(Tasks[[#Headers],[Task Name]]:Tasks[[#This Row],[Task Name]])-1)</f>
        <v/>
      </c>
      <c r="B200" s="39" t="n">
        <v>195</v>
      </c>
      <c r="C20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0" s="39"/>
      <c r="E200" s="41"/>
      <c r="F200" s="39"/>
      <c r="G200" s="39"/>
      <c r="H200" s="39"/>
      <c r="I200" s="39"/>
      <c r="J200" s="39"/>
      <c r="K200" s="39"/>
      <c r="L200" s="39"/>
      <c r="M200" s="39"/>
      <c r="N200" s="29"/>
      <c r="O200" s="29"/>
      <c r="P200" s="24" t="str">
        <f aca="false">IF(Tasks[[#This Row],[Task Name]]="","",IF(N(Tasks[[#This Row],[Baseline Start]])&gt;0,Tasks[[#This Row],[Baseline Start]],Tasks[[#This Row],[_CalcStart]]))</f>
        <v/>
      </c>
      <c r="Q200" s="24" t="str">
        <f aca="false">IF(Tasks[[#This Row],[Task Name]]="","",IF(N(Tasks[[#This Row],[Baseline Finish]])&gt;0,Tasks[[#This Row],[Baseline Finish]],Tasks[[#This Row],[_CalcFinish]]))</f>
        <v/>
      </c>
      <c r="R200" s="29"/>
      <c r="S200" s="29"/>
      <c r="T20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0" s="31"/>
      <c r="AA20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0" s="41"/>
      <c r="AD200" s="31"/>
      <c r="AE20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0" s="41"/>
      <c r="AJ200" s="24" t="str">
        <f aca="false">IF(Tasks[[#This Row],[Task Name]]="","",Tasks[[#This Row],[Forecast Start]])</f>
        <v/>
      </c>
      <c r="AK200" s="24" t="str">
        <f aca="false">IF(Tasks[[#This Row],[Task Name]]="","",Tasks[[#This Row],[Forecast Finish]])</f>
        <v/>
      </c>
      <c r="AL20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0" s="43" t="str">
        <f aca="false">IF(Tasks[[#This Row],[Task Name]]="","",Tasks[[#This Row],[Work]])</f>
        <v/>
      </c>
      <c r="AN200" s="44" t="str">
        <f aca="false">IF(Tasks[[#This Row],[Task Name]]="","",Tasks[[#This Row],[Cost]])</f>
        <v/>
      </c>
      <c r="AO200" s="29"/>
      <c r="AP200" s="29"/>
      <c r="AQ200" s="39"/>
      <c r="AR200" s="45"/>
      <c r="AS200" s="46"/>
      <c r="AT200" s="40" t="str">
        <f aca="false">IF(OR(Tasks[[#This Row],[Task Name]]="",Tasks[[#This Row],[Baseline Duration]]=""),"",Tasks[[#This Row],[BL Source Duration]]-N(Tasks[[#This Row],[Baseline Duration]]))</f>
        <v/>
      </c>
      <c r="AU200" s="43" t="str">
        <f aca="false">IF(OR(Tasks[[#This Row],[Task Name]]="",Tasks[[#This Row],[Baseline Work]]=""),"",Tasks[[#This Row],[Work]]-N(Tasks[[#This Row],[Baseline Work]]))</f>
        <v/>
      </c>
      <c r="AV200" s="44" t="str">
        <f aca="false">IF(OR(Tasks[[#This Row],[Task Name]]="",Tasks[[#This Row],[Baseline Cost]]=""),"",Tasks[[#This Row],[Cost]]-N(Tasks[[#This Row],[Baseline Cost]]))</f>
        <v/>
      </c>
      <c r="AW200" s="47" t="str">
        <f aca="false">IF(Tasks[[#This Row],[Task Name]]="","",MAX(1,N(Tasks[[#This Row],[Level]])))</f>
        <v/>
      </c>
      <c r="AX200" s="47" t="n">
        <f aca="false">ROW()-ROW(Tasks[[#Headers],[ID]])</f>
        <v>195</v>
      </c>
      <c r="AY20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0" s="47" t="n">
        <f aca="false">IFERROR(N(INDEX(Tasks[_Level],Tasks[[#This Row],[_Row]]+1)),0)</f>
        <v>0</v>
      </c>
      <c r="BA200" s="48" t="b">
        <f aca="false">AND(Tasks[[#This Row],[Task Name]]&lt;&gt;"",Tasks[[#This Row],[_NextLevel]]&gt;Tasks[[#This Row],[_Level]])</f>
        <v>0</v>
      </c>
      <c r="BB200" s="47" t="n">
        <f aca="false">IF(Tasks[[#This Row],[_IsSummary]],COUNTIF(Tasks[WBS],Tasks[[#This Row],[WBS]]&amp;".*"),0)</f>
        <v>0</v>
      </c>
      <c r="BC200" s="47" t="n">
        <f aca="false">IF(AND(Tasks[[#This Row],[Task Name]]&lt;&gt;"",NOT(Tasks[[#This Row],[_IsSummary]])),1,0)</f>
        <v>0</v>
      </c>
      <c r="BD200" s="47" t="n">
        <f aca="false">IF(N(Tasks[[#This Row],[Pred1 UID]])=0,0,IFERROR(MATCH(Tasks[[#This Row],[Pred1 UID]],Tasks[UID],0),-1))</f>
        <v>0</v>
      </c>
      <c r="BE200" s="47" t="n">
        <f aca="false">IF(N(Tasks[[#This Row],[Pred2 UID]])=0,0,IFERROR(MATCH(Tasks[[#This Row],[Pred2 UID]],Tasks[UID],0),-1))</f>
        <v>0</v>
      </c>
      <c r="BF20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0" s="47" t="n">
        <f aca="false">IF(NOT(Tasks[[#This Row],[_IsLeaf]]=1),0,IF(N(Tasks[[#This Row],[Actual Finish]])&gt;0,1,MIN(1,N(Tasks[[#This Row],[% Complete]]))))</f>
        <v>0</v>
      </c>
      <c r="BK20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00" s="47" t="n">
        <f aca="false">IF(Tasks[[#This Row],[_LeafWork]]=0,0,Tasks[[#This Row],[_LeafWork]]*IFERROR(INDEX(res_Rate,MATCH(Tasks[[#This Row],[Resource]],res_Name,0)),0))</f>
        <v>0</v>
      </c>
      <c r="BM20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0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0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0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0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0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00" s="47" t="n">
        <f aca="false">IF(AND(Tasks[[#This Row],[_IsLeaf]]=1,Tasks[[#This Row],[_LeafWork]]&gt;0),NETWORKDAYS.INTL(ProjectStart,Tasks[[#This Row],[_LeafFcstStart]],WorkWeek,Holidays),0)</f>
        <v>0</v>
      </c>
      <c r="BV20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0" s="47" t="n">
        <f aca="false">IF(AND(Tasks[[#This Row],[_IsLeaf]]=1,Tasks[[#This Row],[_LeafWork]]&gt;0),Tasks[[#This Row],[_LeafWork]]/(Tasks[[#This Row],[_FinishWorkday]]-Tasks[[#This Row],[_StartWorkday]]+1),0)</f>
        <v>0</v>
      </c>
      <c r="BX200" s="47" t="n">
        <f aca="false">Tasks[[#This Row],[_WorkPerWorkday]]*(Tasks[[#This Row],[_StartWorkday]]-1)</f>
        <v>-0</v>
      </c>
      <c r="BY200" s="47" t="n">
        <f aca="false">IF(Tasks[[#This Row],[_IsLeaf]]=1,MAX(N(Tasks[[#This Row],[Duration]]),0.1),0)</f>
        <v>0</v>
      </c>
      <c r="BZ200" s="47" t="n">
        <f aca="false">Tasks[[#This Row],[_WeightDur]]*Tasks[[#This Row],[_LeafProgress]]</f>
        <v>0</v>
      </c>
      <c r="CA20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1" customFormat="false" ht="15" hidden="false" customHeight="false" outlineLevel="0" collapsed="false">
      <c r="A201" s="38" t="str">
        <f aca="false">IF(Tasks[[#This Row],[Task Name]]="","",COUNTA(Tasks[[#Headers],[Task Name]]:Tasks[[#This Row],[Task Name]])-1)</f>
        <v/>
      </c>
      <c r="B201" s="39" t="n">
        <v>196</v>
      </c>
      <c r="C20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1" s="39"/>
      <c r="E201" s="41"/>
      <c r="F201" s="39"/>
      <c r="G201" s="39"/>
      <c r="H201" s="39"/>
      <c r="I201" s="39"/>
      <c r="J201" s="39"/>
      <c r="K201" s="39"/>
      <c r="L201" s="39"/>
      <c r="M201" s="39"/>
      <c r="N201" s="29"/>
      <c r="O201" s="29"/>
      <c r="P201" s="24" t="str">
        <f aca="false">IF(Tasks[[#This Row],[Task Name]]="","",IF(N(Tasks[[#This Row],[Baseline Start]])&gt;0,Tasks[[#This Row],[Baseline Start]],Tasks[[#This Row],[_CalcStart]]))</f>
        <v/>
      </c>
      <c r="Q201" s="24" t="str">
        <f aca="false">IF(Tasks[[#This Row],[Task Name]]="","",IF(N(Tasks[[#This Row],[Baseline Finish]])&gt;0,Tasks[[#This Row],[Baseline Finish]],Tasks[[#This Row],[_CalcFinish]]))</f>
        <v/>
      </c>
      <c r="R201" s="29"/>
      <c r="S201" s="29"/>
      <c r="T20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1" s="31"/>
      <c r="AA20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1" s="41"/>
      <c r="AD201" s="31"/>
      <c r="AE20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1" s="41"/>
      <c r="AJ201" s="24" t="str">
        <f aca="false">IF(Tasks[[#This Row],[Task Name]]="","",Tasks[[#This Row],[Forecast Start]])</f>
        <v/>
      </c>
      <c r="AK201" s="24" t="str">
        <f aca="false">IF(Tasks[[#This Row],[Task Name]]="","",Tasks[[#This Row],[Forecast Finish]])</f>
        <v/>
      </c>
      <c r="AL20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1" s="43" t="str">
        <f aca="false">IF(Tasks[[#This Row],[Task Name]]="","",Tasks[[#This Row],[Work]])</f>
        <v/>
      </c>
      <c r="AN201" s="44" t="str">
        <f aca="false">IF(Tasks[[#This Row],[Task Name]]="","",Tasks[[#This Row],[Cost]])</f>
        <v/>
      </c>
      <c r="AO201" s="29"/>
      <c r="AP201" s="29"/>
      <c r="AQ201" s="39"/>
      <c r="AR201" s="45"/>
      <c r="AS201" s="46"/>
      <c r="AT201" s="40" t="str">
        <f aca="false">IF(OR(Tasks[[#This Row],[Task Name]]="",Tasks[[#This Row],[Baseline Duration]]=""),"",Tasks[[#This Row],[BL Source Duration]]-N(Tasks[[#This Row],[Baseline Duration]]))</f>
        <v/>
      </c>
      <c r="AU201" s="43" t="str">
        <f aca="false">IF(OR(Tasks[[#This Row],[Task Name]]="",Tasks[[#This Row],[Baseline Work]]=""),"",Tasks[[#This Row],[Work]]-N(Tasks[[#This Row],[Baseline Work]]))</f>
        <v/>
      </c>
      <c r="AV201" s="44" t="str">
        <f aca="false">IF(OR(Tasks[[#This Row],[Task Name]]="",Tasks[[#This Row],[Baseline Cost]]=""),"",Tasks[[#This Row],[Cost]]-N(Tasks[[#This Row],[Baseline Cost]]))</f>
        <v/>
      </c>
      <c r="AW201" s="47" t="str">
        <f aca="false">IF(Tasks[[#This Row],[Task Name]]="","",MAX(1,N(Tasks[[#This Row],[Level]])))</f>
        <v/>
      </c>
      <c r="AX201" s="47" t="n">
        <f aca="false">ROW()-ROW(Tasks[[#Headers],[ID]])</f>
        <v>196</v>
      </c>
      <c r="AY20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1" s="47" t="n">
        <f aca="false">IFERROR(N(INDEX(Tasks[_Level],Tasks[[#This Row],[_Row]]+1)),0)</f>
        <v>0</v>
      </c>
      <c r="BA201" s="48" t="b">
        <f aca="false">AND(Tasks[[#This Row],[Task Name]]&lt;&gt;"",Tasks[[#This Row],[_NextLevel]]&gt;Tasks[[#This Row],[_Level]])</f>
        <v>0</v>
      </c>
      <c r="BB201" s="47" t="n">
        <f aca="false">IF(Tasks[[#This Row],[_IsSummary]],COUNTIF(Tasks[WBS],Tasks[[#This Row],[WBS]]&amp;".*"),0)</f>
        <v>0</v>
      </c>
      <c r="BC201" s="47" t="n">
        <f aca="false">IF(AND(Tasks[[#This Row],[Task Name]]&lt;&gt;"",NOT(Tasks[[#This Row],[_IsSummary]])),1,0)</f>
        <v>0</v>
      </c>
      <c r="BD201" s="47" t="n">
        <f aca="false">IF(N(Tasks[[#This Row],[Pred1 UID]])=0,0,IFERROR(MATCH(Tasks[[#This Row],[Pred1 UID]],Tasks[UID],0),-1))</f>
        <v>0</v>
      </c>
      <c r="BE201" s="47" t="n">
        <f aca="false">IF(N(Tasks[[#This Row],[Pred2 UID]])=0,0,IFERROR(MATCH(Tasks[[#This Row],[Pred2 UID]],Tasks[UID],0),-1))</f>
        <v>0</v>
      </c>
      <c r="BF20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1" s="47" t="n">
        <f aca="false">IF(NOT(Tasks[[#This Row],[_IsLeaf]]=1),0,IF(N(Tasks[[#This Row],[Actual Finish]])&gt;0,1,MIN(1,N(Tasks[[#This Row],[% Complete]]))))</f>
        <v>0</v>
      </c>
      <c r="BK20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01" s="47" t="n">
        <f aca="false">IF(Tasks[[#This Row],[_LeafWork]]=0,0,Tasks[[#This Row],[_LeafWork]]*IFERROR(INDEX(res_Rate,MATCH(Tasks[[#This Row],[Resource]],res_Name,0)),0))</f>
        <v>0</v>
      </c>
      <c r="BM20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0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0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0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0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0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01" s="47" t="n">
        <f aca="false">IF(AND(Tasks[[#This Row],[_IsLeaf]]=1,Tasks[[#This Row],[_LeafWork]]&gt;0),NETWORKDAYS.INTL(ProjectStart,Tasks[[#This Row],[_LeafFcstStart]],WorkWeek,Holidays),0)</f>
        <v>0</v>
      </c>
      <c r="BV20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1" s="47" t="n">
        <f aca="false">IF(AND(Tasks[[#This Row],[_IsLeaf]]=1,Tasks[[#This Row],[_LeafWork]]&gt;0),Tasks[[#This Row],[_LeafWork]]/(Tasks[[#This Row],[_FinishWorkday]]-Tasks[[#This Row],[_StartWorkday]]+1),0)</f>
        <v>0</v>
      </c>
      <c r="BX201" s="47" t="n">
        <f aca="false">Tasks[[#This Row],[_WorkPerWorkday]]*(Tasks[[#This Row],[_StartWorkday]]-1)</f>
        <v>-0</v>
      </c>
      <c r="BY201" s="47" t="n">
        <f aca="false">IF(Tasks[[#This Row],[_IsLeaf]]=1,MAX(N(Tasks[[#This Row],[Duration]]),0.1),0)</f>
        <v>0</v>
      </c>
      <c r="BZ201" s="47" t="n">
        <f aca="false">Tasks[[#This Row],[_WeightDur]]*Tasks[[#This Row],[_LeafProgress]]</f>
        <v>0</v>
      </c>
      <c r="CA20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2" customFormat="false" ht="15" hidden="false" customHeight="false" outlineLevel="0" collapsed="false">
      <c r="A202" s="38" t="str">
        <f aca="false">IF(Tasks[[#This Row],[Task Name]]="","",COUNTA(Tasks[[#Headers],[Task Name]]:Tasks[[#This Row],[Task Name]])-1)</f>
        <v/>
      </c>
      <c r="B202" s="39" t="n">
        <v>197</v>
      </c>
      <c r="C20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2" s="39"/>
      <c r="E202" s="41"/>
      <c r="F202" s="39"/>
      <c r="G202" s="39"/>
      <c r="H202" s="39"/>
      <c r="I202" s="39"/>
      <c r="J202" s="39"/>
      <c r="K202" s="39"/>
      <c r="L202" s="39"/>
      <c r="M202" s="39"/>
      <c r="N202" s="29"/>
      <c r="O202" s="29"/>
      <c r="P202" s="24" t="str">
        <f aca="false">IF(Tasks[[#This Row],[Task Name]]="","",IF(N(Tasks[[#This Row],[Baseline Start]])&gt;0,Tasks[[#This Row],[Baseline Start]],Tasks[[#This Row],[_CalcStart]]))</f>
        <v/>
      </c>
      <c r="Q202" s="24" t="str">
        <f aca="false">IF(Tasks[[#This Row],[Task Name]]="","",IF(N(Tasks[[#This Row],[Baseline Finish]])&gt;0,Tasks[[#This Row],[Baseline Finish]],Tasks[[#This Row],[_CalcFinish]]))</f>
        <v/>
      </c>
      <c r="R202" s="29"/>
      <c r="S202" s="29"/>
      <c r="T20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2" s="31"/>
      <c r="AA20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2" s="41"/>
      <c r="AD202" s="31"/>
      <c r="AE20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2" s="41"/>
      <c r="AJ202" s="24" t="str">
        <f aca="false">IF(Tasks[[#This Row],[Task Name]]="","",Tasks[[#This Row],[Forecast Start]])</f>
        <v/>
      </c>
      <c r="AK202" s="24" t="str">
        <f aca="false">IF(Tasks[[#This Row],[Task Name]]="","",Tasks[[#This Row],[Forecast Finish]])</f>
        <v/>
      </c>
      <c r="AL20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2" s="43" t="str">
        <f aca="false">IF(Tasks[[#This Row],[Task Name]]="","",Tasks[[#This Row],[Work]])</f>
        <v/>
      </c>
      <c r="AN202" s="44" t="str">
        <f aca="false">IF(Tasks[[#This Row],[Task Name]]="","",Tasks[[#This Row],[Cost]])</f>
        <v/>
      </c>
      <c r="AO202" s="29"/>
      <c r="AP202" s="29"/>
      <c r="AQ202" s="39"/>
      <c r="AR202" s="45"/>
      <c r="AS202" s="46"/>
      <c r="AT202" s="40" t="str">
        <f aca="false">IF(OR(Tasks[[#This Row],[Task Name]]="",Tasks[[#This Row],[Baseline Duration]]=""),"",Tasks[[#This Row],[BL Source Duration]]-N(Tasks[[#This Row],[Baseline Duration]]))</f>
        <v/>
      </c>
      <c r="AU202" s="43" t="str">
        <f aca="false">IF(OR(Tasks[[#This Row],[Task Name]]="",Tasks[[#This Row],[Baseline Work]]=""),"",Tasks[[#This Row],[Work]]-N(Tasks[[#This Row],[Baseline Work]]))</f>
        <v/>
      </c>
      <c r="AV202" s="44" t="str">
        <f aca="false">IF(OR(Tasks[[#This Row],[Task Name]]="",Tasks[[#This Row],[Baseline Cost]]=""),"",Tasks[[#This Row],[Cost]]-N(Tasks[[#This Row],[Baseline Cost]]))</f>
        <v/>
      </c>
      <c r="AW202" s="47" t="str">
        <f aca="false">IF(Tasks[[#This Row],[Task Name]]="","",MAX(1,N(Tasks[[#This Row],[Level]])))</f>
        <v/>
      </c>
      <c r="AX202" s="47" t="n">
        <f aca="false">ROW()-ROW(Tasks[[#Headers],[ID]])</f>
        <v>197</v>
      </c>
      <c r="AY20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2" s="47" t="n">
        <f aca="false">IFERROR(N(INDEX(Tasks[_Level],Tasks[[#This Row],[_Row]]+1)),0)</f>
        <v>0</v>
      </c>
      <c r="BA202" s="48" t="b">
        <f aca="false">AND(Tasks[[#This Row],[Task Name]]&lt;&gt;"",Tasks[[#This Row],[_NextLevel]]&gt;Tasks[[#This Row],[_Level]])</f>
        <v>0</v>
      </c>
      <c r="BB202" s="47" t="n">
        <f aca="false">IF(Tasks[[#This Row],[_IsSummary]],COUNTIF(Tasks[WBS],Tasks[[#This Row],[WBS]]&amp;".*"),0)</f>
        <v>0</v>
      </c>
      <c r="BC202" s="47" t="n">
        <f aca="false">IF(AND(Tasks[[#This Row],[Task Name]]&lt;&gt;"",NOT(Tasks[[#This Row],[_IsSummary]])),1,0)</f>
        <v>0</v>
      </c>
      <c r="BD202" s="47" t="n">
        <f aca="false">IF(N(Tasks[[#This Row],[Pred1 UID]])=0,0,IFERROR(MATCH(Tasks[[#This Row],[Pred1 UID]],Tasks[UID],0),-1))</f>
        <v>0</v>
      </c>
      <c r="BE202" s="47" t="n">
        <f aca="false">IF(N(Tasks[[#This Row],[Pred2 UID]])=0,0,IFERROR(MATCH(Tasks[[#This Row],[Pred2 UID]],Tasks[UID],0),-1))</f>
        <v>0</v>
      </c>
      <c r="BF20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2" s="47" t="n">
        <f aca="false">IF(NOT(Tasks[[#This Row],[_IsLeaf]]=1),0,IF(N(Tasks[[#This Row],[Actual Finish]])&gt;0,1,MIN(1,N(Tasks[[#This Row],[% Complete]]))))</f>
        <v>0</v>
      </c>
      <c r="BK20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02" s="47" t="n">
        <f aca="false">IF(Tasks[[#This Row],[_LeafWork]]=0,0,Tasks[[#This Row],[_LeafWork]]*IFERROR(INDEX(res_Rate,MATCH(Tasks[[#This Row],[Resource]],res_Name,0)),0))</f>
        <v>0</v>
      </c>
      <c r="BM20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0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0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0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0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0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02" s="47" t="n">
        <f aca="false">IF(AND(Tasks[[#This Row],[_IsLeaf]]=1,Tasks[[#This Row],[_LeafWork]]&gt;0),NETWORKDAYS.INTL(ProjectStart,Tasks[[#This Row],[_LeafFcstStart]],WorkWeek,Holidays),0)</f>
        <v>0</v>
      </c>
      <c r="BV20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2" s="47" t="n">
        <f aca="false">IF(AND(Tasks[[#This Row],[_IsLeaf]]=1,Tasks[[#This Row],[_LeafWork]]&gt;0),Tasks[[#This Row],[_LeafWork]]/(Tasks[[#This Row],[_FinishWorkday]]-Tasks[[#This Row],[_StartWorkday]]+1),0)</f>
        <v>0</v>
      </c>
      <c r="BX202" s="47" t="n">
        <f aca="false">Tasks[[#This Row],[_WorkPerWorkday]]*(Tasks[[#This Row],[_StartWorkday]]-1)</f>
        <v>-0</v>
      </c>
      <c r="BY202" s="47" t="n">
        <f aca="false">IF(Tasks[[#This Row],[_IsLeaf]]=1,MAX(N(Tasks[[#This Row],[Duration]]),0.1),0)</f>
        <v>0</v>
      </c>
      <c r="BZ202" s="47" t="n">
        <f aca="false">Tasks[[#This Row],[_WeightDur]]*Tasks[[#This Row],[_LeafProgress]]</f>
        <v>0</v>
      </c>
      <c r="CA20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3" customFormat="false" ht="15" hidden="false" customHeight="false" outlineLevel="0" collapsed="false">
      <c r="A203" s="38" t="str">
        <f aca="false">IF(Tasks[[#This Row],[Task Name]]="","",COUNTA(Tasks[[#Headers],[Task Name]]:Tasks[[#This Row],[Task Name]])-1)</f>
        <v/>
      </c>
      <c r="B203" s="39" t="n">
        <v>198</v>
      </c>
      <c r="C20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3" s="39"/>
      <c r="E203" s="41"/>
      <c r="F203" s="39"/>
      <c r="G203" s="39"/>
      <c r="H203" s="39"/>
      <c r="I203" s="39"/>
      <c r="J203" s="39"/>
      <c r="K203" s="39"/>
      <c r="L203" s="39"/>
      <c r="M203" s="39"/>
      <c r="N203" s="29"/>
      <c r="O203" s="29"/>
      <c r="P203" s="24" t="str">
        <f aca="false">IF(Tasks[[#This Row],[Task Name]]="","",IF(N(Tasks[[#This Row],[Baseline Start]])&gt;0,Tasks[[#This Row],[Baseline Start]],Tasks[[#This Row],[_CalcStart]]))</f>
        <v/>
      </c>
      <c r="Q203" s="24" t="str">
        <f aca="false">IF(Tasks[[#This Row],[Task Name]]="","",IF(N(Tasks[[#This Row],[Baseline Finish]])&gt;0,Tasks[[#This Row],[Baseline Finish]],Tasks[[#This Row],[_CalcFinish]]))</f>
        <v/>
      </c>
      <c r="R203" s="29"/>
      <c r="S203" s="29"/>
      <c r="T20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3" s="31"/>
      <c r="AA20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3" s="41"/>
      <c r="AD203" s="31"/>
      <c r="AE20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3" s="41"/>
      <c r="AJ203" s="24" t="str">
        <f aca="false">IF(Tasks[[#This Row],[Task Name]]="","",Tasks[[#This Row],[Forecast Start]])</f>
        <v/>
      </c>
      <c r="AK203" s="24" t="str">
        <f aca="false">IF(Tasks[[#This Row],[Task Name]]="","",Tasks[[#This Row],[Forecast Finish]])</f>
        <v/>
      </c>
      <c r="AL20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3" s="43" t="str">
        <f aca="false">IF(Tasks[[#This Row],[Task Name]]="","",Tasks[[#This Row],[Work]])</f>
        <v/>
      </c>
      <c r="AN203" s="44" t="str">
        <f aca="false">IF(Tasks[[#This Row],[Task Name]]="","",Tasks[[#This Row],[Cost]])</f>
        <v/>
      </c>
      <c r="AO203" s="29"/>
      <c r="AP203" s="29"/>
      <c r="AQ203" s="39"/>
      <c r="AR203" s="45"/>
      <c r="AS203" s="46"/>
      <c r="AT203" s="40" t="str">
        <f aca="false">IF(OR(Tasks[[#This Row],[Task Name]]="",Tasks[[#This Row],[Baseline Duration]]=""),"",Tasks[[#This Row],[BL Source Duration]]-N(Tasks[[#This Row],[Baseline Duration]]))</f>
        <v/>
      </c>
      <c r="AU203" s="43" t="str">
        <f aca="false">IF(OR(Tasks[[#This Row],[Task Name]]="",Tasks[[#This Row],[Baseline Work]]=""),"",Tasks[[#This Row],[Work]]-N(Tasks[[#This Row],[Baseline Work]]))</f>
        <v/>
      </c>
      <c r="AV203" s="44" t="str">
        <f aca="false">IF(OR(Tasks[[#This Row],[Task Name]]="",Tasks[[#This Row],[Baseline Cost]]=""),"",Tasks[[#This Row],[Cost]]-N(Tasks[[#This Row],[Baseline Cost]]))</f>
        <v/>
      </c>
      <c r="AW203" s="47" t="str">
        <f aca="false">IF(Tasks[[#This Row],[Task Name]]="","",MAX(1,N(Tasks[[#This Row],[Level]])))</f>
        <v/>
      </c>
      <c r="AX203" s="47" t="n">
        <f aca="false">ROW()-ROW(Tasks[[#Headers],[ID]])</f>
        <v>198</v>
      </c>
      <c r="AY20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3" s="47" t="n">
        <f aca="false">IFERROR(N(INDEX(Tasks[_Level],Tasks[[#This Row],[_Row]]+1)),0)</f>
        <v>0</v>
      </c>
      <c r="BA203" s="48" t="b">
        <f aca="false">AND(Tasks[[#This Row],[Task Name]]&lt;&gt;"",Tasks[[#This Row],[_NextLevel]]&gt;Tasks[[#This Row],[_Level]])</f>
        <v>0</v>
      </c>
      <c r="BB203" s="47" t="n">
        <f aca="false">IF(Tasks[[#This Row],[_IsSummary]],COUNTIF(Tasks[WBS],Tasks[[#This Row],[WBS]]&amp;".*"),0)</f>
        <v>0</v>
      </c>
      <c r="BC203" s="47" t="n">
        <f aca="false">IF(AND(Tasks[[#This Row],[Task Name]]&lt;&gt;"",NOT(Tasks[[#This Row],[_IsSummary]])),1,0)</f>
        <v>0</v>
      </c>
      <c r="BD203" s="47" t="n">
        <f aca="false">IF(N(Tasks[[#This Row],[Pred1 UID]])=0,0,IFERROR(MATCH(Tasks[[#This Row],[Pred1 UID]],Tasks[UID],0),-1))</f>
        <v>0</v>
      </c>
      <c r="BE203" s="47" t="n">
        <f aca="false">IF(N(Tasks[[#This Row],[Pred2 UID]])=0,0,IFERROR(MATCH(Tasks[[#This Row],[Pred2 UID]],Tasks[UID],0),-1))</f>
        <v>0</v>
      </c>
      <c r="BF20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3" s="47" t="n">
        <f aca="false">IF(NOT(Tasks[[#This Row],[_IsLeaf]]=1),0,IF(N(Tasks[[#This Row],[Actual Finish]])&gt;0,1,MIN(1,N(Tasks[[#This Row],[% Complete]]))))</f>
        <v>0</v>
      </c>
      <c r="BK20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03" s="47" t="n">
        <f aca="false">IF(Tasks[[#This Row],[_LeafWork]]=0,0,Tasks[[#This Row],[_LeafWork]]*IFERROR(INDEX(res_Rate,MATCH(Tasks[[#This Row],[Resource]],res_Name,0)),0))</f>
        <v>0</v>
      </c>
      <c r="BM20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0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0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0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0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0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03" s="47" t="n">
        <f aca="false">IF(AND(Tasks[[#This Row],[_IsLeaf]]=1,Tasks[[#This Row],[_LeafWork]]&gt;0),NETWORKDAYS.INTL(ProjectStart,Tasks[[#This Row],[_LeafFcstStart]],WorkWeek,Holidays),0)</f>
        <v>0</v>
      </c>
      <c r="BV20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3" s="47" t="n">
        <f aca="false">IF(AND(Tasks[[#This Row],[_IsLeaf]]=1,Tasks[[#This Row],[_LeafWork]]&gt;0),Tasks[[#This Row],[_LeafWork]]/(Tasks[[#This Row],[_FinishWorkday]]-Tasks[[#This Row],[_StartWorkday]]+1),0)</f>
        <v>0</v>
      </c>
      <c r="BX203" s="47" t="n">
        <f aca="false">Tasks[[#This Row],[_WorkPerWorkday]]*(Tasks[[#This Row],[_StartWorkday]]-1)</f>
        <v>-0</v>
      </c>
      <c r="BY203" s="47" t="n">
        <f aca="false">IF(Tasks[[#This Row],[_IsLeaf]]=1,MAX(N(Tasks[[#This Row],[Duration]]),0.1),0)</f>
        <v>0</v>
      </c>
      <c r="BZ203" s="47" t="n">
        <f aca="false">Tasks[[#This Row],[_WeightDur]]*Tasks[[#This Row],[_LeafProgress]]</f>
        <v>0</v>
      </c>
      <c r="CA20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4" customFormat="false" ht="15" hidden="false" customHeight="false" outlineLevel="0" collapsed="false">
      <c r="A204" s="38" t="str">
        <f aca="false">IF(Tasks[[#This Row],[Task Name]]="","",COUNTA(Tasks[[#Headers],[Task Name]]:Tasks[[#This Row],[Task Name]])-1)</f>
        <v/>
      </c>
      <c r="B204" s="39" t="n">
        <v>199</v>
      </c>
      <c r="C20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4" s="39"/>
      <c r="E204" s="41"/>
      <c r="F204" s="39"/>
      <c r="G204" s="39"/>
      <c r="H204" s="39"/>
      <c r="I204" s="39"/>
      <c r="J204" s="39"/>
      <c r="K204" s="39"/>
      <c r="L204" s="39"/>
      <c r="M204" s="39"/>
      <c r="N204" s="29"/>
      <c r="O204" s="29"/>
      <c r="P204" s="24" t="str">
        <f aca="false">IF(Tasks[[#This Row],[Task Name]]="","",IF(N(Tasks[[#This Row],[Baseline Start]])&gt;0,Tasks[[#This Row],[Baseline Start]],Tasks[[#This Row],[_CalcStart]]))</f>
        <v/>
      </c>
      <c r="Q204" s="24" t="str">
        <f aca="false">IF(Tasks[[#This Row],[Task Name]]="","",IF(N(Tasks[[#This Row],[Baseline Finish]])&gt;0,Tasks[[#This Row],[Baseline Finish]],Tasks[[#This Row],[_CalcFinish]]))</f>
        <v/>
      </c>
      <c r="R204" s="29"/>
      <c r="S204" s="29"/>
      <c r="T20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4" s="31"/>
      <c r="AA20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4" s="41"/>
      <c r="AD204" s="31"/>
      <c r="AE20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4" s="41"/>
      <c r="AJ204" s="24" t="str">
        <f aca="false">IF(Tasks[[#This Row],[Task Name]]="","",Tasks[[#This Row],[Forecast Start]])</f>
        <v/>
      </c>
      <c r="AK204" s="24" t="str">
        <f aca="false">IF(Tasks[[#This Row],[Task Name]]="","",Tasks[[#This Row],[Forecast Finish]])</f>
        <v/>
      </c>
      <c r="AL20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4" s="43" t="str">
        <f aca="false">IF(Tasks[[#This Row],[Task Name]]="","",Tasks[[#This Row],[Work]])</f>
        <v/>
      </c>
      <c r="AN204" s="44" t="str">
        <f aca="false">IF(Tasks[[#This Row],[Task Name]]="","",Tasks[[#This Row],[Cost]])</f>
        <v/>
      </c>
      <c r="AO204" s="29"/>
      <c r="AP204" s="29"/>
      <c r="AQ204" s="39"/>
      <c r="AR204" s="45"/>
      <c r="AS204" s="46"/>
      <c r="AT204" s="40" t="str">
        <f aca="false">IF(OR(Tasks[[#This Row],[Task Name]]="",Tasks[[#This Row],[Baseline Duration]]=""),"",Tasks[[#This Row],[BL Source Duration]]-N(Tasks[[#This Row],[Baseline Duration]]))</f>
        <v/>
      </c>
      <c r="AU204" s="43" t="str">
        <f aca="false">IF(OR(Tasks[[#This Row],[Task Name]]="",Tasks[[#This Row],[Baseline Work]]=""),"",Tasks[[#This Row],[Work]]-N(Tasks[[#This Row],[Baseline Work]]))</f>
        <v/>
      </c>
      <c r="AV204" s="44" t="str">
        <f aca="false">IF(OR(Tasks[[#This Row],[Task Name]]="",Tasks[[#This Row],[Baseline Cost]]=""),"",Tasks[[#This Row],[Cost]]-N(Tasks[[#This Row],[Baseline Cost]]))</f>
        <v/>
      </c>
      <c r="AW204" s="47" t="str">
        <f aca="false">IF(Tasks[[#This Row],[Task Name]]="","",MAX(1,N(Tasks[[#This Row],[Level]])))</f>
        <v/>
      </c>
      <c r="AX204" s="47" t="n">
        <f aca="false">ROW()-ROW(Tasks[[#Headers],[ID]])</f>
        <v>199</v>
      </c>
      <c r="AY20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4" s="47" t="n">
        <f aca="false">IFERROR(N(INDEX(Tasks[_Level],Tasks[[#This Row],[_Row]]+1)),0)</f>
        <v>0</v>
      </c>
      <c r="BA204" s="48" t="b">
        <f aca="false">AND(Tasks[[#This Row],[Task Name]]&lt;&gt;"",Tasks[[#This Row],[_NextLevel]]&gt;Tasks[[#This Row],[_Level]])</f>
        <v>0</v>
      </c>
      <c r="BB204" s="47" t="n">
        <f aca="false">IF(Tasks[[#This Row],[_IsSummary]],COUNTIF(Tasks[WBS],Tasks[[#This Row],[WBS]]&amp;".*"),0)</f>
        <v>0</v>
      </c>
      <c r="BC204" s="47" t="n">
        <f aca="false">IF(AND(Tasks[[#This Row],[Task Name]]&lt;&gt;"",NOT(Tasks[[#This Row],[_IsSummary]])),1,0)</f>
        <v>0</v>
      </c>
      <c r="BD204" s="47" t="n">
        <f aca="false">IF(N(Tasks[[#This Row],[Pred1 UID]])=0,0,IFERROR(MATCH(Tasks[[#This Row],[Pred1 UID]],Tasks[UID],0),-1))</f>
        <v>0</v>
      </c>
      <c r="BE204" s="47" t="n">
        <f aca="false">IF(N(Tasks[[#This Row],[Pred2 UID]])=0,0,IFERROR(MATCH(Tasks[[#This Row],[Pred2 UID]],Tasks[UID],0),-1))</f>
        <v>0</v>
      </c>
      <c r="BF20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4" s="47" t="n">
        <f aca="false">IF(NOT(Tasks[[#This Row],[_IsLeaf]]=1),0,IF(N(Tasks[[#This Row],[Actual Finish]])&gt;0,1,MIN(1,N(Tasks[[#This Row],[% Complete]]))))</f>
        <v>0</v>
      </c>
      <c r="BK20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04" s="47" t="n">
        <f aca="false">IF(Tasks[[#This Row],[_LeafWork]]=0,0,Tasks[[#This Row],[_LeafWork]]*IFERROR(INDEX(res_Rate,MATCH(Tasks[[#This Row],[Resource]],res_Name,0)),0))</f>
        <v>0</v>
      </c>
      <c r="BM20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0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0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0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0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0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04" s="47" t="n">
        <f aca="false">IF(AND(Tasks[[#This Row],[_IsLeaf]]=1,Tasks[[#This Row],[_LeafWork]]&gt;0),NETWORKDAYS.INTL(ProjectStart,Tasks[[#This Row],[_LeafFcstStart]],WorkWeek,Holidays),0)</f>
        <v>0</v>
      </c>
      <c r="BV20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4" s="47" t="n">
        <f aca="false">IF(AND(Tasks[[#This Row],[_IsLeaf]]=1,Tasks[[#This Row],[_LeafWork]]&gt;0),Tasks[[#This Row],[_LeafWork]]/(Tasks[[#This Row],[_FinishWorkday]]-Tasks[[#This Row],[_StartWorkday]]+1),0)</f>
        <v>0</v>
      </c>
      <c r="BX204" s="47" t="n">
        <f aca="false">Tasks[[#This Row],[_WorkPerWorkday]]*(Tasks[[#This Row],[_StartWorkday]]-1)</f>
        <v>-0</v>
      </c>
      <c r="BY204" s="47" t="n">
        <f aca="false">IF(Tasks[[#This Row],[_IsLeaf]]=1,MAX(N(Tasks[[#This Row],[Duration]]),0.1),0)</f>
        <v>0</v>
      </c>
      <c r="BZ204" s="47" t="n">
        <f aca="false">Tasks[[#This Row],[_WeightDur]]*Tasks[[#This Row],[_LeafProgress]]</f>
        <v>0</v>
      </c>
      <c r="CA20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5" customFormat="false" ht="15" hidden="false" customHeight="false" outlineLevel="0" collapsed="false">
      <c r="A205" s="38" t="str">
        <f aca="false">IF(Tasks[[#This Row],[Task Name]]="","",COUNTA(Tasks[[#Headers],[Task Name]]:Tasks[[#This Row],[Task Name]])-1)</f>
        <v/>
      </c>
      <c r="B205" s="39" t="n">
        <v>200</v>
      </c>
      <c r="C20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5" s="39"/>
      <c r="E205" s="41"/>
      <c r="F205" s="39"/>
      <c r="G205" s="39"/>
      <c r="H205" s="39"/>
      <c r="I205" s="39"/>
      <c r="J205" s="39"/>
      <c r="K205" s="39"/>
      <c r="L205" s="39"/>
      <c r="M205" s="39"/>
      <c r="N205" s="29"/>
      <c r="O205" s="29"/>
      <c r="P205" s="24" t="str">
        <f aca="false">IF(Tasks[[#This Row],[Task Name]]="","",IF(N(Tasks[[#This Row],[Baseline Start]])&gt;0,Tasks[[#This Row],[Baseline Start]],Tasks[[#This Row],[_CalcStart]]))</f>
        <v/>
      </c>
      <c r="Q205" s="24" t="str">
        <f aca="false">IF(Tasks[[#This Row],[Task Name]]="","",IF(N(Tasks[[#This Row],[Baseline Finish]])&gt;0,Tasks[[#This Row],[Baseline Finish]],Tasks[[#This Row],[_CalcFinish]]))</f>
        <v/>
      </c>
      <c r="R205" s="29"/>
      <c r="S205" s="29"/>
      <c r="T20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5" s="31"/>
      <c r="AA20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5" s="41"/>
      <c r="AD205" s="31"/>
      <c r="AE20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5" s="41"/>
      <c r="AJ205" s="24" t="str">
        <f aca="false">IF(Tasks[[#This Row],[Task Name]]="","",Tasks[[#This Row],[Forecast Start]])</f>
        <v/>
      </c>
      <c r="AK205" s="24" t="str">
        <f aca="false">IF(Tasks[[#This Row],[Task Name]]="","",Tasks[[#This Row],[Forecast Finish]])</f>
        <v/>
      </c>
      <c r="AL20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5" s="43" t="str">
        <f aca="false">IF(Tasks[[#This Row],[Task Name]]="","",Tasks[[#This Row],[Work]])</f>
        <v/>
      </c>
      <c r="AN205" s="44" t="str">
        <f aca="false">IF(Tasks[[#This Row],[Task Name]]="","",Tasks[[#This Row],[Cost]])</f>
        <v/>
      </c>
      <c r="AO205" s="29"/>
      <c r="AP205" s="29"/>
      <c r="AQ205" s="39"/>
      <c r="AR205" s="45"/>
      <c r="AS205" s="46"/>
      <c r="AT205" s="40" t="str">
        <f aca="false">IF(OR(Tasks[[#This Row],[Task Name]]="",Tasks[[#This Row],[Baseline Duration]]=""),"",Tasks[[#This Row],[BL Source Duration]]-N(Tasks[[#This Row],[Baseline Duration]]))</f>
        <v/>
      </c>
      <c r="AU205" s="43" t="str">
        <f aca="false">IF(OR(Tasks[[#This Row],[Task Name]]="",Tasks[[#This Row],[Baseline Work]]=""),"",Tasks[[#This Row],[Work]]-N(Tasks[[#This Row],[Baseline Work]]))</f>
        <v/>
      </c>
      <c r="AV205" s="44" t="str">
        <f aca="false">IF(OR(Tasks[[#This Row],[Task Name]]="",Tasks[[#This Row],[Baseline Cost]]=""),"",Tasks[[#This Row],[Cost]]-N(Tasks[[#This Row],[Baseline Cost]]))</f>
        <v/>
      </c>
      <c r="AW205" s="47" t="str">
        <f aca="false">IF(Tasks[[#This Row],[Task Name]]="","",MAX(1,N(Tasks[[#This Row],[Level]])))</f>
        <v/>
      </c>
      <c r="AX205" s="47" t="n">
        <f aca="false">ROW()-ROW(Tasks[[#Headers],[ID]])</f>
        <v>200</v>
      </c>
      <c r="AY20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5" s="47" t="n">
        <f aca="false">IFERROR(N(INDEX(Tasks[_Level],Tasks[[#This Row],[_Row]]+1)),0)</f>
        <v>0</v>
      </c>
      <c r="BA205" s="48" t="b">
        <f aca="false">AND(Tasks[[#This Row],[Task Name]]&lt;&gt;"",Tasks[[#This Row],[_NextLevel]]&gt;Tasks[[#This Row],[_Level]])</f>
        <v>0</v>
      </c>
      <c r="BB205" s="47" t="n">
        <f aca="false">IF(Tasks[[#This Row],[_IsSummary]],COUNTIF(Tasks[WBS],Tasks[[#This Row],[WBS]]&amp;".*"),0)</f>
        <v>0</v>
      </c>
      <c r="BC205" s="47" t="n">
        <f aca="false">IF(AND(Tasks[[#This Row],[Task Name]]&lt;&gt;"",NOT(Tasks[[#This Row],[_IsSummary]])),1,0)</f>
        <v>0</v>
      </c>
      <c r="BD205" s="47" t="n">
        <f aca="false">IF(N(Tasks[[#This Row],[Pred1 UID]])=0,0,IFERROR(MATCH(Tasks[[#This Row],[Pred1 UID]],Tasks[UID],0),-1))</f>
        <v>0</v>
      </c>
      <c r="BE205" s="47" t="n">
        <f aca="false">IF(N(Tasks[[#This Row],[Pred2 UID]])=0,0,IFERROR(MATCH(Tasks[[#This Row],[Pred2 UID]],Tasks[UID],0),-1))</f>
        <v>0</v>
      </c>
      <c r="BF20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5" s="47" t="n">
        <f aca="false">IF(NOT(Tasks[[#This Row],[_IsLeaf]]=1),0,IF(N(Tasks[[#This Row],[Actual Finish]])&gt;0,1,MIN(1,N(Tasks[[#This Row],[% Complete]]))))</f>
        <v>0</v>
      </c>
      <c r="BK20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05" s="47" t="n">
        <f aca="false">IF(Tasks[[#This Row],[_LeafWork]]=0,0,Tasks[[#This Row],[_LeafWork]]*IFERROR(INDEX(res_Rate,MATCH(Tasks[[#This Row],[Resource]],res_Name,0)),0))</f>
        <v>0</v>
      </c>
      <c r="BM20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BP20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BQ20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BR20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BS20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BT20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BU205" s="47" t="n">
        <f aca="false">IF(AND(Tasks[[#This Row],[_IsLeaf]]=1,Tasks[[#This Row],[_LeafWork]]&gt;0),NETWORKDAYS.INTL(ProjectStart,Tasks[[#This Row],[_LeafFcstStart]],WorkWeek,Holidays),0)</f>
        <v>0</v>
      </c>
      <c r="BV20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5" s="47" t="n">
        <f aca="false">IF(AND(Tasks[[#This Row],[_IsLeaf]]=1,Tasks[[#This Row],[_LeafWork]]&gt;0),Tasks[[#This Row],[_LeafWork]]/(Tasks[[#This Row],[_FinishWorkday]]-Tasks[[#This Row],[_StartWorkday]]+1),0)</f>
        <v>0</v>
      </c>
      <c r="BX205" s="47" t="n">
        <f aca="false">Tasks[[#This Row],[_WorkPerWorkday]]*(Tasks[[#This Row],[_StartWorkday]]-1)</f>
        <v>-0</v>
      </c>
      <c r="BY205" s="47" t="n">
        <f aca="false">IF(Tasks[[#This Row],[_IsLeaf]]=1,MAX(N(Tasks[[#This Row],[Duration]]),0.1),0)</f>
        <v>0</v>
      </c>
      <c r="BZ205" s="47" t="n">
        <f aca="false">Tasks[[#This Row],[_WeightDur]]*Tasks[[#This Row],[_LeafProgress]]</f>
        <v>0</v>
      </c>
      <c r="CA20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5" s="47" t="str">
        <f aca="false">IF(AND(Tasks[[#This Row],[_IsLeaf]]=1,N(Tasks[[#This Row],[Duration]])=0,Tasks[[#This Row],[_LeafProgress]]&lt;1),Tasks[[#This Row],[_LeafFcstFinish]]+Tasks[[#This Row],[_Row]]/100000,"")</f>
        <v/>
      </c>
    </row>
  </sheetData>
  <conditionalFormatting sqref="A6:AV205">
    <cfRule type="expression" priority="2" aboveAverage="0" equalAverage="0" bottom="0" percent="0" rank="0" text="" dxfId="19">
      <formula>$BA6=1</formula>
    </cfRule>
  </conditionalFormatting>
  <conditionalFormatting sqref="G6:G205">
    <cfRule type="expression" priority="3" aboveAverage="0" equalAverage="0" bottom="0" percent="0" rank="0" text="" dxfId="20">
      <formula>$BA6=1</formula>
    </cfRule>
  </conditionalFormatting>
  <conditionalFormatting sqref="H6:H205">
    <cfRule type="expression" priority="4" aboveAverage="0" equalAverage="0" bottom="0" percent="0" rank="0" text="" dxfId="20">
      <formula>$BA6=1</formula>
    </cfRule>
  </conditionalFormatting>
  <conditionalFormatting sqref="I6:I205">
    <cfRule type="expression" priority="5" aboveAverage="0" equalAverage="0" bottom="0" percent="0" rank="0" text="" dxfId="20">
      <formula>$BA6=1</formula>
    </cfRule>
  </conditionalFormatting>
  <conditionalFormatting sqref="J6:J205">
    <cfRule type="expression" priority="6" aboveAverage="0" equalAverage="0" bottom="0" percent="0" rank="0" text="" dxfId="20">
      <formula>$BA6=1</formula>
    </cfRule>
  </conditionalFormatting>
  <conditionalFormatting sqref="K6:K205">
    <cfRule type="expression" priority="7" aboveAverage="0" equalAverage="0" bottom="0" percent="0" rank="0" text="" dxfId="20">
      <formula>$BA6=1</formula>
    </cfRule>
  </conditionalFormatting>
  <conditionalFormatting sqref="L6:L205">
    <cfRule type="expression" priority="8" aboveAverage="0" equalAverage="0" bottom="0" percent="0" rank="0" text="" dxfId="20">
      <formula>$BA6=1</formula>
    </cfRule>
  </conditionalFormatting>
  <conditionalFormatting sqref="M6:M205">
    <cfRule type="expression" priority="9" aboveAverage="0" equalAverage="0" bottom="0" percent="0" rank="0" text="" dxfId="20">
      <formula>$BA6=1</formula>
    </cfRule>
  </conditionalFormatting>
  <conditionalFormatting sqref="N6:N205">
    <cfRule type="expression" priority="10" aboveAverage="0" equalAverage="0" bottom="0" percent="0" rank="0" text="" dxfId="20">
      <formula>$BA6=1</formula>
    </cfRule>
  </conditionalFormatting>
  <conditionalFormatting sqref="R6:R205">
    <cfRule type="expression" priority="11" aboveAverage="0" equalAverage="0" bottom="0" percent="0" rank="0" text="" dxfId="20">
      <formula>$BA6=1</formula>
    </cfRule>
  </conditionalFormatting>
  <conditionalFormatting sqref="S6:S205">
    <cfRule type="expression" priority="12" aboveAverage="0" equalAverage="0" bottom="0" percent="0" rank="0" text="" dxfId="20">
      <formula>$BA6=1</formula>
    </cfRule>
  </conditionalFormatting>
  <conditionalFormatting sqref="Z6:Z205">
    <cfRule type="expression" priority="13" aboveAverage="0" equalAverage="0" bottom="0" percent="0" rank="0" text="" dxfId="20">
      <formula>$BA6=1</formula>
    </cfRule>
  </conditionalFormatting>
  <conditionalFormatting sqref="AC6:AC205">
    <cfRule type="expression" priority="14" aboveAverage="0" equalAverage="0" bottom="0" percent="0" rank="0" text="" dxfId="20">
      <formula>$BA6=1</formula>
    </cfRule>
  </conditionalFormatting>
  <conditionalFormatting sqref="AD6:AD205">
    <cfRule type="expression" priority="15" aboveAverage="0" equalAverage="0" bottom="0" percent="0" rank="0" text="" dxfId="20">
      <formula>$BA6=1</formula>
    </cfRule>
  </conditionalFormatting>
  <conditionalFormatting sqref="AB6:AB205">
    <cfRule type="expression" priority="16" aboveAverage="0" equalAverage="0" bottom="0" percent="0" rank="0" text="" dxfId="11">
      <formula>$AB6="Complete"</formula>
    </cfRule>
    <cfRule type="expression" priority="17" aboveAverage="0" equalAverage="0" bottom="0" percent="0" rank="0" text="" dxfId="21">
      <formula>$AB6="In Progress"</formula>
    </cfRule>
    <cfRule type="expression" priority="18" aboveAverage="0" equalAverage="0" bottom="0" percent="0" rank="0" text="" dxfId="22">
      <formula>$AB6="Behind"</formula>
    </cfRule>
    <cfRule type="expression" priority="19" aboveAverage="0" equalAverage="0" bottom="0" percent="0" rank="0" text="" dxfId="23">
      <formula>$AB6="Late Start"</formula>
    </cfRule>
    <cfRule type="expression" priority="20" aboveAverage="0" equalAverage="0" bottom="0" percent="0" rank="0" text="" dxfId="24">
      <formula>$AB6="Not Started"</formula>
    </cfRule>
  </conditionalFormatting>
  <conditionalFormatting sqref="V6:V205">
    <cfRule type="expression" priority="21" aboveAverage="0" equalAverage="0" bottom="0" percent="0" rank="0" text="" dxfId="22">
      <formula>AND(ISNUMBER($V6),$V6&gt;0)</formula>
    </cfRule>
    <cfRule type="expression" priority="22" aboveAverage="0" equalAverage="0" bottom="0" percent="0" rank="0" text="" dxfId="11">
      <formula>AND(ISNUMBER($V6),$V6&lt;0)</formula>
    </cfRule>
  </conditionalFormatting>
  <conditionalFormatting sqref="W6:W205">
    <cfRule type="expression" priority="23" aboveAverage="0" equalAverage="0" bottom="0" percent="0" rank="0" text="" dxfId="22">
      <formula>AND(ISNUMBER($W6),$W6&gt;0)</formula>
    </cfRule>
    <cfRule type="expression" priority="24" aboveAverage="0" equalAverage="0" bottom="0" percent="0" rank="0" text="" dxfId="11">
      <formula>AND(ISNUMBER($W6),$W6&lt;0)</formula>
    </cfRule>
  </conditionalFormatting>
  <conditionalFormatting sqref="AT6:AT205">
    <cfRule type="expression" priority="25" aboveAverage="0" equalAverage="0" bottom="0" percent="0" rank="0" text="" dxfId="22">
      <formula>AND(ISNUMBER($AT6),$AT6&gt;0)</formula>
    </cfRule>
    <cfRule type="expression" priority="26" aboveAverage="0" equalAverage="0" bottom="0" percent="0" rank="0" text="" dxfId="11">
      <formula>AND(ISNUMBER($AT6),$AT6&lt;0)</formula>
    </cfRule>
  </conditionalFormatting>
  <conditionalFormatting sqref="AU6:AU205">
    <cfRule type="expression" priority="27" aboveAverage="0" equalAverage="0" bottom="0" percent="0" rank="0" text="" dxfId="22">
      <formula>AND(ISNUMBER($AU6),$AU6&gt;0)</formula>
    </cfRule>
    <cfRule type="expression" priority="28" aboveAverage="0" equalAverage="0" bottom="0" percent="0" rank="0" text="" dxfId="11">
      <formula>AND(ISNUMBER($AU6),$AU6&lt;0)</formula>
    </cfRule>
  </conditionalFormatting>
  <conditionalFormatting sqref="AV6:AV205">
    <cfRule type="expression" priority="29" aboveAverage="0" equalAverage="0" bottom="0" percent="0" rank="0" text="" dxfId="22">
      <formula>AND(ISNUMBER($AV6),$AV6&gt;0)</formula>
    </cfRule>
    <cfRule type="expression" priority="30" aboveAverage="0" equalAverage="0" bottom="0" percent="0" rank="0" text="" dxfId="11">
      <formula>AND(ISNUMBER($AV6),$AV6&lt;0)</formula>
    </cfRule>
  </conditionalFormatting>
  <conditionalFormatting sqref="E6:E205">
    <cfRule type="expression" priority="31" aboveAverage="0" equalAverage="0" bottom="0" percent="0" rank="0" text="" dxfId="25">
      <formula>AND($BC6=1,N($G6)=0)</formula>
    </cfRule>
  </conditionalFormatting>
  <conditionalFormatting sqref="C6:C205">
    <cfRule type="expression" priority="32" aboveAverage="0" equalAverage="0" bottom="0" percent="0" rank="0" text="" dxfId="26">
      <formula>$C6="?"</formula>
    </cfRule>
  </conditionalFormatting>
  <conditionalFormatting sqref="B6:B205">
    <cfRule type="expression" priority="33" aboveAverage="0" equalAverage="0" bottom="0" percent="0" rank="0" text="" dxfId="27">
      <formula>OR(AND($E6&lt;&gt;"",$B6=""),AND($B6&lt;&gt;"",COUNTIF(tsk_UID,$B6)&gt;1))</formula>
    </cfRule>
  </conditionalFormatting>
  <conditionalFormatting sqref="Y6:Y205">
    <cfRule type="expression" priority="34" aboveAverage="0" equalAverage="0" bottom="0" percent="0" rank="0" text="" dxfId="28">
      <formula>$Y6&lt;&gt;""</formula>
    </cfRule>
  </conditionalFormatting>
  <conditionalFormatting sqref="X6:X205">
    <cfRule type="expression" priority="35" aboveAverage="0" equalAverage="0" bottom="0" percent="0" rank="0" text="" dxfId="22">
      <formula>LEFT($X6,4)="Late"</formula>
    </cfRule>
    <cfRule type="expression" priority="36" aboveAverage="0" equalAverage="0" bottom="0" percent="0" rank="0" text="" dxfId="11">
      <formula>$X6="OK"</formula>
    </cfRule>
  </conditionalFormatting>
  <dataValidations count="11">
    <dataValidation allowBlank="false" error="UID must be a whole number; give each task a different one (see Settings &gt; NextFreeUID)." errorStyle="stop" errorTitle="UID" operator="greaterThanOrEqual" showDropDown="false" showErrorMessage="true" showInputMessage="false" sqref="B6:B205" type="whole">
      <formula1>1</formula1>
      <formula2>0</formula2>
    </dataValidation>
    <dataValidation allowBlank="false" error="Outline level must be 1-9 and at most 1 more than the row above." errorStyle="stop" errorTitle="Level" operator="between" showDropDown="false" showErrorMessage="true" showInputMessage="false" sqref="D6:D205" type="whole">
      <formula1>1</formula1>
      <formula2>9</formula2>
    </dataValidation>
    <dataValidation allowBlank="false" errorStyle="stop" operator="between" showDropDown="false" showErrorMessage="false" showInputMessage="false" sqref="F6:F205" type="list">
      <formula1>L_Mode</formula1>
      <formula2>0</formula2>
    </dataValidation>
    <dataValidation allowBlank="false" error="Duration is in working days (0 = milestone)." errorStyle="stop" operator="greaterThanOrEqual" showDropDown="false" showErrorMessage="true" showInputMessage="false" sqref="G6:G205" type="decimal">
      <formula1>0</formula1>
      <formula2>0</formula2>
    </dataValidation>
    <dataValidation allowBlank="false" error="Enter the UID of another task. Problems are explained in the Link Check column." errorStyle="stop" operator="greaterThanOrEqual" showDropDown="false" showErrorMessage="true" showInputMessage="false" sqref="H6:H205 K6:K205" type="whole">
      <formula1>1</formula1>
      <formula2>0</formula2>
    </dataValidation>
    <dataValidation allowBlank="false" errorStyle="stop" operator="between" showDropDown="false" showErrorMessage="false" showInputMessage="false" sqref="I6:I205 L6:L205" type="list">
      <formula1>L_DepType</formula1>
      <formula2>0</formula2>
    </dataValidation>
    <dataValidation allowBlank="false" errorStyle="stop" operator="between" showDropDown="false" showErrorMessage="false" showInputMessage="false" sqref="J6:J205 M6:M205" type="whole">
      <formula1>-365</formula1>
      <formula2>365</formula2>
    </dataValidation>
    <dataValidation allowBlank="false" errorStyle="stop" operator="greaterThan" showDropDown="false" showErrorMessage="false" showInputMessage="false" sqref="N6:O205 R6:S205" type="date">
      <formula1>1</formula1>
      <formula2>0</formula2>
    </dataValidation>
    <dataValidation allowBlank="false" error="Enter 0% - 100%." errorStyle="stop" operator="between" showDropDown="false" showErrorMessage="true" showInputMessage="false" sqref="Z6:Z205" type="decimal">
      <formula1>0</formula1>
      <formula2>1</formula2>
    </dataValidation>
    <dataValidation allowBlank="false" errorStyle="stop" operator="between" showDropDown="false" showErrorMessage="false" showInputMessage="false" sqref="AC6:AC205" type="list">
      <formula1>res_Name</formula1>
      <formula2>0</formula2>
    </dataValidation>
    <dataValidation allowBlank="false" errorStyle="stop" operator="between" showDropDown="false" showErrorMessage="false" showInputMessage="false" sqref="AD6:AD205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FO2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1" ySplit="5" topLeftCell="V6" activePane="bottomRight" state="frozen"/>
      <selection pane="topLeft" activeCell="A1" activeCellId="0" sqref="A1"/>
      <selection pane="topRight" activeCell="V1" activeCellId="0" sqref="V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5"/>
    <col collapsed="false" customWidth="true" hidden="false" outlineLevel="0" max="8" min="5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true" outlineLevel="1" max="20" min="12" style="0" width="5"/>
    <col collapsed="false" customWidth="true" hidden="false" outlineLevel="0" max="21" min="21" style="0" width="1"/>
    <col collapsed="false" customWidth="true" hidden="false" outlineLevel="0" max="171" min="22" style="0" width="2.9"/>
  </cols>
  <sheetData>
    <row r="1" customFormat="false" ht="19.7" hidden="false" customHeight="false" outlineLevel="0" collapsed="false">
      <c r="A1" s="25" t="str">
        <f aca="false">ProjectName&amp;"  -  Gantt Chart"</f>
        <v>Customer Portal Implementation  -  Gantt Chart</v>
      </c>
      <c r="V1" s="51"/>
      <c r="W1" s="52" t="s">
        <v>312</v>
      </c>
      <c r="AG1" s="53"/>
      <c r="AH1" s="52" t="s">
        <v>313</v>
      </c>
      <c r="AR1" s="54"/>
      <c r="AS1" s="52" t="s">
        <v>314</v>
      </c>
      <c r="BC1" s="55"/>
      <c r="BD1" s="52" t="s">
        <v>315</v>
      </c>
      <c r="BN1" s="56"/>
      <c r="BO1" s="52" t="s">
        <v>316</v>
      </c>
    </row>
    <row r="2" customFormat="false" ht="15" hidden="false" customHeight="false" outlineLevel="0" collapsed="false">
      <c r="A2" s="57" t="str">
        <f aca="false">"Status date: "&amp;TEXT(StatusDate,"ddd dd-mmm-yyyy")&amp;"   |   Forecast finish: "&amp;TEXT(MAX(tsk_FcFinish),"dd-mmm-yyyy")&amp;"   |   Planned finish: "&amp;TEXT(MAX(tsk_PlanFinish),"dd-mmm-yyyy")&amp;IF(COUNTA(tsk_Name)&gt;ROWS(GanttView[ID]),"   |   Showing the first "&amp;ROWS(GanttView[ID])&amp;" tasks","")</f>
        <v>Status date: Sun 25-Oct-2026   |   Forecast finish: 06-Jan-2027   |   Planned finish: 06-Jan-2027</v>
      </c>
      <c r="V2" s="58"/>
      <c r="W2" s="52" t="s">
        <v>317</v>
      </c>
      <c r="AG2" s="59"/>
      <c r="AH2" s="52" t="s">
        <v>191</v>
      </c>
      <c r="AR2" s="60"/>
      <c r="AS2" s="52" t="s">
        <v>107</v>
      </c>
      <c r="BC2" s="61"/>
      <c r="BD2" s="52" t="s">
        <v>318</v>
      </c>
    </row>
    <row r="3" customFormat="false" ht="15" hidden="false" customHeight="false" outlineLevel="0" collapsed="false">
      <c r="A3" s="8" t="s">
        <v>319</v>
      </c>
      <c r="V3" s="62" t="str">
        <f aca="false">IF(GanttPeriod=1,LEFT(TEXT(GanttStart+(COLUMN()-COLUMN(gantt_Origin)-1)*GanttPeriod,"ddd"),1),"")</f>
        <v>M</v>
      </c>
      <c r="W3" s="62" t="str">
        <f aca="false">IF(GanttPeriod=1,LEFT(TEXT(GanttStart+(COLUMN()-COLUMN(gantt_Origin)-1)*GanttPeriod,"ddd"),1),"")</f>
        <v>T</v>
      </c>
      <c r="X3" s="62" t="str">
        <f aca="false">IF(GanttPeriod=1,LEFT(TEXT(GanttStart+(COLUMN()-COLUMN(gantt_Origin)-1)*GanttPeriod,"ddd"),1),"")</f>
        <v>W</v>
      </c>
      <c r="Y3" s="62" t="str">
        <f aca="false">IF(GanttPeriod=1,LEFT(TEXT(GanttStart+(COLUMN()-COLUMN(gantt_Origin)-1)*GanttPeriod,"ddd"),1),"")</f>
        <v>T</v>
      </c>
      <c r="Z3" s="62" t="str">
        <f aca="false">IF(GanttPeriod=1,LEFT(TEXT(GanttStart+(COLUMN()-COLUMN(gantt_Origin)-1)*GanttPeriod,"ddd"),1),"")</f>
        <v>F</v>
      </c>
      <c r="AA3" s="62" t="str">
        <f aca="false">IF(GanttPeriod=1,LEFT(TEXT(GanttStart+(COLUMN()-COLUMN(gantt_Origin)-1)*GanttPeriod,"ddd"),1),"")</f>
        <v>S</v>
      </c>
      <c r="AB3" s="62" t="str">
        <f aca="false">IF(GanttPeriod=1,LEFT(TEXT(GanttStart+(COLUMN()-COLUMN(gantt_Origin)-1)*GanttPeriod,"ddd"),1),"")</f>
        <v>S</v>
      </c>
      <c r="AC3" s="62" t="str">
        <f aca="false">IF(GanttPeriod=1,LEFT(TEXT(GanttStart+(COLUMN()-COLUMN(gantt_Origin)-1)*GanttPeriod,"ddd"),1),"")</f>
        <v>M</v>
      </c>
      <c r="AD3" s="62" t="str">
        <f aca="false">IF(GanttPeriod=1,LEFT(TEXT(GanttStart+(COLUMN()-COLUMN(gantt_Origin)-1)*GanttPeriod,"ddd"),1),"")</f>
        <v>T</v>
      </c>
      <c r="AE3" s="62" t="str">
        <f aca="false">IF(GanttPeriod=1,LEFT(TEXT(GanttStart+(COLUMN()-COLUMN(gantt_Origin)-1)*GanttPeriod,"ddd"),1),"")</f>
        <v>W</v>
      </c>
      <c r="AF3" s="62" t="str">
        <f aca="false">IF(GanttPeriod=1,LEFT(TEXT(GanttStart+(COLUMN()-COLUMN(gantt_Origin)-1)*GanttPeriod,"ddd"),1),"")</f>
        <v>T</v>
      </c>
      <c r="AG3" s="62" t="str">
        <f aca="false">IF(GanttPeriod=1,LEFT(TEXT(GanttStart+(COLUMN()-COLUMN(gantt_Origin)-1)*GanttPeriod,"ddd"),1),"")</f>
        <v>F</v>
      </c>
      <c r="AH3" s="62" t="str">
        <f aca="false">IF(GanttPeriod=1,LEFT(TEXT(GanttStart+(COLUMN()-COLUMN(gantt_Origin)-1)*GanttPeriod,"ddd"),1),"")</f>
        <v>S</v>
      </c>
      <c r="AI3" s="62" t="str">
        <f aca="false">IF(GanttPeriod=1,LEFT(TEXT(GanttStart+(COLUMN()-COLUMN(gantt_Origin)-1)*GanttPeriod,"ddd"),1),"")</f>
        <v>S</v>
      </c>
      <c r="AJ3" s="62" t="str">
        <f aca="false">IF(GanttPeriod=1,LEFT(TEXT(GanttStart+(COLUMN()-COLUMN(gantt_Origin)-1)*GanttPeriod,"ddd"),1),"")</f>
        <v>M</v>
      </c>
      <c r="AK3" s="62" t="str">
        <f aca="false">IF(GanttPeriod=1,LEFT(TEXT(GanttStart+(COLUMN()-COLUMN(gantt_Origin)-1)*GanttPeriod,"ddd"),1),"")</f>
        <v>T</v>
      </c>
      <c r="AL3" s="62" t="str">
        <f aca="false">IF(GanttPeriod=1,LEFT(TEXT(GanttStart+(COLUMN()-COLUMN(gantt_Origin)-1)*GanttPeriod,"ddd"),1),"")</f>
        <v>W</v>
      </c>
      <c r="AM3" s="62" t="str">
        <f aca="false">IF(GanttPeriod=1,LEFT(TEXT(GanttStart+(COLUMN()-COLUMN(gantt_Origin)-1)*GanttPeriod,"ddd"),1),"")</f>
        <v>T</v>
      </c>
      <c r="AN3" s="62" t="str">
        <f aca="false">IF(GanttPeriod=1,LEFT(TEXT(GanttStart+(COLUMN()-COLUMN(gantt_Origin)-1)*GanttPeriod,"ddd"),1),"")</f>
        <v>F</v>
      </c>
      <c r="AO3" s="62" t="str">
        <f aca="false">IF(GanttPeriod=1,LEFT(TEXT(GanttStart+(COLUMN()-COLUMN(gantt_Origin)-1)*GanttPeriod,"ddd"),1),"")</f>
        <v>S</v>
      </c>
      <c r="AP3" s="62" t="str">
        <f aca="false">IF(GanttPeriod=1,LEFT(TEXT(GanttStart+(COLUMN()-COLUMN(gantt_Origin)-1)*GanttPeriod,"ddd"),1),"")</f>
        <v>S</v>
      </c>
      <c r="AQ3" s="62" t="str">
        <f aca="false">IF(GanttPeriod=1,LEFT(TEXT(GanttStart+(COLUMN()-COLUMN(gantt_Origin)-1)*GanttPeriod,"ddd"),1),"")</f>
        <v>M</v>
      </c>
      <c r="AR3" s="62" t="str">
        <f aca="false">IF(GanttPeriod=1,LEFT(TEXT(GanttStart+(COLUMN()-COLUMN(gantt_Origin)-1)*GanttPeriod,"ddd"),1),"")</f>
        <v>T</v>
      </c>
      <c r="AS3" s="62" t="str">
        <f aca="false">IF(GanttPeriod=1,LEFT(TEXT(GanttStart+(COLUMN()-COLUMN(gantt_Origin)-1)*GanttPeriod,"ddd"),1),"")</f>
        <v>W</v>
      </c>
      <c r="AT3" s="62" t="str">
        <f aca="false">IF(GanttPeriod=1,LEFT(TEXT(GanttStart+(COLUMN()-COLUMN(gantt_Origin)-1)*GanttPeriod,"ddd"),1),"")</f>
        <v>T</v>
      </c>
      <c r="AU3" s="62" t="str">
        <f aca="false">IF(GanttPeriod=1,LEFT(TEXT(GanttStart+(COLUMN()-COLUMN(gantt_Origin)-1)*GanttPeriod,"ddd"),1),"")</f>
        <v>F</v>
      </c>
      <c r="AV3" s="62" t="str">
        <f aca="false">IF(GanttPeriod=1,LEFT(TEXT(GanttStart+(COLUMN()-COLUMN(gantt_Origin)-1)*GanttPeriod,"ddd"),1),"")</f>
        <v>S</v>
      </c>
      <c r="AW3" s="62" t="str">
        <f aca="false">IF(GanttPeriod=1,LEFT(TEXT(GanttStart+(COLUMN()-COLUMN(gantt_Origin)-1)*GanttPeriod,"ddd"),1),"")</f>
        <v>S</v>
      </c>
      <c r="AX3" s="62" t="str">
        <f aca="false">IF(GanttPeriod=1,LEFT(TEXT(GanttStart+(COLUMN()-COLUMN(gantt_Origin)-1)*GanttPeriod,"ddd"),1),"")</f>
        <v>M</v>
      </c>
      <c r="AY3" s="62" t="str">
        <f aca="false">IF(GanttPeriod=1,LEFT(TEXT(GanttStart+(COLUMN()-COLUMN(gantt_Origin)-1)*GanttPeriod,"ddd"),1),"")</f>
        <v>T</v>
      </c>
      <c r="AZ3" s="62" t="str">
        <f aca="false">IF(GanttPeriod=1,LEFT(TEXT(GanttStart+(COLUMN()-COLUMN(gantt_Origin)-1)*GanttPeriod,"ddd"),1),"")</f>
        <v>W</v>
      </c>
      <c r="BA3" s="62" t="str">
        <f aca="false">IF(GanttPeriod=1,LEFT(TEXT(GanttStart+(COLUMN()-COLUMN(gantt_Origin)-1)*GanttPeriod,"ddd"),1),"")</f>
        <v>T</v>
      </c>
      <c r="BB3" s="62" t="str">
        <f aca="false">IF(GanttPeriod=1,LEFT(TEXT(GanttStart+(COLUMN()-COLUMN(gantt_Origin)-1)*GanttPeriod,"ddd"),1),"")</f>
        <v>F</v>
      </c>
      <c r="BC3" s="62" t="str">
        <f aca="false">IF(GanttPeriod=1,LEFT(TEXT(GanttStart+(COLUMN()-COLUMN(gantt_Origin)-1)*GanttPeriod,"ddd"),1),"")</f>
        <v>S</v>
      </c>
      <c r="BD3" s="62" t="str">
        <f aca="false">IF(GanttPeriod=1,LEFT(TEXT(GanttStart+(COLUMN()-COLUMN(gantt_Origin)-1)*GanttPeriod,"ddd"),1),"")</f>
        <v>S</v>
      </c>
      <c r="BE3" s="62" t="str">
        <f aca="false">IF(GanttPeriod=1,LEFT(TEXT(GanttStart+(COLUMN()-COLUMN(gantt_Origin)-1)*GanttPeriod,"ddd"),1),"")</f>
        <v>M</v>
      </c>
      <c r="BF3" s="62" t="str">
        <f aca="false">IF(GanttPeriod=1,LEFT(TEXT(GanttStart+(COLUMN()-COLUMN(gantt_Origin)-1)*GanttPeriod,"ddd"),1),"")</f>
        <v>T</v>
      </c>
      <c r="BG3" s="62" t="str">
        <f aca="false">IF(GanttPeriod=1,LEFT(TEXT(GanttStart+(COLUMN()-COLUMN(gantt_Origin)-1)*GanttPeriod,"ddd"),1),"")</f>
        <v>W</v>
      </c>
      <c r="BH3" s="62" t="str">
        <f aca="false">IF(GanttPeriod=1,LEFT(TEXT(GanttStart+(COLUMN()-COLUMN(gantt_Origin)-1)*GanttPeriod,"ddd"),1),"")</f>
        <v>T</v>
      </c>
      <c r="BI3" s="62" t="str">
        <f aca="false">IF(GanttPeriod=1,LEFT(TEXT(GanttStart+(COLUMN()-COLUMN(gantt_Origin)-1)*GanttPeriod,"ddd"),1),"")</f>
        <v>F</v>
      </c>
      <c r="BJ3" s="62" t="str">
        <f aca="false">IF(GanttPeriod=1,LEFT(TEXT(GanttStart+(COLUMN()-COLUMN(gantt_Origin)-1)*GanttPeriod,"ddd"),1),"")</f>
        <v>S</v>
      </c>
      <c r="BK3" s="62" t="str">
        <f aca="false">IF(GanttPeriod=1,LEFT(TEXT(GanttStart+(COLUMN()-COLUMN(gantt_Origin)-1)*GanttPeriod,"ddd"),1),"")</f>
        <v>S</v>
      </c>
      <c r="BL3" s="62" t="str">
        <f aca="false">IF(GanttPeriod=1,LEFT(TEXT(GanttStart+(COLUMN()-COLUMN(gantt_Origin)-1)*GanttPeriod,"ddd"),1),"")</f>
        <v>M</v>
      </c>
      <c r="BM3" s="62" t="str">
        <f aca="false">IF(GanttPeriod=1,LEFT(TEXT(GanttStart+(COLUMN()-COLUMN(gantt_Origin)-1)*GanttPeriod,"ddd"),1),"")</f>
        <v>T</v>
      </c>
      <c r="BN3" s="62" t="str">
        <f aca="false">IF(GanttPeriod=1,LEFT(TEXT(GanttStart+(COLUMN()-COLUMN(gantt_Origin)-1)*GanttPeriod,"ddd"),1),"")</f>
        <v>W</v>
      </c>
      <c r="BO3" s="62" t="str">
        <f aca="false">IF(GanttPeriod=1,LEFT(TEXT(GanttStart+(COLUMN()-COLUMN(gantt_Origin)-1)*GanttPeriod,"ddd"),1),"")</f>
        <v>T</v>
      </c>
      <c r="BP3" s="62" t="str">
        <f aca="false">IF(GanttPeriod=1,LEFT(TEXT(GanttStart+(COLUMN()-COLUMN(gantt_Origin)-1)*GanttPeriod,"ddd"),1),"")</f>
        <v>F</v>
      </c>
      <c r="BQ3" s="62" t="str">
        <f aca="false">IF(GanttPeriod=1,LEFT(TEXT(GanttStart+(COLUMN()-COLUMN(gantt_Origin)-1)*GanttPeriod,"ddd"),1),"")</f>
        <v>S</v>
      </c>
      <c r="BR3" s="62" t="str">
        <f aca="false">IF(GanttPeriod=1,LEFT(TEXT(GanttStart+(COLUMN()-COLUMN(gantt_Origin)-1)*GanttPeriod,"ddd"),1),"")</f>
        <v>S</v>
      </c>
      <c r="BS3" s="62" t="str">
        <f aca="false">IF(GanttPeriod=1,LEFT(TEXT(GanttStart+(COLUMN()-COLUMN(gantt_Origin)-1)*GanttPeriod,"ddd"),1),"")</f>
        <v>M</v>
      </c>
      <c r="BT3" s="62" t="str">
        <f aca="false">IF(GanttPeriod=1,LEFT(TEXT(GanttStart+(COLUMN()-COLUMN(gantt_Origin)-1)*GanttPeriod,"ddd"),1),"")</f>
        <v>T</v>
      </c>
      <c r="BU3" s="62" t="str">
        <f aca="false">IF(GanttPeriod=1,LEFT(TEXT(GanttStart+(COLUMN()-COLUMN(gantt_Origin)-1)*GanttPeriod,"ddd"),1),"")</f>
        <v>W</v>
      </c>
      <c r="BV3" s="62" t="str">
        <f aca="false">IF(GanttPeriod=1,LEFT(TEXT(GanttStart+(COLUMN()-COLUMN(gantt_Origin)-1)*GanttPeriod,"ddd"),1),"")</f>
        <v>T</v>
      </c>
      <c r="BW3" s="62" t="str">
        <f aca="false">IF(GanttPeriod=1,LEFT(TEXT(GanttStart+(COLUMN()-COLUMN(gantt_Origin)-1)*GanttPeriod,"ddd"),1),"")</f>
        <v>F</v>
      </c>
      <c r="BX3" s="62" t="str">
        <f aca="false">IF(GanttPeriod=1,LEFT(TEXT(GanttStart+(COLUMN()-COLUMN(gantt_Origin)-1)*GanttPeriod,"ddd"),1),"")</f>
        <v>S</v>
      </c>
      <c r="BY3" s="62" t="str">
        <f aca="false">IF(GanttPeriod=1,LEFT(TEXT(GanttStart+(COLUMN()-COLUMN(gantt_Origin)-1)*GanttPeriod,"ddd"),1),"")</f>
        <v>S</v>
      </c>
      <c r="BZ3" s="62" t="str">
        <f aca="false">IF(GanttPeriod=1,LEFT(TEXT(GanttStart+(COLUMN()-COLUMN(gantt_Origin)-1)*GanttPeriod,"ddd"),1),"")</f>
        <v>M</v>
      </c>
      <c r="CA3" s="62" t="str">
        <f aca="false">IF(GanttPeriod=1,LEFT(TEXT(GanttStart+(COLUMN()-COLUMN(gantt_Origin)-1)*GanttPeriod,"ddd"),1),"")</f>
        <v>T</v>
      </c>
      <c r="CB3" s="62" t="str">
        <f aca="false">IF(GanttPeriod=1,LEFT(TEXT(GanttStart+(COLUMN()-COLUMN(gantt_Origin)-1)*GanttPeriod,"ddd"),1),"")</f>
        <v>W</v>
      </c>
      <c r="CC3" s="62" t="str">
        <f aca="false">IF(GanttPeriod=1,LEFT(TEXT(GanttStart+(COLUMN()-COLUMN(gantt_Origin)-1)*GanttPeriod,"ddd"),1),"")</f>
        <v>T</v>
      </c>
      <c r="CD3" s="62" t="str">
        <f aca="false">IF(GanttPeriod=1,LEFT(TEXT(GanttStart+(COLUMN()-COLUMN(gantt_Origin)-1)*GanttPeriod,"ddd"),1),"")</f>
        <v>F</v>
      </c>
      <c r="CE3" s="62" t="str">
        <f aca="false">IF(GanttPeriod=1,LEFT(TEXT(GanttStart+(COLUMN()-COLUMN(gantt_Origin)-1)*GanttPeriod,"ddd"),1),"")</f>
        <v>S</v>
      </c>
      <c r="CF3" s="62" t="str">
        <f aca="false">IF(GanttPeriod=1,LEFT(TEXT(GanttStart+(COLUMN()-COLUMN(gantt_Origin)-1)*GanttPeriod,"ddd"),1),"")</f>
        <v>S</v>
      </c>
      <c r="CG3" s="62" t="str">
        <f aca="false">IF(GanttPeriod=1,LEFT(TEXT(GanttStart+(COLUMN()-COLUMN(gantt_Origin)-1)*GanttPeriod,"ddd"),1),"")</f>
        <v>M</v>
      </c>
      <c r="CH3" s="62" t="str">
        <f aca="false">IF(GanttPeriod=1,LEFT(TEXT(GanttStart+(COLUMN()-COLUMN(gantt_Origin)-1)*GanttPeriod,"ddd"),1),"")</f>
        <v>T</v>
      </c>
      <c r="CI3" s="62" t="str">
        <f aca="false">IF(GanttPeriod=1,LEFT(TEXT(GanttStart+(COLUMN()-COLUMN(gantt_Origin)-1)*GanttPeriod,"ddd"),1),"")</f>
        <v>W</v>
      </c>
      <c r="CJ3" s="62" t="str">
        <f aca="false">IF(GanttPeriod=1,LEFT(TEXT(GanttStart+(COLUMN()-COLUMN(gantt_Origin)-1)*GanttPeriod,"ddd"),1),"")</f>
        <v>T</v>
      </c>
      <c r="CK3" s="62" t="str">
        <f aca="false">IF(GanttPeriod=1,LEFT(TEXT(GanttStart+(COLUMN()-COLUMN(gantt_Origin)-1)*GanttPeriod,"ddd"),1),"")</f>
        <v>F</v>
      </c>
      <c r="CL3" s="62" t="str">
        <f aca="false">IF(GanttPeriod=1,LEFT(TEXT(GanttStart+(COLUMN()-COLUMN(gantt_Origin)-1)*GanttPeriod,"ddd"),1),"")</f>
        <v>S</v>
      </c>
      <c r="CM3" s="62" t="str">
        <f aca="false">IF(GanttPeriod=1,LEFT(TEXT(GanttStart+(COLUMN()-COLUMN(gantt_Origin)-1)*GanttPeriod,"ddd"),1),"")</f>
        <v>S</v>
      </c>
      <c r="CN3" s="62" t="str">
        <f aca="false">IF(GanttPeriod=1,LEFT(TEXT(GanttStart+(COLUMN()-COLUMN(gantt_Origin)-1)*GanttPeriod,"ddd"),1),"")</f>
        <v>M</v>
      </c>
      <c r="CO3" s="62" t="str">
        <f aca="false">IF(GanttPeriod=1,LEFT(TEXT(GanttStart+(COLUMN()-COLUMN(gantt_Origin)-1)*GanttPeriod,"ddd"),1),"")</f>
        <v>T</v>
      </c>
      <c r="CP3" s="62" t="str">
        <f aca="false">IF(GanttPeriod=1,LEFT(TEXT(GanttStart+(COLUMN()-COLUMN(gantt_Origin)-1)*GanttPeriod,"ddd"),1),"")</f>
        <v>W</v>
      </c>
      <c r="CQ3" s="62" t="str">
        <f aca="false">IF(GanttPeriod=1,LEFT(TEXT(GanttStart+(COLUMN()-COLUMN(gantt_Origin)-1)*GanttPeriod,"ddd"),1),"")</f>
        <v>T</v>
      </c>
      <c r="CR3" s="62" t="str">
        <f aca="false">IF(GanttPeriod=1,LEFT(TEXT(GanttStart+(COLUMN()-COLUMN(gantt_Origin)-1)*GanttPeriod,"ddd"),1),"")</f>
        <v>F</v>
      </c>
      <c r="CS3" s="62" t="str">
        <f aca="false">IF(GanttPeriod=1,LEFT(TEXT(GanttStart+(COLUMN()-COLUMN(gantt_Origin)-1)*GanttPeriod,"ddd"),1),"")</f>
        <v>S</v>
      </c>
      <c r="CT3" s="62" t="str">
        <f aca="false">IF(GanttPeriod=1,LEFT(TEXT(GanttStart+(COLUMN()-COLUMN(gantt_Origin)-1)*GanttPeriod,"ddd"),1),"")</f>
        <v>S</v>
      </c>
      <c r="CU3" s="62" t="str">
        <f aca="false">IF(GanttPeriod=1,LEFT(TEXT(GanttStart+(COLUMN()-COLUMN(gantt_Origin)-1)*GanttPeriod,"ddd"),1),"")</f>
        <v>M</v>
      </c>
      <c r="CV3" s="62" t="str">
        <f aca="false">IF(GanttPeriod=1,LEFT(TEXT(GanttStart+(COLUMN()-COLUMN(gantt_Origin)-1)*GanttPeriod,"ddd"),1),"")</f>
        <v>T</v>
      </c>
      <c r="CW3" s="62" t="str">
        <f aca="false">IF(GanttPeriod=1,LEFT(TEXT(GanttStart+(COLUMN()-COLUMN(gantt_Origin)-1)*GanttPeriod,"ddd"),1),"")</f>
        <v>W</v>
      </c>
      <c r="CX3" s="62" t="str">
        <f aca="false">IF(GanttPeriod=1,LEFT(TEXT(GanttStart+(COLUMN()-COLUMN(gantt_Origin)-1)*GanttPeriod,"ddd"),1),"")</f>
        <v>T</v>
      </c>
      <c r="CY3" s="62" t="str">
        <f aca="false">IF(GanttPeriod=1,LEFT(TEXT(GanttStart+(COLUMN()-COLUMN(gantt_Origin)-1)*GanttPeriod,"ddd"),1),"")</f>
        <v>F</v>
      </c>
      <c r="CZ3" s="62" t="str">
        <f aca="false">IF(GanttPeriod=1,LEFT(TEXT(GanttStart+(COLUMN()-COLUMN(gantt_Origin)-1)*GanttPeriod,"ddd"),1),"")</f>
        <v>S</v>
      </c>
      <c r="DA3" s="62" t="str">
        <f aca="false">IF(GanttPeriod=1,LEFT(TEXT(GanttStart+(COLUMN()-COLUMN(gantt_Origin)-1)*GanttPeriod,"ddd"),1),"")</f>
        <v>S</v>
      </c>
      <c r="DB3" s="62" t="str">
        <f aca="false">IF(GanttPeriod=1,LEFT(TEXT(GanttStart+(COLUMN()-COLUMN(gantt_Origin)-1)*GanttPeriod,"ddd"),1),"")</f>
        <v>M</v>
      </c>
      <c r="DC3" s="62" t="str">
        <f aca="false">IF(GanttPeriod=1,LEFT(TEXT(GanttStart+(COLUMN()-COLUMN(gantt_Origin)-1)*GanttPeriod,"ddd"),1),"")</f>
        <v>T</v>
      </c>
      <c r="DD3" s="62" t="str">
        <f aca="false">IF(GanttPeriod=1,LEFT(TEXT(GanttStart+(COLUMN()-COLUMN(gantt_Origin)-1)*GanttPeriod,"ddd"),1),"")</f>
        <v>W</v>
      </c>
      <c r="DE3" s="62" t="str">
        <f aca="false">IF(GanttPeriod=1,LEFT(TEXT(GanttStart+(COLUMN()-COLUMN(gantt_Origin)-1)*GanttPeriod,"ddd"),1),"")</f>
        <v>T</v>
      </c>
      <c r="DF3" s="62" t="str">
        <f aca="false">IF(GanttPeriod=1,LEFT(TEXT(GanttStart+(COLUMN()-COLUMN(gantt_Origin)-1)*GanttPeriod,"ddd"),1),"")</f>
        <v>F</v>
      </c>
      <c r="DG3" s="62" t="str">
        <f aca="false">IF(GanttPeriod=1,LEFT(TEXT(GanttStart+(COLUMN()-COLUMN(gantt_Origin)-1)*GanttPeriod,"ddd"),1),"")</f>
        <v>S</v>
      </c>
      <c r="DH3" s="62" t="str">
        <f aca="false">IF(GanttPeriod=1,LEFT(TEXT(GanttStart+(COLUMN()-COLUMN(gantt_Origin)-1)*GanttPeriod,"ddd"),1),"")</f>
        <v>S</v>
      </c>
      <c r="DI3" s="62" t="str">
        <f aca="false">IF(GanttPeriod=1,LEFT(TEXT(GanttStart+(COLUMN()-COLUMN(gantt_Origin)-1)*GanttPeriod,"ddd"),1),"")</f>
        <v>M</v>
      </c>
      <c r="DJ3" s="62" t="str">
        <f aca="false">IF(GanttPeriod=1,LEFT(TEXT(GanttStart+(COLUMN()-COLUMN(gantt_Origin)-1)*GanttPeriod,"ddd"),1),"")</f>
        <v>T</v>
      </c>
      <c r="DK3" s="62" t="str">
        <f aca="false">IF(GanttPeriod=1,LEFT(TEXT(GanttStart+(COLUMN()-COLUMN(gantt_Origin)-1)*GanttPeriod,"ddd"),1),"")</f>
        <v>W</v>
      </c>
      <c r="DL3" s="62" t="str">
        <f aca="false">IF(GanttPeriod=1,LEFT(TEXT(GanttStart+(COLUMN()-COLUMN(gantt_Origin)-1)*GanttPeriod,"ddd"),1),"")</f>
        <v>T</v>
      </c>
      <c r="DM3" s="62" t="str">
        <f aca="false">IF(GanttPeriod=1,LEFT(TEXT(GanttStart+(COLUMN()-COLUMN(gantt_Origin)-1)*GanttPeriod,"ddd"),1),"")</f>
        <v>F</v>
      </c>
      <c r="DN3" s="62" t="str">
        <f aca="false">IF(GanttPeriod=1,LEFT(TEXT(GanttStart+(COLUMN()-COLUMN(gantt_Origin)-1)*GanttPeriod,"ddd"),1),"")</f>
        <v>S</v>
      </c>
      <c r="DO3" s="62" t="str">
        <f aca="false">IF(GanttPeriod=1,LEFT(TEXT(GanttStart+(COLUMN()-COLUMN(gantt_Origin)-1)*GanttPeriod,"ddd"),1),"")</f>
        <v>S</v>
      </c>
      <c r="DP3" s="62" t="str">
        <f aca="false">IF(GanttPeriod=1,LEFT(TEXT(GanttStart+(COLUMN()-COLUMN(gantt_Origin)-1)*GanttPeriod,"ddd"),1),"")</f>
        <v>M</v>
      </c>
      <c r="DQ3" s="62" t="str">
        <f aca="false">IF(GanttPeriod=1,LEFT(TEXT(GanttStart+(COLUMN()-COLUMN(gantt_Origin)-1)*GanttPeriod,"ddd"),1),"")</f>
        <v>T</v>
      </c>
      <c r="DR3" s="62" t="str">
        <f aca="false">IF(GanttPeriod=1,LEFT(TEXT(GanttStart+(COLUMN()-COLUMN(gantt_Origin)-1)*GanttPeriod,"ddd"),1),"")</f>
        <v>W</v>
      </c>
      <c r="DS3" s="62" t="str">
        <f aca="false">IF(GanttPeriod=1,LEFT(TEXT(GanttStart+(COLUMN()-COLUMN(gantt_Origin)-1)*GanttPeriod,"ddd"),1),"")</f>
        <v>T</v>
      </c>
      <c r="DT3" s="62" t="str">
        <f aca="false">IF(GanttPeriod=1,LEFT(TEXT(GanttStart+(COLUMN()-COLUMN(gantt_Origin)-1)*GanttPeriod,"ddd"),1),"")</f>
        <v>F</v>
      </c>
      <c r="DU3" s="62" t="str">
        <f aca="false">IF(GanttPeriod=1,LEFT(TEXT(GanttStart+(COLUMN()-COLUMN(gantt_Origin)-1)*GanttPeriod,"ddd"),1),"")</f>
        <v>S</v>
      </c>
      <c r="DV3" s="62" t="str">
        <f aca="false">IF(GanttPeriod=1,LEFT(TEXT(GanttStart+(COLUMN()-COLUMN(gantt_Origin)-1)*GanttPeriod,"ddd"),1),"")</f>
        <v>S</v>
      </c>
      <c r="DW3" s="62" t="str">
        <f aca="false">IF(GanttPeriod=1,LEFT(TEXT(GanttStart+(COLUMN()-COLUMN(gantt_Origin)-1)*GanttPeriod,"ddd"),1),"")</f>
        <v>M</v>
      </c>
      <c r="DX3" s="62" t="str">
        <f aca="false">IF(GanttPeriod=1,LEFT(TEXT(GanttStart+(COLUMN()-COLUMN(gantt_Origin)-1)*GanttPeriod,"ddd"),1),"")</f>
        <v>T</v>
      </c>
      <c r="DY3" s="62" t="str">
        <f aca="false">IF(GanttPeriod=1,LEFT(TEXT(GanttStart+(COLUMN()-COLUMN(gantt_Origin)-1)*GanttPeriod,"ddd"),1),"")</f>
        <v>W</v>
      </c>
      <c r="DZ3" s="62" t="str">
        <f aca="false">IF(GanttPeriod=1,LEFT(TEXT(GanttStart+(COLUMN()-COLUMN(gantt_Origin)-1)*GanttPeriod,"ddd"),1),"")</f>
        <v>T</v>
      </c>
      <c r="EA3" s="62" t="str">
        <f aca="false">IF(GanttPeriod=1,LEFT(TEXT(GanttStart+(COLUMN()-COLUMN(gantt_Origin)-1)*GanttPeriod,"ddd"),1),"")</f>
        <v>F</v>
      </c>
      <c r="EB3" s="62" t="str">
        <f aca="false">IF(GanttPeriod=1,LEFT(TEXT(GanttStart+(COLUMN()-COLUMN(gantt_Origin)-1)*GanttPeriod,"ddd"),1),"")</f>
        <v>S</v>
      </c>
      <c r="EC3" s="62" t="str">
        <f aca="false">IF(GanttPeriod=1,LEFT(TEXT(GanttStart+(COLUMN()-COLUMN(gantt_Origin)-1)*GanttPeriod,"ddd"),1),"")</f>
        <v>S</v>
      </c>
      <c r="ED3" s="62" t="str">
        <f aca="false">IF(GanttPeriod=1,LEFT(TEXT(GanttStart+(COLUMN()-COLUMN(gantt_Origin)-1)*GanttPeriod,"ddd"),1),"")</f>
        <v>M</v>
      </c>
      <c r="EE3" s="62" t="str">
        <f aca="false">IF(GanttPeriod=1,LEFT(TEXT(GanttStart+(COLUMN()-COLUMN(gantt_Origin)-1)*GanttPeriod,"ddd"),1),"")</f>
        <v>T</v>
      </c>
      <c r="EF3" s="62" t="str">
        <f aca="false">IF(GanttPeriod=1,LEFT(TEXT(GanttStart+(COLUMN()-COLUMN(gantt_Origin)-1)*GanttPeriod,"ddd"),1),"")</f>
        <v>W</v>
      </c>
      <c r="EG3" s="62" t="str">
        <f aca="false">IF(GanttPeriod=1,LEFT(TEXT(GanttStart+(COLUMN()-COLUMN(gantt_Origin)-1)*GanttPeriod,"ddd"),1),"")</f>
        <v>T</v>
      </c>
      <c r="EH3" s="62" t="str">
        <f aca="false">IF(GanttPeriod=1,LEFT(TEXT(GanttStart+(COLUMN()-COLUMN(gantt_Origin)-1)*GanttPeriod,"ddd"),1),"")</f>
        <v>F</v>
      </c>
      <c r="EI3" s="62" t="str">
        <f aca="false">IF(GanttPeriod=1,LEFT(TEXT(GanttStart+(COLUMN()-COLUMN(gantt_Origin)-1)*GanttPeriod,"ddd"),1),"")</f>
        <v>S</v>
      </c>
      <c r="EJ3" s="62" t="str">
        <f aca="false">IF(GanttPeriod=1,LEFT(TEXT(GanttStart+(COLUMN()-COLUMN(gantt_Origin)-1)*GanttPeriod,"ddd"),1),"")</f>
        <v>S</v>
      </c>
      <c r="EK3" s="62" t="str">
        <f aca="false">IF(GanttPeriod=1,LEFT(TEXT(GanttStart+(COLUMN()-COLUMN(gantt_Origin)-1)*GanttPeriod,"ddd"),1),"")</f>
        <v>M</v>
      </c>
      <c r="EL3" s="62" t="str">
        <f aca="false">IF(GanttPeriod=1,LEFT(TEXT(GanttStart+(COLUMN()-COLUMN(gantt_Origin)-1)*GanttPeriod,"ddd"),1),"")</f>
        <v>T</v>
      </c>
      <c r="EM3" s="62" t="str">
        <f aca="false">IF(GanttPeriod=1,LEFT(TEXT(GanttStart+(COLUMN()-COLUMN(gantt_Origin)-1)*GanttPeriod,"ddd"),1),"")</f>
        <v>W</v>
      </c>
      <c r="EN3" s="62" t="str">
        <f aca="false">IF(GanttPeriod=1,LEFT(TEXT(GanttStart+(COLUMN()-COLUMN(gantt_Origin)-1)*GanttPeriod,"ddd"),1),"")</f>
        <v>T</v>
      </c>
      <c r="EO3" s="62" t="str">
        <f aca="false">IF(GanttPeriod=1,LEFT(TEXT(GanttStart+(COLUMN()-COLUMN(gantt_Origin)-1)*GanttPeriod,"ddd"),1),"")</f>
        <v>F</v>
      </c>
      <c r="EP3" s="62" t="str">
        <f aca="false">IF(GanttPeriod=1,LEFT(TEXT(GanttStart+(COLUMN()-COLUMN(gantt_Origin)-1)*GanttPeriod,"ddd"),1),"")</f>
        <v>S</v>
      </c>
      <c r="EQ3" s="62" t="str">
        <f aca="false">IF(GanttPeriod=1,LEFT(TEXT(GanttStart+(COLUMN()-COLUMN(gantt_Origin)-1)*GanttPeriod,"ddd"),1),"")</f>
        <v>S</v>
      </c>
      <c r="ER3" s="62" t="str">
        <f aca="false">IF(GanttPeriod=1,LEFT(TEXT(GanttStart+(COLUMN()-COLUMN(gantt_Origin)-1)*GanttPeriod,"ddd"),1),"")</f>
        <v>M</v>
      </c>
      <c r="ES3" s="62" t="str">
        <f aca="false">IF(GanttPeriod=1,LEFT(TEXT(GanttStart+(COLUMN()-COLUMN(gantt_Origin)-1)*GanttPeriod,"ddd"),1),"")</f>
        <v>T</v>
      </c>
      <c r="ET3" s="62" t="str">
        <f aca="false">IF(GanttPeriod=1,LEFT(TEXT(GanttStart+(COLUMN()-COLUMN(gantt_Origin)-1)*GanttPeriod,"ddd"),1),"")</f>
        <v>W</v>
      </c>
      <c r="EU3" s="62" t="str">
        <f aca="false">IF(GanttPeriod=1,LEFT(TEXT(GanttStart+(COLUMN()-COLUMN(gantt_Origin)-1)*GanttPeriod,"ddd"),1),"")</f>
        <v>T</v>
      </c>
      <c r="EV3" s="62" t="str">
        <f aca="false">IF(GanttPeriod=1,LEFT(TEXT(GanttStart+(COLUMN()-COLUMN(gantt_Origin)-1)*GanttPeriod,"ddd"),1),"")</f>
        <v>F</v>
      </c>
      <c r="EW3" s="62" t="str">
        <f aca="false">IF(GanttPeriod=1,LEFT(TEXT(GanttStart+(COLUMN()-COLUMN(gantt_Origin)-1)*GanttPeriod,"ddd"),1),"")</f>
        <v>S</v>
      </c>
      <c r="EX3" s="62" t="str">
        <f aca="false">IF(GanttPeriod=1,LEFT(TEXT(GanttStart+(COLUMN()-COLUMN(gantt_Origin)-1)*GanttPeriod,"ddd"),1),"")</f>
        <v>S</v>
      </c>
      <c r="EY3" s="62" t="str">
        <f aca="false">IF(GanttPeriod=1,LEFT(TEXT(GanttStart+(COLUMN()-COLUMN(gantt_Origin)-1)*GanttPeriod,"ddd"),1),"")</f>
        <v>M</v>
      </c>
      <c r="EZ3" s="62" t="str">
        <f aca="false">IF(GanttPeriod=1,LEFT(TEXT(GanttStart+(COLUMN()-COLUMN(gantt_Origin)-1)*GanttPeriod,"ddd"),1),"")</f>
        <v>T</v>
      </c>
      <c r="FA3" s="62" t="str">
        <f aca="false">IF(GanttPeriod=1,LEFT(TEXT(GanttStart+(COLUMN()-COLUMN(gantt_Origin)-1)*GanttPeriod,"ddd"),1),"")</f>
        <v>W</v>
      </c>
      <c r="FB3" s="62" t="str">
        <f aca="false">IF(GanttPeriod=1,LEFT(TEXT(GanttStart+(COLUMN()-COLUMN(gantt_Origin)-1)*GanttPeriod,"ddd"),1),"")</f>
        <v>T</v>
      </c>
      <c r="FC3" s="62" t="str">
        <f aca="false">IF(GanttPeriod=1,LEFT(TEXT(GanttStart+(COLUMN()-COLUMN(gantt_Origin)-1)*GanttPeriod,"ddd"),1),"")</f>
        <v>F</v>
      </c>
      <c r="FD3" s="62" t="str">
        <f aca="false">IF(GanttPeriod=1,LEFT(TEXT(GanttStart+(COLUMN()-COLUMN(gantt_Origin)-1)*GanttPeriod,"ddd"),1),"")</f>
        <v>S</v>
      </c>
      <c r="FE3" s="62" t="str">
        <f aca="false">IF(GanttPeriod=1,LEFT(TEXT(GanttStart+(COLUMN()-COLUMN(gantt_Origin)-1)*GanttPeriod,"ddd"),1),"")</f>
        <v>S</v>
      </c>
      <c r="FF3" s="62" t="str">
        <f aca="false">IF(GanttPeriod=1,LEFT(TEXT(GanttStart+(COLUMN()-COLUMN(gantt_Origin)-1)*GanttPeriod,"ddd"),1),"")</f>
        <v>M</v>
      </c>
      <c r="FG3" s="62" t="str">
        <f aca="false">IF(GanttPeriod=1,LEFT(TEXT(GanttStart+(COLUMN()-COLUMN(gantt_Origin)-1)*GanttPeriod,"ddd"),1),"")</f>
        <v>T</v>
      </c>
      <c r="FH3" s="62" t="str">
        <f aca="false">IF(GanttPeriod=1,LEFT(TEXT(GanttStart+(COLUMN()-COLUMN(gantt_Origin)-1)*GanttPeriod,"ddd"),1),"")</f>
        <v>W</v>
      </c>
      <c r="FI3" s="62" t="str">
        <f aca="false">IF(GanttPeriod=1,LEFT(TEXT(GanttStart+(COLUMN()-COLUMN(gantt_Origin)-1)*GanttPeriod,"ddd"),1),"")</f>
        <v>T</v>
      </c>
      <c r="FJ3" s="62" t="str">
        <f aca="false">IF(GanttPeriod=1,LEFT(TEXT(GanttStart+(COLUMN()-COLUMN(gantt_Origin)-1)*GanttPeriod,"ddd"),1),"")</f>
        <v>F</v>
      </c>
      <c r="FK3" s="62" t="str">
        <f aca="false">IF(GanttPeriod=1,LEFT(TEXT(GanttStart+(COLUMN()-COLUMN(gantt_Origin)-1)*GanttPeriod,"ddd"),1),"")</f>
        <v>S</v>
      </c>
      <c r="FL3" s="62" t="str">
        <f aca="false">IF(GanttPeriod=1,LEFT(TEXT(GanttStart+(COLUMN()-COLUMN(gantt_Origin)-1)*GanttPeriod,"ddd"),1),"")</f>
        <v>S</v>
      </c>
      <c r="FM3" s="62" t="str">
        <f aca="false">IF(GanttPeriod=1,LEFT(TEXT(GanttStart+(COLUMN()-COLUMN(gantt_Origin)-1)*GanttPeriod,"ddd"),1),"")</f>
        <v>M</v>
      </c>
      <c r="FN3" s="62" t="str">
        <f aca="false">IF(GanttPeriod=1,LEFT(TEXT(GanttStart+(COLUMN()-COLUMN(gantt_Origin)-1)*GanttPeriod,"ddd"),1),"")</f>
        <v>T</v>
      </c>
      <c r="FO3" s="62" t="str">
        <f aca="false">IF(GanttPeriod=1,LEFT(TEXT(GanttStart+(COLUMN()-COLUMN(gantt_Origin)-1)*GanttPeriod,"ddd"),1),"")</f>
        <v>W</v>
      </c>
    </row>
    <row r="4" customFormat="false" ht="15" hidden="false" customHeight="false" outlineLevel="0" collapsed="false">
      <c r="V4" s="63" t="str">
        <f aca="false">IF(OR(COLUMN()-COLUMN(gantt_Origin)=1,DAY(GanttStart+(COLUMN()-COLUMN(gantt_Origin)-1)*GanttPeriod)&lt;=GanttPeriod),TEXT(GanttStart+(COLUMN()-COLUMN(gantt_Origin)-1)*GanttPeriod,"mmm yy"),"")</f>
        <v>Sep 26</v>
      </c>
      <c r="W4" s="63" t="str">
        <f aca="false">IF(OR(COLUMN()-COLUMN(gantt_Origin)=1,DAY(GanttStart+(COLUMN()-COLUMN(gantt_Origin)-1)*GanttPeriod)&lt;=GanttPeriod),TEXT(GanttStart+(COLUMN()-COLUMN(gantt_Origin)-1)*GanttPeriod,"mmm yy"),"")</f>
        <v/>
      </c>
      <c r="X4" s="63" t="str">
        <f aca="false">IF(OR(COLUMN()-COLUMN(gantt_Origin)=1,DAY(GanttStart+(COLUMN()-COLUMN(gantt_Origin)-1)*GanttPeriod)&lt;=GanttPeriod),TEXT(GanttStart+(COLUMN()-COLUMN(gantt_Origin)-1)*GanttPeriod,"mmm yy"),"")</f>
        <v/>
      </c>
      <c r="Y4" s="63" t="str">
        <f aca="false">IF(OR(COLUMN()-COLUMN(gantt_Origin)=1,DAY(GanttStart+(COLUMN()-COLUMN(gantt_Origin)-1)*GanttPeriod)&lt;=GanttPeriod),TEXT(GanttStart+(COLUMN()-COLUMN(gantt_Origin)-1)*GanttPeriod,"mmm yy"),"")</f>
        <v/>
      </c>
      <c r="Z4" s="63" t="str">
        <f aca="false">IF(OR(COLUMN()-COLUMN(gantt_Origin)=1,DAY(GanttStart+(COLUMN()-COLUMN(gantt_Origin)-1)*GanttPeriod)&lt;=GanttPeriod),TEXT(GanttStart+(COLUMN()-COLUMN(gantt_Origin)-1)*GanttPeriod,"mmm yy"),"")</f>
        <v/>
      </c>
      <c r="AA4" s="63" t="str">
        <f aca="false">IF(OR(COLUMN()-COLUMN(gantt_Origin)=1,DAY(GanttStart+(COLUMN()-COLUMN(gantt_Origin)-1)*GanttPeriod)&lt;=GanttPeriod),TEXT(GanttStart+(COLUMN()-COLUMN(gantt_Origin)-1)*GanttPeriod,"mmm yy"),"")</f>
        <v/>
      </c>
      <c r="AB4" s="63" t="str">
        <f aca="false">IF(OR(COLUMN()-COLUMN(gantt_Origin)=1,DAY(GanttStart+(COLUMN()-COLUMN(gantt_Origin)-1)*GanttPeriod)&lt;=GanttPeriod),TEXT(GanttStart+(COLUMN()-COLUMN(gantt_Origin)-1)*GanttPeriod,"mmm yy"),"")</f>
        <v/>
      </c>
      <c r="AC4" s="63" t="str">
        <f aca="false">IF(OR(COLUMN()-COLUMN(gantt_Origin)=1,DAY(GanttStart+(COLUMN()-COLUMN(gantt_Origin)-1)*GanttPeriod)&lt;=GanttPeriod),TEXT(GanttStart+(COLUMN()-COLUMN(gantt_Origin)-1)*GanttPeriod,"mmm yy"),"")</f>
        <v/>
      </c>
      <c r="AD4" s="63" t="str">
        <f aca="false">IF(OR(COLUMN()-COLUMN(gantt_Origin)=1,DAY(GanttStart+(COLUMN()-COLUMN(gantt_Origin)-1)*GanttPeriod)&lt;=GanttPeriod),TEXT(GanttStart+(COLUMN()-COLUMN(gantt_Origin)-1)*GanttPeriod,"mmm yy"),"")</f>
        <v/>
      </c>
      <c r="AE4" s="63" t="str">
        <f aca="false">IF(OR(COLUMN()-COLUMN(gantt_Origin)=1,DAY(GanttStart+(COLUMN()-COLUMN(gantt_Origin)-1)*GanttPeriod)&lt;=GanttPeriod),TEXT(GanttStart+(COLUMN()-COLUMN(gantt_Origin)-1)*GanttPeriod,"mmm yy"),"")</f>
        <v/>
      </c>
      <c r="AF4" s="63" t="str">
        <f aca="false">IF(OR(COLUMN()-COLUMN(gantt_Origin)=1,DAY(GanttStart+(COLUMN()-COLUMN(gantt_Origin)-1)*GanttPeriod)&lt;=GanttPeriod),TEXT(GanttStart+(COLUMN()-COLUMN(gantt_Origin)-1)*GanttPeriod,"mmm yy"),"")</f>
        <v/>
      </c>
      <c r="AG4" s="63" t="str">
        <f aca="false">IF(OR(COLUMN()-COLUMN(gantt_Origin)=1,DAY(GanttStart+(COLUMN()-COLUMN(gantt_Origin)-1)*GanttPeriod)&lt;=GanttPeriod),TEXT(GanttStart+(COLUMN()-COLUMN(gantt_Origin)-1)*GanttPeriod,"mmm yy"),"")</f>
        <v/>
      </c>
      <c r="AH4" s="63" t="str">
        <f aca="false">IF(OR(COLUMN()-COLUMN(gantt_Origin)=1,DAY(GanttStart+(COLUMN()-COLUMN(gantt_Origin)-1)*GanttPeriod)&lt;=GanttPeriod),TEXT(GanttStart+(COLUMN()-COLUMN(gantt_Origin)-1)*GanttPeriod,"mmm yy"),"")</f>
        <v/>
      </c>
      <c r="AI4" s="63" t="str">
        <f aca="false">IF(OR(COLUMN()-COLUMN(gantt_Origin)=1,DAY(GanttStart+(COLUMN()-COLUMN(gantt_Origin)-1)*GanttPeriod)&lt;=GanttPeriod),TEXT(GanttStart+(COLUMN()-COLUMN(gantt_Origin)-1)*GanttPeriod,"mmm yy"),"")</f>
        <v/>
      </c>
      <c r="AJ4" s="63" t="str">
        <f aca="false">IF(OR(COLUMN()-COLUMN(gantt_Origin)=1,DAY(GanttStart+(COLUMN()-COLUMN(gantt_Origin)-1)*GanttPeriod)&lt;=GanttPeriod),TEXT(GanttStart+(COLUMN()-COLUMN(gantt_Origin)-1)*GanttPeriod,"mmm yy"),"")</f>
        <v/>
      </c>
      <c r="AK4" s="63" t="str">
        <f aca="false">IF(OR(COLUMN()-COLUMN(gantt_Origin)=1,DAY(GanttStart+(COLUMN()-COLUMN(gantt_Origin)-1)*GanttPeriod)&lt;=GanttPeriod),TEXT(GanttStart+(COLUMN()-COLUMN(gantt_Origin)-1)*GanttPeriod,"mmm yy"),"")</f>
        <v/>
      </c>
      <c r="AL4" s="63" t="str">
        <f aca="false">IF(OR(COLUMN()-COLUMN(gantt_Origin)=1,DAY(GanttStart+(COLUMN()-COLUMN(gantt_Origin)-1)*GanttPeriod)&lt;=GanttPeriod),TEXT(GanttStart+(COLUMN()-COLUMN(gantt_Origin)-1)*GanttPeriod,"mmm yy"),"")</f>
        <v/>
      </c>
      <c r="AM4" s="63" t="str">
        <f aca="false">IF(OR(COLUMN()-COLUMN(gantt_Origin)=1,DAY(GanttStart+(COLUMN()-COLUMN(gantt_Origin)-1)*GanttPeriod)&lt;=GanttPeriod),TEXT(GanttStart+(COLUMN()-COLUMN(gantt_Origin)-1)*GanttPeriod,"mmm yy"),"")</f>
        <v/>
      </c>
      <c r="AN4" s="63" t="str">
        <f aca="false">IF(OR(COLUMN()-COLUMN(gantt_Origin)=1,DAY(GanttStart+(COLUMN()-COLUMN(gantt_Origin)-1)*GanttPeriod)&lt;=GanttPeriod),TEXT(GanttStart+(COLUMN()-COLUMN(gantt_Origin)-1)*GanttPeriod,"mmm yy"),"")</f>
        <v/>
      </c>
      <c r="AO4" s="63" t="str">
        <f aca="false">IF(OR(COLUMN()-COLUMN(gantt_Origin)=1,DAY(GanttStart+(COLUMN()-COLUMN(gantt_Origin)-1)*GanttPeriod)&lt;=GanttPeriod),TEXT(GanttStart+(COLUMN()-COLUMN(gantt_Origin)-1)*GanttPeriod,"mmm yy"),"")</f>
        <v/>
      </c>
      <c r="AP4" s="63" t="str">
        <f aca="false">IF(OR(COLUMN()-COLUMN(gantt_Origin)=1,DAY(GanttStart+(COLUMN()-COLUMN(gantt_Origin)-1)*GanttPeriod)&lt;=GanttPeriod),TEXT(GanttStart+(COLUMN()-COLUMN(gantt_Origin)-1)*GanttPeriod,"mmm yy"),"")</f>
        <v/>
      </c>
      <c r="AQ4" s="63" t="str">
        <f aca="false">IF(OR(COLUMN()-COLUMN(gantt_Origin)=1,DAY(GanttStart+(COLUMN()-COLUMN(gantt_Origin)-1)*GanttPeriod)&lt;=GanttPeriod),TEXT(GanttStart+(COLUMN()-COLUMN(gantt_Origin)-1)*GanttPeriod,"mmm yy"),"")</f>
        <v/>
      </c>
      <c r="AR4" s="63" t="str">
        <f aca="false">IF(OR(COLUMN()-COLUMN(gantt_Origin)=1,DAY(GanttStart+(COLUMN()-COLUMN(gantt_Origin)-1)*GanttPeriod)&lt;=GanttPeriod),TEXT(GanttStart+(COLUMN()-COLUMN(gantt_Origin)-1)*GanttPeriod,"mmm yy"),"")</f>
        <v/>
      </c>
      <c r="AS4" s="63" t="str">
        <f aca="false">IF(OR(COLUMN()-COLUMN(gantt_Origin)=1,DAY(GanttStart+(COLUMN()-COLUMN(gantt_Origin)-1)*GanttPeriod)&lt;=GanttPeriod),TEXT(GanttStart+(COLUMN()-COLUMN(gantt_Origin)-1)*GanttPeriod,"mmm yy"),"")</f>
        <v/>
      </c>
      <c r="AT4" s="63" t="str">
        <f aca="false">IF(OR(COLUMN()-COLUMN(gantt_Origin)=1,DAY(GanttStart+(COLUMN()-COLUMN(gantt_Origin)-1)*GanttPeriod)&lt;=GanttPeriod),TEXT(GanttStart+(COLUMN()-COLUMN(gantt_Origin)-1)*GanttPeriod,"mmm yy"),"")</f>
        <v>Oct 26</v>
      </c>
      <c r="AU4" s="63" t="str">
        <f aca="false">IF(OR(COLUMN()-COLUMN(gantt_Origin)=1,DAY(GanttStart+(COLUMN()-COLUMN(gantt_Origin)-1)*GanttPeriod)&lt;=GanttPeriod),TEXT(GanttStart+(COLUMN()-COLUMN(gantt_Origin)-1)*GanttPeriod,"mmm yy"),"")</f>
        <v/>
      </c>
      <c r="AV4" s="63" t="str">
        <f aca="false">IF(OR(COLUMN()-COLUMN(gantt_Origin)=1,DAY(GanttStart+(COLUMN()-COLUMN(gantt_Origin)-1)*GanttPeriod)&lt;=GanttPeriod),TEXT(GanttStart+(COLUMN()-COLUMN(gantt_Origin)-1)*GanttPeriod,"mmm yy"),"")</f>
        <v/>
      </c>
      <c r="AW4" s="63" t="str">
        <f aca="false">IF(OR(COLUMN()-COLUMN(gantt_Origin)=1,DAY(GanttStart+(COLUMN()-COLUMN(gantt_Origin)-1)*GanttPeriod)&lt;=GanttPeriod),TEXT(GanttStart+(COLUMN()-COLUMN(gantt_Origin)-1)*GanttPeriod,"mmm yy"),"")</f>
        <v/>
      </c>
      <c r="AX4" s="63" t="str">
        <f aca="false">IF(OR(COLUMN()-COLUMN(gantt_Origin)=1,DAY(GanttStart+(COLUMN()-COLUMN(gantt_Origin)-1)*GanttPeriod)&lt;=GanttPeriod),TEXT(GanttStart+(COLUMN()-COLUMN(gantt_Origin)-1)*GanttPeriod,"mmm yy"),"")</f>
        <v/>
      </c>
      <c r="AY4" s="63" t="str">
        <f aca="false">IF(OR(COLUMN()-COLUMN(gantt_Origin)=1,DAY(GanttStart+(COLUMN()-COLUMN(gantt_Origin)-1)*GanttPeriod)&lt;=GanttPeriod),TEXT(GanttStart+(COLUMN()-COLUMN(gantt_Origin)-1)*GanttPeriod,"mmm yy"),"")</f>
        <v/>
      </c>
      <c r="AZ4" s="63" t="str">
        <f aca="false">IF(OR(COLUMN()-COLUMN(gantt_Origin)=1,DAY(GanttStart+(COLUMN()-COLUMN(gantt_Origin)-1)*GanttPeriod)&lt;=GanttPeriod),TEXT(GanttStart+(COLUMN()-COLUMN(gantt_Origin)-1)*GanttPeriod,"mmm yy"),"")</f>
        <v/>
      </c>
      <c r="BA4" s="63" t="str">
        <f aca="false">IF(OR(COLUMN()-COLUMN(gantt_Origin)=1,DAY(GanttStart+(COLUMN()-COLUMN(gantt_Origin)-1)*GanttPeriod)&lt;=GanttPeriod),TEXT(GanttStart+(COLUMN()-COLUMN(gantt_Origin)-1)*GanttPeriod,"mmm yy"),"")</f>
        <v/>
      </c>
      <c r="BB4" s="63" t="str">
        <f aca="false">IF(OR(COLUMN()-COLUMN(gantt_Origin)=1,DAY(GanttStart+(COLUMN()-COLUMN(gantt_Origin)-1)*GanttPeriod)&lt;=GanttPeriod),TEXT(GanttStart+(COLUMN()-COLUMN(gantt_Origin)-1)*GanttPeriod,"mmm yy"),"")</f>
        <v/>
      </c>
      <c r="BC4" s="63" t="str">
        <f aca="false">IF(OR(COLUMN()-COLUMN(gantt_Origin)=1,DAY(GanttStart+(COLUMN()-COLUMN(gantt_Origin)-1)*GanttPeriod)&lt;=GanttPeriod),TEXT(GanttStart+(COLUMN()-COLUMN(gantt_Origin)-1)*GanttPeriod,"mmm yy"),"")</f>
        <v/>
      </c>
      <c r="BD4" s="63" t="str">
        <f aca="false">IF(OR(COLUMN()-COLUMN(gantt_Origin)=1,DAY(GanttStart+(COLUMN()-COLUMN(gantt_Origin)-1)*GanttPeriod)&lt;=GanttPeriod),TEXT(GanttStart+(COLUMN()-COLUMN(gantt_Origin)-1)*GanttPeriod,"mmm yy"),"")</f>
        <v/>
      </c>
      <c r="BE4" s="63" t="str">
        <f aca="false">IF(OR(COLUMN()-COLUMN(gantt_Origin)=1,DAY(GanttStart+(COLUMN()-COLUMN(gantt_Origin)-1)*GanttPeriod)&lt;=GanttPeriod),TEXT(GanttStart+(COLUMN()-COLUMN(gantt_Origin)-1)*GanttPeriod,"mmm yy"),"")</f>
        <v/>
      </c>
      <c r="BF4" s="63" t="str">
        <f aca="false">IF(OR(COLUMN()-COLUMN(gantt_Origin)=1,DAY(GanttStart+(COLUMN()-COLUMN(gantt_Origin)-1)*GanttPeriod)&lt;=GanttPeriod),TEXT(GanttStart+(COLUMN()-COLUMN(gantt_Origin)-1)*GanttPeriod,"mmm yy"),"")</f>
        <v/>
      </c>
      <c r="BG4" s="63" t="str">
        <f aca="false">IF(OR(COLUMN()-COLUMN(gantt_Origin)=1,DAY(GanttStart+(COLUMN()-COLUMN(gantt_Origin)-1)*GanttPeriod)&lt;=GanttPeriod),TEXT(GanttStart+(COLUMN()-COLUMN(gantt_Origin)-1)*GanttPeriod,"mmm yy"),"")</f>
        <v/>
      </c>
      <c r="BH4" s="63" t="str">
        <f aca="false">IF(OR(COLUMN()-COLUMN(gantt_Origin)=1,DAY(GanttStart+(COLUMN()-COLUMN(gantt_Origin)-1)*GanttPeriod)&lt;=GanttPeriod),TEXT(GanttStart+(COLUMN()-COLUMN(gantt_Origin)-1)*GanttPeriod,"mmm yy"),"")</f>
        <v/>
      </c>
      <c r="BI4" s="63" t="str">
        <f aca="false">IF(OR(COLUMN()-COLUMN(gantt_Origin)=1,DAY(GanttStart+(COLUMN()-COLUMN(gantt_Origin)-1)*GanttPeriod)&lt;=GanttPeriod),TEXT(GanttStart+(COLUMN()-COLUMN(gantt_Origin)-1)*GanttPeriod,"mmm yy"),"")</f>
        <v/>
      </c>
      <c r="BJ4" s="63" t="str">
        <f aca="false">IF(OR(COLUMN()-COLUMN(gantt_Origin)=1,DAY(GanttStart+(COLUMN()-COLUMN(gantt_Origin)-1)*GanttPeriod)&lt;=GanttPeriod),TEXT(GanttStart+(COLUMN()-COLUMN(gantt_Origin)-1)*GanttPeriod,"mmm yy"),"")</f>
        <v/>
      </c>
      <c r="BK4" s="63" t="str">
        <f aca="false">IF(OR(COLUMN()-COLUMN(gantt_Origin)=1,DAY(GanttStart+(COLUMN()-COLUMN(gantt_Origin)-1)*GanttPeriod)&lt;=GanttPeriod),TEXT(GanttStart+(COLUMN()-COLUMN(gantt_Origin)-1)*GanttPeriod,"mmm yy"),"")</f>
        <v/>
      </c>
      <c r="BL4" s="63" t="str">
        <f aca="false">IF(OR(COLUMN()-COLUMN(gantt_Origin)=1,DAY(GanttStart+(COLUMN()-COLUMN(gantt_Origin)-1)*GanttPeriod)&lt;=GanttPeriod),TEXT(GanttStart+(COLUMN()-COLUMN(gantt_Origin)-1)*GanttPeriod,"mmm yy"),"")</f>
        <v/>
      </c>
      <c r="BM4" s="63" t="str">
        <f aca="false">IF(OR(COLUMN()-COLUMN(gantt_Origin)=1,DAY(GanttStart+(COLUMN()-COLUMN(gantt_Origin)-1)*GanttPeriod)&lt;=GanttPeriod),TEXT(GanttStart+(COLUMN()-COLUMN(gantt_Origin)-1)*GanttPeriod,"mmm yy"),"")</f>
        <v/>
      </c>
      <c r="BN4" s="63" t="str">
        <f aca="false">IF(OR(COLUMN()-COLUMN(gantt_Origin)=1,DAY(GanttStart+(COLUMN()-COLUMN(gantt_Origin)-1)*GanttPeriod)&lt;=GanttPeriod),TEXT(GanttStart+(COLUMN()-COLUMN(gantt_Origin)-1)*GanttPeriod,"mmm yy"),"")</f>
        <v/>
      </c>
      <c r="BO4" s="63" t="str">
        <f aca="false">IF(OR(COLUMN()-COLUMN(gantt_Origin)=1,DAY(GanttStart+(COLUMN()-COLUMN(gantt_Origin)-1)*GanttPeriod)&lt;=GanttPeriod),TEXT(GanttStart+(COLUMN()-COLUMN(gantt_Origin)-1)*GanttPeriod,"mmm yy"),"")</f>
        <v/>
      </c>
      <c r="BP4" s="63" t="str">
        <f aca="false">IF(OR(COLUMN()-COLUMN(gantt_Origin)=1,DAY(GanttStart+(COLUMN()-COLUMN(gantt_Origin)-1)*GanttPeriod)&lt;=GanttPeriod),TEXT(GanttStart+(COLUMN()-COLUMN(gantt_Origin)-1)*GanttPeriod,"mmm yy"),"")</f>
        <v/>
      </c>
      <c r="BQ4" s="63" t="str">
        <f aca="false">IF(OR(COLUMN()-COLUMN(gantt_Origin)=1,DAY(GanttStart+(COLUMN()-COLUMN(gantt_Origin)-1)*GanttPeriod)&lt;=GanttPeriod),TEXT(GanttStart+(COLUMN()-COLUMN(gantt_Origin)-1)*GanttPeriod,"mmm yy"),"")</f>
        <v/>
      </c>
      <c r="BR4" s="63" t="str">
        <f aca="false">IF(OR(COLUMN()-COLUMN(gantt_Origin)=1,DAY(GanttStart+(COLUMN()-COLUMN(gantt_Origin)-1)*GanttPeriod)&lt;=GanttPeriod),TEXT(GanttStart+(COLUMN()-COLUMN(gantt_Origin)-1)*GanttPeriod,"mmm yy"),"")</f>
        <v/>
      </c>
      <c r="BS4" s="63" t="str">
        <f aca="false">IF(OR(COLUMN()-COLUMN(gantt_Origin)=1,DAY(GanttStart+(COLUMN()-COLUMN(gantt_Origin)-1)*GanttPeriod)&lt;=GanttPeriod),TEXT(GanttStart+(COLUMN()-COLUMN(gantt_Origin)-1)*GanttPeriod,"mmm yy"),"")</f>
        <v/>
      </c>
      <c r="BT4" s="63" t="str">
        <f aca="false">IF(OR(COLUMN()-COLUMN(gantt_Origin)=1,DAY(GanttStart+(COLUMN()-COLUMN(gantt_Origin)-1)*GanttPeriod)&lt;=GanttPeriod),TEXT(GanttStart+(COLUMN()-COLUMN(gantt_Origin)-1)*GanttPeriod,"mmm yy"),"")</f>
        <v/>
      </c>
      <c r="BU4" s="63" t="str">
        <f aca="false">IF(OR(COLUMN()-COLUMN(gantt_Origin)=1,DAY(GanttStart+(COLUMN()-COLUMN(gantt_Origin)-1)*GanttPeriod)&lt;=GanttPeriod),TEXT(GanttStart+(COLUMN()-COLUMN(gantt_Origin)-1)*GanttPeriod,"mmm yy"),"")</f>
        <v/>
      </c>
      <c r="BV4" s="63" t="str">
        <f aca="false">IF(OR(COLUMN()-COLUMN(gantt_Origin)=1,DAY(GanttStart+(COLUMN()-COLUMN(gantt_Origin)-1)*GanttPeriod)&lt;=GanttPeriod),TEXT(GanttStart+(COLUMN()-COLUMN(gantt_Origin)-1)*GanttPeriod,"mmm yy"),"")</f>
        <v/>
      </c>
      <c r="BW4" s="63" t="str">
        <f aca="false">IF(OR(COLUMN()-COLUMN(gantt_Origin)=1,DAY(GanttStart+(COLUMN()-COLUMN(gantt_Origin)-1)*GanttPeriod)&lt;=GanttPeriod),TEXT(GanttStart+(COLUMN()-COLUMN(gantt_Origin)-1)*GanttPeriod,"mmm yy"),"")</f>
        <v/>
      </c>
      <c r="BX4" s="63" t="str">
        <f aca="false">IF(OR(COLUMN()-COLUMN(gantt_Origin)=1,DAY(GanttStart+(COLUMN()-COLUMN(gantt_Origin)-1)*GanttPeriod)&lt;=GanttPeriod),TEXT(GanttStart+(COLUMN()-COLUMN(gantt_Origin)-1)*GanttPeriod,"mmm yy"),"")</f>
        <v/>
      </c>
      <c r="BY4" s="63" t="str">
        <f aca="false">IF(OR(COLUMN()-COLUMN(gantt_Origin)=1,DAY(GanttStart+(COLUMN()-COLUMN(gantt_Origin)-1)*GanttPeriod)&lt;=GanttPeriod),TEXT(GanttStart+(COLUMN()-COLUMN(gantt_Origin)-1)*GanttPeriod,"mmm yy"),"")</f>
        <v>Nov 26</v>
      </c>
      <c r="BZ4" s="63" t="str">
        <f aca="false">IF(OR(COLUMN()-COLUMN(gantt_Origin)=1,DAY(GanttStart+(COLUMN()-COLUMN(gantt_Origin)-1)*GanttPeriod)&lt;=GanttPeriod),TEXT(GanttStart+(COLUMN()-COLUMN(gantt_Origin)-1)*GanttPeriod,"mmm yy"),"")</f>
        <v/>
      </c>
      <c r="CA4" s="63" t="str">
        <f aca="false">IF(OR(COLUMN()-COLUMN(gantt_Origin)=1,DAY(GanttStart+(COLUMN()-COLUMN(gantt_Origin)-1)*GanttPeriod)&lt;=GanttPeriod),TEXT(GanttStart+(COLUMN()-COLUMN(gantt_Origin)-1)*GanttPeriod,"mmm yy"),"")</f>
        <v/>
      </c>
      <c r="CB4" s="63" t="str">
        <f aca="false">IF(OR(COLUMN()-COLUMN(gantt_Origin)=1,DAY(GanttStart+(COLUMN()-COLUMN(gantt_Origin)-1)*GanttPeriod)&lt;=GanttPeriod),TEXT(GanttStart+(COLUMN()-COLUMN(gantt_Origin)-1)*GanttPeriod,"mmm yy"),"")</f>
        <v/>
      </c>
      <c r="CC4" s="63" t="str">
        <f aca="false">IF(OR(COLUMN()-COLUMN(gantt_Origin)=1,DAY(GanttStart+(COLUMN()-COLUMN(gantt_Origin)-1)*GanttPeriod)&lt;=GanttPeriod),TEXT(GanttStart+(COLUMN()-COLUMN(gantt_Origin)-1)*GanttPeriod,"mmm yy"),"")</f>
        <v/>
      </c>
      <c r="CD4" s="63" t="str">
        <f aca="false">IF(OR(COLUMN()-COLUMN(gantt_Origin)=1,DAY(GanttStart+(COLUMN()-COLUMN(gantt_Origin)-1)*GanttPeriod)&lt;=GanttPeriod),TEXT(GanttStart+(COLUMN()-COLUMN(gantt_Origin)-1)*GanttPeriod,"mmm yy"),"")</f>
        <v/>
      </c>
      <c r="CE4" s="63" t="str">
        <f aca="false">IF(OR(COLUMN()-COLUMN(gantt_Origin)=1,DAY(GanttStart+(COLUMN()-COLUMN(gantt_Origin)-1)*GanttPeriod)&lt;=GanttPeriod),TEXT(GanttStart+(COLUMN()-COLUMN(gantt_Origin)-1)*GanttPeriod,"mmm yy"),"")</f>
        <v/>
      </c>
      <c r="CF4" s="63" t="str">
        <f aca="false">IF(OR(COLUMN()-COLUMN(gantt_Origin)=1,DAY(GanttStart+(COLUMN()-COLUMN(gantt_Origin)-1)*GanttPeriod)&lt;=GanttPeriod),TEXT(GanttStart+(COLUMN()-COLUMN(gantt_Origin)-1)*GanttPeriod,"mmm yy"),"")</f>
        <v/>
      </c>
      <c r="CG4" s="63" t="str">
        <f aca="false">IF(OR(COLUMN()-COLUMN(gantt_Origin)=1,DAY(GanttStart+(COLUMN()-COLUMN(gantt_Origin)-1)*GanttPeriod)&lt;=GanttPeriod),TEXT(GanttStart+(COLUMN()-COLUMN(gantt_Origin)-1)*GanttPeriod,"mmm yy"),"")</f>
        <v/>
      </c>
      <c r="CH4" s="63" t="str">
        <f aca="false">IF(OR(COLUMN()-COLUMN(gantt_Origin)=1,DAY(GanttStart+(COLUMN()-COLUMN(gantt_Origin)-1)*GanttPeriod)&lt;=GanttPeriod),TEXT(GanttStart+(COLUMN()-COLUMN(gantt_Origin)-1)*GanttPeriod,"mmm yy"),"")</f>
        <v/>
      </c>
      <c r="CI4" s="63" t="str">
        <f aca="false">IF(OR(COLUMN()-COLUMN(gantt_Origin)=1,DAY(GanttStart+(COLUMN()-COLUMN(gantt_Origin)-1)*GanttPeriod)&lt;=GanttPeriod),TEXT(GanttStart+(COLUMN()-COLUMN(gantt_Origin)-1)*GanttPeriod,"mmm yy"),"")</f>
        <v/>
      </c>
      <c r="CJ4" s="63" t="str">
        <f aca="false">IF(OR(COLUMN()-COLUMN(gantt_Origin)=1,DAY(GanttStart+(COLUMN()-COLUMN(gantt_Origin)-1)*GanttPeriod)&lt;=GanttPeriod),TEXT(GanttStart+(COLUMN()-COLUMN(gantt_Origin)-1)*GanttPeriod,"mmm yy"),"")</f>
        <v/>
      </c>
      <c r="CK4" s="63" t="str">
        <f aca="false">IF(OR(COLUMN()-COLUMN(gantt_Origin)=1,DAY(GanttStart+(COLUMN()-COLUMN(gantt_Origin)-1)*GanttPeriod)&lt;=GanttPeriod),TEXT(GanttStart+(COLUMN()-COLUMN(gantt_Origin)-1)*GanttPeriod,"mmm yy"),"")</f>
        <v/>
      </c>
      <c r="CL4" s="63" t="str">
        <f aca="false">IF(OR(COLUMN()-COLUMN(gantt_Origin)=1,DAY(GanttStart+(COLUMN()-COLUMN(gantt_Origin)-1)*GanttPeriod)&lt;=GanttPeriod),TEXT(GanttStart+(COLUMN()-COLUMN(gantt_Origin)-1)*GanttPeriod,"mmm yy"),"")</f>
        <v/>
      </c>
      <c r="CM4" s="63" t="str">
        <f aca="false">IF(OR(COLUMN()-COLUMN(gantt_Origin)=1,DAY(GanttStart+(COLUMN()-COLUMN(gantt_Origin)-1)*GanttPeriod)&lt;=GanttPeriod),TEXT(GanttStart+(COLUMN()-COLUMN(gantt_Origin)-1)*GanttPeriod,"mmm yy"),"")</f>
        <v/>
      </c>
      <c r="CN4" s="63" t="str">
        <f aca="false">IF(OR(COLUMN()-COLUMN(gantt_Origin)=1,DAY(GanttStart+(COLUMN()-COLUMN(gantt_Origin)-1)*GanttPeriod)&lt;=GanttPeriod),TEXT(GanttStart+(COLUMN()-COLUMN(gantt_Origin)-1)*GanttPeriod,"mmm yy"),"")</f>
        <v/>
      </c>
      <c r="CO4" s="63" t="str">
        <f aca="false">IF(OR(COLUMN()-COLUMN(gantt_Origin)=1,DAY(GanttStart+(COLUMN()-COLUMN(gantt_Origin)-1)*GanttPeriod)&lt;=GanttPeriod),TEXT(GanttStart+(COLUMN()-COLUMN(gantt_Origin)-1)*GanttPeriod,"mmm yy"),"")</f>
        <v/>
      </c>
      <c r="CP4" s="63" t="str">
        <f aca="false">IF(OR(COLUMN()-COLUMN(gantt_Origin)=1,DAY(GanttStart+(COLUMN()-COLUMN(gantt_Origin)-1)*GanttPeriod)&lt;=GanttPeriod),TEXT(GanttStart+(COLUMN()-COLUMN(gantt_Origin)-1)*GanttPeriod,"mmm yy"),"")</f>
        <v/>
      </c>
      <c r="CQ4" s="63" t="str">
        <f aca="false">IF(OR(COLUMN()-COLUMN(gantt_Origin)=1,DAY(GanttStart+(COLUMN()-COLUMN(gantt_Origin)-1)*GanttPeriod)&lt;=GanttPeriod),TEXT(GanttStart+(COLUMN()-COLUMN(gantt_Origin)-1)*GanttPeriod,"mmm yy"),"")</f>
        <v/>
      </c>
      <c r="CR4" s="63" t="str">
        <f aca="false">IF(OR(COLUMN()-COLUMN(gantt_Origin)=1,DAY(GanttStart+(COLUMN()-COLUMN(gantt_Origin)-1)*GanttPeriod)&lt;=GanttPeriod),TEXT(GanttStart+(COLUMN()-COLUMN(gantt_Origin)-1)*GanttPeriod,"mmm yy"),"")</f>
        <v/>
      </c>
      <c r="CS4" s="63" t="str">
        <f aca="false">IF(OR(COLUMN()-COLUMN(gantt_Origin)=1,DAY(GanttStart+(COLUMN()-COLUMN(gantt_Origin)-1)*GanttPeriod)&lt;=GanttPeriod),TEXT(GanttStart+(COLUMN()-COLUMN(gantt_Origin)-1)*GanttPeriod,"mmm yy"),"")</f>
        <v/>
      </c>
      <c r="CT4" s="63" t="str">
        <f aca="false">IF(OR(COLUMN()-COLUMN(gantt_Origin)=1,DAY(GanttStart+(COLUMN()-COLUMN(gantt_Origin)-1)*GanttPeriod)&lt;=GanttPeriod),TEXT(GanttStart+(COLUMN()-COLUMN(gantt_Origin)-1)*GanttPeriod,"mmm yy"),"")</f>
        <v/>
      </c>
      <c r="CU4" s="63" t="str">
        <f aca="false">IF(OR(COLUMN()-COLUMN(gantt_Origin)=1,DAY(GanttStart+(COLUMN()-COLUMN(gantt_Origin)-1)*GanttPeriod)&lt;=GanttPeriod),TEXT(GanttStart+(COLUMN()-COLUMN(gantt_Origin)-1)*GanttPeriod,"mmm yy"),"")</f>
        <v/>
      </c>
      <c r="CV4" s="63" t="str">
        <f aca="false">IF(OR(COLUMN()-COLUMN(gantt_Origin)=1,DAY(GanttStart+(COLUMN()-COLUMN(gantt_Origin)-1)*GanttPeriod)&lt;=GanttPeriod),TEXT(GanttStart+(COLUMN()-COLUMN(gantt_Origin)-1)*GanttPeriod,"mmm yy"),"")</f>
        <v/>
      </c>
      <c r="CW4" s="63" t="str">
        <f aca="false">IF(OR(COLUMN()-COLUMN(gantt_Origin)=1,DAY(GanttStart+(COLUMN()-COLUMN(gantt_Origin)-1)*GanttPeriod)&lt;=GanttPeriod),TEXT(GanttStart+(COLUMN()-COLUMN(gantt_Origin)-1)*GanttPeriod,"mmm yy"),"")</f>
        <v/>
      </c>
      <c r="CX4" s="63" t="str">
        <f aca="false">IF(OR(COLUMN()-COLUMN(gantt_Origin)=1,DAY(GanttStart+(COLUMN()-COLUMN(gantt_Origin)-1)*GanttPeriod)&lt;=GanttPeriod),TEXT(GanttStart+(COLUMN()-COLUMN(gantt_Origin)-1)*GanttPeriod,"mmm yy"),"")</f>
        <v/>
      </c>
      <c r="CY4" s="63" t="str">
        <f aca="false">IF(OR(COLUMN()-COLUMN(gantt_Origin)=1,DAY(GanttStart+(COLUMN()-COLUMN(gantt_Origin)-1)*GanttPeriod)&lt;=GanttPeriod),TEXT(GanttStart+(COLUMN()-COLUMN(gantt_Origin)-1)*GanttPeriod,"mmm yy"),"")</f>
        <v/>
      </c>
      <c r="CZ4" s="63" t="str">
        <f aca="false">IF(OR(COLUMN()-COLUMN(gantt_Origin)=1,DAY(GanttStart+(COLUMN()-COLUMN(gantt_Origin)-1)*GanttPeriod)&lt;=GanttPeriod),TEXT(GanttStart+(COLUMN()-COLUMN(gantt_Origin)-1)*GanttPeriod,"mmm yy"),"")</f>
        <v/>
      </c>
      <c r="DA4" s="63" t="str">
        <f aca="false">IF(OR(COLUMN()-COLUMN(gantt_Origin)=1,DAY(GanttStart+(COLUMN()-COLUMN(gantt_Origin)-1)*GanttPeriod)&lt;=GanttPeriod),TEXT(GanttStart+(COLUMN()-COLUMN(gantt_Origin)-1)*GanttPeriod,"mmm yy"),"")</f>
        <v/>
      </c>
      <c r="DB4" s="63" t="str">
        <f aca="false">IF(OR(COLUMN()-COLUMN(gantt_Origin)=1,DAY(GanttStart+(COLUMN()-COLUMN(gantt_Origin)-1)*GanttPeriod)&lt;=GanttPeriod),TEXT(GanttStart+(COLUMN()-COLUMN(gantt_Origin)-1)*GanttPeriod,"mmm yy"),"")</f>
        <v/>
      </c>
      <c r="DC4" s="63" t="str">
        <f aca="false">IF(OR(COLUMN()-COLUMN(gantt_Origin)=1,DAY(GanttStart+(COLUMN()-COLUMN(gantt_Origin)-1)*GanttPeriod)&lt;=GanttPeriod),TEXT(GanttStart+(COLUMN()-COLUMN(gantt_Origin)-1)*GanttPeriod,"mmm yy"),"")</f>
        <v>Dec 26</v>
      </c>
      <c r="DD4" s="63" t="str">
        <f aca="false">IF(OR(COLUMN()-COLUMN(gantt_Origin)=1,DAY(GanttStart+(COLUMN()-COLUMN(gantt_Origin)-1)*GanttPeriod)&lt;=GanttPeriod),TEXT(GanttStart+(COLUMN()-COLUMN(gantt_Origin)-1)*GanttPeriod,"mmm yy"),"")</f>
        <v/>
      </c>
      <c r="DE4" s="63" t="str">
        <f aca="false">IF(OR(COLUMN()-COLUMN(gantt_Origin)=1,DAY(GanttStart+(COLUMN()-COLUMN(gantt_Origin)-1)*GanttPeriod)&lt;=GanttPeriod),TEXT(GanttStart+(COLUMN()-COLUMN(gantt_Origin)-1)*GanttPeriod,"mmm yy"),"")</f>
        <v/>
      </c>
      <c r="DF4" s="63" t="str">
        <f aca="false">IF(OR(COLUMN()-COLUMN(gantt_Origin)=1,DAY(GanttStart+(COLUMN()-COLUMN(gantt_Origin)-1)*GanttPeriod)&lt;=GanttPeriod),TEXT(GanttStart+(COLUMN()-COLUMN(gantt_Origin)-1)*GanttPeriod,"mmm yy"),"")</f>
        <v/>
      </c>
      <c r="DG4" s="63" t="str">
        <f aca="false">IF(OR(COLUMN()-COLUMN(gantt_Origin)=1,DAY(GanttStart+(COLUMN()-COLUMN(gantt_Origin)-1)*GanttPeriod)&lt;=GanttPeriod),TEXT(GanttStart+(COLUMN()-COLUMN(gantt_Origin)-1)*GanttPeriod,"mmm yy"),"")</f>
        <v/>
      </c>
      <c r="DH4" s="63" t="str">
        <f aca="false">IF(OR(COLUMN()-COLUMN(gantt_Origin)=1,DAY(GanttStart+(COLUMN()-COLUMN(gantt_Origin)-1)*GanttPeriod)&lt;=GanttPeriod),TEXT(GanttStart+(COLUMN()-COLUMN(gantt_Origin)-1)*GanttPeriod,"mmm yy"),"")</f>
        <v/>
      </c>
      <c r="DI4" s="63" t="str">
        <f aca="false">IF(OR(COLUMN()-COLUMN(gantt_Origin)=1,DAY(GanttStart+(COLUMN()-COLUMN(gantt_Origin)-1)*GanttPeriod)&lt;=GanttPeriod),TEXT(GanttStart+(COLUMN()-COLUMN(gantt_Origin)-1)*GanttPeriod,"mmm yy"),"")</f>
        <v/>
      </c>
      <c r="DJ4" s="63" t="str">
        <f aca="false">IF(OR(COLUMN()-COLUMN(gantt_Origin)=1,DAY(GanttStart+(COLUMN()-COLUMN(gantt_Origin)-1)*GanttPeriod)&lt;=GanttPeriod),TEXT(GanttStart+(COLUMN()-COLUMN(gantt_Origin)-1)*GanttPeriod,"mmm yy"),"")</f>
        <v/>
      </c>
      <c r="DK4" s="63" t="str">
        <f aca="false">IF(OR(COLUMN()-COLUMN(gantt_Origin)=1,DAY(GanttStart+(COLUMN()-COLUMN(gantt_Origin)-1)*GanttPeriod)&lt;=GanttPeriod),TEXT(GanttStart+(COLUMN()-COLUMN(gantt_Origin)-1)*GanttPeriod,"mmm yy"),"")</f>
        <v/>
      </c>
      <c r="DL4" s="63" t="str">
        <f aca="false">IF(OR(COLUMN()-COLUMN(gantt_Origin)=1,DAY(GanttStart+(COLUMN()-COLUMN(gantt_Origin)-1)*GanttPeriod)&lt;=GanttPeriod),TEXT(GanttStart+(COLUMN()-COLUMN(gantt_Origin)-1)*GanttPeriod,"mmm yy"),"")</f>
        <v/>
      </c>
      <c r="DM4" s="63" t="str">
        <f aca="false">IF(OR(COLUMN()-COLUMN(gantt_Origin)=1,DAY(GanttStart+(COLUMN()-COLUMN(gantt_Origin)-1)*GanttPeriod)&lt;=GanttPeriod),TEXT(GanttStart+(COLUMN()-COLUMN(gantt_Origin)-1)*GanttPeriod,"mmm yy"),"")</f>
        <v/>
      </c>
      <c r="DN4" s="63" t="str">
        <f aca="false">IF(OR(COLUMN()-COLUMN(gantt_Origin)=1,DAY(GanttStart+(COLUMN()-COLUMN(gantt_Origin)-1)*GanttPeriod)&lt;=GanttPeriod),TEXT(GanttStart+(COLUMN()-COLUMN(gantt_Origin)-1)*GanttPeriod,"mmm yy"),"")</f>
        <v/>
      </c>
      <c r="DO4" s="63" t="str">
        <f aca="false">IF(OR(COLUMN()-COLUMN(gantt_Origin)=1,DAY(GanttStart+(COLUMN()-COLUMN(gantt_Origin)-1)*GanttPeriod)&lt;=GanttPeriod),TEXT(GanttStart+(COLUMN()-COLUMN(gantt_Origin)-1)*GanttPeriod,"mmm yy"),"")</f>
        <v/>
      </c>
      <c r="DP4" s="63" t="str">
        <f aca="false">IF(OR(COLUMN()-COLUMN(gantt_Origin)=1,DAY(GanttStart+(COLUMN()-COLUMN(gantt_Origin)-1)*GanttPeriod)&lt;=GanttPeriod),TEXT(GanttStart+(COLUMN()-COLUMN(gantt_Origin)-1)*GanttPeriod,"mmm yy"),"")</f>
        <v/>
      </c>
      <c r="DQ4" s="63" t="str">
        <f aca="false">IF(OR(COLUMN()-COLUMN(gantt_Origin)=1,DAY(GanttStart+(COLUMN()-COLUMN(gantt_Origin)-1)*GanttPeriod)&lt;=GanttPeriod),TEXT(GanttStart+(COLUMN()-COLUMN(gantt_Origin)-1)*GanttPeriod,"mmm yy"),"")</f>
        <v/>
      </c>
      <c r="DR4" s="63" t="str">
        <f aca="false">IF(OR(COLUMN()-COLUMN(gantt_Origin)=1,DAY(GanttStart+(COLUMN()-COLUMN(gantt_Origin)-1)*GanttPeriod)&lt;=GanttPeriod),TEXT(GanttStart+(COLUMN()-COLUMN(gantt_Origin)-1)*GanttPeriod,"mmm yy"),"")</f>
        <v/>
      </c>
      <c r="DS4" s="63" t="str">
        <f aca="false">IF(OR(COLUMN()-COLUMN(gantt_Origin)=1,DAY(GanttStart+(COLUMN()-COLUMN(gantt_Origin)-1)*GanttPeriod)&lt;=GanttPeriod),TEXT(GanttStart+(COLUMN()-COLUMN(gantt_Origin)-1)*GanttPeriod,"mmm yy"),"")</f>
        <v/>
      </c>
      <c r="DT4" s="63" t="str">
        <f aca="false">IF(OR(COLUMN()-COLUMN(gantt_Origin)=1,DAY(GanttStart+(COLUMN()-COLUMN(gantt_Origin)-1)*GanttPeriod)&lt;=GanttPeriod),TEXT(GanttStart+(COLUMN()-COLUMN(gantt_Origin)-1)*GanttPeriod,"mmm yy"),"")</f>
        <v/>
      </c>
      <c r="DU4" s="63" t="str">
        <f aca="false">IF(OR(COLUMN()-COLUMN(gantt_Origin)=1,DAY(GanttStart+(COLUMN()-COLUMN(gantt_Origin)-1)*GanttPeriod)&lt;=GanttPeriod),TEXT(GanttStart+(COLUMN()-COLUMN(gantt_Origin)-1)*GanttPeriod,"mmm yy"),"")</f>
        <v/>
      </c>
      <c r="DV4" s="63" t="str">
        <f aca="false">IF(OR(COLUMN()-COLUMN(gantt_Origin)=1,DAY(GanttStart+(COLUMN()-COLUMN(gantt_Origin)-1)*GanttPeriod)&lt;=GanttPeriod),TEXT(GanttStart+(COLUMN()-COLUMN(gantt_Origin)-1)*GanttPeriod,"mmm yy"),"")</f>
        <v/>
      </c>
      <c r="DW4" s="63" t="str">
        <f aca="false">IF(OR(COLUMN()-COLUMN(gantt_Origin)=1,DAY(GanttStart+(COLUMN()-COLUMN(gantt_Origin)-1)*GanttPeriod)&lt;=GanttPeriod),TEXT(GanttStart+(COLUMN()-COLUMN(gantt_Origin)-1)*GanttPeriod,"mmm yy"),"")</f>
        <v/>
      </c>
      <c r="DX4" s="63" t="str">
        <f aca="false">IF(OR(COLUMN()-COLUMN(gantt_Origin)=1,DAY(GanttStart+(COLUMN()-COLUMN(gantt_Origin)-1)*GanttPeriod)&lt;=GanttPeriod),TEXT(GanttStart+(COLUMN()-COLUMN(gantt_Origin)-1)*GanttPeriod,"mmm yy"),"")</f>
        <v/>
      </c>
      <c r="DY4" s="63" t="str">
        <f aca="false">IF(OR(COLUMN()-COLUMN(gantt_Origin)=1,DAY(GanttStart+(COLUMN()-COLUMN(gantt_Origin)-1)*GanttPeriod)&lt;=GanttPeriod),TEXT(GanttStart+(COLUMN()-COLUMN(gantt_Origin)-1)*GanttPeriod,"mmm yy"),"")</f>
        <v/>
      </c>
      <c r="DZ4" s="63" t="str">
        <f aca="false">IF(OR(COLUMN()-COLUMN(gantt_Origin)=1,DAY(GanttStart+(COLUMN()-COLUMN(gantt_Origin)-1)*GanttPeriod)&lt;=GanttPeriod),TEXT(GanttStart+(COLUMN()-COLUMN(gantt_Origin)-1)*GanttPeriod,"mmm yy"),"")</f>
        <v/>
      </c>
      <c r="EA4" s="63" t="str">
        <f aca="false">IF(OR(COLUMN()-COLUMN(gantt_Origin)=1,DAY(GanttStart+(COLUMN()-COLUMN(gantt_Origin)-1)*GanttPeriod)&lt;=GanttPeriod),TEXT(GanttStart+(COLUMN()-COLUMN(gantt_Origin)-1)*GanttPeriod,"mmm yy"),"")</f>
        <v/>
      </c>
      <c r="EB4" s="63" t="str">
        <f aca="false">IF(OR(COLUMN()-COLUMN(gantt_Origin)=1,DAY(GanttStart+(COLUMN()-COLUMN(gantt_Origin)-1)*GanttPeriod)&lt;=GanttPeriod),TEXT(GanttStart+(COLUMN()-COLUMN(gantt_Origin)-1)*GanttPeriod,"mmm yy"),"")</f>
        <v/>
      </c>
      <c r="EC4" s="63" t="str">
        <f aca="false">IF(OR(COLUMN()-COLUMN(gantt_Origin)=1,DAY(GanttStart+(COLUMN()-COLUMN(gantt_Origin)-1)*GanttPeriod)&lt;=GanttPeriod),TEXT(GanttStart+(COLUMN()-COLUMN(gantt_Origin)-1)*GanttPeriod,"mmm yy"),"")</f>
        <v/>
      </c>
      <c r="ED4" s="63" t="str">
        <f aca="false">IF(OR(COLUMN()-COLUMN(gantt_Origin)=1,DAY(GanttStart+(COLUMN()-COLUMN(gantt_Origin)-1)*GanttPeriod)&lt;=GanttPeriod),TEXT(GanttStart+(COLUMN()-COLUMN(gantt_Origin)-1)*GanttPeriod,"mmm yy"),"")</f>
        <v/>
      </c>
      <c r="EE4" s="63" t="str">
        <f aca="false">IF(OR(COLUMN()-COLUMN(gantt_Origin)=1,DAY(GanttStart+(COLUMN()-COLUMN(gantt_Origin)-1)*GanttPeriod)&lt;=GanttPeriod),TEXT(GanttStart+(COLUMN()-COLUMN(gantt_Origin)-1)*GanttPeriod,"mmm yy"),"")</f>
        <v/>
      </c>
      <c r="EF4" s="63" t="str">
        <f aca="false">IF(OR(COLUMN()-COLUMN(gantt_Origin)=1,DAY(GanttStart+(COLUMN()-COLUMN(gantt_Origin)-1)*GanttPeriod)&lt;=GanttPeriod),TEXT(GanttStart+(COLUMN()-COLUMN(gantt_Origin)-1)*GanttPeriod,"mmm yy"),"")</f>
        <v/>
      </c>
      <c r="EG4" s="63" t="str">
        <f aca="false">IF(OR(COLUMN()-COLUMN(gantt_Origin)=1,DAY(GanttStart+(COLUMN()-COLUMN(gantt_Origin)-1)*GanttPeriod)&lt;=GanttPeriod),TEXT(GanttStart+(COLUMN()-COLUMN(gantt_Origin)-1)*GanttPeriod,"mmm yy"),"")</f>
        <v/>
      </c>
      <c r="EH4" s="63" t="str">
        <f aca="false">IF(OR(COLUMN()-COLUMN(gantt_Origin)=1,DAY(GanttStart+(COLUMN()-COLUMN(gantt_Origin)-1)*GanttPeriod)&lt;=GanttPeriod),TEXT(GanttStart+(COLUMN()-COLUMN(gantt_Origin)-1)*GanttPeriod,"mmm yy"),"")</f>
        <v>Jan 27</v>
      </c>
      <c r="EI4" s="63" t="str">
        <f aca="false">IF(OR(COLUMN()-COLUMN(gantt_Origin)=1,DAY(GanttStart+(COLUMN()-COLUMN(gantt_Origin)-1)*GanttPeriod)&lt;=GanttPeriod),TEXT(GanttStart+(COLUMN()-COLUMN(gantt_Origin)-1)*GanttPeriod,"mmm yy"),"")</f>
        <v/>
      </c>
      <c r="EJ4" s="63" t="str">
        <f aca="false">IF(OR(COLUMN()-COLUMN(gantt_Origin)=1,DAY(GanttStart+(COLUMN()-COLUMN(gantt_Origin)-1)*GanttPeriod)&lt;=GanttPeriod),TEXT(GanttStart+(COLUMN()-COLUMN(gantt_Origin)-1)*GanttPeriod,"mmm yy"),"")</f>
        <v/>
      </c>
      <c r="EK4" s="63" t="str">
        <f aca="false">IF(OR(COLUMN()-COLUMN(gantt_Origin)=1,DAY(GanttStart+(COLUMN()-COLUMN(gantt_Origin)-1)*GanttPeriod)&lt;=GanttPeriod),TEXT(GanttStart+(COLUMN()-COLUMN(gantt_Origin)-1)*GanttPeriod,"mmm yy"),"")</f>
        <v/>
      </c>
      <c r="EL4" s="63" t="str">
        <f aca="false">IF(OR(COLUMN()-COLUMN(gantt_Origin)=1,DAY(GanttStart+(COLUMN()-COLUMN(gantt_Origin)-1)*GanttPeriod)&lt;=GanttPeriod),TEXT(GanttStart+(COLUMN()-COLUMN(gantt_Origin)-1)*GanttPeriod,"mmm yy"),"")</f>
        <v/>
      </c>
      <c r="EM4" s="63" t="str">
        <f aca="false">IF(OR(COLUMN()-COLUMN(gantt_Origin)=1,DAY(GanttStart+(COLUMN()-COLUMN(gantt_Origin)-1)*GanttPeriod)&lt;=GanttPeriod),TEXT(GanttStart+(COLUMN()-COLUMN(gantt_Origin)-1)*GanttPeriod,"mmm yy"),"")</f>
        <v/>
      </c>
      <c r="EN4" s="63" t="str">
        <f aca="false">IF(OR(COLUMN()-COLUMN(gantt_Origin)=1,DAY(GanttStart+(COLUMN()-COLUMN(gantt_Origin)-1)*GanttPeriod)&lt;=GanttPeriod),TEXT(GanttStart+(COLUMN()-COLUMN(gantt_Origin)-1)*GanttPeriod,"mmm yy"),"")</f>
        <v/>
      </c>
      <c r="EO4" s="63" t="str">
        <f aca="false">IF(OR(COLUMN()-COLUMN(gantt_Origin)=1,DAY(GanttStart+(COLUMN()-COLUMN(gantt_Origin)-1)*GanttPeriod)&lt;=GanttPeriod),TEXT(GanttStart+(COLUMN()-COLUMN(gantt_Origin)-1)*GanttPeriod,"mmm yy"),"")</f>
        <v/>
      </c>
      <c r="EP4" s="63" t="str">
        <f aca="false">IF(OR(COLUMN()-COLUMN(gantt_Origin)=1,DAY(GanttStart+(COLUMN()-COLUMN(gantt_Origin)-1)*GanttPeriod)&lt;=GanttPeriod),TEXT(GanttStart+(COLUMN()-COLUMN(gantt_Origin)-1)*GanttPeriod,"mmm yy"),"")</f>
        <v/>
      </c>
      <c r="EQ4" s="63" t="str">
        <f aca="false">IF(OR(COLUMN()-COLUMN(gantt_Origin)=1,DAY(GanttStart+(COLUMN()-COLUMN(gantt_Origin)-1)*GanttPeriod)&lt;=GanttPeriod),TEXT(GanttStart+(COLUMN()-COLUMN(gantt_Origin)-1)*GanttPeriod,"mmm yy"),"")</f>
        <v/>
      </c>
      <c r="ER4" s="63" t="str">
        <f aca="false">IF(OR(COLUMN()-COLUMN(gantt_Origin)=1,DAY(GanttStart+(COLUMN()-COLUMN(gantt_Origin)-1)*GanttPeriod)&lt;=GanttPeriod),TEXT(GanttStart+(COLUMN()-COLUMN(gantt_Origin)-1)*GanttPeriod,"mmm yy"),"")</f>
        <v/>
      </c>
      <c r="ES4" s="63" t="str">
        <f aca="false">IF(OR(COLUMN()-COLUMN(gantt_Origin)=1,DAY(GanttStart+(COLUMN()-COLUMN(gantt_Origin)-1)*GanttPeriod)&lt;=GanttPeriod),TEXT(GanttStart+(COLUMN()-COLUMN(gantt_Origin)-1)*GanttPeriod,"mmm yy"),"")</f>
        <v/>
      </c>
      <c r="ET4" s="63" t="str">
        <f aca="false">IF(OR(COLUMN()-COLUMN(gantt_Origin)=1,DAY(GanttStart+(COLUMN()-COLUMN(gantt_Origin)-1)*GanttPeriod)&lt;=GanttPeriod),TEXT(GanttStart+(COLUMN()-COLUMN(gantt_Origin)-1)*GanttPeriod,"mmm yy"),"")</f>
        <v/>
      </c>
      <c r="EU4" s="63" t="str">
        <f aca="false">IF(OR(COLUMN()-COLUMN(gantt_Origin)=1,DAY(GanttStart+(COLUMN()-COLUMN(gantt_Origin)-1)*GanttPeriod)&lt;=GanttPeriod),TEXT(GanttStart+(COLUMN()-COLUMN(gantt_Origin)-1)*GanttPeriod,"mmm yy"),"")</f>
        <v/>
      </c>
      <c r="EV4" s="63" t="str">
        <f aca="false">IF(OR(COLUMN()-COLUMN(gantt_Origin)=1,DAY(GanttStart+(COLUMN()-COLUMN(gantt_Origin)-1)*GanttPeriod)&lt;=GanttPeriod),TEXT(GanttStart+(COLUMN()-COLUMN(gantt_Origin)-1)*GanttPeriod,"mmm yy"),"")</f>
        <v/>
      </c>
      <c r="EW4" s="63" t="str">
        <f aca="false">IF(OR(COLUMN()-COLUMN(gantt_Origin)=1,DAY(GanttStart+(COLUMN()-COLUMN(gantt_Origin)-1)*GanttPeriod)&lt;=GanttPeriod),TEXT(GanttStart+(COLUMN()-COLUMN(gantt_Origin)-1)*GanttPeriod,"mmm yy"),"")</f>
        <v/>
      </c>
      <c r="EX4" s="63" t="str">
        <f aca="false">IF(OR(COLUMN()-COLUMN(gantt_Origin)=1,DAY(GanttStart+(COLUMN()-COLUMN(gantt_Origin)-1)*GanttPeriod)&lt;=GanttPeriod),TEXT(GanttStart+(COLUMN()-COLUMN(gantt_Origin)-1)*GanttPeriod,"mmm yy"),"")</f>
        <v/>
      </c>
      <c r="EY4" s="63" t="str">
        <f aca="false">IF(OR(COLUMN()-COLUMN(gantt_Origin)=1,DAY(GanttStart+(COLUMN()-COLUMN(gantt_Origin)-1)*GanttPeriod)&lt;=GanttPeriod),TEXT(GanttStart+(COLUMN()-COLUMN(gantt_Origin)-1)*GanttPeriod,"mmm yy"),"")</f>
        <v/>
      </c>
      <c r="EZ4" s="63" t="str">
        <f aca="false">IF(OR(COLUMN()-COLUMN(gantt_Origin)=1,DAY(GanttStart+(COLUMN()-COLUMN(gantt_Origin)-1)*GanttPeriod)&lt;=GanttPeriod),TEXT(GanttStart+(COLUMN()-COLUMN(gantt_Origin)-1)*GanttPeriod,"mmm yy"),"")</f>
        <v/>
      </c>
      <c r="FA4" s="63" t="str">
        <f aca="false">IF(OR(COLUMN()-COLUMN(gantt_Origin)=1,DAY(GanttStart+(COLUMN()-COLUMN(gantt_Origin)-1)*GanttPeriod)&lt;=GanttPeriod),TEXT(GanttStart+(COLUMN()-COLUMN(gantt_Origin)-1)*GanttPeriod,"mmm yy"),"")</f>
        <v/>
      </c>
      <c r="FB4" s="63" t="str">
        <f aca="false">IF(OR(COLUMN()-COLUMN(gantt_Origin)=1,DAY(GanttStart+(COLUMN()-COLUMN(gantt_Origin)-1)*GanttPeriod)&lt;=GanttPeriod),TEXT(GanttStart+(COLUMN()-COLUMN(gantt_Origin)-1)*GanttPeriod,"mmm yy"),"")</f>
        <v/>
      </c>
      <c r="FC4" s="63" t="str">
        <f aca="false">IF(OR(COLUMN()-COLUMN(gantt_Origin)=1,DAY(GanttStart+(COLUMN()-COLUMN(gantt_Origin)-1)*GanttPeriod)&lt;=GanttPeriod),TEXT(GanttStart+(COLUMN()-COLUMN(gantt_Origin)-1)*GanttPeriod,"mmm yy"),"")</f>
        <v/>
      </c>
      <c r="FD4" s="63" t="str">
        <f aca="false">IF(OR(COLUMN()-COLUMN(gantt_Origin)=1,DAY(GanttStart+(COLUMN()-COLUMN(gantt_Origin)-1)*GanttPeriod)&lt;=GanttPeriod),TEXT(GanttStart+(COLUMN()-COLUMN(gantt_Origin)-1)*GanttPeriod,"mmm yy"),"")</f>
        <v/>
      </c>
      <c r="FE4" s="63" t="str">
        <f aca="false">IF(OR(COLUMN()-COLUMN(gantt_Origin)=1,DAY(GanttStart+(COLUMN()-COLUMN(gantt_Origin)-1)*GanttPeriod)&lt;=GanttPeriod),TEXT(GanttStart+(COLUMN()-COLUMN(gantt_Origin)-1)*GanttPeriod,"mmm yy"),"")</f>
        <v/>
      </c>
      <c r="FF4" s="63" t="str">
        <f aca="false">IF(OR(COLUMN()-COLUMN(gantt_Origin)=1,DAY(GanttStart+(COLUMN()-COLUMN(gantt_Origin)-1)*GanttPeriod)&lt;=GanttPeriod),TEXT(GanttStart+(COLUMN()-COLUMN(gantt_Origin)-1)*GanttPeriod,"mmm yy"),"")</f>
        <v/>
      </c>
      <c r="FG4" s="63" t="str">
        <f aca="false">IF(OR(COLUMN()-COLUMN(gantt_Origin)=1,DAY(GanttStart+(COLUMN()-COLUMN(gantt_Origin)-1)*GanttPeriod)&lt;=GanttPeriod),TEXT(GanttStart+(COLUMN()-COLUMN(gantt_Origin)-1)*GanttPeriod,"mmm yy"),"")</f>
        <v/>
      </c>
      <c r="FH4" s="63" t="str">
        <f aca="false">IF(OR(COLUMN()-COLUMN(gantt_Origin)=1,DAY(GanttStart+(COLUMN()-COLUMN(gantt_Origin)-1)*GanttPeriod)&lt;=GanttPeriod),TEXT(GanttStart+(COLUMN()-COLUMN(gantt_Origin)-1)*GanttPeriod,"mmm yy"),"")</f>
        <v/>
      </c>
      <c r="FI4" s="63" t="str">
        <f aca="false">IF(OR(COLUMN()-COLUMN(gantt_Origin)=1,DAY(GanttStart+(COLUMN()-COLUMN(gantt_Origin)-1)*GanttPeriod)&lt;=GanttPeriod),TEXT(GanttStart+(COLUMN()-COLUMN(gantt_Origin)-1)*GanttPeriod,"mmm yy"),"")</f>
        <v/>
      </c>
      <c r="FJ4" s="63" t="str">
        <f aca="false">IF(OR(COLUMN()-COLUMN(gantt_Origin)=1,DAY(GanttStart+(COLUMN()-COLUMN(gantt_Origin)-1)*GanttPeriod)&lt;=GanttPeriod),TEXT(GanttStart+(COLUMN()-COLUMN(gantt_Origin)-1)*GanttPeriod,"mmm yy"),"")</f>
        <v/>
      </c>
      <c r="FK4" s="63" t="str">
        <f aca="false">IF(OR(COLUMN()-COLUMN(gantt_Origin)=1,DAY(GanttStart+(COLUMN()-COLUMN(gantt_Origin)-1)*GanttPeriod)&lt;=GanttPeriod),TEXT(GanttStart+(COLUMN()-COLUMN(gantt_Origin)-1)*GanttPeriod,"mmm yy"),"")</f>
        <v/>
      </c>
      <c r="FL4" s="63" t="str">
        <f aca="false">IF(OR(COLUMN()-COLUMN(gantt_Origin)=1,DAY(GanttStart+(COLUMN()-COLUMN(gantt_Origin)-1)*GanttPeriod)&lt;=GanttPeriod),TEXT(GanttStart+(COLUMN()-COLUMN(gantt_Origin)-1)*GanttPeriod,"mmm yy"),"")</f>
        <v/>
      </c>
      <c r="FM4" s="63" t="str">
        <f aca="false">IF(OR(COLUMN()-COLUMN(gantt_Origin)=1,DAY(GanttStart+(COLUMN()-COLUMN(gantt_Origin)-1)*GanttPeriod)&lt;=GanttPeriod),TEXT(GanttStart+(COLUMN()-COLUMN(gantt_Origin)-1)*GanttPeriod,"mmm yy"),"")</f>
        <v>Feb 27</v>
      </c>
      <c r="FN4" s="63" t="str">
        <f aca="false">IF(OR(COLUMN()-COLUMN(gantt_Origin)=1,DAY(GanttStart+(COLUMN()-COLUMN(gantt_Origin)-1)*GanttPeriod)&lt;=GanttPeriod),TEXT(GanttStart+(COLUMN()-COLUMN(gantt_Origin)-1)*GanttPeriod,"mmm yy"),"")</f>
        <v/>
      </c>
      <c r="FO4" s="63" t="str">
        <f aca="false">IF(OR(COLUMN()-COLUMN(gantt_Origin)=1,DAY(GanttStart+(COLUMN()-COLUMN(gantt_Origin)-1)*GanttPeriod)&lt;=GanttPeriod),TEXT(GanttStart+(COLUMN()-COLUMN(gantt_Origin)-1)*GanttPeriod,"mmm yy"),"")</f>
        <v/>
      </c>
    </row>
    <row r="5" customFormat="false" ht="30" hidden="false" customHeight="true" outlineLevel="0" collapsed="false">
      <c r="A5" s="9" t="s">
        <v>178</v>
      </c>
      <c r="B5" s="9" t="s">
        <v>180</v>
      </c>
      <c r="C5" s="9" t="s">
        <v>320</v>
      </c>
      <c r="D5" s="9" t="s">
        <v>321</v>
      </c>
      <c r="E5" s="9" t="s">
        <v>192</v>
      </c>
      <c r="F5" s="9" t="s">
        <v>193</v>
      </c>
      <c r="G5" s="9" t="s">
        <v>196</v>
      </c>
      <c r="H5" s="9" t="s">
        <v>197</v>
      </c>
      <c r="I5" s="9" t="s">
        <v>322</v>
      </c>
      <c r="J5" s="9" t="s">
        <v>204</v>
      </c>
      <c r="K5" s="9" t="s">
        <v>66</v>
      </c>
      <c r="L5" s="37" t="s">
        <v>223</v>
      </c>
      <c r="M5" s="37" t="s">
        <v>226</v>
      </c>
      <c r="N5" s="37" t="s">
        <v>323</v>
      </c>
      <c r="O5" s="37" t="s">
        <v>324</v>
      </c>
      <c r="P5" s="37" t="s">
        <v>325</v>
      </c>
      <c r="Q5" s="37" t="s">
        <v>326</v>
      </c>
      <c r="R5" s="37" t="s">
        <v>327</v>
      </c>
      <c r="S5" s="37" t="s">
        <v>328</v>
      </c>
      <c r="T5" s="37" t="s">
        <v>329</v>
      </c>
      <c r="V5" s="64" t="n">
        <f aca="false">GanttStart+(COLUMN()-COLUMN(gantt_Origin)-1)*GanttPeriod</f>
        <v>46272</v>
      </c>
      <c r="W5" s="64" t="n">
        <f aca="false">GanttStart+(COLUMN()-COLUMN(gantt_Origin)-1)*GanttPeriod</f>
        <v>46273</v>
      </c>
      <c r="X5" s="64" t="n">
        <f aca="false">GanttStart+(COLUMN()-COLUMN(gantt_Origin)-1)*GanttPeriod</f>
        <v>46274</v>
      </c>
      <c r="Y5" s="64" t="n">
        <f aca="false">GanttStart+(COLUMN()-COLUMN(gantt_Origin)-1)*GanttPeriod</f>
        <v>46275</v>
      </c>
      <c r="Z5" s="64" t="n">
        <f aca="false">GanttStart+(COLUMN()-COLUMN(gantt_Origin)-1)*GanttPeriod</f>
        <v>46276</v>
      </c>
      <c r="AA5" s="64" t="n">
        <f aca="false">GanttStart+(COLUMN()-COLUMN(gantt_Origin)-1)*GanttPeriod</f>
        <v>46277</v>
      </c>
      <c r="AB5" s="64" t="n">
        <f aca="false">GanttStart+(COLUMN()-COLUMN(gantt_Origin)-1)*GanttPeriod</f>
        <v>46278</v>
      </c>
      <c r="AC5" s="64" t="n">
        <f aca="false">GanttStart+(COLUMN()-COLUMN(gantt_Origin)-1)*GanttPeriod</f>
        <v>46279</v>
      </c>
      <c r="AD5" s="64" t="n">
        <f aca="false">GanttStart+(COLUMN()-COLUMN(gantt_Origin)-1)*GanttPeriod</f>
        <v>46280</v>
      </c>
      <c r="AE5" s="64" t="n">
        <f aca="false">GanttStart+(COLUMN()-COLUMN(gantt_Origin)-1)*GanttPeriod</f>
        <v>46281</v>
      </c>
      <c r="AF5" s="64" t="n">
        <f aca="false">GanttStart+(COLUMN()-COLUMN(gantt_Origin)-1)*GanttPeriod</f>
        <v>46282</v>
      </c>
      <c r="AG5" s="64" t="n">
        <f aca="false">GanttStart+(COLUMN()-COLUMN(gantt_Origin)-1)*GanttPeriod</f>
        <v>46283</v>
      </c>
      <c r="AH5" s="64" t="n">
        <f aca="false">GanttStart+(COLUMN()-COLUMN(gantt_Origin)-1)*GanttPeriod</f>
        <v>46284</v>
      </c>
      <c r="AI5" s="64" t="n">
        <f aca="false">GanttStart+(COLUMN()-COLUMN(gantt_Origin)-1)*GanttPeriod</f>
        <v>46285</v>
      </c>
      <c r="AJ5" s="64" t="n">
        <f aca="false">GanttStart+(COLUMN()-COLUMN(gantt_Origin)-1)*GanttPeriod</f>
        <v>46286</v>
      </c>
      <c r="AK5" s="64" t="n">
        <f aca="false">GanttStart+(COLUMN()-COLUMN(gantt_Origin)-1)*GanttPeriod</f>
        <v>46287</v>
      </c>
      <c r="AL5" s="64" t="n">
        <f aca="false">GanttStart+(COLUMN()-COLUMN(gantt_Origin)-1)*GanttPeriod</f>
        <v>46288</v>
      </c>
      <c r="AM5" s="64" t="n">
        <f aca="false">GanttStart+(COLUMN()-COLUMN(gantt_Origin)-1)*GanttPeriod</f>
        <v>46289</v>
      </c>
      <c r="AN5" s="64" t="n">
        <f aca="false">GanttStart+(COLUMN()-COLUMN(gantt_Origin)-1)*GanttPeriod</f>
        <v>46290</v>
      </c>
      <c r="AO5" s="64" t="n">
        <f aca="false">GanttStart+(COLUMN()-COLUMN(gantt_Origin)-1)*GanttPeriod</f>
        <v>46291</v>
      </c>
      <c r="AP5" s="64" t="n">
        <f aca="false">GanttStart+(COLUMN()-COLUMN(gantt_Origin)-1)*GanttPeriod</f>
        <v>46292</v>
      </c>
      <c r="AQ5" s="64" t="n">
        <f aca="false">GanttStart+(COLUMN()-COLUMN(gantt_Origin)-1)*GanttPeriod</f>
        <v>46293</v>
      </c>
      <c r="AR5" s="64" t="n">
        <f aca="false">GanttStart+(COLUMN()-COLUMN(gantt_Origin)-1)*GanttPeriod</f>
        <v>46294</v>
      </c>
      <c r="AS5" s="64" t="n">
        <f aca="false">GanttStart+(COLUMN()-COLUMN(gantt_Origin)-1)*GanttPeriod</f>
        <v>46295</v>
      </c>
      <c r="AT5" s="64" t="n">
        <f aca="false">GanttStart+(COLUMN()-COLUMN(gantt_Origin)-1)*GanttPeriod</f>
        <v>46296</v>
      </c>
      <c r="AU5" s="64" t="n">
        <f aca="false">GanttStart+(COLUMN()-COLUMN(gantt_Origin)-1)*GanttPeriod</f>
        <v>46297</v>
      </c>
      <c r="AV5" s="64" t="n">
        <f aca="false">GanttStart+(COLUMN()-COLUMN(gantt_Origin)-1)*GanttPeriod</f>
        <v>46298</v>
      </c>
      <c r="AW5" s="64" t="n">
        <f aca="false">GanttStart+(COLUMN()-COLUMN(gantt_Origin)-1)*GanttPeriod</f>
        <v>46299</v>
      </c>
      <c r="AX5" s="64" t="n">
        <f aca="false">GanttStart+(COLUMN()-COLUMN(gantt_Origin)-1)*GanttPeriod</f>
        <v>46300</v>
      </c>
      <c r="AY5" s="64" t="n">
        <f aca="false">GanttStart+(COLUMN()-COLUMN(gantt_Origin)-1)*GanttPeriod</f>
        <v>46301</v>
      </c>
      <c r="AZ5" s="64" t="n">
        <f aca="false">GanttStart+(COLUMN()-COLUMN(gantt_Origin)-1)*GanttPeriod</f>
        <v>46302</v>
      </c>
      <c r="BA5" s="64" t="n">
        <f aca="false">GanttStart+(COLUMN()-COLUMN(gantt_Origin)-1)*GanttPeriod</f>
        <v>46303</v>
      </c>
      <c r="BB5" s="64" t="n">
        <f aca="false">GanttStart+(COLUMN()-COLUMN(gantt_Origin)-1)*GanttPeriod</f>
        <v>46304</v>
      </c>
      <c r="BC5" s="64" t="n">
        <f aca="false">GanttStart+(COLUMN()-COLUMN(gantt_Origin)-1)*GanttPeriod</f>
        <v>46305</v>
      </c>
      <c r="BD5" s="64" t="n">
        <f aca="false">GanttStart+(COLUMN()-COLUMN(gantt_Origin)-1)*GanttPeriod</f>
        <v>46306</v>
      </c>
      <c r="BE5" s="64" t="n">
        <f aca="false">GanttStart+(COLUMN()-COLUMN(gantt_Origin)-1)*GanttPeriod</f>
        <v>46307</v>
      </c>
      <c r="BF5" s="64" t="n">
        <f aca="false">GanttStart+(COLUMN()-COLUMN(gantt_Origin)-1)*GanttPeriod</f>
        <v>46308</v>
      </c>
      <c r="BG5" s="64" t="n">
        <f aca="false">GanttStart+(COLUMN()-COLUMN(gantt_Origin)-1)*GanttPeriod</f>
        <v>46309</v>
      </c>
      <c r="BH5" s="64" t="n">
        <f aca="false">GanttStart+(COLUMN()-COLUMN(gantt_Origin)-1)*GanttPeriod</f>
        <v>46310</v>
      </c>
      <c r="BI5" s="64" t="n">
        <f aca="false">GanttStart+(COLUMN()-COLUMN(gantt_Origin)-1)*GanttPeriod</f>
        <v>46311</v>
      </c>
      <c r="BJ5" s="64" t="n">
        <f aca="false">GanttStart+(COLUMN()-COLUMN(gantt_Origin)-1)*GanttPeriod</f>
        <v>46312</v>
      </c>
      <c r="BK5" s="64" t="n">
        <f aca="false">GanttStart+(COLUMN()-COLUMN(gantt_Origin)-1)*GanttPeriod</f>
        <v>46313</v>
      </c>
      <c r="BL5" s="64" t="n">
        <f aca="false">GanttStart+(COLUMN()-COLUMN(gantt_Origin)-1)*GanttPeriod</f>
        <v>46314</v>
      </c>
      <c r="BM5" s="64" t="n">
        <f aca="false">GanttStart+(COLUMN()-COLUMN(gantt_Origin)-1)*GanttPeriod</f>
        <v>46315</v>
      </c>
      <c r="BN5" s="64" t="n">
        <f aca="false">GanttStart+(COLUMN()-COLUMN(gantt_Origin)-1)*GanttPeriod</f>
        <v>46316</v>
      </c>
      <c r="BO5" s="64" t="n">
        <f aca="false">GanttStart+(COLUMN()-COLUMN(gantt_Origin)-1)*GanttPeriod</f>
        <v>46317</v>
      </c>
      <c r="BP5" s="64" t="n">
        <f aca="false">GanttStart+(COLUMN()-COLUMN(gantt_Origin)-1)*GanttPeriod</f>
        <v>46318</v>
      </c>
      <c r="BQ5" s="64" t="n">
        <f aca="false">GanttStart+(COLUMN()-COLUMN(gantt_Origin)-1)*GanttPeriod</f>
        <v>46319</v>
      </c>
      <c r="BR5" s="64" t="n">
        <f aca="false">GanttStart+(COLUMN()-COLUMN(gantt_Origin)-1)*GanttPeriod</f>
        <v>46320</v>
      </c>
      <c r="BS5" s="64" t="n">
        <f aca="false">GanttStart+(COLUMN()-COLUMN(gantt_Origin)-1)*GanttPeriod</f>
        <v>46321</v>
      </c>
      <c r="BT5" s="64" t="n">
        <f aca="false">GanttStart+(COLUMN()-COLUMN(gantt_Origin)-1)*GanttPeriod</f>
        <v>46322</v>
      </c>
      <c r="BU5" s="64" t="n">
        <f aca="false">GanttStart+(COLUMN()-COLUMN(gantt_Origin)-1)*GanttPeriod</f>
        <v>46323</v>
      </c>
      <c r="BV5" s="64" t="n">
        <f aca="false">GanttStart+(COLUMN()-COLUMN(gantt_Origin)-1)*GanttPeriod</f>
        <v>46324</v>
      </c>
      <c r="BW5" s="64" t="n">
        <f aca="false">GanttStart+(COLUMN()-COLUMN(gantt_Origin)-1)*GanttPeriod</f>
        <v>46325</v>
      </c>
      <c r="BX5" s="64" t="n">
        <f aca="false">GanttStart+(COLUMN()-COLUMN(gantt_Origin)-1)*GanttPeriod</f>
        <v>46326</v>
      </c>
      <c r="BY5" s="64" t="n">
        <f aca="false">GanttStart+(COLUMN()-COLUMN(gantt_Origin)-1)*GanttPeriod</f>
        <v>46327</v>
      </c>
      <c r="BZ5" s="64" t="n">
        <f aca="false">GanttStart+(COLUMN()-COLUMN(gantt_Origin)-1)*GanttPeriod</f>
        <v>46328</v>
      </c>
      <c r="CA5" s="64" t="n">
        <f aca="false">GanttStart+(COLUMN()-COLUMN(gantt_Origin)-1)*GanttPeriod</f>
        <v>46329</v>
      </c>
      <c r="CB5" s="64" t="n">
        <f aca="false">GanttStart+(COLUMN()-COLUMN(gantt_Origin)-1)*GanttPeriod</f>
        <v>46330</v>
      </c>
      <c r="CC5" s="64" t="n">
        <f aca="false">GanttStart+(COLUMN()-COLUMN(gantt_Origin)-1)*GanttPeriod</f>
        <v>46331</v>
      </c>
      <c r="CD5" s="64" t="n">
        <f aca="false">GanttStart+(COLUMN()-COLUMN(gantt_Origin)-1)*GanttPeriod</f>
        <v>46332</v>
      </c>
      <c r="CE5" s="64" t="n">
        <f aca="false">GanttStart+(COLUMN()-COLUMN(gantt_Origin)-1)*GanttPeriod</f>
        <v>46333</v>
      </c>
      <c r="CF5" s="64" t="n">
        <f aca="false">GanttStart+(COLUMN()-COLUMN(gantt_Origin)-1)*GanttPeriod</f>
        <v>46334</v>
      </c>
      <c r="CG5" s="64" t="n">
        <f aca="false">GanttStart+(COLUMN()-COLUMN(gantt_Origin)-1)*GanttPeriod</f>
        <v>46335</v>
      </c>
      <c r="CH5" s="64" t="n">
        <f aca="false">GanttStart+(COLUMN()-COLUMN(gantt_Origin)-1)*GanttPeriod</f>
        <v>46336</v>
      </c>
      <c r="CI5" s="64" t="n">
        <f aca="false">GanttStart+(COLUMN()-COLUMN(gantt_Origin)-1)*GanttPeriod</f>
        <v>46337</v>
      </c>
      <c r="CJ5" s="64" t="n">
        <f aca="false">GanttStart+(COLUMN()-COLUMN(gantt_Origin)-1)*GanttPeriod</f>
        <v>46338</v>
      </c>
      <c r="CK5" s="64" t="n">
        <f aca="false">GanttStart+(COLUMN()-COLUMN(gantt_Origin)-1)*GanttPeriod</f>
        <v>46339</v>
      </c>
      <c r="CL5" s="64" t="n">
        <f aca="false">GanttStart+(COLUMN()-COLUMN(gantt_Origin)-1)*GanttPeriod</f>
        <v>46340</v>
      </c>
      <c r="CM5" s="64" t="n">
        <f aca="false">GanttStart+(COLUMN()-COLUMN(gantt_Origin)-1)*GanttPeriod</f>
        <v>46341</v>
      </c>
      <c r="CN5" s="64" t="n">
        <f aca="false">GanttStart+(COLUMN()-COLUMN(gantt_Origin)-1)*GanttPeriod</f>
        <v>46342</v>
      </c>
      <c r="CO5" s="64" t="n">
        <f aca="false">GanttStart+(COLUMN()-COLUMN(gantt_Origin)-1)*GanttPeriod</f>
        <v>46343</v>
      </c>
      <c r="CP5" s="64" t="n">
        <f aca="false">GanttStart+(COLUMN()-COLUMN(gantt_Origin)-1)*GanttPeriod</f>
        <v>46344</v>
      </c>
      <c r="CQ5" s="64" t="n">
        <f aca="false">GanttStart+(COLUMN()-COLUMN(gantt_Origin)-1)*GanttPeriod</f>
        <v>46345</v>
      </c>
      <c r="CR5" s="64" t="n">
        <f aca="false">GanttStart+(COLUMN()-COLUMN(gantt_Origin)-1)*GanttPeriod</f>
        <v>46346</v>
      </c>
      <c r="CS5" s="64" t="n">
        <f aca="false">GanttStart+(COLUMN()-COLUMN(gantt_Origin)-1)*GanttPeriod</f>
        <v>46347</v>
      </c>
      <c r="CT5" s="64" t="n">
        <f aca="false">GanttStart+(COLUMN()-COLUMN(gantt_Origin)-1)*GanttPeriod</f>
        <v>46348</v>
      </c>
      <c r="CU5" s="64" t="n">
        <f aca="false">GanttStart+(COLUMN()-COLUMN(gantt_Origin)-1)*GanttPeriod</f>
        <v>46349</v>
      </c>
      <c r="CV5" s="64" t="n">
        <f aca="false">GanttStart+(COLUMN()-COLUMN(gantt_Origin)-1)*GanttPeriod</f>
        <v>46350</v>
      </c>
      <c r="CW5" s="64" t="n">
        <f aca="false">GanttStart+(COLUMN()-COLUMN(gantt_Origin)-1)*GanttPeriod</f>
        <v>46351</v>
      </c>
      <c r="CX5" s="64" t="n">
        <f aca="false">GanttStart+(COLUMN()-COLUMN(gantt_Origin)-1)*GanttPeriod</f>
        <v>46352</v>
      </c>
      <c r="CY5" s="64" t="n">
        <f aca="false">GanttStart+(COLUMN()-COLUMN(gantt_Origin)-1)*GanttPeriod</f>
        <v>46353</v>
      </c>
      <c r="CZ5" s="64" t="n">
        <f aca="false">GanttStart+(COLUMN()-COLUMN(gantt_Origin)-1)*GanttPeriod</f>
        <v>46354</v>
      </c>
      <c r="DA5" s="64" t="n">
        <f aca="false">GanttStart+(COLUMN()-COLUMN(gantt_Origin)-1)*GanttPeriod</f>
        <v>46355</v>
      </c>
      <c r="DB5" s="64" t="n">
        <f aca="false">GanttStart+(COLUMN()-COLUMN(gantt_Origin)-1)*GanttPeriod</f>
        <v>46356</v>
      </c>
      <c r="DC5" s="64" t="n">
        <f aca="false">GanttStart+(COLUMN()-COLUMN(gantt_Origin)-1)*GanttPeriod</f>
        <v>46357</v>
      </c>
      <c r="DD5" s="64" t="n">
        <f aca="false">GanttStart+(COLUMN()-COLUMN(gantt_Origin)-1)*GanttPeriod</f>
        <v>46358</v>
      </c>
      <c r="DE5" s="64" t="n">
        <f aca="false">GanttStart+(COLUMN()-COLUMN(gantt_Origin)-1)*GanttPeriod</f>
        <v>46359</v>
      </c>
      <c r="DF5" s="64" t="n">
        <f aca="false">GanttStart+(COLUMN()-COLUMN(gantt_Origin)-1)*GanttPeriod</f>
        <v>46360</v>
      </c>
      <c r="DG5" s="64" t="n">
        <f aca="false">GanttStart+(COLUMN()-COLUMN(gantt_Origin)-1)*GanttPeriod</f>
        <v>46361</v>
      </c>
      <c r="DH5" s="64" t="n">
        <f aca="false">GanttStart+(COLUMN()-COLUMN(gantt_Origin)-1)*GanttPeriod</f>
        <v>46362</v>
      </c>
      <c r="DI5" s="64" t="n">
        <f aca="false">GanttStart+(COLUMN()-COLUMN(gantt_Origin)-1)*GanttPeriod</f>
        <v>46363</v>
      </c>
      <c r="DJ5" s="64" t="n">
        <f aca="false">GanttStart+(COLUMN()-COLUMN(gantt_Origin)-1)*GanttPeriod</f>
        <v>46364</v>
      </c>
      <c r="DK5" s="64" t="n">
        <f aca="false">GanttStart+(COLUMN()-COLUMN(gantt_Origin)-1)*GanttPeriod</f>
        <v>46365</v>
      </c>
      <c r="DL5" s="64" t="n">
        <f aca="false">GanttStart+(COLUMN()-COLUMN(gantt_Origin)-1)*GanttPeriod</f>
        <v>46366</v>
      </c>
      <c r="DM5" s="64" t="n">
        <f aca="false">GanttStart+(COLUMN()-COLUMN(gantt_Origin)-1)*GanttPeriod</f>
        <v>46367</v>
      </c>
      <c r="DN5" s="64" t="n">
        <f aca="false">GanttStart+(COLUMN()-COLUMN(gantt_Origin)-1)*GanttPeriod</f>
        <v>46368</v>
      </c>
      <c r="DO5" s="64" t="n">
        <f aca="false">GanttStart+(COLUMN()-COLUMN(gantt_Origin)-1)*GanttPeriod</f>
        <v>46369</v>
      </c>
      <c r="DP5" s="64" t="n">
        <f aca="false">GanttStart+(COLUMN()-COLUMN(gantt_Origin)-1)*GanttPeriod</f>
        <v>46370</v>
      </c>
      <c r="DQ5" s="64" t="n">
        <f aca="false">GanttStart+(COLUMN()-COLUMN(gantt_Origin)-1)*GanttPeriod</f>
        <v>46371</v>
      </c>
      <c r="DR5" s="64" t="n">
        <f aca="false">GanttStart+(COLUMN()-COLUMN(gantt_Origin)-1)*GanttPeriod</f>
        <v>46372</v>
      </c>
      <c r="DS5" s="64" t="n">
        <f aca="false">GanttStart+(COLUMN()-COLUMN(gantt_Origin)-1)*GanttPeriod</f>
        <v>46373</v>
      </c>
      <c r="DT5" s="64" t="n">
        <f aca="false">GanttStart+(COLUMN()-COLUMN(gantt_Origin)-1)*GanttPeriod</f>
        <v>46374</v>
      </c>
      <c r="DU5" s="64" t="n">
        <f aca="false">GanttStart+(COLUMN()-COLUMN(gantt_Origin)-1)*GanttPeriod</f>
        <v>46375</v>
      </c>
      <c r="DV5" s="64" t="n">
        <f aca="false">GanttStart+(COLUMN()-COLUMN(gantt_Origin)-1)*GanttPeriod</f>
        <v>46376</v>
      </c>
      <c r="DW5" s="64" t="n">
        <f aca="false">GanttStart+(COLUMN()-COLUMN(gantt_Origin)-1)*GanttPeriod</f>
        <v>46377</v>
      </c>
      <c r="DX5" s="64" t="n">
        <f aca="false">GanttStart+(COLUMN()-COLUMN(gantt_Origin)-1)*GanttPeriod</f>
        <v>46378</v>
      </c>
      <c r="DY5" s="64" t="n">
        <f aca="false">GanttStart+(COLUMN()-COLUMN(gantt_Origin)-1)*GanttPeriod</f>
        <v>46379</v>
      </c>
      <c r="DZ5" s="64" t="n">
        <f aca="false">GanttStart+(COLUMN()-COLUMN(gantt_Origin)-1)*GanttPeriod</f>
        <v>46380</v>
      </c>
      <c r="EA5" s="64" t="n">
        <f aca="false">GanttStart+(COLUMN()-COLUMN(gantt_Origin)-1)*GanttPeriod</f>
        <v>46381</v>
      </c>
      <c r="EB5" s="64" t="n">
        <f aca="false">GanttStart+(COLUMN()-COLUMN(gantt_Origin)-1)*GanttPeriod</f>
        <v>46382</v>
      </c>
      <c r="EC5" s="64" t="n">
        <f aca="false">GanttStart+(COLUMN()-COLUMN(gantt_Origin)-1)*GanttPeriod</f>
        <v>46383</v>
      </c>
      <c r="ED5" s="64" t="n">
        <f aca="false">GanttStart+(COLUMN()-COLUMN(gantt_Origin)-1)*GanttPeriod</f>
        <v>46384</v>
      </c>
      <c r="EE5" s="64" t="n">
        <f aca="false">GanttStart+(COLUMN()-COLUMN(gantt_Origin)-1)*GanttPeriod</f>
        <v>46385</v>
      </c>
      <c r="EF5" s="64" t="n">
        <f aca="false">GanttStart+(COLUMN()-COLUMN(gantt_Origin)-1)*GanttPeriod</f>
        <v>46386</v>
      </c>
      <c r="EG5" s="64" t="n">
        <f aca="false">GanttStart+(COLUMN()-COLUMN(gantt_Origin)-1)*GanttPeriod</f>
        <v>46387</v>
      </c>
      <c r="EH5" s="64" t="n">
        <f aca="false">GanttStart+(COLUMN()-COLUMN(gantt_Origin)-1)*GanttPeriod</f>
        <v>46388</v>
      </c>
      <c r="EI5" s="64" t="n">
        <f aca="false">GanttStart+(COLUMN()-COLUMN(gantt_Origin)-1)*GanttPeriod</f>
        <v>46389</v>
      </c>
      <c r="EJ5" s="64" t="n">
        <f aca="false">GanttStart+(COLUMN()-COLUMN(gantt_Origin)-1)*GanttPeriod</f>
        <v>46390</v>
      </c>
      <c r="EK5" s="64" t="n">
        <f aca="false">GanttStart+(COLUMN()-COLUMN(gantt_Origin)-1)*GanttPeriod</f>
        <v>46391</v>
      </c>
      <c r="EL5" s="64" t="n">
        <f aca="false">GanttStart+(COLUMN()-COLUMN(gantt_Origin)-1)*GanttPeriod</f>
        <v>46392</v>
      </c>
      <c r="EM5" s="64" t="n">
        <f aca="false">GanttStart+(COLUMN()-COLUMN(gantt_Origin)-1)*GanttPeriod</f>
        <v>46393</v>
      </c>
      <c r="EN5" s="64" t="n">
        <f aca="false">GanttStart+(COLUMN()-COLUMN(gantt_Origin)-1)*GanttPeriod</f>
        <v>46394</v>
      </c>
      <c r="EO5" s="64" t="n">
        <f aca="false">GanttStart+(COLUMN()-COLUMN(gantt_Origin)-1)*GanttPeriod</f>
        <v>46395</v>
      </c>
      <c r="EP5" s="64" t="n">
        <f aca="false">GanttStart+(COLUMN()-COLUMN(gantt_Origin)-1)*GanttPeriod</f>
        <v>46396</v>
      </c>
      <c r="EQ5" s="64" t="n">
        <f aca="false">GanttStart+(COLUMN()-COLUMN(gantt_Origin)-1)*GanttPeriod</f>
        <v>46397</v>
      </c>
      <c r="ER5" s="64" t="n">
        <f aca="false">GanttStart+(COLUMN()-COLUMN(gantt_Origin)-1)*GanttPeriod</f>
        <v>46398</v>
      </c>
      <c r="ES5" s="64" t="n">
        <f aca="false">GanttStart+(COLUMN()-COLUMN(gantt_Origin)-1)*GanttPeriod</f>
        <v>46399</v>
      </c>
      <c r="ET5" s="64" t="n">
        <f aca="false">GanttStart+(COLUMN()-COLUMN(gantt_Origin)-1)*GanttPeriod</f>
        <v>46400</v>
      </c>
      <c r="EU5" s="64" t="n">
        <f aca="false">GanttStart+(COLUMN()-COLUMN(gantt_Origin)-1)*GanttPeriod</f>
        <v>46401</v>
      </c>
      <c r="EV5" s="64" t="n">
        <f aca="false">GanttStart+(COLUMN()-COLUMN(gantt_Origin)-1)*GanttPeriod</f>
        <v>46402</v>
      </c>
      <c r="EW5" s="64" t="n">
        <f aca="false">GanttStart+(COLUMN()-COLUMN(gantt_Origin)-1)*GanttPeriod</f>
        <v>46403</v>
      </c>
      <c r="EX5" s="64" t="n">
        <f aca="false">GanttStart+(COLUMN()-COLUMN(gantt_Origin)-1)*GanttPeriod</f>
        <v>46404</v>
      </c>
      <c r="EY5" s="64" t="n">
        <f aca="false">GanttStart+(COLUMN()-COLUMN(gantt_Origin)-1)*GanttPeriod</f>
        <v>46405</v>
      </c>
      <c r="EZ5" s="64" t="n">
        <f aca="false">GanttStart+(COLUMN()-COLUMN(gantt_Origin)-1)*GanttPeriod</f>
        <v>46406</v>
      </c>
      <c r="FA5" s="64" t="n">
        <f aca="false">GanttStart+(COLUMN()-COLUMN(gantt_Origin)-1)*GanttPeriod</f>
        <v>46407</v>
      </c>
      <c r="FB5" s="64" t="n">
        <f aca="false">GanttStart+(COLUMN()-COLUMN(gantt_Origin)-1)*GanttPeriod</f>
        <v>46408</v>
      </c>
      <c r="FC5" s="64" t="n">
        <f aca="false">GanttStart+(COLUMN()-COLUMN(gantt_Origin)-1)*GanttPeriod</f>
        <v>46409</v>
      </c>
      <c r="FD5" s="64" t="n">
        <f aca="false">GanttStart+(COLUMN()-COLUMN(gantt_Origin)-1)*GanttPeriod</f>
        <v>46410</v>
      </c>
      <c r="FE5" s="64" t="n">
        <f aca="false">GanttStart+(COLUMN()-COLUMN(gantt_Origin)-1)*GanttPeriod</f>
        <v>46411</v>
      </c>
      <c r="FF5" s="64" t="n">
        <f aca="false">GanttStart+(COLUMN()-COLUMN(gantt_Origin)-1)*GanttPeriod</f>
        <v>46412</v>
      </c>
      <c r="FG5" s="64" t="n">
        <f aca="false">GanttStart+(COLUMN()-COLUMN(gantt_Origin)-1)*GanttPeriod</f>
        <v>46413</v>
      </c>
      <c r="FH5" s="64" t="n">
        <f aca="false">GanttStart+(COLUMN()-COLUMN(gantt_Origin)-1)*GanttPeriod</f>
        <v>46414</v>
      </c>
      <c r="FI5" s="64" t="n">
        <f aca="false">GanttStart+(COLUMN()-COLUMN(gantt_Origin)-1)*GanttPeriod</f>
        <v>46415</v>
      </c>
      <c r="FJ5" s="64" t="n">
        <f aca="false">GanttStart+(COLUMN()-COLUMN(gantt_Origin)-1)*GanttPeriod</f>
        <v>46416</v>
      </c>
      <c r="FK5" s="64" t="n">
        <f aca="false">GanttStart+(COLUMN()-COLUMN(gantt_Origin)-1)*GanttPeriod</f>
        <v>46417</v>
      </c>
      <c r="FL5" s="64" t="n">
        <f aca="false">GanttStart+(COLUMN()-COLUMN(gantt_Origin)-1)*GanttPeriod</f>
        <v>46418</v>
      </c>
      <c r="FM5" s="64" t="n">
        <f aca="false">GanttStart+(COLUMN()-COLUMN(gantt_Origin)-1)*GanttPeriod</f>
        <v>46419</v>
      </c>
      <c r="FN5" s="64" t="n">
        <f aca="false">GanttStart+(COLUMN()-COLUMN(gantt_Origin)-1)*GanttPeriod</f>
        <v>46420</v>
      </c>
      <c r="FO5" s="64" t="n">
        <f aca="false">GanttStart+(COLUMN()-COLUMN(gantt_Origin)-1)*GanttPeriod</f>
        <v>46421</v>
      </c>
    </row>
    <row r="6" customFormat="false" ht="15" hidden="false" customHeight="false" outlineLevel="0" collapsed="false">
      <c r="A6" s="65" t="n">
        <f aca="false">IF(IFERROR(INDEX(tsk_Name,GanttView[[#This Row],[_Row]])="",TRUE()),"",INDEX(tsk_ID,GanttView[[#This Row],[_Row]]))</f>
        <v>1</v>
      </c>
      <c r="B6" s="65" t="str">
        <f aca="false">IF(IFERROR(INDEX(tsk_Name,GanttView[[#This Row],[_Row]])="",TRUE()),"",INDEX(tsk_WBS,GanttView[[#This Row],[_Row]]))</f>
        <v>1</v>
      </c>
      <c r="C6" s="66" t="str">
        <f aca="false">IF(IFERROR(INDEX(tsk_Name,GanttView[[#This Row],[_Row]])="",TRUE()),"",REPT("    ",INDEX(tsk_Level,GanttView[[#This Row],[_Row]])-1)&amp;INDEX(tsk_Name,GanttView[[#This Row],[_Row]]))</f>
        <v>Initiation</v>
      </c>
      <c r="D6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6" s="67" t="n">
        <f aca="false">IF(IFERROR(INDEX(tsk_Name,GanttView[[#This Row],[_Row]])="",TRUE()),"",INDEX(tsk_PlanStart,GanttView[[#This Row],[_Row]]))</f>
        <v>46272</v>
      </c>
      <c r="F6" s="67" t="n">
        <f aca="false">IF(IFERROR(INDEX(tsk_Name,GanttView[[#This Row],[_Row]])="",TRUE()),"",INDEX(tsk_PlanFinish,GanttView[[#This Row],[_Row]]))</f>
        <v>46276</v>
      </c>
      <c r="G6" s="67" t="n">
        <f aca="false">IF(IFERROR(INDEX(tsk_Name,GanttView[[#This Row],[_Row]])="",TRUE()),"",INDEX(tsk_FcStart,GanttView[[#This Row],[_Row]]))</f>
        <v>46272</v>
      </c>
      <c r="H6" s="67" t="n">
        <f aca="false">IF(IFERROR(INDEX(tsk_Name,GanttView[[#This Row],[_Row]])="",TRUE()),"",INDEX(tsk_FcFinish,GanttView[[#This Row],[_Row]]))</f>
        <v>46279</v>
      </c>
      <c r="I6" s="68" t="n">
        <f aca="false">IF(IFERROR(INDEX(tsk_Name,GanttView[[#This Row],[_Row]])="",TRUE()),"",INDEX(tsk_Progress,GanttView[[#This Row],[_Row]]))</f>
        <v>1</v>
      </c>
      <c r="J6" s="66" t="str">
        <f aca="false">IF(IFERROR(INDEX(tsk_Name,GanttView[[#This Row],[_Row]])="",TRUE()),"",INDEX(tsk_Resource,GanttView[[#This Row],[_Row]])&amp;"")</f>
        <v/>
      </c>
      <c r="K6" s="69" t="str">
        <f aca="false">IF(IFERROR(INDEX(tsk_Name,GanttView[[#This Row],[_Row]])="",TRUE()),"",INDEX(tsk_Status,GanttView[[#This Row],[_Row]]))</f>
        <v>Complete</v>
      </c>
      <c r="L6" s="70" t="n">
        <f aca="false">ROW()-ROW(GanttView[[#Headers],[ID]])</f>
        <v>1</v>
      </c>
      <c r="M6" s="71" t="b">
        <f aca="false">IF(IFERROR(INDEX(tsk_Name,GanttView[[#This Row],[_Row]])="",TRUE()),FALSE(),INDEX(tsk_IsSummary,GanttView[[#This Row],[_Row]]))</f>
        <v>1</v>
      </c>
      <c r="N6" s="71" t="b">
        <f aca="false">IF(IFERROR(INDEX(tsk_Name,GanttView[[#This Row],[_Row]])="",TRUE()),FALSE(),AND(INDEX(tsk_IsLeaf,GanttView[[#This Row],[_Row]])=1,N(INDEX(tsk_Duration,GanttView[[#This Row],[_Row]]))=0))</f>
        <v>0</v>
      </c>
      <c r="O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" s="72" t="n">
        <f aca="false">IF(GanttView[[#This Row],[_RemFrom]]=0,0,GanttView[[#This Row],[Forecast Finish]])</f>
        <v>0</v>
      </c>
      <c r="S6" s="71" t="b">
        <f aca="false">IF(IFERROR(INDEX(tsk_Name,GanttView[[#This Row],[_Row]])="",TRUE()),FALSE(),N(INDEX(tsk_Variance,GanttView[[#This Row],[_Row]]))&gt;0)</f>
        <v>1</v>
      </c>
      <c r="T6" s="72" t="n">
        <f aca="false">IF(IFERROR(INDEX(tsk_Name,GanttView[[#This Row],[_Row]])="",TRUE()),0,N(INDEX(tsk_Deadline,GanttView[[#This Row],[_Row]])))</f>
        <v>0</v>
      </c>
    </row>
    <row r="7" customFormat="false" ht="15" hidden="false" customHeight="false" outlineLevel="0" collapsed="false">
      <c r="A7" s="65" t="n">
        <f aca="false">IF(IFERROR(INDEX(tsk_Name,GanttView[[#This Row],[_Row]])="",TRUE()),"",INDEX(tsk_ID,GanttView[[#This Row],[_Row]]))</f>
        <v>2</v>
      </c>
      <c r="B7" s="65" t="str">
        <f aca="false">IF(IFERROR(INDEX(tsk_Name,GanttView[[#This Row],[_Row]])="",TRUE()),"",INDEX(tsk_WBS,GanttView[[#This Row],[_Row]]))</f>
        <v>1.1</v>
      </c>
      <c r="C7" s="66" t="str">
        <f aca="false">IF(IFERROR(INDEX(tsk_Name,GanttView[[#This Row],[_Row]])="",TRUE()),"",REPT("    ",INDEX(tsk_Level,GanttView[[#This Row],[_Row]])-1)&amp;INDEX(tsk_Name,GanttView[[#This Row],[_Row]]))</f>
        <v>    Project charter &amp; scope statement</v>
      </c>
      <c r="D7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</v>
      </c>
      <c r="E7" s="67" t="n">
        <f aca="false">IF(IFERROR(INDEX(tsk_Name,GanttView[[#This Row],[_Row]])="",TRUE()),"",INDEX(tsk_PlanStart,GanttView[[#This Row],[_Row]]))</f>
        <v>46272</v>
      </c>
      <c r="F7" s="67" t="n">
        <f aca="false">IF(IFERROR(INDEX(tsk_Name,GanttView[[#This Row],[_Row]])="",TRUE()),"",INDEX(tsk_PlanFinish,GanttView[[#This Row],[_Row]]))</f>
        <v>46274</v>
      </c>
      <c r="G7" s="67" t="n">
        <f aca="false">IF(IFERROR(INDEX(tsk_Name,GanttView[[#This Row],[_Row]])="",TRUE()),"",INDEX(tsk_FcStart,GanttView[[#This Row],[_Row]]))</f>
        <v>46272</v>
      </c>
      <c r="H7" s="67" t="n">
        <f aca="false">IF(IFERROR(INDEX(tsk_Name,GanttView[[#This Row],[_Row]])="",TRUE()),"",INDEX(tsk_FcFinish,GanttView[[#This Row],[_Row]]))</f>
        <v>46275</v>
      </c>
      <c r="I7" s="68" t="n">
        <f aca="false">IF(IFERROR(INDEX(tsk_Name,GanttView[[#This Row],[_Row]])="",TRUE()),"",INDEX(tsk_Progress,GanttView[[#This Row],[_Row]]))</f>
        <v>1</v>
      </c>
      <c r="J7" s="66" t="str">
        <f aca="false">IF(IFERROR(INDEX(tsk_Name,GanttView[[#This Row],[_Row]])="",TRUE()),"",INDEX(tsk_Resource,GanttView[[#This Row],[_Row]])&amp;"")</f>
        <v>Priya Sharma</v>
      </c>
      <c r="K7" s="69" t="str">
        <f aca="false">IF(IFERROR(INDEX(tsk_Name,GanttView[[#This Row],[_Row]])="",TRUE()),"",INDEX(tsk_Status,GanttView[[#This Row],[_Row]]))</f>
        <v>Complete</v>
      </c>
      <c r="L7" s="70" t="n">
        <f aca="false">ROW()-ROW(GanttView[[#Headers],[ID]])</f>
        <v>2</v>
      </c>
      <c r="M7" s="71" t="b">
        <f aca="false">IF(IFERROR(INDEX(tsk_Name,GanttView[[#This Row],[_Row]])="",TRUE()),FALSE(),INDEX(tsk_IsSummary,GanttView[[#This Row],[_Row]]))</f>
        <v>0</v>
      </c>
      <c r="N7" s="71" t="b">
        <f aca="false">IF(IFERROR(INDEX(tsk_Name,GanttView[[#This Row],[_Row]])="",TRUE()),FALSE(),AND(INDEX(tsk_IsLeaf,GanttView[[#This Row],[_Row]])=1,N(INDEX(tsk_Duration,GanttView[[#This Row],[_Row]]))=0))</f>
        <v>0</v>
      </c>
      <c r="O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46272</v>
      </c>
      <c r="P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46275</v>
      </c>
      <c r="Q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" s="72" t="n">
        <f aca="false">IF(GanttView[[#This Row],[_RemFrom]]=0,0,GanttView[[#This Row],[Forecast Finish]])</f>
        <v>0</v>
      </c>
      <c r="S7" s="71" t="b">
        <f aca="false">IF(IFERROR(INDEX(tsk_Name,GanttView[[#This Row],[_Row]])="",TRUE()),FALSE(),N(INDEX(tsk_Variance,GanttView[[#This Row],[_Row]]))&gt;0)</f>
        <v>1</v>
      </c>
      <c r="T7" s="72" t="n">
        <f aca="false">IF(IFERROR(INDEX(tsk_Name,GanttView[[#This Row],[_Row]])="",TRUE()),0,N(INDEX(tsk_Deadline,GanttView[[#This Row],[_Row]])))</f>
        <v>0</v>
      </c>
    </row>
    <row r="8" customFormat="false" ht="15" hidden="false" customHeight="false" outlineLevel="0" collapsed="false">
      <c r="A8" s="65" t="n">
        <f aca="false">IF(IFERROR(INDEX(tsk_Name,GanttView[[#This Row],[_Row]])="",TRUE()),"",INDEX(tsk_ID,GanttView[[#This Row],[_Row]]))</f>
        <v>3</v>
      </c>
      <c r="B8" s="65" t="str">
        <f aca="false">IF(IFERROR(INDEX(tsk_Name,GanttView[[#This Row],[_Row]])="",TRUE()),"",INDEX(tsk_WBS,GanttView[[#This Row],[_Row]]))</f>
        <v>1.2</v>
      </c>
      <c r="C8" s="66" t="str">
        <f aca="false">IF(IFERROR(INDEX(tsk_Name,GanttView[[#This Row],[_Row]])="",TRUE()),"",REPT("    ",INDEX(tsk_Level,GanttView[[#This Row],[_Row]])-1)&amp;INDEX(tsk_Name,GanttView[[#This Row],[_Row]]))</f>
        <v>    Stakeholder kickoff workshop</v>
      </c>
      <c r="D8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</v>
      </c>
      <c r="E8" s="67" t="n">
        <f aca="false">IF(IFERROR(INDEX(tsk_Name,GanttView[[#This Row],[_Row]])="",TRUE()),"",INDEX(tsk_PlanStart,GanttView[[#This Row],[_Row]]))</f>
        <v>46275</v>
      </c>
      <c r="F8" s="67" t="n">
        <f aca="false">IF(IFERROR(INDEX(tsk_Name,GanttView[[#This Row],[_Row]])="",TRUE()),"",INDEX(tsk_PlanFinish,GanttView[[#This Row],[_Row]]))</f>
        <v>46276</v>
      </c>
      <c r="G8" s="67" t="n">
        <f aca="false">IF(IFERROR(INDEX(tsk_Name,GanttView[[#This Row],[_Row]])="",TRUE()),"",INDEX(tsk_FcStart,GanttView[[#This Row],[_Row]]))</f>
        <v>46276</v>
      </c>
      <c r="H8" s="67" t="n">
        <f aca="false">IF(IFERROR(INDEX(tsk_Name,GanttView[[#This Row],[_Row]])="",TRUE()),"",INDEX(tsk_FcFinish,GanttView[[#This Row],[_Row]]))</f>
        <v>46279</v>
      </c>
      <c r="I8" s="68" t="n">
        <f aca="false">IF(IFERROR(INDEX(tsk_Name,GanttView[[#This Row],[_Row]])="",TRUE()),"",INDEX(tsk_Progress,GanttView[[#This Row],[_Row]]))</f>
        <v>1</v>
      </c>
      <c r="J8" s="66" t="str">
        <f aca="false">IF(IFERROR(INDEX(tsk_Name,GanttView[[#This Row],[_Row]])="",TRUE()),"",INDEX(tsk_Resource,GanttView[[#This Row],[_Row]])&amp;"")</f>
        <v>Morgan Patel</v>
      </c>
      <c r="K8" s="69" t="str">
        <f aca="false">IF(IFERROR(INDEX(tsk_Name,GanttView[[#This Row],[_Row]])="",TRUE()),"",INDEX(tsk_Status,GanttView[[#This Row],[_Row]]))</f>
        <v>Complete</v>
      </c>
      <c r="L8" s="70" t="n">
        <f aca="false">ROW()-ROW(GanttView[[#Headers],[ID]])</f>
        <v>3</v>
      </c>
      <c r="M8" s="71" t="b">
        <f aca="false">IF(IFERROR(INDEX(tsk_Name,GanttView[[#This Row],[_Row]])="",TRUE()),FALSE(),INDEX(tsk_IsSummary,GanttView[[#This Row],[_Row]]))</f>
        <v>0</v>
      </c>
      <c r="N8" s="71" t="b">
        <f aca="false">IF(IFERROR(INDEX(tsk_Name,GanttView[[#This Row],[_Row]])="",TRUE()),FALSE(),AND(INDEX(tsk_IsLeaf,GanttView[[#This Row],[_Row]])=1,N(INDEX(tsk_Duration,GanttView[[#This Row],[_Row]]))=0))</f>
        <v>0</v>
      </c>
      <c r="O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46276</v>
      </c>
      <c r="P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46279</v>
      </c>
      <c r="Q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" s="72" t="n">
        <f aca="false">IF(GanttView[[#This Row],[_RemFrom]]=0,0,GanttView[[#This Row],[Forecast Finish]])</f>
        <v>0</v>
      </c>
      <c r="S8" s="71" t="b">
        <f aca="false">IF(IFERROR(INDEX(tsk_Name,GanttView[[#This Row],[_Row]])="",TRUE()),FALSE(),N(INDEX(tsk_Variance,GanttView[[#This Row],[_Row]]))&gt;0)</f>
        <v>1</v>
      </c>
      <c r="T8" s="72" t="n">
        <f aca="false">IF(IFERROR(INDEX(tsk_Name,GanttView[[#This Row],[_Row]])="",TRUE()),0,N(INDEX(tsk_Deadline,GanttView[[#This Row],[_Row]])))</f>
        <v>0</v>
      </c>
    </row>
    <row r="9" customFormat="false" ht="15" hidden="false" customHeight="false" outlineLevel="0" collapsed="false">
      <c r="A9" s="65" t="n">
        <f aca="false">IF(IFERROR(INDEX(tsk_Name,GanttView[[#This Row],[_Row]])="",TRUE()),"",INDEX(tsk_ID,GanttView[[#This Row],[_Row]]))</f>
        <v>4</v>
      </c>
      <c r="B9" s="65" t="str">
        <f aca="false">IF(IFERROR(INDEX(tsk_Name,GanttView[[#This Row],[_Row]])="",TRUE()),"",INDEX(tsk_WBS,GanttView[[#This Row],[_Row]]))</f>
        <v>1.3</v>
      </c>
      <c r="C9" s="66" t="str">
        <f aca="false">IF(IFERROR(INDEX(tsk_Name,GanttView[[#This Row],[_Row]])="",TRUE()),"",REPT("    ",INDEX(tsk_Level,GanttView[[#This Row],[_Row]])-1)&amp;INDEX(tsk_Name,GanttView[[#This Row],[_Row]]))</f>
        <v>    Kickoff complete</v>
      </c>
      <c r="D9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9" s="67" t="n">
        <f aca="false">IF(IFERROR(INDEX(tsk_Name,GanttView[[#This Row],[_Row]])="",TRUE()),"",INDEX(tsk_PlanStart,GanttView[[#This Row],[_Row]]))</f>
        <v>46276</v>
      </c>
      <c r="F9" s="67" t="n">
        <f aca="false">IF(IFERROR(INDEX(tsk_Name,GanttView[[#This Row],[_Row]])="",TRUE()),"",INDEX(tsk_PlanFinish,GanttView[[#This Row],[_Row]]))</f>
        <v>46276</v>
      </c>
      <c r="G9" s="67" t="n">
        <f aca="false">IF(IFERROR(INDEX(tsk_Name,GanttView[[#This Row],[_Row]])="",TRUE()),"",INDEX(tsk_FcStart,GanttView[[#This Row],[_Row]]))</f>
        <v>46279</v>
      </c>
      <c r="H9" s="67" t="n">
        <f aca="false">IF(IFERROR(INDEX(tsk_Name,GanttView[[#This Row],[_Row]])="",TRUE()),"",INDEX(tsk_FcFinish,GanttView[[#This Row],[_Row]]))</f>
        <v>46279</v>
      </c>
      <c r="I9" s="68" t="n">
        <f aca="false">IF(IFERROR(INDEX(tsk_Name,GanttView[[#This Row],[_Row]])="",TRUE()),"",INDEX(tsk_Progress,GanttView[[#This Row],[_Row]]))</f>
        <v>1</v>
      </c>
      <c r="J9" s="66" t="str">
        <f aca="false">IF(IFERROR(INDEX(tsk_Name,GanttView[[#This Row],[_Row]])="",TRUE()),"",INDEX(tsk_Resource,GanttView[[#This Row],[_Row]])&amp;"")</f>
        <v/>
      </c>
      <c r="K9" s="69" t="str">
        <f aca="false">IF(IFERROR(INDEX(tsk_Name,GanttView[[#This Row],[_Row]])="",TRUE()),"",INDEX(tsk_Status,GanttView[[#This Row],[_Row]]))</f>
        <v>Complete</v>
      </c>
      <c r="L9" s="70" t="n">
        <f aca="false">ROW()-ROW(GanttView[[#Headers],[ID]])</f>
        <v>4</v>
      </c>
      <c r="M9" s="71" t="b">
        <f aca="false">IF(IFERROR(INDEX(tsk_Name,GanttView[[#This Row],[_Row]])="",TRUE()),FALSE(),INDEX(tsk_IsSummary,GanttView[[#This Row],[_Row]]))</f>
        <v>0</v>
      </c>
      <c r="N9" s="71" t="b">
        <f aca="false">IF(IFERROR(INDEX(tsk_Name,GanttView[[#This Row],[_Row]])="",TRUE()),FALSE(),AND(INDEX(tsk_IsLeaf,GanttView[[#This Row],[_Row]])=1,N(INDEX(tsk_Duration,GanttView[[#This Row],[_Row]]))=0))</f>
        <v>1</v>
      </c>
      <c r="O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" s="72" t="n">
        <f aca="false">IF(GanttView[[#This Row],[_RemFrom]]=0,0,GanttView[[#This Row],[Forecast Finish]])</f>
        <v>0</v>
      </c>
      <c r="S9" s="71" t="b">
        <f aca="false">IF(IFERROR(INDEX(tsk_Name,GanttView[[#This Row],[_Row]])="",TRUE()),FALSE(),N(INDEX(tsk_Variance,GanttView[[#This Row],[_Row]]))&gt;0)</f>
        <v>1</v>
      </c>
      <c r="T9" s="72" t="n">
        <f aca="false">IF(IFERROR(INDEX(tsk_Name,GanttView[[#This Row],[_Row]])="",TRUE()),0,N(INDEX(tsk_Deadline,GanttView[[#This Row],[_Row]])))</f>
        <v>0</v>
      </c>
    </row>
    <row r="10" customFormat="false" ht="15" hidden="false" customHeight="false" outlineLevel="0" collapsed="false">
      <c r="A10" s="65" t="n">
        <f aca="false">IF(IFERROR(INDEX(tsk_Name,GanttView[[#This Row],[_Row]])="",TRUE()),"",INDEX(tsk_ID,GanttView[[#This Row],[_Row]]))</f>
        <v>5</v>
      </c>
      <c r="B10" s="65" t="str">
        <f aca="false">IF(IFERROR(INDEX(tsk_Name,GanttView[[#This Row],[_Row]])="",TRUE()),"",INDEX(tsk_WBS,GanttView[[#This Row],[_Row]]))</f>
        <v>2</v>
      </c>
      <c r="C10" s="66" t="str">
        <f aca="false">IF(IFERROR(INDEX(tsk_Name,GanttView[[#This Row],[_Row]])="",TRUE()),"",REPT("    ",INDEX(tsk_Level,GanttView[[#This Row],[_Row]])-1)&amp;INDEX(tsk_Name,GanttView[[#This Row],[_Row]]))</f>
        <v>Requirements &amp; Design</v>
      </c>
      <c r="D10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16</v>
      </c>
      <c r="E10" s="67" t="n">
        <f aca="false">IF(IFERROR(INDEX(tsk_Name,GanttView[[#This Row],[_Row]])="",TRUE()),"",INDEX(tsk_PlanStart,GanttView[[#This Row],[_Row]]))</f>
        <v>46279</v>
      </c>
      <c r="F10" s="67" t="n">
        <f aca="false">IF(IFERROR(INDEX(tsk_Name,GanttView[[#This Row],[_Row]])="",TRUE()),"",INDEX(tsk_PlanFinish,GanttView[[#This Row],[_Row]]))</f>
        <v>46296</v>
      </c>
      <c r="G10" s="67" t="n">
        <f aca="false">IF(IFERROR(INDEX(tsk_Name,GanttView[[#This Row],[_Row]])="",TRUE()),"",INDEX(tsk_FcStart,GanttView[[#This Row],[_Row]]))</f>
        <v>46280</v>
      </c>
      <c r="H10" s="67" t="n">
        <f aca="false">IF(IFERROR(INDEX(tsk_Name,GanttView[[#This Row],[_Row]])="",TRUE()),"",INDEX(tsk_FcFinish,GanttView[[#This Row],[_Row]]))</f>
        <v>46301</v>
      </c>
      <c r="I10" s="68" t="n">
        <f aca="false">IF(IFERROR(INDEX(tsk_Name,GanttView[[#This Row],[_Row]])="",TRUE()),"",INDEX(tsk_Progress,GanttView[[#This Row],[_Row]]))</f>
        <v>1</v>
      </c>
      <c r="J10" s="66" t="str">
        <f aca="false">IF(IFERROR(INDEX(tsk_Name,GanttView[[#This Row],[_Row]])="",TRUE()),"",INDEX(tsk_Resource,GanttView[[#This Row],[_Row]])&amp;"")</f>
        <v/>
      </c>
      <c r="K10" s="69" t="str">
        <f aca="false">IF(IFERROR(INDEX(tsk_Name,GanttView[[#This Row],[_Row]])="",TRUE()),"",INDEX(tsk_Status,GanttView[[#This Row],[_Row]]))</f>
        <v>Complete</v>
      </c>
      <c r="L10" s="70" t="n">
        <f aca="false">ROW()-ROW(GanttView[[#Headers],[ID]])</f>
        <v>5</v>
      </c>
      <c r="M10" s="71" t="b">
        <f aca="false">IF(IFERROR(INDEX(tsk_Name,GanttView[[#This Row],[_Row]])="",TRUE()),FALSE(),INDEX(tsk_IsSummary,GanttView[[#This Row],[_Row]]))</f>
        <v>1</v>
      </c>
      <c r="N10" s="71" t="b">
        <f aca="false">IF(IFERROR(INDEX(tsk_Name,GanttView[[#This Row],[_Row]])="",TRUE()),FALSE(),AND(INDEX(tsk_IsLeaf,GanttView[[#This Row],[_Row]])=1,N(INDEX(tsk_Duration,GanttView[[#This Row],[_Row]]))=0))</f>
        <v>0</v>
      </c>
      <c r="O1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" s="72" t="n">
        <f aca="false">IF(GanttView[[#This Row],[_RemFrom]]=0,0,GanttView[[#This Row],[Forecast Finish]])</f>
        <v>0</v>
      </c>
      <c r="S10" s="71" t="b">
        <f aca="false">IF(IFERROR(INDEX(tsk_Name,GanttView[[#This Row],[_Row]])="",TRUE()),FALSE(),N(INDEX(tsk_Variance,GanttView[[#This Row],[_Row]]))&gt;0)</f>
        <v>1</v>
      </c>
      <c r="T10" s="72" t="n">
        <f aca="false">IF(IFERROR(INDEX(tsk_Name,GanttView[[#This Row],[_Row]])="",TRUE()),0,N(INDEX(tsk_Deadline,GanttView[[#This Row],[_Row]])))</f>
        <v>0</v>
      </c>
    </row>
    <row r="11" customFormat="false" ht="15" hidden="false" customHeight="false" outlineLevel="0" collapsed="false">
      <c r="A11" s="65" t="n">
        <f aca="false">IF(IFERROR(INDEX(tsk_Name,GanttView[[#This Row],[_Row]])="",TRUE()),"",INDEX(tsk_ID,GanttView[[#This Row],[_Row]]))</f>
        <v>6</v>
      </c>
      <c r="B11" s="65" t="str">
        <f aca="false">IF(IFERROR(INDEX(tsk_Name,GanttView[[#This Row],[_Row]])="",TRUE()),"",INDEX(tsk_WBS,GanttView[[#This Row],[_Row]]))</f>
        <v>2.1</v>
      </c>
      <c r="C11" s="66" t="str">
        <f aca="false">IF(IFERROR(INDEX(tsk_Name,GanttView[[#This Row],[_Row]])="",TRUE()),"",REPT("    ",INDEX(tsk_Level,GanttView[[#This Row],[_Row]])-1)&amp;INDEX(tsk_Name,GanttView[[#This Row],[_Row]]))</f>
        <v>    Requirements gathering</v>
      </c>
      <c r="D11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8</v>
      </c>
      <c r="E11" s="67" t="n">
        <f aca="false">IF(IFERROR(INDEX(tsk_Name,GanttView[[#This Row],[_Row]])="",TRUE()),"",INDEX(tsk_PlanStart,GanttView[[#This Row],[_Row]]))</f>
        <v>46279</v>
      </c>
      <c r="F11" s="67" t="n">
        <f aca="false">IF(IFERROR(INDEX(tsk_Name,GanttView[[#This Row],[_Row]])="",TRUE()),"",INDEX(tsk_PlanFinish,GanttView[[#This Row],[_Row]]))</f>
        <v>46288</v>
      </c>
      <c r="G11" s="67" t="n">
        <f aca="false">IF(IFERROR(INDEX(tsk_Name,GanttView[[#This Row],[_Row]])="",TRUE()),"",INDEX(tsk_FcStart,GanttView[[#This Row],[_Row]]))</f>
        <v>46280</v>
      </c>
      <c r="H11" s="67" t="n">
        <f aca="false">IF(IFERROR(INDEX(tsk_Name,GanttView[[#This Row],[_Row]])="",TRUE()),"",INDEX(tsk_FcFinish,GanttView[[#This Row],[_Row]]))</f>
        <v>46290</v>
      </c>
      <c r="I11" s="68" t="n">
        <f aca="false">IF(IFERROR(INDEX(tsk_Name,GanttView[[#This Row],[_Row]])="",TRUE()),"",INDEX(tsk_Progress,GanttView[[#This Row],[_Row]]))</f>
        <v>1</v>
      </c>
      <c r="J11" s="66" t="str">
        <f aca="false">IF(IFERROR(INDEX(tsk_Name,GanttView[[#This Row],[_Row]])="",TRUE()),"",INDEX(tsk_Resource,GanttView[[#This Row],[_Row]])&amp;"")</f>
        <v>Morgan Patel</v>
      </c>
      <c r="K11" s="69" t="str">
        <f aca="false">IF(IFERROR(INDEX(tsk_Name,GanttView[[#This Row],[_Row]])="",TRUE()),"",INDEX(tsk_Status,GanttView[[#This Row],[_Row]]))</f>
        <v>Complete</v>
      </c>
      <c r="L11" s="70" t="n">
        <f aca="false">ROW()-ROW(GanttView[[#Headers],[ID]])</f>
        <v>6</v>
      </c>
      <c r="M11" s="71" t="b">
        <f aca="false">IF(IFERROR(INDEX(tsk_Name,GanttView[[#This Row],[_Row]])="",TRUE()),FALSE(),INDEX(tsk_IsSummary,GanttView[[#This Row],[_Row]]))</f>
        <v>0</v>
      </c>
      <c r="N11" s="71" t="b">
        <f aca="false">IF(IFERROR(INDEX(tsk_Name,GanttView[[#This Row],[_Row]])="",TRUE()),FALSE(),AND(INDEX(tsk_IsLeaf,GanttView[[#This Row],[_Row]])=1,N(INDEX(tsk_Duration,GanttView[[#This Row],[_Row]]))=0))</f>
        <v>0</v>
      </c>
      <c r="O1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46280</v>
      </c>
      <c r="P1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46290</v>
      </c>
      <c r="Q1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" s="72" t="n">
        <f aca="false">IF(GanttView[[#This Row],[_RemFrom]]=0,0,GanttView[[#This Row],[Forecast Finish]])</f>
        <v>0</v>
      </c>
      <c r="S11" s="71" t="b">
        <f aca="false">IF(IFERROR(INDEX(tsk_Name,GanttView[[#This Row],[_Row]])="",TRUE()),FALSE(),N(INDEX(tsk_Variance,GanttView[[#This Row],[_Row]]))&gt;0)</f>
        <v>1</v>
      </c>
      <c r="T11" s="72" t="n">
        <f aca="false">IF(IFERROR(INDEX(tsk_Name,GanttView[[#This Row],[_Row]])="",TRUE()),0,N(INDEX(tsk_Deadline,GanttView[[#This Row],[_Row]])))</f>
        <v>0</v>
      </c>
    </row>
    <row r="12" customFormat="false" ht="15" hidden="false" customHeight="false" outlineLevel="0" collapsed="false">
      <c r="A12" s="65" t="n">
        <f aca="false">IF(IFERROR(INDEX(tsk_Name,GanttView[[#This Row],[_Row]])="",TRUE()),"",INDEX(tsk_ID,GanttView[[#This Row],[_Row]]))</f>
        <v>7</v>
      </c>
      <c r="B12" s="65" t="str">
        <f aca="false">IF(IFERROR(INDEX(tsk_Name,GanttView[[#This Row],[_Row]])="",TRUE()),"",INDEX(tsk_WBS,GanttView[[#This Row],[_Row]]))</f>
        <v>2.2</v>
      </c>
      <c r="C12" s="66" t="str">
        <f aca="false">IF(IFERROR(INDEX(tsk_Name,GanttView[[#This Row],[_Row]])="",TRUE()),"",REPT("    ",INDEX(tsk_Level,GanttView[[#This Row],[_Row]])-1)&amp;INDEX(tsk_Name,GanttView[[#This Row],[_Row]]))</f>
        <v>    Solution architecture</v>
      </c>
      <c r="D12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12" s="67" t="n">
        <f aca="false">IF(IFERROR(INDEX(tsk_Name,GanttView[[#This Row],[_Row]])="",TRUE()),"",INDEX(tsk_PlanStart,GanttView[[#This Row],[_Row]]))</f>
        <v>46282</v>
      </c>
      <c r="F12" s="67" t="n">
        <f aca="false">IF(IFERROR(INDEX(tsk_Name,GanttView[[#This Row],[_Row]])="",TRUE()),"",INDEX(tsk_PlanFinish,GanttView[[#This Row],[_Row]]))</f>
        <v>46288</v>
      </c>
      <c r="G12" s="67" t="n">
        <f aca="false">IF(IFERROR(INDEX(tsk_Name,GanttView[[#This Row],[_Row]])="",TRUE()),"",INDEX(tsk_FcStart,GanttView[[#This Row],[_Row]]))</f>
        <v>46283</v>
      </c>
      <c r="H12" s="67" t="n">
        <f aca="false">IF(IFERROR(INDEX(tsk_Name,GanttView[[#This Row],[_Row]])="",TRUE()),"",INDEX(tsk_FcFinish,GanttView[[#This Row],[_Row]]))</f>
        <v>46290</v>
      </c>
      <c r="I12" s="68" t="n">
        <f aca="false">IF(IFERROR(INDEX(tsk_Name,GanttView[[#This Row],[_Row]])="",TRUE()),"",INDEX(tsk_Progress,GanttView[[#This Row],[_Row]]))</f>
        <v>1</v>
      </c>
      <c r="J12" s="66" t="str">
        <f aca="false">IF(IFERROR(INDEX(tsk_Name,GanttView[[#This Row],[_Row]])="",TRUE()),"",INDEX(tsk_Resource,GanttView[[#This Row],[_Row]])&amp;"")</f>
        <v>Alex Chen</v>
      </c>
      <c r="K12" s="69" t="str">
        <f aca="false">IF(IFERROR(INDEX(tsk_Name,GanttView[[#This Row],[_Row]])="",TRUE()),"",INDEX(tsk_Status,GanttView[[#This Row],[_Row]]))</f>
        <v>Complete</v>
      </c>
      <c r="L12" s="70" t="n">
        <f aca="false">ROW()-ROW(GanttView[[#Headers],[ID]])</f>
        <v>7</v>
      </c>
      <c r="M12" s="71" t="b">
        <f aca="false">IF(IFERROR(INDEX(tsk_Name,GanttView[[#This Row],[_Row]])="",TRUE()),FALSE(),INDEX(tsk_IsSummary,GanttView[[#This Row],[_Row]]))</f>
        <v>0</v>
      </c>
      <c r="N12" s="71" t="b">
        <f aca="false">IF(IFERROR(INDEX(tsk_Name,GanttView[[#This Row],[_Row]])="",TRUE()),FALSE(),AND(INDEX(tsk_IsLeaf,GanttView[[#This Row],[_Row]])=1,N(INDEX(tsk_Duration,GanttView[[#This Row],[_Row]]))=0))</f>
        <v>0</v>
      </c>
      <c r="O1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46283</v>
      </c>
      <c r="P1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46290</v>
      </c>
      <c r="Q1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" s="72" t="n">
        <f aca="false">IF(GanttView[[#This Row],[_RemFrom]]=0,0,GanttView[[#This Row],[Forecast Finish]])</f>
        <v>0</v>
      </c>
      <c r="S12" s="71" t="b">
        <f aca="false">IF(IFERROR(INDEX(tsk_Name,GanttView[[#This Row],[_Row]])="",TRUE()),FALSE(),N(INDEX(tsk_Variance,GanttView[[#This Row],[_Row]]))&gt;0)</f>
        <v>1</v>
      </c>
      <c r="T12" s="72" t="n">
        <f aca="false">IF(IFERROR(INDEX(tsk_Name,GanttView[[#This Row],[_Row]])="",TRUE()),0,N(INDEX(tsk_Deadline,GanttView[[#This Row],[_Row]])))</f>
        <v>0</v>
      </c>
    </row>
    <row r="13" customFormat="false" ht="15" hidden="false" customHeight="false" outlineLevel="0" collapsed="false">
      <c r="A13" s="65" t="n">
        <f aca="false">IF(IFERROR(INDEX(tsk_Name,GanttView[[#This Row],[_Row]])="",TRUE()),"",INDEX(tsk_ID,GanttView[[#This Row],[_Row]]))</f>
        <v>8</v>
      </c>
      <c r="B13" s="65" t="str">
        <f aca="false">IF(IFERROR(INDEX(tsk_Name,GanttView[[#This Row],[_Row]])="",TRUE()),"",INDEX(tsk_WBS,GanttView[[#This Row],[_Row]]))</f>
        <v>2.3</v>
      </c>
      <c r="C13" s="66" t="str">
        <f aca="false">IF(IFERROR(INDEX(tsk_Name,GanttView[[#This Row],[_Row]])="",TRUE()),"",REPT("    ",INDEX(tsk_Level,GanttView[[#This Row],[_Row]])-1)&amp;INDEX(tsk_Name,GanttView[[#This Row],[_Row]]))</f>
        <v>    UX wireframes &amp; prototype</v>
      </c>
      <c r="D13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13" s="67" t="n">
        <f aca="false">IF(IFERROR(INDEX(tsk_Name,GanttView[[#This Row],[_Row]])="",TRUE()),"",INDEX(tsk_PlanStart,GanttView[[#This Row],[_Row]]))</f>
        <v>46289</v>
      </c>
      <c r="F13" s="67" t="n">
        <f aca="false">IF(IFERROR(INDEX(tsk_Name,GanttView[[#This Row],[_Row]])="",TRUE()),"",INDEX(tsk_PlanFinish,GanttView[[#This Row],[_Row]]))</f>
        <v>46296</v>
      </c>
      <c r="G13" s="67" t="n">
        <f aca="false">IF(IFERROR(INDEX(tsk_Name,GanttView[[#This Row],[_Row]])="",TRUE()),"",INDEX(tsk_FcStart,GanttView[[#This Row],[_Row]]))</f>
        <v>46293</v>
      </c>
      <c r="H13" s="67" t="n">
        <f aca="false">IF(IFERROR(INDEX(tsk_Name,GanttView[[#This Row],[_Row]])="",TRUE()),"",INDEX(tsk_FcFinish,GanttView[[#This Row],[_Row]]))</f>
        <v>46301</v>
      </c>
      <c r="I13" s="68" t="n">
        <f aca="false">IF(IFERROR(INDEX(tsk_Name,GanttView[[#This Row],[_Row]])="",TRUE()),"",INDEX(tsk_Progress,GanttView[[#This Row],[_Row]]))</f>
        <v>1</v>
      </c>
      <c r="J13" s="66" t="str">
        <f aca="false">IF(IFERROR(INDEX(tsk_Name,GanttView[[#This Row],[_Row]])="",TRUE()),"",INDEX(tsk_Resource,GanttView[[#This Row],[_Row]])&amp;"")</f>
        <v>Casey Kim</v>
      </c>
      <c r="K13" s="69" t="str">
        <f aca="false">IF(IFERROR(INDEX(tsk_Name,GanttView[[#This Row],[_Row]])="",TRUE()),"",INDEX(tsk_Status,GanttView[[#This Row],[_Row]]))</f>
        <v>Complete</v>
      </c>
      <c r="L13" s="70" t="n">
        <f aca="false">ROW()-ROW(GanttView[[#Headers],[ID]])</f>
        <v>8</v>
      </c>
      <c r="M13" s="71" t="b">
        <f aca="false">IF(IFERROR(INDEX(tsk_Name,GanttView[[#This Row],[_Row]])="",TRUE()),FALSE(),INDEX(tsk_IsSummary,GanttView[[#This Row],[_Row]]))</f>
        <v>0</v>
      </c>
      <c r="N13" s="71" t="b">
        <f aca="false">IF(IFERROR(INDEX(tsk_Name,GanttView[[#This Row],[_Row]])="",TRUE()),FALSE(),AND(INDEX(tsk_IsLeaf,GanttView[[#This Row],[_Row]])=1,N(INDEX(tsk_Duration,GanttView[[#This Row],[_Row]]))=0))</f>
        <v>0</v>
      </c>
      <c r="O1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46293</v>
      </c>
      <c r="P1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46301</v>
      </c>
      <c r="Q1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" s="72" t="n">
        <f aca="false">IF(GanttView[[#This Row],[_RemFrom]]=0,0,GanttView[[#This Row],[Forecast Finish]])</f>
        <v>0</v>
      </c>
      <c r="S13" s="71" t="b">
        <f aca="false">IF(IFERROR(INDEX(tsk_Name,GanttView[[#This Row],[_Row]])="",TRUE()),FALSE(),N(INDEX(tsk_Variance,GanttView[[#This Row],[_Row]]))&gt;0)</f>
        <v>1</v>
      </c>
      <c r="T13" s="72" t="n">
        <f aca="false">IF(IFERROR(INDEX(tsk_Name,GanttView[[#This Row],[_Row]])="",TRUE()),0,N(INDEX(tsk_Deadline,GanttView[[#This Row],[_Row]])))</f>
        <v>0</v>
      </c>
    </row>
    <row r="14" customFormat="false" ht="15" hidden="false" customHeight="false" outlineLevel="0" collapsed="false">
      <c r="A14" s="65" t="n">
        <f aca="false">IF(IFERROR(INDEX(tsk_Name,GanttView[[#This Row],[_Row]])="",TRUE()),"",INDEX(tsk_ID,GanttView[[#This Row],[_Row]]))</f>
        <v>9</v>
      </c>
      <c r="B14" s="65" t="str">
        <f aca="false">IF(IFERROR(INDEX(tsk_Name,GanttView[[#This Row],[_Row]])="",TRUE()),"",INDEX(tsk_WBS,GanttView[[#This Row],[_Row]]))</f>
        <v>2.4</v>
      </c>
      <c r="C14" s="66" t="str">
        <f aca="false">IF(IFERROR(INDEX(tsk_Name,GanttView[[#This Row],[_Row]])="",TRUE()),"",REPT("    ",INDEX(tsk_Level,GanttView[[#This Row],[_Row]])-1)&amp;INDEX(tsk_Name,GanttView[[#This Row],[_Row]]))</f>
        <v>    Design sign-off</v>
      </c>
      <c r="D14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14" s="67" t="n">
        <f aca="false">IF(IFERROR(INDEX(tsk_Name,GanttView[[#This Row],[_Row]])="",TRUE()),"",INDEX(tsk_PlanStart,GanttView[[#This Row],[_Row]]))</f>
        <v>46296</v>
      </c>
      <c r="F14" s="67" t="n">
        <f aca="false">IF(IFERROR(INDEX(tsk_Name,GanttView[[#This Row],[_Row]])="",TRUE()),"",INDEX(tsk_PlanFinish,GanttView[[#This Row],[_Row]]))</f>
        <v>46296</v>
      </c>
      <c r="G14" s="67" t="n">
        <f aca="false">IF(IFERROR(INDEX(tsk_Name,GanttView[[#This Row],[_Row]])="",TRUE()),"",INDEX(tsk_FcStart,GanttView[[#This Row],[_Row]]))</f>
        <v>46301</v>
      </c>
      <c r="H14" s="67" t="n">
        <f aca="false">IF(IFERROR(INDEX(tsk_Name,GanttView[[#This Row],[_Row]])="",TRUE()),"",INDEX(tsk_FcFinish,GanttView[[#This Row],[_Row]]))</f>
        <v>46301</v>
      </c>
      <c r="I14" s="68" t="n">
        <f aca="false">IF(IFERROR(INDEX(tsk_Name,GanttView[[#This Row],[_Row]])="",TRUE()),"",INDEX(tsk_Progress,GanttView[[#This Row],[_Row]]))</f>
        <v>1</v>
      </c>
      <c r="J14" s="66" t="str">
        <f aca="false">IF(IFERROR(INDEX(tsk_Name,GanttView[[#This Row],[_Row]])="",TRUE()),"",INDEX(tsk_Resource,GanttView[[#This Row],[_Row]])&amp;"")</f>
        <v/>
      </c>
      <c r="K14" s="69" t="str">
        <f aca="false">IF(IFERROR(INDEX(tsk_Name,GanttView[[#This Row],[_Row]])="",TRUE()),"",INDEX(tsk_Status,GanttView[[#This Row],[_Row]]))</f>
        <v>Complete</v>
      </c>
      <c r="L14" s="70" t="n">
        <f aca="false">ROW()-ROW(GanttView[[#Headers],[ID]])</f>
        <v>9</v>
      </c>
      <c r="M14" s="71" t="b">
        <f aca="false">IF(IFERROR(INDEX(tsk_Name,GanttView[[#This Row],[_Row]])="",TRUE()),FALSE(),INDEX(tsk_IsSummary,GanttView[[#This Row],[_Row]]))</f>
        <v>0</v>
      </c>
      <c r="N14" s="71" t="b">
        <f aca="false">IF(IFERROR(INDEX(tsk_Name,GanttView[[#This Row],[_Row]])="",TRUE()),FALSE(),AND(INDEX(tsk_IsLeaf,GanttView[[#This Row],[_Row]])=1,N(INDEX(tsk_Duration,GanttView[[#This Row],[_Row]]))=0))</f>
        <v>1</v>
      </c>
      <c r="O1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" s="72" t="n">
        <f aca="false">IF(GanttView[[#This Row],[_RemFrom]]=0,0,GanttView[[#This Row],[Forecast Finish]])</f>
        <v>0</v>
      </c>
      <c r="S14" s="71" t="b">
        <f aca="false">IF(IFERROR(INDEX(tsk_Name,GanttView[[#This Row],[_Row]])="",TRUE()),FALSE(),N(INDEX(tsk_Variance,GanttView[[#This Row],[_Row]]))&gt;0)</f>
        <v>1</v>
      </c>
      <c r="T14" s="72" t="n">
        <f aca="false">IF(IFERROR(INDEX(tsk_Name,GanttView[[#This Row],[_Row]])="",TRUE()),0,N(INDEX(tsk_Deadline,GanttView[[#This Row],[_Row]])))</f>
        <v>0</v>
      </c>
    </row>
    <row r="15" customFormat="false" ht="15" hidden="false" customHeight="false" outlineLevel="0" collapsed="false">
      <c r="A15" s="65" t="n">
        <f aca="false">IF(IFERROR(INDEX(tsk_Name,GanttView[[#This Row],[_Row]])="",TRUE()),"",INDEX(tsk_ID,GanttView[[#This Row],[_Row]]))</f>
        <v>10</v>
      </c>
      <c r="B15" s="65" t="str">
        <f aca="false">IF(IFERROR(INDEX(tsk_Name,GanttView[[#This Row],[_Row]])="",TRUE()),"",INDEX(tsk_WBS,GanttView[[#This Row],[_Row]]))</f>
        <v>3</v>
      </c>
      <c r="C15" s="66" t="str">
        <f aca="false">IF(IFERROR(INDEX(tsk_Name,GanttView[[#This Row],[_Row]])="",TRUE()),"",REPT("    ",INDEX(tsk_Level,GanttView[[#This Row],[_Row]])-1)&amp;INDEX(tsk_Name,GanttView[[#This Row],[_Row]]))</f>
        <v>Build</v>
      </c>
      <c r="D15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24</v>
      </c>
      <c r="E15" s="67" t="n">
        <f aca="false">IF(IFERROR(INDEX(tsk_Name,GanttView[[#This Row],[_Row]])="",TRUE()),"",INDEX(tsk_PlanStart,GanttView[[#This Row],[_Row]]))</f>
        <v>46297</v>
      </c>
      <c r="F15" s="67" t="n">
        <f aca="false">IF(IFERROR(INDEX(tsk_Name,GanttView[[#This Row],[_Row]])="",TRUE()),"",INDEX(tsk_PlanFinish,GanttView[[#This Row],[_Row]]))</f>
        <v>46325</v>
      </c>
      <c r="G15" s="67" t="n">
        <f aca="false">IF(IFERROR(INDEX(tsk_Name,GanttView[[#This Row],[_Row]])="",TRUE()),"",INDEX(tsk_FcStart,GanttView[[#This Row],[_Row]]))</f>
        <v>46302</v>
      </c>
      <c r="H15" s="67" t="n">
        <f aca="false">IF(IFERROR(INDEX(tsk_Name,GanttView[[#This Row],[_Row]])="",TRUE()),"",INDEX(tsk_FcFinish,GanttView[[#This Row],[_Row]]))</f>
        <v>46335</v>
      </c>
      <c r="I15" s="68" t="n">
        <f aca="false">IF(IFERROR(INDEX(tsk_Name,GanttView[[#This Row],[_Row]])="",TRUE()),"",INDEX(tsk_Progress,GanttView[[#This Row],[_Row]]))</f>
        <v>0.451306413301663</v>
      </c>
      <c r="J15" s="66" t="str">
        <f aca="false">IF(IFERROR(INDEX(tsk_Name,GanttView[[#This Row],[_Row]])="",TRUE()),"",INDEX(tsk_Resource,GanttView[[#This Row],[_Row]])&amp;"")</f>
        <v/>
      </c>
      <c r="K15" s="69" t="str">
        <f aca="false">IF(IFERROR(INDEX(tsk_Name,GanttView[[#This Row],[_Row]])="",TRUE()),"",INDEX(tsk_Status,GanttView[[#This Row],[_Row]]))</f>
        <v>Behind</v>
      </c>
      <c r="L15" s="70" t="n">
        <f aca="false">ROW()-ROW(GanttView[[#Headers],[ID]])</f>
        <v>10</v>
      </c>
      <c r="M15" s="71" t="b">
        <f aca="false">IF(IFERROR(INDEX(tsk_Name,GanttView[[#This Row],[_Row]])="",TRUE()),FALSE(),INDEX(tsk_IsSummary,GanttView[[#This Row],[_Row]]))</f>
        <v>1</v>
      </c>
      <c r="N15" s="71" t="b">
        <f aca="false">IF(IFERROR(INDEX(tsk_Name,GanttView[[#This Row],[_Row]])="",TRUE()),FALSE(),AND(INDEX(tsk_IsLeaf,GanttView[[#This Row],[_Row]])=1,N(INDEX(tsk_Duration,GanttView[[#This Row],[_Row]]))=0))</f>
        <v>0</v>
      </c>
      <c r="O1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" s="72" t="n">
        <f aca="false">IF(GanttView[[#This Row],[_RemFrom]]=0,0,GanttView[[#This Row],[Forecast Finish]])</f>
        <v>0</v>
      </c>
      <c r="S15" s="71" t="b">
        <f aca="false">IF(IFERROR(INDEX(tsk_Name,GanttView[[#This Row],[_Row]])="",TRUE()),FALSE(),N(INDEX(tsk_Variance,GanttView[[#This Row],[_Row]]))&gt;0)</f>
        <v>1</v>
      </c>
      <c r="T15" s="72" t="n">
        <f aca="false">IF(IFERROR(INDEX(tsk_Name,GanttView[[#This Row],[_Row]])="",TRUE()),0,N(INDEX(tsk_Deadline,GanttView[[#This Row],[_Row]])))</f>
        <v>0</v>
      </c>
    </row>
    <row r="16" customFormat="false" ht="15" hidden="false" customHeight="false" outlineLevel="0" collapsed="false">
      <c r="A16" s="65" t="n">
        <f aca="false">IF(IFERROR(INDEX(tsk_Name,GanttView[[#This Row],[_Row]])="",TRUE()),"",INDEX(tsk_ID,GanttView[[#This Row],[_Row]]))</f>
        <v>11</v>
      </c>
      <c r="B16" s="65" t="str">
        <f aca="false">IF(IFERROR(INDEX(tsk_Name,GanttView[[#This Row],[_Row]])="",TRUE()),"",INDEX(tsk_WBS,GanttView[[#This Row],[_Row]]))</f>
        <v>3.1</v>
      </c>
      <c r="C16" s="66" t="str">
        <f aca="false">IF(IFERROR(INDEX(tsk_Name,GanttView[[#This Row],[_Row]])="",TRUE()),"",REPT("    ",INDEX(tsk_Level,GanttView[[#This Row],[_Row]])-1)&amp;INDEX(tsk_Name,GanttView[[#This Row],[_Row]]))</f>
        <v>    Backend</v>
      </c>
      <c r="D16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24</v>
      </c>
      <c r="E16" s="67" t="n">
        <f aca="false">IF(IFERROR(INDEX(tsk_Name,GanttView[[#This Row],[_Row]])="",TRUE()),"",INDEX(tsk_PlanStart,GanttView[[#This Row],[_Row]]))</f>
        <v>46297</v>
      </c>
      <c r="F16" s="67" t="n">
        <f aca="false">IF(IFERROR(INDEX(tsk_Name,GanttView[[#This Row],[_Row]])="",TRUE()),"",INDEX(tsk_PlanFinish,GanttView[[#This Row],[_Row]]))</f>
        <v>46325</v>
      </c>
      <c r="G16" s="67" t="n">
        <f aca="false">IF(IFERROR(INDEX(tsk_Name,GanttView[[#This Row],[_Row]])="",TRUE()),"",INDEX(tsk_FcStart,GanttView[[#This Row],[_Row]]))</f>
        <v>46302</v>
      </c>
      <c r="H16" s="67" t="n">
        <f aca="false">IF(IFERROR(INDEX(tsk_Name,GanttView[[#This Row],[_Row]])="",TRUE()),"",INDEX(tsk_FcFinish,GanttView[[#This Row],[_Row]]))</f>
        <v>46335</v>
      </c>
      <c r="I16" s="68" t="n">
        <f aca="false">IF(IFERROR(INDEX(tsk_Name,GanttView[[#This Row],[_Row]])="",TRUE()),"",INDEX(tsk_Progress,GanttView[[#This Row],[_Row]]))</f>
        <v>0.476190476190476</v>
      </c>
      <c r="J16" s="66" t="str">
        <f aca="false">IF(IFERROR(INDEX(tsk_Name,GanttView[[#This Row],[_Row]])="",TRUE()),"",INDEX(tsk_Resource,GanttView[[#This Row],[_Row]])&amp;"")</f>
        <v/>
      </c>
      <c r="K16" s="69" t="str">
        <f aca="false">IF(IFERROR(INDEX(tsk_Name,GanttView[[#This Row],[_Row]])="",TRUE()),"",INDEX(tsk_Status,GanttView[[#This Row],[_Row]]))</f>
        <v>Behind</v>
      </c>
      <c r="L16" s="70" t="n">
        <f aca="false">ROW()-ROW(GanttView[[#Headers],[ID]])</f>
        <v>11</v>
      </c>
      <c r="M16" s="71" t="b">
        <f aca="false">IF(IFERROR(INDEX(tsk_Name,GanttView[[#This Row],[_Row]])="",TRUE()),FALSE(),INDEX(tsk_IsSummary,GanttView[[#This Row],[_Row]]))</f>
        <v>1</v>
      </c>
      <c r="N16" s="71" t="b">
        <f aca="false">IF(IFERROR(INDEX(tsk_Name,GanttView[[#This Row],[_Row]])="",TRUE()),FALSE(),AND(INDEX(tsk_IsLeaf,GanttView[[#This Row],[_Row]])=1,N(INDEX(tsk_Duration,GanttView[[#This Row],[_Row]]))=0))</f>
        <v>0</v>
      </c>
      <c r="O1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" s="72" t="n">
        <f aca="false">IF(GanttView[[#This Row],[_RemFrom]]=0,0,GanttView[[#This Row],[Forecast Finish]])</f>
        <v>0</v>
      </c>
      <c r="S16" s="71" t="b">
        <f aca="false">IF(IFERROR(INDEX(tsk_Name,GanttView[[#This Row],[_Row]])="",TRUE()),FALSE(),N(INDEX(tsk_Variance,GanttView[[#This Row],[_Row]]))&gt;0)</f>
        <v>1</v>
      </c>
      <c r="T16" s="72" t="n">
        <f aca="false">IF(IFERROR(INDEX(tsk_Name,GanttView[[#This Row],[_Row]])="",TRUE()),0,N(INDEX(tsk_Deadline,GanttView[[#This Row],[_Row]])))</f>
        <v>0</v>
      </c>
    </row>
    <row r="17" customFormat="false" ht="15" hidden="false" customHeight="false" outlineLevel="0" collapsed="false">
      <c r="A17" s="65" t="n">
        <f aca="false">IF(IFERROR(INDEX(tsk_Name,GanttView[[#This Row],[_Row]])="",TRUE()),"",INDEX(tsk_ID,GanttView[[#This Row],[_Row]]))</f>
        <v>12</v>
      </c>
      <c r="B17" s="65" t="str">
        <f aca="false">IF(IFERROR(INDEX(tsk_Name,GanttView[[#This Row],[_Row]])="",TRUE()),"",INDEX(tsk_WBS,GanttView[[#This Row],[_Row]]))</f>
        <v>3.1.1</v>
      </c>
      <c r="C17" s="66" t="str">
        <f aca="false">IF(IFERROR(INDEX(tsk_Name,GanttView[[#This Row],[_Row]])="",TRUE()),"",REPT("    ",INDEX(tsk_Level,GanttView[[#This Row],[_Row]])-1)&amp;INDEX(tsk_Name,GanttView[[#This Row],[_Row]]))</f>
        <v>        Data model &amp; database setup</v>
      </c>
      <c r="D17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17" s="67" t="n">
        <f aca="false">IF(IFERROR(INDEX(tsk_Name,GanttView[[#This Row],[_Row]])="",TRUE()),"",INDEX(tsk_PlanStart,GanttView[[#This Row],[_Row]]))</f>
        <v>46297</v>
      </c>
      <c r="F17" s="67" t="n">
        <f aca="false">IF(IFERROR(INDEX(tsk_Name,GanttView[[#This Row],[_Row]])="",TRUE()),"",INDEX(tsk_PlanFinish,GanttView[[#This Row],[_Row]]))</f>
        <v>46303</v>
      </c>
      <c r="G17" s="67" t="n">
        <f aca="false">IF(IFERROR(INDEX(tsk_Name,GanttView[[#This Row],[_Row]])="",TRUE()),"",INDEX(tsk_FcStart,GanttView[[#This Row],[_Row]]))</f>
        <v>46302</v>
      </c>
      <c r="H17" s="67" t="n">
        <f aca="false">IF(IFERROR(INDEX(tsk_Name,GanttView[[#This Row],[_Row]])="",TRUE()),"",INDEX(tsk_FcFinish,GanttView[[#This Row],[_Row]]))</f>
        <v>46309</v>
      </c>
      <c r="I17" s="68" t="n">
        <f aca="false">IF(IFERROR(INDEX(tsk_Name,GanttView[[#This Row],[_Row]])="",TRUE()),"",INDEX(tsk_Progress,GanttView[[#This Row],[_Row]]))</f>
        <v>1</v>
      </c>
      <c r="J17" s="66" t="str">
        <f aca="false">IF(IFERROR(INDEX(tsk_Name,GanttView[[#This Row],[_Row]])="",TRUE()),"",INDEX(tsk_Resource,GanttView[[#This Row],[_Row]])&amp;"")</f>
        <v>Jordan Lee</v>
      </c>
      <c r="K17" s="69" t="str">
        <f aca="false">IF(IFERROR(INDEX(tsk_Name,GanttView[[#This Row],[_Row]])="",TRUE()),"",INDEX(tsk_Status,GanttView[[#This Row],[_Row]]))</f>
        <v>Complete</v>
      </c>
      <c r="L17" s="70" t="n">
        <f aca="false">ROW()-ROW(GanttView[[#Headers],[ID]])</f>
        <v>12</v>
      </c>
      <c r="M17" s="71" t="b">
        <f aca="false">IF(IFERROR(INDEX(tsk_Name,GanttView[[#This Row],[_Row]])="",TRUE()),FALSE(),INDEX(tsk_IsSummary,GanttView[[#This Row],[_Row]]))</f>
        <v>0</v>
      </c>
      <c r="N17" s="71" t="b">
        <f aca="false">IF(IFERROR(INDEX(tsk_Name,GanttView[[#This Row],[_Row]])="",TRUE()),FALSE(),AND(INDEX(tsk_IsLeaf,GanttView[[#This Row],[_Row]])=1,N(INDEX(tsk_Duration,GanttView[[#This Row],[_Row]]))=0))</f>
        <v>0</v>
      </c>
      <c r="O1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46302</v>
      </c>
      <c r="P1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46309</v>
      </c>
      <c r="Q1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" s="72" t="n">
        <f aca="false">IF(GanttView[[#This Row],[_RemFrom]]=0,0,GanttView[[#This Row],[Forecast Finish]])</f>
        <v>0</v>
      </c>
      <c r="S17" s="71" t="b">
        <f aca="false">IF(IFERROR(INDEX(tsk_Name,GanttView[[#This Row],[_Row]])="",TRUE()),FALSE(),N(INDEX(tsk_Variance,GanttView[[#This Row],[_Row]]))&gt;0)</f>
        <v>1</v>
      </c>
      <c r="T17" s="72" t="n">
        <f aca="false">IF(IFERROR(INDEX(tsk_Name,GanttView[[#This Row],[_Row]])="",TRUE()),0,N(INDEX(tsk_Deadline,GanttView[[#This Row],[_Row]])))</f>
        <v>0</v>
      </c>
    </row>
    <row r="18" customFormat="false" ht="15" hidden="false" customHeight="false" outlineLevel="0" collapsed="false">
      <c r="A18" s="65" t="n">
        <f aca="false">IF(IFERROR(INDEX(tsk_Name,GanttView[[#This Row],[_Row]])="",TRUE()),"",INDEX(tsk_ID,GanttView[[#This Row],[_Row]]))</f>
        <v>13</v>
      </c>
      <c r="B18" s="65" t="str">
        <f aca="false">IF(IFERROR(INDEX(tsk_Name,GanttView[[#This Row],[_Row]])="",TRUE()),"",INDEX(tsk_WBS,GanttView[[#This Row],[_Row]]))</f>
        <v>3.1.2</v>
      </c>
      <c r="C18" s="66" t="str">
        <f aca="false">IF(IFERROR(INDEX(tsk_Name,GanttView[[#This Row],[_Row]])="",TRUE()),"",REPT("    ",INDEX(tsk_Level,GanttView[[#This Row],[_Row]])-1)&amp;INDEX(tsk_Name,GanttView[[#This Row],[_Row]]))</f>
        <v>        Core API endpoints</v>
      </c>
      <c r="D18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10</v>
      </c>
      <c r="E18" s="67" t="n">
        <f aca="false">IF(IFERROR(INDEX(tsk_Name,GanttView[[#This Row],[_Row]])="",TRUE()),"",INDEX(tsk_PlanStart,GanttView[[#This Row],[_Row]]))</f>
        <v>46304</v>
      </c>
      <c r="F18" s="67" t="n">
        <f aca="false">IF(IFERROR(INDEX(tsk_Name,GanttView[[#This Row],[_Row]])="",TRUE()),"",INDEX(tsk_PlanFinish,GanttView[[#This Row],[_Row]]))</f>
        <v>46317</v>
      </c>
      <c r="G18" s="67" t="n">
        <f aca="false">IF(IFERROR(INDEX(tsk_Name,GanttView[[#This Row],[_Row]])="",TRUE()),"",INDEX(tsk_FcStart,GanttView[[#This Row],[_Row]]))</f>
        <v>46310</v>
      </c>
      <c r="H18" s="67" t="n">
        <f aca="false">IF(IFERROR(INDEX(tsk_Name,GanttView[[#This Row],[_Row]])="",TRUE()),"",INDEX(tsk_FcFinish,GanttView[[#This Row],[_Row]]))</f>
        <v>46325</v>
      </c>
      <c r="I18" s="68" t="n">
        <f aca="false">IF(IFERROR(INDEX(tsk_Name,GanttView[[#This Row],[_Row]])="",TRUE()),"",INDEX(tsk_Progress,GanttView[[#This Row],[_Row]]))</f>
        <v>0.5</v>
      </c>
      <c r="J18" s="66" t="str">
        <f aca="false">IF(IFERROR(INDEX(tsk_Name,GanttView[[#This Row],[_Row]])="",TRUE()),"",INDEX(tsk_Resource,GanttView[[#This Row],[_Row]])&amp;"")</f>
        <v>Jordan Lee</v>
      </c>
      <c r="K18" s="69" t="str">
        <f aca="false">IF(IFERROR(INDEX(tsk_Name,GanttView[[#This Row],[_Row]])="",TRUE()),"",INDEX(tsk_Status,GanttView[[#This Row],[_Row]]))</f>
        <v>Behind</v>
      </c>
      <c r="L18" s="70" t="n">
        <f aca="false">ROW()-ROW(GanttView[[#Headers],[ID]])</f>
        <v>13</v>
      </c>
      <c r="M18" s="71" t="b">
        <f aca="false">IF(IFERROR(INDEX(tsk_Name,GanttView[[#This Row],[_Row]])="",TRUE()),FALSE(),INDEX(tsk_IsSummary,GanttView[[#This Row],[_Row]]))</f>
        <v>0</v>
      </c>
      <c r="N18" s="71" t="b">
        <f aca="false">IF(IFERROR(INDEX(tsk_Name,GanttView[[#This Row],[_Row]])="",TRUE()),FALSE(),AND(INDEX(tsk_IsLeaf,GanttView[[#This Row],[_Row]])=1,N(INDEX(tsk_Duration,GanttView[[#This Row],[_Row]]))=0))</f>
        <v>0</v>
      </c>
      <c r="O1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46310</v>
      </c>
      <c r="P1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46317</v>
      </c>
      <c r="Q1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46318</v>
      </c>
      <c r="R18" s="72" t="n">
        <f aca="false">IF(GanttView[[#This Row],[_RemFrom]]=0,0,GanttView[[#This Row],[Forecast Finish]])</f>
        <v>46325</v>
      </c>
      <c r="S18" s="71" t="b">
        <f aca="false">IF(IFERROR(INDEX(tsk_Name,GanttView[[#This Row],[_Row]])="",TRUE()),FALSE(),N(INDEX(tsk_Variance,GanttView[[#This Row],[_Row]]))&gt;0)</f>
        <v>1</v>
      </c>
      <c r="T18" s="72" t="n">
        <f aca="false">IF(IFERROR(INDEX(tsk_Name,GanttView[[#This Row],[_Row]])="",TRUE()),0,N(INDEX(tsk_Deadline,GanttView[[#This Row],[_Row]])))</f>
        <v>0</v>
      </c>
    </row>
    <row r="19" customFormat="false" ht="15" hidden="false" customHeight="false" outlineLevel="0" collapsed="false">
      <c r="A19" s="65" t="n">
        <f aca="false">IF(IFERROR(INDEX(tsk_Name,GanttView[[#This Row],[_Row]])="",TRUE()),"",INDEX(tsk_ID,GanttView[[#This Row],[_Row]]))</f>
        <v>14</v>
      </c>
      <c r="B19" s="65" t="str">
        <f aca="false">IF(IFERROR(INDEX(tsk_Name,GanttView[[#This Row],[_Row]])="",TRUE()),"",INDEX(tsk_WBS,GanttView[[#This Row],[_Row]]))</f>
        <v>3.1.3</v>
      </c>
      <c r="C19" s="66" t="str">
        <f aca="false">IF(IFERROR(INDEX(tsk_Name,GanttView[[#This Row],[_Row]])="",TRUE()),"",REPT("    ",INDEX(tsk_Level,GanttView[[#This Row],[_Row]])-1)&amp;INDEX(tsk_Name,GanttView[[#This Row],[_Row]]))</f>
        <v>        Payment gateway integration</v>
      </c>
      <c r="D19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19" s="67" t="n">
        <f aca="false">IF(IFERROR(INDEX(tsk_Name,GanttView[[#This Row],[_Row]])="",TRUE()),"",INDEX(tsk_PlanStart,GanttView[[#This Row],[_Row]]))</f>
        <v>46318</v>
      </c>
      <c r="F19" s="67" t="n">
        <f aca="false">IF(IFERROR(INDEX(tsk_Name,GanttView[[#This Row],[_Row]])="",TRUE()),"",INDEX(tsk_PlanFinish,GanttView[[#This Row],[_Row]]))</f>
        <v>46325</v>
      </c>
      <c r="G19" s="67" t="n">
        <f aca="false">IF(IFERROR(INDEX(tsk_Name,GanttView[[#This Row],[_Row]])="",TRUE()),"",INDEX(tsk_FcStart,GanttView[[#This Row],[_Row]]))</f>
        <v>46328</v>
      </c>
      <c r="H19" s="67" t="n">
        <f aca="false">IF(IFERROR(INDEX(tsk_Name,GanttView[[#This Row],[_Row]])="",TRUE()),"",INDEX(tsk_FcFinish,GanttView[[#This Row],[_Row]]))</f>
        <v>46335</v>
      </c>
      <c r="I19" s="68" t="n">
        <f aca="false">IF(IFERROR(INDEX(tsk_Name,GanttView[[#This Row],[_Row]])="",TRUE()),"",INDEX(tsk_Progress,GanttView[[#This Row],[_Row]]))</f>
        <v>0</v>
      </c>
      <c r="J19" s="66" t="str">
        <f aca="false">IF(IFERROR(INDEX(tsk_Name,GanttView[[#This Row],[_Row]])="",TRUE()),"",INDEX(tsk_Resource,GanttView[[#This Row],[_Row]])&amp;"")</f>
        <v>Jordan Lee</v>
      </c>
      <c r="K19" s="69" t="str">
        <f aca="false">IF(IFERROR(INDEX(tsk_Name,GanttView[[#This Row],[_Row]])="",TRUE()),"",INDEX(tsk_Status,GanttView[[#This Row],[_Row]]))</f>
        <v>Late Start</v>
      </c>
      <c r="L19" s="70" t="n">
        <f aca="false">ROW()-ROW(GanttView[[#Headers],[ID]])</f>
        <v>14</v>
      </c>
      <c r="M19" s="71" t="b">
        <f aca="false">IF(IFERROR(INDEX(tsk_Name,GanttView[[#This Row],[_Row]])="",TRUE()),FALSE(),INDEX(tsk_IsSummary,GanttView[[#This Row],[_Row]]))</f>
        <v>0</v>
      </c>
      <c r="N19" s="71" t="b">
        <f aca="false">IF(IFERROR(INDEX(tsk_Name,GanttView[[#This Row],[_Row]])="",TRUE()),FALSE(),AND(INDEX(tsk_IsLeaf,GanttView[[#This Row],[_Row]])=1,N(INDEX(tsk_Duration,GanttView[[#This Row],[_Row]]))=0))</f>
        <v>0</v>
      </c>
      <c r="O1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46328</v>
      </c>
      <c r="R19" s="72" t="n">
        <f aca="false">IF(GanttView[[#This Row],[_RemFrom]]=0,0,GanttView[[#This Row],[Forecast Finish]])</f>
        <v>46335</v>
      </c>
      <c r="S19" s="71" t="b">
        <f aca="false">IF(IFERROR(INDEX(tsk_Name,GanttView[[#This Row],[_Row]])="",TRUE()),FALSE(),N(INDEX(tsk_Variance,GanttView[[#This Row],[_Row]]))&gt;0)</f>
        <v>1</v>
      </c>
      <c r="T19" s="72" t="n">
        <f aca="false">IF(IFERROR(INDEX(tsk_Name,GanttView[[#This Row],[_Row]])="",TRUE()),0,N(INDEX(tsk_Deadline,GanttView[[#This Row],[_Row]])))</f>
        <v>0</v>
      </c>
    </row>
    <row r="20" customFormat="false" ht="15" hidden="false" customHeight="false" outlineLevel="0" collapsed="false">
      <c r="A20" s="65" t="n">
        <f aca="false">IF(IFERROR(INDEX(tsk_Name,GanttView[[#This Row],[_Row]])="",TRUE()),"",INDEX(tsk_ID,GanttView[[#This Row],[_Row]]))</f>
        <v>15</v>
      </c>
      <c r="B20" s="65" t="str">
        <f aca="false">IF(IFERROR(INDEX(tsk_Name,GanttView[[#This Row],[_Row]])="",TRUE()),"",INDEX(tsk_WBS,GanttView[[#This Row],[_Row]]))</f>
        <v>3.2</v>
      </c>
      <c r="C20" s="66" t="str">
        <f aca="false">IF(IFERROR(INDEX(tsk_Name,GanttView[[#This Row],[_Row]])="",TRUE()),"",REPT("    ",INDEX(tsk_Level,GanttView[[#This Row],[_Row]])-1)&amp;INDEX(tsk_Name,GanttView[[#This Row],[_Row]]))</f>
        <v>    Frontend</v>
      </c>
      <c r="D20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23</v>
      </c>
      <c r="E20" s="67" t="n">
        <f aca="false">IF(IFERROR(INDEX(tsk_Name,GanttView[[#This Row],[_Row]])="",TRUE()),"",INDEX(tsk_PlanStart,GanttView[[#This Row],[_Row]]))</f>
        <v>46297</v>
      </c>
      <c r="F20" s="67" t="n">
        <f aca="false">IF(IFERROR(INDEX(tsk_Name,GanttView[[#This Row],[_Row]])="",TRUE()),"",INDEX(tsk_PlanFinish,GanttView[[#This Row],[_Row]]))</f>
        <v>46324</v>
      </c>
      <c r="G20" s="67" t="n">
        <f aca="false">IF(IFERROR(INDEX(tsk_Name,GanttView[[#This Row],[_Row]])="",TRUE()),"",INDEX(tsk_FcStart,GanttView[[#This Row],[_Row]]))</f>
        <v>46302</v>
      </c>
      <c r="H20" s="67" t="n">
        <f aca="false">IF(IFERROR(INDEX(tsk_Name,GanttView[[#This Row],[_Row]])="",TRUE()),"",INDEX(tsk_FcFinish,GanttView[[#This Row],[_Row]]))</f>
        <v>46332</v>
      </c>
      <c r="I20" s="68" t="n">
        <f aca="false">IF(IFERROR(INDEX(tsk_Name,GanttView[[#This Row],[_Row]])="",TRUE()),"",INDEX(tsk_Progress,GanttView[[#This Row],[_Row]]))</f>
        <v>0.428571428571429</v>
      </c>
      <c r="J20" s="66" t="str">
        <f aca="false">IF(IFERROR(INDEX(tsk_Name,GanttView[[#This Row],[_Row]])="",TRUE()),"",INDEX(tsk_Resource,GanttView[[#This Row],[_Row]])&amp;"")</f>
        <v/>
      </c>
      <c r="K20" s="69" t="str">
        <f aca="false">IF(IFERROR(INDEX(tsk_Name,GanttView[[#This Row],[_Row]])="",TRUE()),"",INDEX(tsk_Status,GanttView[[#This Row],[_Row]]))</f>
        <v>Behind</v>
      </c>
      <c r="L20" s="70" t="n">
        <f aca="false">ROW()-ROW(GanttView[[#Headers],[ID]])</f>
        <v>15</v>
      </c>
      <c r="M20" s="71" t="b">
        <f aca="false">IF(IFERROR(INDEX(tsk_Name,GanttView[[#This Row],[_Row]])="",TRUE()),FALSE(),INDEX(tsk_IsSummary,GanttView[[#This Row],[_Row]]))</f>
        <v>1</v>
      </c>
      <c r="N20" s="71" t="b">
        <f aca="false">IF(IFERROR(INDEX(tsk_Name,GanttView[[#This Row],[_Row]])="",TRUE()),FALSE(),AND(INDEX(tsk_IsLeaf,GanttView[[#This Row],[_Row]])=1,N(INDEX(tsk_Duration,GanttView[[#This Row],[_Row]]))=0))</f>
        <v>0</v>
      </c>
      <c r="O2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" s="72" t="n">
        <f aca="false">IF(GanttView[[#This Row],[_RemFrom]]=0,0,GanttView[[#This Row],[Forecast Finish]])</f>
        <v>0</v>
      </c>
      <c r="S20" s="71" t="b">
        <f aca="false">IF(IFERROR(INDEX(tsk_Name,GanttView[[#This Row],[_Row]])="",TRUE()),FALSE(),N(INDEX(tsk_Variance,GanttView[[#This Row],[_Row]]))&gt;0)</f>
        <v>1</v>
      </c>
      <c r="T20" s="72" t="n">
        <f aca="false">IF(IFERROR(INDEX(tsk_Name,GanttView[[#This Row],[_Row]])="",TRUE()),0,N(INDEX(tsk_Deadline,GanttView[[#This Row],[_Row]])))</f>
        <v>0</v>
      </c>
    </row>
    <row r="21" customFormat="false" ht="15" hidden="false" customHeight="false" outlineLevel="0" collapsed="false">
      <c r="A21" s="65" t="n">
        <f aca="false">IF(IFERROR(INDEX(tsk_Name,GanttView[[#This Row],[_Row]])="",TRUE()),"",INDEX(tsk_ID,GanttView[[#This Row],[_Row]]))</f>
        <v>16</v>
      </c>
      <c r="B21" s="65" t="str">
        <f aca="false">IF(IFERROR(INDEX(tsk_Name,GanttView[[#This Row],[_Row]])="",TRUE()),"",INDEX(tsk_WBS,GanttView[[#This Row],[_Row]]))</f>
        <v>3.2.1</v>
      </c>
      <c r="C21" s="66" t="str">
        <f aca="false">IF(IFERROR(INDEX(tsk_Name,GanttView[[#This Row],[_Row]])="",TRUE()),"",REPT("    ",INDEX(tsk_Level,GanttView[[#This Row],[_Row]])-1)&amp;INDEX(tsk_Name,GanttView[[#This Row],[_Row]]))</f>
        <v>        UI component library</v>
      </c>
      <c r="D21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21" s="67" t="n">
        <f aca="false">IF(IFERROR(INDEX(tsk_Name,GanttView[[#This Row],[_Row]])="",TRUE()),"",INDEX(tsk_PlanStart,GanttView[[#This Row],[_Row]]))</f>
        <v>46297</v>
      </c>
      <c r="F21" s="67" t="n">
        <f aca="false">IF(IFERROR(INDEX(tsk_Name,GanttView[[#This Row],[_Row]])="",TRUE()),"",INDEX(tsk_PlanFinish,GanttView[[#This Row],[_Row]]))</f>
        <v>46304</v>
      </c>
      <c r="G21" s="67" t="n">
        <f aca="false">IF(IFERROR(INDEX(tsk_Name,GanttView[[#This Row],[_Row]])="",TRUE()),"",INDEX(tsk_FcStart,GanttView[[#This Row],[_Row]]))</f>
        <v>46302</v>
      </c>
      <c r="H21" s="67" t="n">
        <f aca="false">IF(IFERROR(INDEX(tsk_Name,GanttView[[#This Row],[_Row]])="",TRUE()),"",INDEX(tsk_FcFinish,GanttView[[#This Row],[_Row]]))</f>
        <v>46311</v>
      </c>
      <c r="I21" s="68" t="n">
        <f aca="false">IF(IFERROR(INDEX(tsk_Name,GanttView[[#This Row],[_Row]])="",TRUE()),"",INDEX(tsk_Progress,GanttView[[#This Row],[_Row]]))</f>
        <v>1</v>
      </c>
      <c r="J21" s="66" t="str">
        <f aca="false">IF(IFERROR(INDEX(tsk_Name,GanttView[[#This Row],[_Row]])="",TRUE()),"",INDEX(tsk_Resource,GanttView[[#This Row],[_Row]])&amp;"")</f>
        <v>Sam Rivera</v>
      </c>
      <c r="K21" s="69" t="str">
        <f aca="false">IF(IFERROR(INDEX(tsk_Name,GanttView[[#This Row],[_Row]])="",TRUE()),"",INDEX(tsk_Status,GanttView[[#This Row],[_Row]]))</f>
        <v>Complete</v>
      </c>
      <c r="L21" s="70" t="n">
        <f aca="false">ROW()-ROW(GanttView[[#Headers],[ID]])</f>
        <v>16</v>
      </c>
      <c r="M21" s="71" t="b">
        <f aca="false">IF(IFERROR(INDEX(tsk_Name,GanttView[[#This Row],[_Row]])="",TRUE()),FALSE(),INDEX(tsk_IsSummary,GanttView[[#This Row],[_Row]]))</f>
        <v>0</v>
      </c>
      <c r="N21" s="71" t="b">
        <f aca="false">IF(IFERROR(INDEX(tsk_Name,GanttView[[#This Row],[_Row]])="",TRUE()),FALSE(),AND(INDEX(tsk_IsLeaf,GanttView[[#This Row],[_Row]])=1,N(INDEX(tsk_Duration,GanttView[[#This Row],[_Row]]))=0))</f>
        <v>0</v>
      </c>
      <c r="O2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46302</v>
      </c>
      <c r="P2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46311</v>
      </c>
      <c r="Q2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1" s="72" t="n">
        <f aca="false">IF(GanttView[[#This Row],[_RemFrom]]=0,0,GanttView[[#This Row],[Forecast Finish]])</f>
        <v>0</v>
      </c>
      <c r="S21" s="71" t="b">
        <f aca="false">IF(IFERROR(INDEX(tsk_Name,GanttView[[#This Row],[_Row]])="",TRUE()),FALSE(),N(INDEX(tsk_Variance,GanttView[[#This Row],[_Row]]))&gt;0)</f>
        <v>1</v>
      </c>
      <c r="T21" s="72" t="n">
        <f aca="false">IF(IFERROR(INDEX(tsk_Name,GanttView[[#This Row],[_Row]])="",TRUE()),0,N(INDEX(tsk_Deadline,GanttView[[#This Row],[_Row]])))</f>
        <v>0</v>
      </c>
    </row>
    <row r="22" customFormat="false" ht="15" hidden="false" customHeight="false" outlineLevel="0" collapsed="false">
      <c r="A22" s="65" t="n">
        <f aca="false">IF(IFERROR(INDEX(tsk_Name,GanttView[[#This Row],[_Row]])="",TRUE()),"",INDEX(tsk_ID,GanttView[[#This Row],[_Row]]))</f>
        <v>17</v>
      </c>
      <c r="B22" s="65" t="str">
        <f aca="false">IF(IFERROR(INDEX(tsk_Name,GanttView[[#This Row],[_Row]])="",TRUE()),"",INDEX(tsk_WBS,GanttView[[#This Row],[_Row]]))</f>
        <v>3.2.2</v>
      </c>
      <c r="C22" s="66" t="str">
        <f aca="false">IF(IFERROR(INDEX(tsk_Name,GanttView[[#This Row],[_Row]])="",TRUE()),"",REPT("    ",INDEX(tsk_Level,GanttView[[#This Row],[_Row]])-1)&amp;INDEX(tsk_Name,GanttView[[#This Row],[_Row]]))</f>
        <v>        Feature screens</v>
      </c>
      <c r="D22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12</v>
      </c>
      <c r="E22" s="67" t="n">
        <f aca="false">IF(IFERROR(INDEX(tsk_Name,GanttView[[#This Row],[_Row]])="",TRUE()),"",INDEX(tsk_PlanStart,GanttView[[#This Row],[_Row]]))</f>
        <v>46308</v>
      </c>
      <c r="F22" s="67" t="n">
        <f aca="false">IF(IFERROR(INDEX(tsk_Name,GanttView[[#This Row],[_Row]])="",TRUE()),"",INDEX(tsk_PlanFinish,GanttView[[#This Row],[_Row]]))</f>
        <v>46323</v>
      </c>
      <c r="G22" s="67" t="n">
        <f aca="false">IF(IFERROR(INDEX(tsk_Name,GanttView[[#This Row],[_Row]])="",TRUE()),"",INDEX(tsk_FcStart,GanttView[[#This Row],[_Row]]))</f>
        <v>46314</v>
      </c>
      <c r="H22" s="67" t="n">
        <f aca="false">IF(IFERROR(INDEX(tsk_Name,GanttView[[#This Row],[_Row]])="",TRUE()),"",INDEX(tsk_FcFinish,GanttView[[#This Row],[_Row]]))</f>
        <v>46331</v>
      </c>
      <c r="I22" s="68" t="n">
        <f aca="false">IF(IFERROR(INDEX(tsk_Name,GanttView[[#This Row],[_Row]])="",TRUE()),"",INDEX(tsk_Progress,GanttView[[#This Row],[_Row]]))</f>
        <v>0.25</v>
      </c>
      <c r="J22" s="66" t="str">
        <f aca="false">IF(IFERROR(INDEX(tsk_Name,GanttView[[#This Row],[_Row]])="",TRUE()),"",INDEX(tsk_Resource,GanttView[[#This Row],[_Row]])&amp;"")</f>
        <v>Sam Rivera</v>
      </c>
      <c r="K22" s="69" t="str">
        <f aca="false">IF(IFERROR(INDEX(tsk_Name,GanttView[[#This Row],[_Row]])="",TRUE()),"",INDEX(tsk_Status,GanttView[[#This Row],[_Row]]))</f>
        <v>Behind</v>
      </c>
      <c r="L22" s="70" t="n">
        <f aca="false">ROW()-ROW(GanttView[[#Headers],[ID]])</f>
        <v>17</v>
      </c>
      <c r="M22" s="71" t="b">
        <f aca="false">IF(IFERROR(INDEX(tsk_Name,GanttView[[#This Row],[_Row]])="",TRUE()),FALSE(),INDEX(tsk_IsSummary,GanttView[[#This Row],[_Row]]))</f>
        <v>0</v>
      </c>
      <c r="N22" s="71" t="b">
        <f aca="false">IF(IFERROR(INDEX(tsk_Name,GanttView[[#This Row],[_Row]])="",TRUE()),FALSE(),AND(INDEX(tsk_IsLeaf,GanttView[[#This Row],[_Row]])=1,N(INDEX(tsk_Duration,GanttView[[#This Row],[_Row]]))=0))</f>
        <v>0</v>
      </c>
      <c r="O2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46314</v>
      </c>
      <c r="P2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46318</v>
      </c>
      <c r="Q2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46319</v>
      </c>
      <c r="R22" s="72" t="n">
        <f aca="false">IF(GanttView[[#This Row],[_RemFrom]]=0,0,GanttView[[#This Row],[Forecast Finish]])</f>
        <v>46331</v>
      </c>
      <c r="S22" s="71" t="b">
        <f aca="false">IF(IFERROR(INDEX(tsk_Name,GanttView[[#This Row],[_Row]])="",TRUE()),FALSE(),N(INDEX(tsk_Variance,GanttView[[#This Row],[_Row]]))&gt;0)</f>
        <v>1</v>
      </c>
      <c r="T22" s="72" t="n">
        <f aca="false">IF(IFERROR(INDEX(tsk_Name,GanttView[[#This Row],[_Row]])="",TRUE()),0,N(INDEX(tsk_Deadline,GanttView[[#This Row],[_Row]])))</f>
        <v>0</v>
      </c>
    </row>
    <row r="23" customFormat="false" ht="15" hidden="false" customHeight="false" outlineLevel="0" collapsed="false">
      <c r="A23" s="65" t="n">
        <f aca="false">IF(IFERROR(INDEX(tsk_Name,GanttView[[#This Row],[_Row]])="",TRUE()),"",INDEX(tsk_ID,GanttView[[#This Row],[_Row]]))</f>
        <v>18</v>
      </c>
      <c r="B23" s="65" t="str">
        <f aca="false">IF(IFERROR(INDEX(tsk_Name,GanttView[[#This Row],[_Row]])="",TRUE()),"",INDEX(tsk_WBS,GanttView[[#This Row],[_Row]]))</f>
        <v>3.2.3</v>
      </c>
      <c r="C23" s="66" t="str">
        <f aca="false">IF(IFERROR(INDEX(tsk_Name,GanttView[[#This Row],[_Row]])="",TRUE()),"",REPT("    ",INDEX(tsk_Level,GanttView[[#This Row],[_Row]])-1)&amp;INDEX(tsk_Name,GanttView[[#This Row],[_Row]]))</f>
        <v>        Accessibility review</v>
      </c>
      <c r="D23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</v>
      </c>
      <c r="E23" s="67" t="n">
        <f aca="false">IF(IFERROR(INDEX(tsk_Name,GanttView[[#This Row],[_Row]])="",TRUE()),"",INDEX(tsk_PlanStart,GanttView[[#This Row],[_Row]]))</f>
        <v>46322</v>
      </c>
      <c r="F23" s="67" t="n">
        <f aca="false">IF(IFERROR(INDEX(tsk_Name,GanttView[[#This Row],[_Row]])="",TRUE()),"",INDEX(tsk_PlanFinish,GanttView[[#This Row],[_Row]]))</f>
        <v>46324</v>
      </c>
      <c r="G23" s="67" t="n">
        <f aca="false">IF(IFERROR(INDEX(tsk_Name,GanttView[[#This Row],[_Row]])="",TRUE()),"",INDEX(tsk_FcStart,GanttView[[#This Row],[_Row]]))</f>
        <v>46330</v>
      </c>
      <c r="H23" s="67" t="n">
        <f aca="false">IF(IFERROR(INDEX(tsk_Name,GanttView[[#This Row],[_Row]])="",TRUE()),"",INDEX(tsk_FcFinish,GanttView[[#This Row],[_Row]]))</f>
        <v>46332</v>
      </c>
      <c r="I23" s="68" t="n">
        <f aca="false">IF(IFERROR(INDEX(tsk_Name,GanttView[[#This Row],[_Row]])="",TRUE()),"",INDEX(tsk_Progress,GanttView[[#This Row],[_Row]]))</f>
        <v>0</v>
      </c>
      <c r="J23" s="66" t="str">
        <f aca="false">IF(IFERROR(INDEX(tsk_Name,GanttView[[#This Row],[_Row]])="",TRUE()),"",INDEX(tsk_Resource,GanttView[[#This Row],[_Row]])&amp;"")</f>
        <v>Casey Kim</v>
      </c>
      <c r="K23" s="69" t="str">
        <f aca="false">IF(IFERROR(INDEX(tsk_Name,GanttView[[#This Row],[_Row]])="",TRUE()),"",INDEX(tsk_Status,GanttView[[#This Row],[_Row]]))</f>
        <v>Not Started</v>
      </c>
      <c r="L23" s="70" t="n">
        <f aca="false">ROW()-ROW(GanttView[[#Headers],[ID]])</f>
        <v>18</v>
      </c>
      <c r="M23" s="71" t="b">
        <f aca="false">IF(IFERROR(INDEX(tsk_Name,GanttView[[#This Row],[_Row]])="",TRUE()),FALSE(),INDEX(tsk_IsSummary,GanttView[[#This Row],[_Row]]))</f>
        <v>0</v>
      </c>
      <c r="N23" s="71" t="b">
        <f aca="false">IF(IFERROR(INDEX(tsk_Name,GanttView[[#This Row],[_Row]])="",TRUE()),FALSE(),AND(INDEX(tsk_IsLeaf,GanttView[[#This Row],[_Row]])=1,N(INDEX(tsk_Duration,GanttView[[#This Row],[_Row]]))=0))</f>
        <v>0</v>
      </c>
      <c r="O2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46330</v>
      </c>
      <c r="R23" s="72" t="n">
        <f aca="false">IF(GanttView[[#This Row],[_RemFrom]]=0,0,GanttView[[#This Row],[Forecast Finish]])</f>
        <v>46332</v>
      </c>
      <c r="S23" s="71" t="b">
        <f aca="false">IF(IFERROR(INDEX(tsk_Name,GanttView[[#This Row],[_Row]])="",TRUE()),FALSE(),N(INDEX(tsk_Variance,GanttView[[#This Row],[_Row]]))&gt;0)</f>
        <v>1</v>
      </c>
      <c r="T23" s="72" t="n">
        <f aca="false">IF(IFERROR(INDEX(tsk_Name,GanttView[[#This Row],[_Row]])="",TRUE()),0,N(INDEX(tsk_Deadline,GanttView[[#This Row],[_Row]])))</f>
        <v>0</v>
      </c>
    </row>
    <row r="24" customFormat="false" ht="15" hidden="false" customHeight="false" outlineLevel="0" collapsed="false">
      <c r="A24" s="65" t="n">
        <f aca="false">IF(IFERROR(INDEX(tsk_Name,GanttView[[#This Row],[_Row]])="",TRUE()),"",INDEX(tsk_ID,GanttView[[#This Row],[_Row]]))</f>
        <v>19</v>
      </c>
      <c r="B24" s="65" t="str">
        <f aca="false">IF(IFERROR(INDEX(tsk_Name,GanttView[[#This Row],[_Row]])="",TRUE()),"",INDEX(tsk_WBS,GanttView[[#This Row],[_Row]]))</f>
        <v>3.3</v>
      </c>
      <c r="C24" s="66" t="str">
        <f aca="false">IF(IFERROR(INDEX(tsk_Name,GanttView[[#This Row],[_Row]])="",TRUE()),"",REPT("    ",INDEX(tsk_Level,GanttView[[#This Row],[_Row]])-1)&amp;INDEX(tsk_Name,GanttView[[#This Row],[_Row]]))</f>
        <v>    Build complete</v>
      </c>
      <c r="D24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24" s="67" t="n">
        <f aca="false">IF(IFERROR(INDEX(tsk_Name,GanttView[[#This Row],[_Row]])="",TRUE()),"",INDEX(tsk_PlanStart,GanttView[[#This Row],[_Row]]))</f>
        <v>46325</v>
      </c>
      <c r="F24" s="67" t="n">
        <f aca="false">IF(IFERROR(INDEX(tsk_Name,GanttView[[#This Row],[_Row]])="",TRUE()),"",INDEX(tsk_PlanFinish,GanttView[[#This Row],[_Row]]))</f>
        <v>46325</v>
      </c>
      <c r="G24" s="67" t="n">
        <f aca="false">IF(IFERROR(INDEX(tsk_Name,GanttView[[#This Row],[_Row]])="",TRUE()),"",INDEX(tsk_FcStart,GanttView[[#This Row],[_Row]]))</f>
        <v>46335</v>
      </c>
      <c r="H24" s="67" t="n">
        <f aca="false">IF(IFERROR(INDEX(tsk_Name,GanttView[[#This Row],[_Row]])="",TRUE()),"",INDEX(tsk_FcFinish,GanttView[[#This Row],[_Row]]))</f>
        <v>46335</v>
      </c>
      <c r="I24" s="68" t="n">
        <f aca="false">IF(IFERROR(INDEX(tsk_Name,GanttView[[#This Row],[_Row]])="",TRUE()),"",INDEX(tsk_Progress,GanttView[[#This Row],[_Row]]))</f>
        <v>0</v>
      </c>
      <c r="J24" s="66" t="str">
        <f aca="false">IF(IFERROR(INDEX(tsk_Name,GanttView[[#This Row],[_Row]])="",TRUE()),"",INDEX(tsk_Resource,GanttView[[#This Row],[_Row]])&amp;"")</f>
        <v/>
      </c>
      <c r="K24" s="69" t="str">
        <f aca="false">IF(IFERROR(INDEX(tsk_Name,GanttView[[#This Row],[_Row]])="",TRUE()),"",INDEX(tsk_Status,GanttView[[#This Row],[_Row]]))</f>
        <v>Not Started</v>
      </c>
      <c r="L24" s="70" t="n">
        <f aca="false">ROW()-ROW(GanttView[[#Headers],[ID]])</f>
        <v>19</v>
      </c>
      <c r="M24" s="71" t="b">
        <f aca="false">IF(IFERROR(INDEX(tsk_Name,GanttView[[#This Row],[_Row]])="",TRUE()),FALSE(),INDEX(tsk_IsSummary,GanttView[[#This Row],[_Row]]))</f>
        <v>0</v>
      </c>
      <c r="N24" s="71" t="b">
        <f aca="false">IF(IFERROR(INDEX(tsk_Name,GanttView[[#This Row],[_Row]])="",TRUE()),FALSE(),AND(INDEX(tsk_IsLeaf,GanttView[[#This Row],[_Row]])=1,N(INDEX(tsk_Duration,GanttView[[#This Row],[_Row]]))=0))</f>
        <v>1</v>
      </c>
      <c r="O2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4" s="72" t="n">
        <f aca="false">IF(GanttView[[#This Row],[_RemFrom]]=0,0,GanttView[[#This Row],[Forecast Finish]])</f>
        <v>0</v>
      </c>
      <c r="S24" s="71" t="b">
        <f aca="false">IF(IFERROR(INDEX(tsk_Name,GanttView[[#This Row],[_Row]])="",TRUE()),FALSE(),N(INDEX(tsk_Variance,GanttView[[#This Row],[_Row]]))&gt;0)</f>
        <v>1</v>
      </c>
      <c r="T24" s="72" t="n">
        <f aca="false">IF(IFERROR(INDEX(tsk_Name,GanttView[[#This Row],[_Row]])="",TRUE()),0,N(INDEX(tsk_Deadline,GanttView[[#This Row],[_Row]])))</f>
        <v>46332</v>
      </c>
    </row>
    <row r="25" customFormat="false" ht="15" hidden="false" customHeight="false" outlineLevel="0" collapsed="false">
      <c r="A25" s="65" t="n">
        <f aca="false">IF(IFERROR(INDEX(tsk_Name,GanttView[[#This Row],[_Row]])="",TRUE()),"",INDEX(tsk_ID,GanttView[[#This Row],[_Row]]))</f>
        <v>20</v>
      </c>
      <c r="B25" s="65" t="str">
        <f aca="false">IF(IFERROR(INDEX(tsk_Name,GanttView[[#This Row],[_Row]])="",TRUE()),"",INDEX(tsk_WBS,GanttView[[#This Row],[_Row]]))</f>
        <v>4</v>
      </c>
      <c r="C25" s="66" t="str">
        <f aca="false">IF(IFERROR(INDEX(tsk_Name,GanttView[[#This Row],[_Row]])="",TRUE()),"",REPT("    ",INDEX(tsk_Level,GanttView[[#This Row],[_Row]])-1)&amp;INDEX(tsk_Name,GanttView[[#This Row],[_Row]]))</f>
        <v>Test &amp; Release</v>
      </c>
      <c r="D25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36</v>
      </c>
      <c r="E25" s="67" t="n">
        <f aca="false">IF(IFERROR(INDEX(tsk_Name,GanttView[[#This Row],[_Row]])="",TRUE()),"",INDEX(tsk_PlanStart,GanttView[[#This Row],[_Row]]))</f>
        <v>46328</v>
      </c>
      <c r="F25" s="67" t="n">
        <f aca="false">IF(IFERROR(INDEX(tsk_Name,GanttView[[#This Row],[_Row]])="",TRUE()),"",INDEX(tsk_PlanFinish,GanttView[[#This Row],[_Row]]))</f>
        <v>46391</v>
      </c>
      <c r="G25" s="67" t="n">
        <f aca="false">IF(IFERROR(INDEX(tsk_Name,GanttView[[#This Row],[_Row]])="",TRUE()),"",INDEX(tsk_FcStart,GanttView[[#This Row],[_Row]]))</f>
        <v>46336</v>
      </c>
      <c r="H25" s="67" t="n">
        <f aca="false">IF(IFERROR(INDEX(tsk_Name,GanttView[[#This Row],[_Row]])="",TRUE()),"",INDEX(tsk_FcFinish,GanttView[[#This Row],[_Row]]))</f>
        <v>46391</v>
      </c>
      <c r="I25" s="68" t="n">
        <f aca="false">IF(IFERROR(INDEX(tsk_Name,GanttView[[#This Row],[_Row]])="",TRUE()),"",INDEX(tsk_Progress,GanttView[[#This Row],[_Row]]))</f>
        <v>0</v>
      </c>
      <c r="J25" s="66" t="str">
        <f aca="false">IF(IFERROR(INDEX(tsk_Name,GanttView[[#This Row],[_Row]])="",TRUE()),"",INDEX(tsk_Resource,GanttView[[#This Row],[_Row]])&amp;"")</f>
        <v/>
      </c>
      <c r="K25" s="69" t="str">
        <f aca="false">IF(IFERROR(INDEX(tsk_Name,GanttView[[#This Row],[_Row]])="",TRUE()),"",INDEX(tsk_Status,GanttView[[#This Row],[_Row]]))</f>
        <v>Not Started</v>
      </c>
      <c r="L25" s="70" t="n">
        <f aca="false">ROW()-ROW(GanttView[[#Headers],[ID]])</f>
        <v>20</v>
      </c>
      <c r="M25" s="71" t="b">
        <f aca="false">IF(IFERROR(INDEX(tsk_Name,GanttView[[#This Row],[_Row]])="",TRUE()),FALSE(),INDEX(tsk_IsSummary,GanttView[[#This Row],[_Row]]))</f>
        <v>1</v>
      </c>
      <c r="N25" s="71" t="b">
        <f aca="false">IF(IFERROR(INDEX(tsk_Name,GanttView[[#This Row],[_Row]])="",TRUE()),FALSE(),AND(INDEX(tsk_IsLeaf,GanttView[[#This Row],[_Row]])=1,N(INDEX(tsk_Duration,GanttView[[#This Row],[_Row]]))=0))</f>
        <v>0</v>
      </c>
      <c r="O2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5" s="72" t="n">
        <f aca="false">IF(GanttView[[#This Row],[_RemFrom]]=0,0,GanttView[[#This Row],[Forecast Finish]])</f>
        <v>0</v>
      </c>
      <c r="S25" s="71" t="b">
        <f aca="false">IF(IFERROR(INDEX(tsk_Name,GanttView[[#This Row],[_Row]])="",TRUE()),FALSE(),N(INDEX(tsk_Variance,GanttView[[#This Row],[_Row]]))&gt;0)</f>
        <v>0</v>
      </c>
      <c r="T25" s="72" t="n">
        <f aca="false">IF(IFERROR(INDEX(tsk_Name,GanttView[[#This Row],[_Row]])="",TRUE()),0,N(INDEX(tsk_Deadline,GanttView[[#This Row],[_Row]])))</f>
        <v>0</v>
      </c>
    </row>
    <row r="26" customFormat="false" ht="15" hidden="false" customHeight="false" outlineLevel="0" collapsed="false">
      <c r="A26" s="65" t="n">
        <f aca="false">IF(IFERROR(INDEX(tsk_Name,GanttView[[#This Row],[_Row]])="",TRUE()),"",INDEX(tsk_ID,GanttView[[#This Row],[_Row]]))</f>
        <v>21</v>
      </c>
      <c r="B26" s="65" t="str">
        <f aca="false">IF(IFERROR(INDEX(tsk_Name,GanttView[[#This Row],[_Row]])="",TRUE()),"",INDEX(tsk_WBS,GanttView[[#This Row],[_Row]]))</f>
        <v>4.1</v>
      </c>
      <c r="C26" s="66" t="str">
        <f aca="false">IF(IFERROR(INDEX(tsk_Name,GanttView[[#This Row],[_Row]])="",TRUE()),"",REPT("    ",INDEX(tsk_Level,GanttView[[#This Row],[_Row]])-1)&amp;INDEX(tsk_Name,GanttView[[#This Row],[_Row]]))</f>
        <v>    System integration testing</v>
      </c>
      <c r="D26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8</v>
      </c>
      <c r="E26" s="67" t="n">
        <f aca="false">IF(IFERROR(INDEX(tsk_Name,GanttView[[#This Row],[_Row]])="",TRUE()),"",INDEX(tsk_PlanStart,GanttView[[#This Row],[_Row]]))</f>
        <v>46328</v>
      </c>
      <c r="F26" s="67" t="n">
        <f aca="false">IF(IFERROR(INDEX(tsk_Name,GanttView[[#This Row],[_Row]])="",TRUE()),"",INDEX(tsk_PlanFinish,GanttView[[#This Row],[_Row]]))</f>
        <v>46337</v>
      </c>
      <c r="G26" s="67" t="n">
        <f aca="false">IF(IFERROR(INDEX(tsk_Name,GanttView[[#This Row],[_Row]])="",TRUE()),"",INDEX(tsk_FcStart,GanttView[[#This Row],[_Row]]))</f>
        <v>46336</v>
      </c>
      <c r="H26" s="67" t="n">
        <f aca="false">IF(IFERROR(INDEX(tsk_Name,GanttView[[#This Row],[_Row]])="",TRUE()),"",INDEX(tsk_FcFinish,GanttView[[#This Row],[_Row]]))</f>
        <v>46345</v>
      </c>
      <c r="I26" s="68" t="n">
        <f aca="false">IF(IFERROR(INDEX(tsk_Name,GanttView[[#This Row],[_Row]])="",TRUE()),"",INDEX(tsk_Progress,GanttView[[#This Row],[_Row]]))</f>
        <v>0</v>
      </c>
      <c r="J26" s="66" t="str">
        <f aca="false">IF(IFERROR(INDEX(tsk_Name,GanttView[[#This Row],[_Row]])="",TRUE()),"",INDEX(tsk_Resource,GanttView[[#This Row],[_Row]])&amp;"")</f>
        <v>Taylor Morgan</v>
      </c>
      <c r="K26" s="69" t="str">
        <f aca="false">IF(IFERROR(INDEX(tsk_Name,GanttView[[#This Row],[_Row]])="",TRUE()),"",INDEX(tsk_Status,GanttView[[#This Row],[_Row]]))</f>
        <v>Not Started</v>
      </c>
      <c r="L26" s="70" t="n">
        <f aca="false">ROW()-ROW(GanttView[[#Headers],[ID]])</f>
        <v>21</v>
      </c>
      <c r="M26" s="71" t="b">
        <f aca="false">IF(IFERROR(INDEX(tsk_Name,GanttView[[#This Row],[_Row]])="",TRUE()),FALSE(),INDEX(tsk_IsSummary,GanttView[[#This Row],[_Row]]))</f>
        <v>0</v>
      </c>
      <c r="N26" s="71" t="b">
        <f aca="false">IF(IFERROR(INDEX(tsk_Name,GanttView[[#This Row],[_Row]])="",TRUE()),FALSE(),AND(INDEX(tsk_IsLeaf,GanttView[[#This Row],[_Row]])=1,N(INDEX(tsk_Duration,GanttView[[#This Row],[_Row]]))=0))</f>
        <v>0</v>
      </c>
      <c r="O2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46336</v>
      </c>
      <c r="R26" s="72" t="n">
        <f aca="false">IF(GanttView[[#This Row],[_RemFrom]]=0,0,GanttView[[#This Row],[Forecast Finish]])</f>
        <v>46345</v>
      </c>
      <c r="S26" s="71" t="b">
        <f aca="false">IF(IFERROR(INDEX(tsk_Name,GanttView[[#This Row],[_Row]])="",TRUE()),FALSE(),N(INDEX(tsk_Variance,GanttView[[#This Row],[_Row]]))&gt;0)</f>
        <v>1</v>
      </c>
      <c r="T26" s="72" t="n">
        <f aca="false">IF(IFERROR(INDEX(tsk_Name,GanttView[[#This Row],[_Row]])="",TRUE()),0,N(INDEX(tsk_Deadline,GanttView[[#This Row],[_Row]])))</f>
        <v>0</v>
      </c>
    </row>
    <row r="27" customFormat="false" ht="15" hidden="false" customHeight="false" outlineLevel="0" collapsed="false">
      <c r="A27" s="65" t="n">
        <f aca="false">IF(IFERROR(INDEX(tsk_Name,GanttView[[#This Row],[_Row]])="",TRUE()),"",INDEX(tsk_ID,GanttView[[#This Row],[_Row]]))</f>
        <v>22</v>
      </c>
      <c r="B27" s="65" t="str">
        <f aca="false">IF(IFERROR(INDEX(tsk_Name,GanttView[[#This Row],[_Row]])="",TRUE()),"",INDEX(tsk_WBS,GanttView[[#This Row],[_Row]]))</f>
        <v>4.2</v>
      </c>
      <c r="C27" s="66" t="str">
        <f aca="false">IF(IFERROR(INDEX(tsk_Name,GanttView[[#This Row],[_Row]])="",TRUE()),"",REPT("    ",INDEX(tsk_Level,GanttView[[#This Row],[_Row]])-1)&amp;INDEX(tsk_Name,GanttView[[#This Row],[_Row]]))</f>
        <v>    User acceptance testing</v>
      </c>
      <c r="D27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27" s="67" t="n">
        <f aca="false">IF(IFERROR(INDEX(tsk_Name,GanttView[[#This Row],[_Row]])="",TRUE()),"",INDEX(tsk_PlanStart,GanttView[[#This Row],[_Row]]))</f>
        <v>46363</v>
      </c>
      <c r="F27" s="67" t="n">
        <f aca="false">IF(IFERROR(INDEX(tsk_Name,GanttView[[#This Row],[_Row]])="",TRUE()),"",INDEX(tsk_PlanFinish,GanttView[[#This Row],[_Row]]))</f>
        <v>46370</v>
      </c>
      <c r="G27" s="67" t="n">
        <f aca="false">IF(IFERROR(INDEX(tsk_Name,GanttView[[#This Row],[_Row]])="",TRUE()),"",INDEX(tsk_FcStart,GanttView[[#This Row],[_Row]]))</f>
        <v>46363</v>
      </c>
      <c r="H27" s="67" t="n">
        <f aca="false">IF(IFERROR(INDEX(tsk_Name,GanttView[[#This Row],[_Row]])="",TRUE()),"",INDEX(tsk_FcFinish,GanttView[[#This Row],[_Row]]))</f>
        <v>46370</v>
      </c>
      <c r="I27" s="68" t="n">
        <f aca="false">IF(IFERROR(INDEX(tsk_Name,GanttView[[#This Row],[_Row]])="",TRUE()),"",INDEX(tsk_Progress,GanttView[[#This Row],[_Row]]))</f>
        <v>0</v>
      </c>
      <c r="J27" s="66" t="str">
        <f aca="false">IF(IFERROR(INDEX(tsk_Name,GanttView[[#This Row],[_Row]])="",TRUE()),"",INDEX(tsk_Resource,GanttView[[#This Row],[_Row]])&amp;"")</f>
        <v>Morgan Patel</v>
      </c>
      <c r="K27" s="69" t="str">
        <f aca="false">IF(IFERROR(INDEX(tsk_Name,GanttView[[#This Row],[_Row]])="",TRUE()),"",INDEX(tsk_Status,GanttView[[#This Row],[_Row]]))</f>
        <v>Not Started</v>
      </c>
      <c r="L27" s="70" t="n">
        <f aca="false">ROW()-ROW(GanttView[[#Headers],[ID]])</f>
        <v>22</v>
      </c>
      <c r="M27" s="71" t="b">
        <f aca="false">IF(IFERROR(INDEX(tsk_Name,GanttView[[#This Row],[_Row]])="",TRUE()),FALSE(),INDEX(tsk_IsSummary,GanttView[[#This Row],[_Row]]))</f>
        <v>0</v>
      </c>
      <c r="N27" s="71" t="b">
        <f aca="false">IF(IFERROR(INDEX(tsk_Name,GanttView[[#This Row],[_Row]])="",TRUE()),FALSE(),AND(INDEX(tsk_IsLeaf,GanttView[[#This Row],[_Row]])=1,N(INDEX(tsk_Duration,GanttView[[#This Row],[_Row]]))=0))</f>
        <v>0</v>
      </c>
      <c r="O2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46363</v>
      </c>
      <c r="R27" s="72" t="n">
        <f aca="false">IF(GanttView[[#This Row],[_RemFrom]]=0,0,GanttView[[#This Row],[Forecast Finish]])</f>
        <v>46370</v>
      </c>
      <c r="S27" s="71" t="b">
        <f aca="false">IF(IFERROR(INDEX(tsk_Name,GanttView[[#This Row],[_Row]])="",TRUE()),FALSE(),N(INDEX(tsk_Variance,GanttView[[#This Row],[_Row]]))&gt;0)</f>
        <v>0</v>
      </c>
      <c r="T27" s="72" t="n">
        <f aca="false">IF(IFERROR(INDEX(tsk_Name,GanttView[[#This Row],[_Row]])="",TRUE()),0,N(INDEX(tsk_Deadline,GanttView[[#This Row],[_Row]])))</f>
        <v>0</v>
      </c>
    </row>
    <row r="28" customFormat="false" ht="15" hidden="false" customHeight="false" outlineLevel="0" collapsed="false">
      <c r="A28" s="65" t="n">
        <f aca="false">IF(IFERROR(INDEX(tsk_Name,GanttView[[#This Row],[_Row]])="",TRUE()),"",INDEX(tsk_ID,GanttView[[#This Row],[_Row]]))</f>
        <v>23</v>
      </c>
      <c r="B28" s="65" t="str">
        <f aca="false">IF(IFERROR(INDEX(tsk_Name,GanttView[[#This Row],[_Row]])="",TRUE()),"",INDEX(tsk_WBS,GanttView[[#This Row],[_Row]]))</f>
        <v>4.3</v>
      </c>
      <c r="C28" s="66" t="str">
        <f aca="false">IF(IFERROR(INDEX(tsk_Name,GanttView[[#This Row],[_Row]])="",TRUE()),"",REPT("    ",INDEX(tsk_Level,GanttView[[#This Row],[_Row]])-1)&amp;INDEX(tsk_Name,GanttView[[#This Row],[_Row]]))</f>
        <v>    Training &amp; user guides</v>
      </c>
      <c r="D28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28" s="67" t="n">
        <f aca="false">IF(IFERROR(INDEX(tsk_Name,GanttView[[#This Row],[_Row]])="",TRUE()),"",INDEX(tsk_PlanStart,GanttView[[#This Row],[_Row]]))</f>
        <v>46330</v>
      </c>
      <c r="F28" s="67" t="n">
        <f aca="false">IF(IFERROR(INDEX(tsk_Name,GanttView[[#This Row],[_Row]])="",TRUE()),"",INDEX(tsk_PlanFinish,GanttView[[#This Row],[_Row]]))</f>
        <v>46336</v>
      </c>
      <c r="G28" s="67" t="n">
        <f aca="false">IF(IFERROR(INDEX(tsk_Name,GanttView[[#This Row],[_Row]])="",TRUE()),"",INDEX(tsk_FcStart,GanttView[[#This Row],[_Row]]))</f>
        <v>46338</v>
      </c>
      <c r="H28" s="67" t="n">
        <f aca="false">IF(IFERROR(INDEX(tsk_Name,GanttView[[#This Row],[_Row]])="",TRUE()),"",INDEX(tsk_FcFinish,GanttView[[#This Row],[_Row]]))</f>
        <v>46344</v>
      </c>
      <c r="I28" s="68" t="n">
        <f aca="false">IF(IFERROR(INDEX(tsk_Name,GanttView[[#This Row],[_Row]])="",TRUE()),"",INDEX(tsk_Progress,GanttView[[#This Row],[_Row]]))</f>
        <v>0</v>
      </c>
      <c r="J28" s="66" t="str">
        <f aca="false">IF(IFERROR(INDEX(tsk_Name,GanttView[[#This Row],[_Row]])="",TRUE()),"",INDEX(tsk_Resource,GanttView[[#This Row],[_Row]])&amp;"")</f>
        <v>Casey Kim</v>
      </c>
      <c r="K28" s="69" t="str">
        <f aca="false">IF(IFERROR(INDEX(tsk_Name,GanttView[[#This Row],[_Row]])="",TRUE()),"",INDEX(tsk_Status,GanttView[[#This Row],[_Row]]))</f>
        <v>Not Started</v>
      </c>
      <c r="L28" s="70" t="n">
        <f aca="false">ROW()-ROW(GanttView[[#Headers],[ID]])</f>
        <v>23</v>
      </c>
      <c r="M28" s="71" t="b">
        <f aca="false">IF(IFERROR(INDEX(tsk_Name,GanttView[[#This Row],[_Row]])="",TRUE()),FALSE(),INDEX(tsk_IsSummary,GanttView[[#This Row],[_Row]]))</f>
        <v>0</v>
      </c>
      <c r="N28" s="71" t="b">
        <f aca="false">IF(IFERROR(INDEX(tsk_Name,GanttView[[#This Row],[_Row]])="",TRUE()),FALSE(),AND(INDEX(tsk_IsLeaf,GanttView[[#This Row],[_Row]])=1,N(INDEX(tsk_Duration,GanttView[[#This Row],[_Row]]))=0))</f>
        <v>0</v>
      </c>
      <c r="O2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46338</v>
      </c>
      <c r="R28" s="72" t="n">
        <f aca="false">IF(GanttView[[#This Row],[_RemFrom]]=0,0,GanttView[[#This Row],[Forecast Finish]])</f>
        <v>46344</v>
      </c>
      <c r="S28" s="71" t="b">
        <f aca="false">IF(IFERROR(INDEX(tsk_Name,GanttView[[#This Row],[_Row]])="",TRUE()),FALSE(),N(INDEX(tsk_Variance,GanttView[[#This Row],[_Row]]))&gt;0)</f>
        <v>1</v>
      </c>
      <c r="T28" s="72" t="n">
        <f aca="false">IF(IFERROR(INDEX(tsk_Name,GanttView[[#This Row],[_Row]])="",TRUE()),0,N(INDEX(tsk_Deadline,GanttView[[#This Row],[_Row]])))</f>
        <v>0</v>
      </c>
    </row>
    <row r="29" customFormat="false" ht="15" hidden="false" customHeight="false" outlineLevel="0" collapsed="false">
      <c r="A29" s="65" t="n">
        <f aca="false">IF(IFERROR(INDEX(tsk_Name,GanttView[[#This Row],[_Row]])="",TRUE()),"",INDEX(tsk_ID,GanttView[[#This Row],[_Row]]))</f>
        <v>24</v>
      </c>
      <c r="B29" s="65" t="str">
        <f aca="false">IF(IFERROR(INDEX(tsk_Name,GanttView[[#This Row],[_Row]])="",TRUE()),"",INDEX(tsk_WBS,GanttView[[#This Row],[_Row]]))</f>
        <v>4.4</v>
      </c>
      <c r="C29" s="66" t="str">
        <f aca="false">IF(IFERROR(INDEX(tsk_Name,GanttView[[#This Row],[_Row]])="",TRUE()),"",REPT("    ",INDEX(tsk_Level,GanttView[[#This Row],[_Row]])-1)&amp;INDEX(tsk_Name,GanttView[[#This Row],[_Row]]))</f>
        <v>    Go-live readiness review</v>
      </c>
      <c r="D29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</v>
      </c>
      <c r="E29" s="67" t="n">
        <f aca="false">IF(IFERROR(INDEX(tsk_Name,GanttView[[#This Row],[_Row]])="",TRUE()),"",INDEX(tsk_PlanStart,GanttView[[#This Row],[_Row]]))</f>
        <v>46371</v>
      </c>
      <c r="F29" s="67" t="n">
        <f aca="false">IF(IFERROR(INDEX(tsk_Name,GanttView[[#This Row],[_Row]])="",TRUE()),"",INDEX(tsk_PlanFinish,GanttView[[#This Row],[_Row]]))</f>
        <v>46371</v>
      </c>
      <c r="G29" s="67" t="n">
        <f aca="false">IF(IFERROR(INDEX(tsk_Name,GanttView[[#This Row],[_Row]])="",TRUE()),"",INDEX(tsk_FcStart,GanttView[[#This Row],[_Row]]))</f>
        <v>46371</v>
      </c>
      <c r="H29" s="67" t="n">
        <f aca="false">IF(IFERROR(INDEX(tsk_Name,GanttView[[#This Row],[_Row]])="",TRUE()),"",INDEX(tsk_FcFinish,GanttView[[#This Row],[_Row]]))</f>
        <v>46371</v>
      </c>
      <c r="I29" s="68" t="n">
        <f aca="false">IF(IFERROR(INDEX(tsk_Name,GanttView[[#This Row],[_Row]])="",TRUE()),"",INDEX(tsk_Progress,GanttView[[#This Row],[_Row]]))</f>
        <v>0</v>
      </c>
      <c r="J29" s="66" t="str">
        <f aca="false">IF(IFERROR(INDEX(tsk_Name,GanttView[[#This Row],[_Row]])="",TRUE()),"",INDEX(tsk_Resource,GanttView[[#This Row],[_Row]])&amp;"")</f>
        <v>Priya Sharma</v>
      </c>
      <c r="K29" s="69" t="str">
        <f aca="false">IF(IFERROR(INDEX(tsk_Name,GanttView[[#This Row],[_Row]])="",TRUE()),"",INDEX(tsk_Status,GanttView[[#This Row],[_Row]]))</f>
        <v>Not Started</v>
      </c>
      <c r="L29" s="70" t="n">
        <f aca="false">ROW()-ROW(GanttView[[#Headers],[ID]])</f>
        <v>24</v>
      </c>
      <c r="M29" s="71" t="b">
        <f aca="false">IF(IFERROR(INDEX(tsk_Name,GanttView[[#This Row],[_Row]])="",TRUE()),FALSE(),INDEX(tsk_IsSummary,GanttView[[#This Row],[_Row]]))</f>
        <v>0</v>
      </c>
      <c r="N29" s="71" t="b">
        <f aca="false">IF(IFERROR(INDEX(tsk_Name,GanttView[[#This Row],[_Row]])="",TRUE()),FALSE(),AND(INDEX(tsk_IsLeaf,GanttView[[#This Row],[_Row]])=1,N(INDEX(tsk_Duration,GanttView[[#This Row],[_Row]]))=0))</f>
        <v>0</v>
      </c>
      <c r="O2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46371</v>
      </c>
      <c r="R29" s="72" t="n">
        <f aca="false">IF(GanttView[[#This Row],[_RemFrom]]=0,0,GanttView[[#This Row],[Forecast Finish]])</f>
        <v>46371</v>
      </c>
      <c r="S29" s="71" t="b">
        <f aca="false">IF(IFERROR(INDEX(tsk_Name,GanttView[[#This Row],[_Row]])="",TRUE()),FALSE(),N(INDEX(tsk_Variance,GanttView[[#This Row],[_Row]]))&gt;0)</f>
        <v>0</v>
      </c>
      <c r="T29" s="72" t="n">
        <f aca="false">IF(IFERROR(INDEX(tsk_Name,GanttView[[#This Row],[_Row]])="",TRUE()),0,N(INDEX(tsk_Deadline,GanttView[[#This Row],[_Row]])))</f>
        <v>0</v>
      </c>
    </row>
    <row r="30" customFormat="false" ht="15" hidden="false" customHeight="false" outlineLevel="0" collapsed="false">
      <c r="A30" s="65" t="n">
        <f aca="false">IF(IFERROR(INDEX(tsk_Name,GanttView[[#This Row],[_Row]])="",TRUE()),"",INDEX(tsk_ID,GanttView[[#This Row],[_Row]]))</f>
        <v>25</v>
      </c>
      <c r="B30" s="65" t="str">
        <f aca="false">IF(IFERROR(INDEX(tsk_Name,GanttView[[#This Row],[_Row]])="",TRUE()),"",INDEX(tsk_WBS,GanttView[[#This Row],[_Row]]))</f>
        <v>4.5</v>
      </c>
      <c r="C30" s="66" t="str">
        <f aca="false">IF(IFERROR(INDEX(tsk_Name,GanttView[[#This Row],[_Row]])="",TRUE()),"",REPT("    ",INDEX(tsk_Level,GanttView[[#This Row],[_Row]])-1)&amp;INDEX(tsk_Name,GanttView[[#This Row],[_Row]]))</f>
        <v>    Go-live</v>
      </c>
      <c r="D30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30" s="67" t="n">
        <f aca="false">IF(IFERROR(INDEX(tsk_Name,GanttView[[#This Row],[_Row]])="",TRUE()),"",INDEX(tsk_PlanStart,GanttView[[#This Row],[_Row]]))</f>
        <v>46371</v>
      </c>
      <c r="F30" s="67" t="n">
        <f aca="false">IF(IFERROR(INDEX(tsk_Name,GanttView[[#This Row],[_Row]])="",TRUE()),"",INDEX(tsk_PlanFinish,GanttView[[#This Row],[_Row]]))</f>
        <v>46371</v>
      </c>
      <c r="G30" s="67" t="n">
        <f aca="false">IF(IFERROR(INDEX(tsk_Name,GanttView[[#This Row],[_Row]])="",TRUE()),"",INDEX(tsk_FcStart,GanttView[[#This Row],[_Row]]))</f>
        <v>46371</v>
      </c>
      <c r="H30" s="67" t="n">
        <f aca="false">IF(IFERROR(INDEX(tsk_Name,GanttView[[#This Row],[_Row]])="",TRUE()),"",INDEX(tsk_FcFinish,GanttView[[#This Row],[_Row]]))</f>
        <v>46371</v>
      </c>
      <c r="I30" s="68" t="n">
        <f aca="false">IF(IFERROR(INDEX(tsk_Name,GanttView[[#This Row],[_Row]])="",TRUE()),"",INDEX(tsk_Progress,GanttView[[#This Row],[_Row]]))</f>
        <v>0</v>
      </c>
      <c r="J30" s="66" t="str">
        <f aca="false">IF(IFERROR(INDEX(tsk_Name,GanttView[[#This Row],[_Row]])="",TRUE()),"",INDEX(tsk_Resource,GanttView[[#This Row],[_Row]])&amp;"")</f>
        <v/>
      </c>
      <c r="K30" s="69" t="str">
        <f aca="false">IF(IFERROR(INDEX(tsk_Name,GanttView[[#This Row],[_Row]])="",TRUE()),"",INDEX(tsk_Status,GanttView[[#This Row],[_Row]]))</f>
        <v>Not Started</v>
      </c>
      <c r="L30" s="70" t="n">
        <f aca="false">ROW()-ROW(GanttView[[#Headers],[ID]])</f>
        <v>25</v>
      </c>
      <c r="M30" s="71" t="b">
        <f aca="false">IF(IFERROR(INDEX(tsk_Name,GanttView[[#This Row],[_Row]])="",TRUE()),FALSE(),INDEX(tsk_IsSummary,GanttView[[#This Row],[_Row]]))</f>
        <v>0</v>
      </c>
      <c r="N30" s="71" t="b">
        <f aca="false">IF(IFERROR(INDEX(tsk_Name,GanttView[[#This Row],[_Row]])="",TRUE()),FALSE(),AND(INDEX(tsk_IsLeaf,GanttView[[#This Row],[_Row]])=1,N(INDEX(tsk_Duration,GanttView[[#This Row],[_Row]]))=0))</f>
        <v>1</v>
      </c>
      <c r="O3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0" s="72" t="n">
        <f aca="false">IF(GanttView[[#This Row],[_RemFrom]]=0,0,GanttView[[#This Row],[Forecast Finish]])</f>
        <v>0</v>
      </c>
      <c r="S30" s="71" t="b">
        <f aca="false">IF(IFERROR(INDEX(tsk_Name,GanttView[[#This Row],[_Row]])="",TRUE()),FALSE(),N(INDEX(tsk_Variance,GanttView[[#This Row],[_Row]]))&gt;0)</f>
        <v>0</v>
      </c>
      <c r="T30" s="72" t="n">
        <f aca="false">IF(IFERROR(INDEX(tsk_Name,GanttView[[#This Row],[_Row]])="",TRUE()),0,N(INDEX(tsk_Deadline,GanttView[[#This Row],[_Row]])))</f>
        <v>46374</v>
      </c>
    </row>
    <row r="31" customFormat="false" ht="15" hidden="false" customHeight="false" outlineLevel="0" collapsed="false">
      <c r="A31" s="65" t="n">
        <f aca="false">IF(IFERROR(INDEX(tsk_Name,GanttView[[#This Row],[_Row]])="",TRUE()),"",INDEX(tsk_ID,GanttView[[#This Row],[_Row]]))</f>
        <v>26</v>
      </c>
      <c r="B31" s="65" t="str">
        <f aca="false">IF(IFERROR(INDEX(tsk_Name,GanttView[[#This Row],[_Row]])="",TRUE()),"",INDEX(tsk_WBS,GanttView[[#This Row],[_Row]]))</f>
        <v>4.6</v>
      </c>
      <c r="C31" s="66" t="str">
        <f aca="false">IF(IFERROR(INDEX(tsk_Name,GanttView[[#This Row],[_Row]])="",TRUE()),"",REPT("    ",INDEX(tsk_Level,GanttView[[#This Row],[_Row]])-1)&amp;INDEX(tsk_Name,GanttView[[#This Row],[_Row]]))</f>
        <v>    Hypercare support</v>
      </c>
      <c r="D31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10</v>
      </c>
      <c r="E31" s="67" t="n">
        <f aca="false">IF(IFERROR(INDEX(tsk_Name,GanttView[[#This Row],[_Row]])="",TRUE()),"",INDEX(tsk_PlanStart,GanttView[[#This Row],[_Row]]))</f>
        <v>46372</v>
      </c>
      <c r="F31" s="67" t="n">
        <f aca="false">IF(IFERROR(INDEX(tsk_Name,GanttView[[#This Row],[_Row]])="",TRUE()),"",INDEX(tsk_PlanFinish,GanttView[[#This Row],[_Row]]))</f>
        <v>46391</v>
      </c>
      <c r="G31" s="67" t="n">
        <f aca="false">IF(IFERROR(INDEX(tsk_Name,GanttView[[#This Row],[_Row]])="",TRUE()),"",INDEX(tsk_FcStart,GanttView[[#This Row],[_Row]]))</f>
        <v>46372</v>
      </c>
      <c r="H31" s="67" t="n">
        <f aca="false">IF(IFERROR(INDEX(tsk_Name,GanttView[[#This Row],[_Row]])="",TRUE()),"",INDEX(tsk_FcFinish,GanttView[[#This Row],[_Row]]))</f>
        <v>46391</v>
      </c>
      <c r="I31" s="68" t="n">
        <f aca="false">IF(IFERROR(INDEX(tsk_Name,GanttView[[#This Row],[_Row]])="",TRUE()),"",INDEX(tsk_Progress,GanttView[[#This Row],[_Row]]))</f>
        <v>0</v>
      </c>
      <c r="J31" s="66" t="str">
        <f aca="false">IF(IFERROR(INDEX(tsk_Name,GanttView[[#This Row],[_Row]])="",TRUE()),"",INDEX(tsk_Resource,GanttView[[#This Row],[_Row]])&amp;"")</f>
        <v>Jordan Lee</v>
      </c>
      <c r="K31" s="69" t="str">
        <f aca="false">IF(IFERROR(INDEX(tsk_Name,GanttView[[#This Row],[_Row]])="",TRUE()),"",INDEX(tsk_Status,GanttView[[#This Row],[_Row]]))</f>
        <v>Not Started</v>
      </c>
      <c r="L31" s="70" t="n">
        <f aca="false">ROW()-ROW(GanttView[[#Headers],[ID]])</f>
        <v>26</v>
      </c>
      <c r="M31" s="71" t="b">
        <f aca="false">IF(IFERROR(INDEX(tsk_Name,GanttView[[#This Row],[_Row]])="",TRUE()),FALSE(),INDEX(tsk_IsSummary,GanttView[[#This Row],[_Row]]))</f>
        <v>0</v>
      </c>
      <c r="N31" s="71" t="b">
        <f aca="false">IF(IFERROR(INDEX(tsk_Name,GanttView[[#This Row],[_Row]])="",TRUE()),FALSE(),AND(INDEX(tsk_IsLeaf,GanttView[[#This Row],[_Row]])=1,N(INDEX(tsk_Duration,GanttView[[#This Row],[_Row]]))=0))</f>
        <v>0</v>
      </c>
      <c r="O3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46372</v>
      </c>
      <c r="R31" s="72" t="n">
        <f aca="false">IF(GanttView[[#This Row],[_RemFrom]]=0,0,GanttView[[#This Row],[Forecast Finish]])</f>
        <v>46391</v>
      </c>
      <c r="S31" s="71" t="b">
        <f aca="false">IF(IFERROR(INDEX(tsk_Name,GanttView[[#This Row],[_Row]])="",TRUE()),FALSE(),N(INDEX(tsk_Variance,GanttView[[#This Row],[_Row]]))&gt;0)</f>
        <v>0</v>
      </c>
      <c r="T31" s="72" t="n">
        <f aca="false">IF(IFERROR(INDEX(tsk_Name,GanttView[[#This Row],[_Row]])="",TRUE()),0,N(INDEX(tsk_Deadline,GanttView[[#This Row],[_Row]])))</f>
        <v>0</v>
      </c>
    </row>
    <row r="32" customFormat="false" ht="15" hidden="false" customHeight="false" outlineLevel="0" collapsed="false">
      <c r="A32" s="65" t="n">
        <f aca="false">IF(IFERROR(INDEX(tsk_Name,GanttView[[#This Row],[_Row]])="",TRUE()),"",INDEX(tsk_ID,GanttView[[#This Row],[_Row]]))</f>
        <v>27</v>
      </c>
      <c r="B32" s="65" t="str">
        <f aca="false">IF(IFERROR(INDEX(tsk_Name,GanttView[[#This Row],[_Row]])="",TRUE()),"",INDEX(tsk_WBS,GanttView[[#This Row],[_Row]]))</f>
        <v>5</v>
      </c>
      <c r="C32" s="66" t="str">
        <f aca="false">IF(IFERROR(INDEX(tsk_Name,GanttView[[#This Row],[_Row]])="",TRUE()),"",REPT("    ",INDEX(tsk_Level,GanttView[[#This Row],[_Row]])-1)&amp;INDEX(tsk_Name,GanttView[[#This Row],[_Row]]))</f>
        <v>Project Close</v>
      </c>
      <c r="D32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34</v>
      </c>
      <c r="E32" s="67" t="n">
        <f aca="false">IF(IFERROR(INDEX(tsk_Name,GanttView[[#This Row],[_Row]])="",TRUE()),"",INDEX(tsk_PlanStart,GanttView[[#This Row],[_Row]]))</f>
        <v>46342</v>
      </c>
      <c r="F32" s="67" t="n">
        <f aca="false">IF(IFERROR(INDEX(tsk_Name,GanttView[[#This Row],[_Row]])="",TRUE()),"",INDEX(tsk_PlanFinish,GanttView[[#This Row],[_Row]]))</f>
        <v>46393</v>
      </c>
      <c r="G32" s="67" t="n">
        <f aca="false">IF(IFERROR(INDEX(tsk_Name,GanttView[[#This Row],[_Row]])="",TRUE()),"",INDEX(tsk_FcStart,GanttView[[#This Row],[_Row]]))</f>
        <v>46342</v>
      </c>
      <c r="H32" s="67" t="n">
        <f aca="false">IF(IFERROR(INDEX(tsk_Name,GanttView[[#This Row],[_Row]])="",TRUE()),"",INDEX(tsk_FcFinish,GanttView[[#This Row],[_Row]]))</f>
        <v>46393</v>
      </c>
      <c r="I32" s="68" t="n">
        <f aca="false">IF(IFERROR(INDEX(tsk_Name,GanttView[[#This Row],[_Row]])="",TRUE()),"",INDEX(tsk_Progress,GanttView[[#This Row],[_Row]]))</f>
        <v>0</v>
      </c>
      <c r="J32" s="66" t="str">
        <f aca="false">IF(IFERROR(INDEX(tsk_Name,GanttView[[#This Row],[_Row]])="",TRUE()),"",INDEX(tsk_Resource,GanttView[[#This Row],[_Row]])&amp;"")</f>
        <v/>
      </c>
      <c r="K32" s="69" t="str">
        <f aca="false">IF(IFERROR(INDEX(tsk_Name,GanttView[[#This Row],[_Row]])="",TRUE()),"",INDEX(tsk_Status,GanttView[[#This Row],[_Row]]))</f>
        <v>Not Started</v>
      </c>
      <c r="L32" s="70" t="n">
        <f aca="false">ROW()-ROW(GanttView[[#Headers],[ID]])</f>
        <v>27</v>
      </c>
      <c r="M32" s="71" t="b">
        <f aca="false">IF(IFERROR(INDEX(tsk_Name,GanttView[[#This Row],[_Row]])="",TRUE()),FALSE(),INDEX(tsk_IsSummary,GanttView[[#This Row],[_Row]]))</f>
        <v>1</v>
      </c>
      <c r="N32" s="71" t="b">
        <f aca="false">IF(IFERROR(INDEX(tsk_Name,GanttView[[#This Row],[_Row]])="",TRUE()),FALSE(),AND(INDEX(tsk_IsLeaf,GanttView[[#This Row],[_Row]])=1,N(INDEX(tsk_Duration,GanttView[[#This Row],[_Row]]))=0))</f>
        <v>0</v>
      </c>
      <c r="O3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2" s="72" t="n">
        <f aca="false">IF(GanttView[[#This Row],[_RemFrom]]=0,0,GanttView[[#This Row],[Forecast Finish]])</f>
        <v>0</v>
      </c>
      <c r="S32" s="71" t="b">
        <f aca="false">IF(IFERROR(INDEX(tsk_Name,GanttView[[#This Row],[_Row]])="",TRUE()),FALSE(),N(INDEX(tsk_Variance,GanttView[[#This Row],[_Row]]))&gt;0)</f>
        <v>0</v>
      </c>
      <c r="T32" s="72" t="n">
        <f aca="false">IF(IFERROR(INDEX(tsk_Name,GanttView[[#This Row],[_Row]])="",TRUE()),0,N(INDEX(tsk_Deadline,GanttView[[#This Row],[_Row]])))</f>
        <v>0</v>
      </c>
    </row>
    <row r="33" customFormat="false" ht="15" hidden="false" customHeight="false" outlineLevel="0" collapsed="false">
      <c r="A33" s="65" t="n">
        <f aca="false">IF(IFERROR(INDEX(tsk_Name,GanttView[[#This Row],[_Row]])="",TRUE()),"",INDEX(tsk_ID,GanttView[[#This Row],[_Row]]))</f>
        <v>28</v>
      </c>
      <c r="B33" s="65" t="str">
        <f aca="false">IF(IFERROR(INDEX(tsk_Name,GanttView[[#This Row],[_Row]])="",TRUE()),"",INDEX(tsk_WBS,GanttView[[#This Row],[_Row]]))</f>
        <v>5.1</v>
      </c>
      <c r="C33" s="66" t="str">
        <f aca="false">IF(IFERROR(INDEX(tsk_Name,GanttView[[#This Row],[_Row]])="",TRUE()),"",REPT("    ",INDEX(tsk_Level,GanttView[[#This Row],[_Row]])-1)&amp;INDEX(tsk_Name,GanttView[[#This Row],[_Row]]))</f>
        <v>    Steering committee update</v>
      </c>
      <c r="D33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</v>
      </c>
      <c r="E33" s="67" t="n">
        <f aca="false">IF(IFERROR(INDEX(tsk_Name,GanttView[[#This Row],[_Row]])="",TRUE()),"",INDEX(tsk_PlanStart,GanttView[[#This Row],[_Row]]))</f>
        <v>46342</v>
      </c>
      <c r="F33" s="67" t="n">
        <f aca="false">IF(IFERROR(INDEX(tsk_Name,GanttView[[#This Row],[_Row]])="",TRUE()),"",INDEX(tsk_PlanFinish,GanttView[[#This Row],[_Row]]))</f>
        <v>46342</v>
      </c>
      <c r="G33" s="67" t="n">
        <f aca="false">IF(IFERROR(INDEX(tsk_Name,GanttView[[#This Row],[_Row]])="",TRUE()),"",INDEX(tsk_FcStart,GanttView[[#This Row],[_Row]]))</f>
        <v>46342</v>
      </c>
      <c r="H33" s="67" t="n">
        <f aca="false">IF(IFERROR(INDEX(tsk_Name,GanttView[[#This Row],[_Row]])="",TRUE()),"",INDEX(tsk_FcFinish,GanttView[[#This Row],[_Row]]))</f>
        <v>46342</v>
      </c>
      <c r="I33" s="68" t="n">
        <f aca="false">IF(IFERROR(INDEX(tsk_Name,GanttView[[#This Row],[_Row]])="",TRUE()),"",INDEX(tsk_Progress,GanttView[[#This Row],[_Row]]))</f>
        <v>0</v>
      </c>
      <c r="J33" s="66" t="str">
        <f aca="false">IF(IFERROR(INDEX(tsk_Name,GanttView[[#This Row],[_Row]])="",TRUE()),"",INDEX(tsk_Resource,GanttView[[#This Row],[_Row]])&amp;"")</f>
        <v>Priya Sharma</v>
      </c>
      <c r="K33" s="69" t="str">
        <f aca="false">IF(IFERROR(INDEX(tsk_Name,GanttView[[#This Row],[_Row]])="",TRUE()),"",INDEX(tsk_Status,GanttView[[#This Row],[_Row]]))</f>
        <v>Not Started</v>
      </c>
      <c r="L33" s="70" t="n">
        <f aca="false">ROW()-ROW(GanttView[[#Headers],[ID]])</f>
        <v>28</v>
      </c>
      <c r="M33" s="71" t="b">
        <f aca="false">IF(IFERROR(INDEX(tsk_Name,GanttView[[#This Row],[_Row]])="",TRUE()),FALSE(),INDEX(tsk_IsSummary,GanttView[[#This Row],[_Row]]))</f>
        <v>0</v>
      </c>
      <c r="N33" s="71" t="b">
        <f aca="false">IF(IFERROR(INDEX(tsk_Name,GanttView[[#This Row],[_Row]])="",TRUE()),FALSE(),AND(INDEX(tsk_IsLeaf,GanttView[[#This Row],[_Row]])=1,N(INDEX(tsk_Duration,GanttView[[#This Row],[_Row]]))=0))</f>
        <v>0</v>
      </c>
      <c r="O3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46342</v>
      </c>
      <c r="R33" s="72" t="n">
        <f aca="false">IF(GanttView[[#This Row],[_RemFrom]]=0,0,GanttView[[#This Row],[Forecast Finish]])</f>
        <v>46342</v>
      </c>
      <c r="S33" s="71" t="b">
        <f aca="false">IF(IFERROR(INDEX(tsk_Name,GanttView[[#This Row],[_Row]])="",TRUE()),FALSE(),N(INDEX(tsk_Variance,GanttView[[#This Row],[_Row]]))&gt;0)</f>
        <v>0</v>
      </c>
      <c r="T33" s="72" t="n">
        <f aca="false">IF(IFERROR(INDEX(tsk_Name,GanttView[[#This Row],[_Row]])="",TRUE()),0,N(INDEX(tsk_Deadline,GanttView[[#This Row],[_Row]])))</f>
        <v>0</v>
      </c>
    </row>
    <row r="34" customFormat="false" ht="15" hidden="false" customHeight="false" outlineLevel="0" collapsed="false">
      <c r="A34" s="65" t="n">
        <f aca="false">IF(IFERROR(INDEX(tsk_Name,GanttView[[#This Row],[_Row]])="",TRUE()),"",INDEX(tsk_ID,GanttView[[#This Row],[_Row]]))</f>
        <v>29</v>
      </c>
      <c r="B34" s="65" t="str">
        <f aca="false">IF(IFERROR(INDEX(tsk_Name,GanttView[[#This Row],[_Row]])="",TRUE()),"",INDEX(tsk_WBS,GanttView[[#This Row],[_Row]]))</f>
        <v>5.2</v>
      </c>
      <c r="C34" s="66" t="str">
        <f aca="false">IF(IFERROR(INDEX(tsk_Name,GanttView[[#This Row],[_Row]])="",TRUE()),"",REPT("    ",INDEX(tsk_Level,GanttView[[#This Row],[_Row]])-1)&amp;INDEX(tsk_Name,GanttView[[#This Row],[_Row]]))</f>
        <v>    Lessons learned</v>
      </c>
      <c r="D34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</v>
      </c>
      <c r="E34" s="67" t="n">
        <f aca="false">IF(IFERROR(INDEX(tsk_Name,GanttView[[#This Row],[_Row]])="",TRUE()),"",INDEX(tsk_PlanStart,GanttView[[#This Row],[_Row]]))</f>
        <v>46392</v>
      </c>
      <c r="F34" s="67" t="n">
        <f aca="false">IF(IFERROR(INDEX(tsk_Name,GanttView[[#This Row],[_Row]])="",TRUE()),"",INDEX(tsk_PlanFinish,GanttView[[#This Row],[_Row]]))</f>
        <v>46393</v>
      </c>
      <c r="G34" s="67" t="n">
        <f aca="false">IF(IFERROR(INDEX(tsk_Name,GanttView[[#This Row],[_Row]])="",TRUE()),"",INDEX(tsk_FcStart,GanttView[[#This Row],[_Row]]))</f>
        <v>46392</v>
      </c>
      <c r="H34" s="67" t="n">
        <f aca="false">IF(IFERROR(INDEX(tsk_Name,GanttView[[#This Row],[_Row]])="",TRUE()),"",INDEX(tsk_FcFinish,GanttView[[#This Row],[_Row]]))</f>
        <v>46393</v>
      </c>
      <c r="I34" s="68" t="n">
        <f aca="false">IF(IFERROR(INDEX(tsk_Name,GanttView[[#This Row],[_Row]])="",TRUE()),"",INDEX(tsk_Progress,GanttView[[#This Row],[_Row]]))</f>
        <v>0</v>
      </c>
      <c r="J34" s="66" t="str">
        <f aca="false">IF(IFERROR(INDEX(tsk_Name,GanttView[[#This Row],[_Row]])="",TRUE()),"",INDEX(tsk_Resource,GanttView[[#This Row],[_Row]])&amp;"")</f>
        <v>Priya Sharma</v>
      </c>
      <c r="K34" s="69" t="str">
        <f aca="false">IF(IFERROR(INDEX(tsk_Name,GanttView[[#This Row],[_Row]])="",TRUE()),"",INDEX(tsk_Status,GanttView[[#This Row],[_Row]]))</f>
        <v>Not Started</v>
      </c>
      <c r="L34" s="70" t="n">
        <f aca="false">ROW()-ROW(GanttView[[#Headers],[ID]])</f>
        <v>29</v>
      </c>
      <c r="M34" s="71" t="b">
        <f aca="false">IF(IFERROR(INDEX(tsk_Name,GanttView[[#This Row],[_Row]])="",TRUE()),FALSE(),INDEX(tsk_IsSummary,GanttView[[#This Row],[_Row]]))</f>
        <v>0</v>
      </c>
      <c r="N34" s="71" t="b">
        <f aca="false">IF(IFERROR(INDEX(tsk_Name,GanttView[[#This Row],[_Row]])="",TRUE()),FALSE(),AND(INDEX(tsk_IsLeaf,GanttView[[#This Row],[_Row]])=1,N(INDEX(tsk_Duration,GanttView[[#This Row],[_Row]]))=0))</f>
        <v>0</v>
      </c>
      <c r="O3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46392</v>
      </c>
      <c r="R34" s="72" t="n">
        <f aca="false">IF(GanttView[[#This Row],[_RemFrom]]=0,0,GanttView[[#This Row],[Forecast Finish]])</f>
        <v>46393</v>
      </c>
      <c r="S34" s="71" t="b">
        <f aca="false">IF(IFERROR(INDEX(tsk_Name,GanttView[[#This Row],[_Row]])="",TRUE()),FALSE(),N(INDEX(tsk_Variance,GanttView[[#This Row],[_Row]]))&gt;0)</f>
        <v>0</v>
      </c>
      <c r="T34" s="72" t="n">
        <f aca="false">IF(IFERROR(INDEX(tsk_Name,GanttView[[#This Row],[_Row]])="",TRUE()),0,N(INDEX(tsk_Deadline,GanttView[[#This Row],[_Row]])))</f>
        <v>0</v>
      </c>
    </row>
    <row r="35" customFormat="false" ht="15" hidden="false" customHeight="false" outlineLevel="0" collapsed="false">
      <c r="A35" s="65" t="n">
        <f aca="false">IF(IFERROR(INDEX(tsk_Name,GanttView[[#This Row],[_Row]])="",TRUE()),"",INDEX(tsk_ID,GanttView[[#This Row],[_Row]]))</f>
        <v>30</v>
      </c>
      <c r="B35" s="65" t="str">
        <f aca="false">IF(IFERROR(INDEX(tsk_Name,GanttView[[#This Row],[_Row]])="",TRUE()),"",INDEX(tsk_WBS,GanttView[[#This Row],[_Row]]))</f>
        <v>5.3</v>
      </c>
      <c r="C35" s="66" t="str">
        <f aca="false">IF(IFERROR(INDEX(tsk_Name,GanttView[[#This Row],[_Row]])="",TRUE()),"",REPT("    ",INDEX(tsk_Level,GanttView[[#This Row],[_Row]])-1)&amp;INDEX(tsk_Name,GanttView[[#This Row],[_Row]]))</f>
        <v>    Project closed</v>
      </c>
      <c r="D35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35" s="67" t="n">
        <f aca="false">IF(IFERROR(INDEX(tsk_Name,GanttView[[#This Row],[_Row]])="",TRUE()),"",INDEX(tsk_PlanStart,GanttView[[#This Row],[_Row]]))</f>
        <v>46393</v>
      </c>
      <c r="F35" s="67" t="n">
        <f aca="false">IF(IFERROR(INDEX(tsk_Name,GanttView[[#This Row],[_Row]])="",TRUE()),"",INDEX(tsk_PlanFinish,GanttView[[#This Row],[_Row]]))</f>
        <v>46393</v>
      </c>
      <c r="G35" s="67" t="n">
        <f aca="false">IF(IFERROR(INDEX(tsk_Name,GanttView[[#This Row],[_Row]])="",TRUE()),"",INDEX(tsk_FcStart,GanttView[[#This Row],[_Row]]))</f>
        <v>46393</v>
      </c>
      <c r="H35" s="67" t="n">
        <f aca="false">IF(IFERROR(INDEX(tsk_Name,GanttView[[#This Row],[_Row]])="",TRUE()),"",INDEX(tsk_FcFinish,GanttView[[#This Row],[_Row]]))</f>
        <v>46393</v>
      </c>
      <c r="I35" s="68" t="n">
        <f aca="false">IF(IFERROR(INDEX(tsk_Name,GanttView[[#This Row],[_Row]])="",TRUE()),"",INDEX(tsk_Progress,GanttView[[#This Row],[_Row]]))</f>
        <v>0</v>
      </c>
      <c r="J35" s="66" t="str">
        <f aca="false">IF(IFERROR(INDEX(tsk_Name,GanttView[[#This Row],[_Row]])="",TRUE()),"",INDEX(tsk_Resource,GanttView[[#This Row],[_Row]])&amp;"")</f>
        <v/>
      </c>
      <c r="K35" s="69" t="str">
        <f aca="false">IF(IFERROR(INDEX(tsk_Name,GanttView[[#This Row],[_Row]])="",TRUE()),"",INDEX(tsk_Status,GanttView[[#This Row],[_Row]]))</f>
        <v>Not Started</v>
      </c>
      <c r="L35" s="70" t="n">
        <f aca="false">ROW()-ROW(GanttView[[#Headers],[ID]])</f>
        <v>30</v>
      </c>
      <c r="M35" s="71" t="b">
        <f aca="false">IF(IFERROR(INDEX(tsk_Name,GanttView[[#This Row],[_Row]])="",TRUE()),FALSE(),INDEX(tsk_IsSummary,GanttView[[#This Row],[_Row]]))</f>
        <v>0</v>
      </c>
      <c r="N35" s="71" t="b">
        <f aca="false">IF(IFERROR(INDEX(tsk_Name,GanttView[[#This Row],[_Row]])="",TRUE()),FALSE(),AND(INDEX(tsk_IsLeaf,GanttView[[#This Row],[_Row]])=1,N(INDEX(tsk_Duration,GanttView[[#This Row],[_Row]]))=0))</f>
        <v>1</v>
      </c>
      <c r="O3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5" s="72" t="n">
        <f aca="false">IF(GanttView[[#This Row],[_RemFrom]]=0,0,GanttView[[#This Row],[Forecast Finish]])</f>
        <v>0</v>
      </c>
      <c r="S35" s="71" t="b">
        <f aca="false">IF(IFERROR(INDEX(tsk_Name,GanttView[[#This Row],[_Row]])="",TRUE()),FALSE(),N(INDEX(tsk_Variance,GanttView[[#This Row],[_Row]]))&gt;0)</f>
        <v>0</v>
      </c>
      <c r="T35" s="72" t="n">
        <f aca="false">IF(IFERROR(INDEX(tsk_Name,GanttView[[#This Row],[_Row]])="",TRUE()),0,N(INDEX(tsk_Deadline,GanttView[[#This Row],[_Row]])))</f>
        <v>0</v>
      </c>
    </row>
    <row r="36" customFormat="false" ht="15" hidden="false" customHeight="false" outlineLevel="0" collapsed="false">
      <c r="A36" s="65" t="str">
        <f aca="false">IF(IFERROR(INDEX(tsk_Name,GanttView[[#This Row],[_Row]])="",TRUE()),"",INDEX(tsk_ID,GanttView[[#This Row],[_Row]]))</f>
        <v/>
      </c>
      <c r="B36" s="65" t="str">
        <f aca="false">IF(IFERROR(INDEX(tsk_Name,GanttView[[#This Row],[_Row]])="",TRUE()),"",INDEX(tsk_WBS,GanttView[[#This Row],[_Row]]))</f>
        <v/>
      </c>
      <c r="C36" s="66" t="str">
        <f aca="false">IF(IFERROR(INDEX(tsk_Name,GanttView[[#This Row],[_Row]])="",TRUE()),"",REPT("    ",INDEX(tsk_Level,GanttView[[#This Row],[_Row]])-1)&amp;INDEX(tsk_Name,GanttView[[#This Row],[_Row]]))</f>
        <v/>
      </c>
      <c r="D3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6" s="67" t="str">
        <f aca="false">IF(IFERROR(INDEX(tsk_Name,GanttView[[#This Row],[_Row]])="",TRUE()),"",INDEX(tsk_PlanStart,GanttView[[#This Row],[_Row]]))</f>
        <v/>
      </c>
      <c r="F36" s="67" t="str">
        <f aca="false">IF(IFERROR(INDEX(tsk_Name,GanttView[[#This Row],[_Row]])="",TRUE()),"",INDEX(tsk_PlanFinish,GanttView[[#This Row],[_Row]]))</f>
        <v/>
      </c>
      <c r="G36" s="67" t="str">
        <f aca="false">IF(IFERROR(INDEX(tsk_Name,GanttView[[#This Row],[_Row]])="",TRUE()),"",INDEX(tsk_FcStart,GanttView[[#This Row],[_Row]]))</f>
        <v/>
      </c>
      <c r="H36" s="67" t="str">
        <f aca="false">IF(IFERROR(INDEX(tsk_Name,GanttView[[#This Row],[_Row]])="",TRUE()),"",INDEX(tsk_FcFinish,GanttView[[#This Row],[_Row]]))</f>
        <v/>
      </c>
      <c r="I36" s="68" t="str">
        <f aca="false">IF(IFERROR(INDEX(tsk_Name,GanttView[[#This Row],[_Row]])="",TRUE()),"",INDEX(tsk_Progress,GanttView[[#This Row],[_Row]]))</f>
        <v/>
      </c>
      <c r="J36" s="66" t="str">
        <f aca="false">IF(IFERROR(INDEX(tsk_Name,GanttView[[#This Row],[_Row]])="",TRUE()),"",INDEX(tsk_Resource,GanttView[[#This Row],[_Row]])&amp;"")</f>
        <v/>
      </c>
      <c r="K36" s="69" t="str">
        <f aca="false">IF(IFERROR(INDEX(tsk_Name,GanttView[[#This Row],[_Row]])="",TRUE()),"",INDEX(tsk_Status,GanttView[[#This Row],[_Row]]))</f>
        <v/>
      </c>
      <c r="L36" s="70" t="n">
        <f aca="false">ROW()-ROW(GanttView[[#Headers],[ID]])</f>
        <v>31</v>
      </c>
      <c r="M36" s="71" t="b">
        <f aca="false">IF(IFERROR(INDEX(tsk_Name,GanttView[[#This Row],[_Row]])="",TRUE()),FALSE(),INDEX(tsk_IsSummary,GanttView[[#This Row],[_Row]]))</f>
        <v>0</v>
      </c>
      <c r="N36" s="71" t="b">
        <f aca="false">IF(IFERROR(INDEX(tsk_Name,GanttView[[#This Row],[_Row]])="",TRUE()),FALSE(),AND(INDEX(tsk_IsLeaf,GanttView[[#This Row],[_Row]])=1,N(INDEX(tsk_Duration,GanttView[[#This Row],[_Row]]))=0))</f>
        <v>0</v>
      </c>
      <c r="O3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6" s="72" t="n">
        <f aca="false">IF(GanttView[[#This Row],[_RemFrom]]=0,0,GanttView[[#This Row],[Forecast Finish]])</f>
        <v>0</v>
      </c>
      <c r="S36" s="71" t="b">
        <f aca="false">IF(IFERROR(INDEX(tsk_Name,GanttView[[#This Row],[_Row]])="",TRUE()),FALSE(),N(INDEX(tsk_Variance,GanttView[[#This Row],[_Row]]))&gt;0)</f>
        <v>0</v>
      </c>
      <c r="T36" s="72" t="n">
        <f aca="false">IF(IFERROR(INDEX(tsk_Name,GanttView[[#This Row],[_Row]])="",TRUE()),0,N(INDEX(tsk_Deadline,GanttView[[#This Row],[_Row]])))</f>
        <v>0</v>
      </c>
    </row>
    <row r="37" customFormat="false" ht="15" hidden="false" customHeight="false" outlineLevel="0" collapsed="false">
      <c r="A37" s="65" t="str">
        <f aca="false">IF(IFERROR(INDEX(tsk_Name,GanttView[[#This Row],[_Row]])="",TRUE()),"",INDEX(tsk_ID,GanttView[[#This Row],[_Row]]))</f>
        <v/>
      </c>
      <c r="B37" s="65" t="str">
        <f aca="false">IF(IFERROR(INDEX(tsk_Name,GanttView[[#This Row],[_Row]])="",TRUE()),"",INDEX(tsk_WBS,GanttView[[#This Row],[_Row]]))</f>
        <v/>
      </c>
      <c r="C37" s="66" t="str">
        <f aca="false">IF(IFERROR(INDEX(tsk_Name,GanttView[[#This Row],[_Row]])="",TRUE()),"",REPT("    ",INDEX(tsk_Level,GanttView[[#This Row],[_Row]])-1)&amp;INDEX(tsk_Name,GanttView[[#This Row],[_Row]]))</f>
        <v/>
      </c>
      <c r="D3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7" s="67" t="str">
        <f aca="false">IF(IFERROR(INDEX(tsk_Name,GanttView[[#This Row],[_Row]])="",TRUE()),"",INDEX(tsk_PlanStart,GanttView[[#This Row],[_Row]]))</f>
        <v/>
      </c>
      <c r="F37" s="67" t="str">
        <f aca="false">IF(IFERROR(INDEX(tsk_Name,GanttView[[#This Row],[_Row]])="",TRUE()),"",INDEX(tsk_PlanFinish,GanttView[[#This Row],[_Row]]))</f>
        <v/>
      </c>
      <c r="G37" s="67" t="str">
        <f aca="false">IF(IFERROR(INDEX(tsk_Name,GanttView[[#This Row],[_Row]])="",TRUE()),"",INDEX(tsk_FcStart,GanttView[[#This Row],[_Row]]))</f>
        <v/>
      </c>
      <c r="H37" s="67" t="str">
        <f aca="false">IF(IFERROR(INDEX(tsk_Name,GanttView[[#This Row],[_Row]])="",TRUE()),"",INDEX(tsk_FcFinish,GanttView[[#This Row],[_Row]]))</f>
        <v/>
      </c>
      <c r="I37" s="68" t="str">
        <f aca="false">IF(IFERROR(INDEX(tsk_Name,GanttView[[#This Row],[_Row]])="",TRUE()),"",INDEX(tsk_Progress,GanttView[[#This Row],[_Row]]))</f>
        <v/>
      </c>
      <c r="J37" s="66" t="str">
        <f aca="false">IF(IFERROR(INDEX(tsk_Name,GanttView[[#This Row],[_Row]])="",TRUE()),"",INDEX(tsk_Resource,GanttView[[#This Row],[_Row]])&amp;"")</f>
        <v/>
      </c>
      <c r="K37" s="69" t="str">
        <f aca="false">IF(IFERROR(INDEX(tsk_Name,GanttView[[#This Row],[_Row]])="",TRUE()),"",INDEX(tsk_Status,GanttView[[#This Row],[_Row]]))</f>
        <v/>
      </c>
      <c r="L37" s="70" t="n">
        <f aca="false">ROW()-ROW(GanttView[[#Headers],[ID]])</f>
        <v>32</v>
      </c>
      <c r="M37" s="71" t="b">
        <f aca="false">IF(IFERROR(INDEX(tsk_Name,GanttView[[#This Row],[_Row]])="",TRUE()),FALSE(),INDEX(tsk_IsSummary,GanttView[[#This Row],[_Row]]))</f>
        <v>0</v>
      </c>
      <c r="N37" s="71" t="b">
        <f aca="false">IF(IFERROR(INDEX(tsk_Name,GanttView[[#This Row],[_Row]])="",TRUE()),FALSE(),AND(INDEX(tsk_IsLeaf,GanttView[[#This Row],[_Row]])=1,N(INDEX(tsk_Duration,GanttView[[#This Row],[_Row]]))=0))</f>
        <v>0</v>
      </c>
      <c r="O3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7" s="72" t="n">
        <f aca="false">IF(GanttView[[#This Row],[_RemFrom]]=0,0,GanttView[[#This Row],[Forecast Finish]])</f>
        <v>0</v>
      </c>
      <c r="S37" s="71" t="b">
        <f aca="false">IF(IFERROR(INDEX(tsk_Name,GanttView[[#This Row],[_Row]])="",TRUE()),FALSE(),N(INDEX(tsk_Variance,GanttView[[#This Row],[_Row]]))&gt;0)</f>
        <v>0</v>
      </c>
      <c r="T37" s="72" t="n">
        <f aca="false">IF(IFERROR(INDEX(tsk_Name,GanttView[[#This Row],[_Row]])="",TRUE()),0,N(INDEX(tsk_Deadline,GanttView[[#This Row],[_Row]])))</f>
        <v>0</v>
      </c>
    </row>
    <row r="38" customFormat="false" ht="15" hidden="false" customHeight="false" outlineLevel="0" collapsed="false">
      <c r="A38" s="65" t="str">
        <f aca="false">IF(IFERROR(INDEX(tsk_Name,GanttView[[#This Row],[_Row]])="",TRUE()),"",INDEX(tsk_ID,GanttView[[#This Row],[_Row]]))</f>
        <v/>
      </c>
      <c r="B38" s="65" t="str">
        <f aca="false">IF(IFERROR(INDEX(tsk_Name,GanttView[[#This Row],[_Row]])="",TRUE()),"",INDEX(tsk_WBS,GanttView[[#This Row],[_Row]]))</f>
        <v/>
      </c>
      <c r="C38" s="66" t="str">
        <f aca="false">IF(IFERROR(INDEX(tsk_Name,GanttView[[#This Row],[_Row]])="",TRUE()),"",REPT("    ",INDEX(tsk_Level,GanttView[[#This Row],[_Row]])-1)&amp;INDEX(tsk_Name,GanttView[[#This Row],[_Row]]))</f>
        <v/>
      </c>
      <c r="D3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8" s="67" t="str">
        <f aca="false">IF(IFERROR(INDEX(tsk_Name,GanttView[[#This Row],[_Row]])="",TRUE()),"",INDEX(tsk_PlanStart,GanttView[[#This Row],[_Row]]))</f>
        <v/>
      </c>
      <c r="F38" s="67" t="str">
        <f aca="false">IF(IFERROR(INDEX(tsk_Name,GanttView[[#This Row],[_Row]])="",TRUE()),"",INDEX(tsk_PlanFinish,GanttView[[#This Row],[_Row]]))</f>
        <v/>
      </c>
      <c r="G38" s="67" t="str">
        <f aca="false">IF(IFERROR(INDEX(tsk_Name,GanttView[[#This Row],[_Row]])="",TRUE()),"",INDEX(tsk_FcStart,GanttView[[#This Row],[_Row]]))</f>
        <v/>
      </c>
      <c r="H38" s="67" t="str">
        <f aca="false">IF(IFERROR(INDEX(tsk_Name,GanttView[[#This Row],[_Row]])="",TRUE()),"",INDEX(tsk_FcFinish,GanttView[[#This Row],[_Row]]))</f>
        <v/>
      </c>
      <c r="I38" s="68" t="str">
        <f aca="false">IF(IFERROR(INDEX(tsk_Name,GanttView[[#This Row],[_Row]])="",TRUE()),"",INDEX(tsk_Progress,GanttView[[#This Row],[_Row]]))</f>
        <v/>
      </c>
      <c r="J38" s="66" t="str">
        <f aca="false">IF(IFERROR(INDEX(tsk_Name,GanttView[[#This Row],[_Row]])="",TRUE()),"",INDEX(tsk_Resource,GanttView[[#This Row],[_Row]])&amp;"")</f>
        <v/>
      </c>
      <c r="K38" s="69" t="str">
        <f aca="false">IF(IFERROR(INDEX(tsk_Name,GanttView[[#This Row],[_Row]])="",TRUE()),"",INDEX(tsk_Status,GanttView[[#This Row],[_Row]]))</f>
        <v/>
      </c>
      <c r="L38" s="70" t="n">
        <f aca="false">ROW()-ROW(GanttView[[#Headers],[ID]])</f>
        <v>33</v>
      </c>
      <c r="M38" s="71" t="b">
        <f aca="false">IF(IFERROR(INDEX(tsk_Name,GanttView[[#This Row],[_Row]])="",TRUE()),FALSE(),INDEX(tsk_IsSummary,GanttView[[#This Row],[_Row]]))</f>
        <v>0</v>
      </c>
      <c r="N38" s="71" t="b">
        <f aca="false">IF(IFERROR(INDEX(tsk_Name,GanttView[[#This Row],[_Row]])="",TRUE()),FALSE(),AND(INDEX(tsk_IsLeaf,GanttView[[#This Row],[_Row]])=1,N(INDEX(tsk_Duration,GanttView[[#This Row],[_Row]]))=0))</f>
        <v>0</v>
      </c>
      <c r="O3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8" s="72" t="n">
        <f aca="false">IF(GanttView[[#This Row],[_RemFrom]]=0,0,GanttView[[#This Row],[Forecast Finish]])</f>
        <v>0</v>
      </c>
      <c r="S38" s="71" t="b">
        <f aca="false">IF(IFERROR(INDEX(tsk_Name,GanttView[[#This Row],[_Row]])="",TRUE()),FALSE(),N(INDEX(tsk_Variance,GanttView[[#This Row],[_Row]]))&gt;0)</f>
        <v>0</v>
      </c>
      <c r="T38" s="72" t="n">
        <f aca="false">IF(IFERROR(INDEX(tsk_Name,GanttView[[#This Row],[_Row]])="",TRUE()),0,N(INDEX(tsk_Deadline,GanttView[[#This Row],[_Row]])))</f>
        <v>0</v>
      </c>
    </row>
    <row r="39" customFormat="false" ht="15" hidden="false" customHeight="false" outlineLevel="0" collapsed="false">
      <c r="A39" s="65" t="str">
        <f aca="false">IF(IFERROR(INDEX(tsk_Name,GanttView[[#This Row],[_Row]])="",TRUE()),"",INDEX(tsk_ID,GanttView[[#This Row],[_Row]]))</f>
        <v/>
      </c>
      <c r="B39" s="65" t="str">
        <f aca="false">IF(IFERROR(INDEX(tsk_Name,GanttView[[#This Row],[_Row]])="",TRUE()),"",INDEX(tsk_WBS,GanttView[[#This Row],[_Row]]))</f>
        <v/>
      </c>
      <c r="C39" s="66" t="str">
        <f aca="false">IF(IFERROR(INDEX(tsk_Name,GanttView[[#This Row],[_Row]])="",TRUE()),"",REPT("    ",INDEX(tsk_Level,GanttView[[#This Row],[_Row]])-1)&amp;INDEX(tsk_Name,GanttView[[#This Row],[_Row]]))</f>
        <v/>
      </c>
      <c r="D3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9" s="67" t="str">
        <f aca="false">IF(IFERROR(INDEX(tsk_Name,GanttView[[#This Row],[_Row]])="",TRUE()),"",INDEX(tsk_PlanStart,GanttView[[#This Row],[_Row]]))</f>
        <v/>
      </c>
      <c r="F39" s="67" t="str">
        <f aca="false">IF(IFERROR(INDEX(tsk_Name,GanttView[[#This Row],[_Row]])="",TRUE()),"",INDEX(tsk_PlanFinish,GanttView[[#This Row],[_Row]]))</f>
        <v/>
      </c>
      <c r="G39" s="67" t="str">
        <f aca="false">IF(IFERROR(INDEX(tsk_Name,GanttView[[#This Row],[_Row]])="",TRUE()),"",INDEX(tsk_FcStart,GanttView[[#This Row],[_Row]]))</f>
        <v/>
      </c>
      <c r="H39" s="67" t="str">
        <f aca="false">IF(IFERROR(INDEX(tsk_Name,GanttView[[#This Row],[_Row]])="",TRUE()),"",INDEX(tsk_FcFinish,GanttView[[#This Row],[_Row]]))</f>
        <v/>
      </c>
      <c r="I39" s="68" t="str">
        <f aca="false">IF(IFERROR(INDEX(tsk_Name,GanttView[[#This Row],[_Row]])="",TRUE()),"",INDEX(tsk_Progress,GanttView[[#This Row],[_Row]]))</f>
        <v/>
      </c>
      <c r="J39" s="66" t="str">
        <f aca="false">IF(IFERROR(INDEX(tsk_Name,GanttView[[#This Row],[_Row]])="",TRUE()),"",INDEX(tsk_Resource,GanttView[[#This Row],[_Row]])&amp;"")</f>
        <v/>
      </c>
      <c r="K39" s="69" t="str">
        <f aca="false">IF(IFERROR(INDEX(tsk_Name,GanttView[[#This Row],[_Row]])="",TRUE()),"",INDEX(tsk_Status,GanttView[[#This Row],[_Row]]))</f>
        <v/>
      </c>
      <c r="L39" s="70" t="n">
        <f aca="false">ROW()-ROW(GanttView[[#Headers],[ID]])</f>
        <v>34</v>
      </c>
      <c r="M39" s="71" t="b">
        <f aca="false">IF(IFERROR(INDEX(tsk_Name,GanttView[[#This Row],[_Row]])="",TRUE()),FALSE(),INDEX(tsk_IsSummary,GanttView[[#This Row],[_Row]]))</f>
        <v>0</v>
      </c>
      <c r="N39" s="71" t="b">
        <f aca="false">IF(IFERROR(INDEX(tsk_Name,GanttView[[#This Row],[_Row]])="",TRUE()),FALSE(),AND(INDEX(tsk_IsLeaf,GanttView[[#This Row],[_Row]])=1,N(INDEX(tsk_Duration,GanttView[[#This Row],[_Row]]))=0))</f>
        <v>0</v>
      </c>
      <c r="O3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9" s="72" t="n">
        <f aca="false">IF(GanttView[[#This Row],[_RemFrom]]=0,0,GanttView[[#This Row],[Forecast Finish]])</f>
        <v>0</v>
      </c>
      <c r="S39" s="71" t="b">
        <f aca="false">IF(IFERROR(INDEX(tsk_Name,GanttView[[#This Row],[_Row]])="",TRUE()),FALSE(),N(INDEX(tsk_Variance,GanttView[[#This Row],[_Row]]))&gt;0)</f>
        <v>0</v>
      </c>
      <c r="T39" s="72" t="n">
        <f aca="false">IF(IFERROR(INDEX(tsk_Name,GanttView[[#This Row],[_Row]])="",TRUE()),0,N(INDEX(tsk_Deadline,GanttView[[#This Row],[_Row]])))</f>
        <v>0</v>
      </c>
    </row>
    <row r="40" customFormat="false" ht="15" hidden="false" customHeight="false" outlineLevel="0" collapsed="false">
      <c r="A40" s="65" t="str">
        <f aca="false">IF(IFERROR(INDEX(tsk_Name,GanttView[[#This Row],[_Row]])="",TRUE()),"",INDEX(tsk_ID,GanttView[[#This Row],[_Row]]))</f>
        <v/>
      </c>
      <c r="B40" s="65" t="str">
        <f aca="false">IF(IFERROR(INDEX(tsk_Name,GanttView[[#This Row],[_Row]])="",TRUE()),"",INDEX(tsk_WBS,GanttView[[#This Row],[_Row]]))</f>
        <v/>
      </c>
      <c r="C40" s="66" t="str">
        <f aca="false">IF(IFERROR(INDEX(tsk_Name,GanttView[[#This Row],[_Row]])="",TRUE()),"",REPT("    ",INDEX(tsk_Level,GanttView[[#This Row],[_Row]])-1)&amp;INDEX(tsk_Name,GanttView[[#This Row],[_Row]]))</f>
        <v/>
      </c>
      <c r="D4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0" s="67" t="str">
        <f aca="false">IF(IFERROR(INDEX(tsk_Name,GanttView[[#This Row],[_Row]])="",TRUE()),"",INDEX(tsk_PlanStart,GanttView[[#This Row],[_Row]]))</f>
        <v/>
      </c>
      <c r="F40" s="67" t="str">
        <f aca="false">IF(IFERROR(INDEX(tsk_Name,GanttView[[#This Row],[_Row]])="",TRUE()),"",INDEX(tsk_PlanFinish,GanttView[[#This Row],[_Row]]))</f>
        <v/>
      </c>
      <c r="G40" s="67" t="str">
        <f aca="false">IF(IFERROR(INDEX(tsk_Name,GanttView[[#This Row],[_Row]])="",TRUE()),"",INDEX(tsk_FcStart,GanttView[[#This Row],[_Row]]))</f>
        <v/>
      </c>
      <c r="H40" s="67" t="str">
        <f aca="false">IF(IFERROR(INDEX(tsk_Name,GanttView[[#This Row],[_Row]])="",TRUE()),"",INDEX(tsk_FcFinish,GanttView[[#This Row],[_Row]]))</f>
        <v/>
      </c>
      <c r="I40" s="68" t="str">
        <f aca="false">IF(IFERROR(INDEX(tsk_Name,GanttView[[#This Row],[_Row]])="",TRUE()),"",INDEX(tsk_Progress,GanttView[[#This Row],[_Row]]))</f>
        <v/>
      </c>
      <c r="J40" s="66" t="str">
        <f aca="false">IF(IFERROR(INDEX(tsk_Name,GanttView[[#This Row],[_Row]])="",TRUE()),"",INDEX(tsk_Resource,GanttView[[#This Row],[_Row]])&amp;"")</f>
        <v/>
      </c>
      <c r="K40" s="69" t="str">
        <f aca="false">IF(IFERROR(INDEX(tsk_Name,GanttView[[#This Row],[_Row]])="",TRUE()),"",INDEX(tsk_Status,GanttView[[#This Row],[_Row]]))</f>
        <v/>
      </c>
      <c r="L40" s="70" t="n">
        <f aca="false">ROW()-ROW(GanttView[[#Headers],[ID]])</f>
        <v>35</v>
      </c>
      <c r="M40" s="71" t="b">
        <f aca="false">IF(IFERROR(INDEX(tsk_Name,GanttView[[#This Row],[_Row]])="",TRUE()),FALSE(),INDEX(tsk_IsSummary,GanttView[[#This Row],[_Row]]))</f>
        <v>0</v>
      </c>
      <c r="N40" s="71" t="b">
        <f aca="false">IF(IFERROR(INDEX(tsk_Name,GanttView[[#This Row],[_Row]])="",TRUE()),FALSE(),AND(INDEX(tsk_IsLeaf,GanttView[[#This Row],[_Row]])=1,N(INDEX(tsk_Duration,GanttView[[#This Row],[_Row]]))=0))</f>
        <v>0</v>
      </c>
      <c r="O4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0" s="72" t="n">
        <f aca="false">IF(GanttView[[#This Row],[_RemFrom]]=0,0,GanttView[[#This Row],[Forecast Finish]])</f>
        <v>0</v>
      </c>
      <c r="S40" s="71" t="b">
        <f aca="false">IF(IFERROR(INDEX(tsk_Name,GanttView[[#This Row],[_Row]])="",TRUE()),FALSE(),N(INDEX(tsk_Variance,GanttView[[#This Row],[_Row]]))&gt;0)</f>
        <v>0</v>
      </c>
      <c r="T40" s="72" t="n">
        <f aca="false">IF(IFERROR(INDEX(tsk_Name,GanttView[[#This Row],[_Row]])="",TRUE()),0,N(INDEX(tsk_Deadline,GanttView[[#This Row],[_Row]])))</f>
        <v>0</v>
      </c>
    </row>
    <row r="41" customFormat="false" ht="15" hidden="false" customHeight="false" outlineLevel="0" collapsed="false">
      <c r="A41" s="65" t="str">
        <f aca="false">IF(IFERROR(INDEX(tsk_Name,GanttView[[#This Row],[_Row]])="",TRUE()),"",INDEX(tsk_ID,GanttView[[#This Row],[_Row]]))</f>
        <v/>
      </c>
      <c r="B41" s="65" t="str">
        <f aca="false">IF(IFERROR(INDEX(tsk_Name,GanttView[[#This Row],[_Row]])="",TRUE()),"",INDEX(tsk_WBS,GanttView[[#This Row],[_Row]]))</f>
        <v/>
      </c>
      <c r="C41" s="66" t="str">
        <f aca="false">IF(IFERROR(INDEX(tsk_Name,GanttView[[#This Row],[_Row]])="",TRUE()),"",REPT("    ",INDEX(tsk_Level,GanttView[[#This Row],[_Row]])-1)&amp;INDEX(tsk_Name,GanttView[[#This Row],[_Row]]))</f>
        <v/>
      </c>
      <c r="D4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1" s="67" t="str">
        <f aca="false">IF(IFERROR(INDEX(tsk_Name,GanttView[[#This Row],[_Row]])="",TRUE()),"",INDEX(tsk_PlanStart,GanttView[[#This Row],[_Row]]))</f>
        <v/>
      </c>
      <c r="F41" s="67" t="str">
        <f aca="false">IF(IFERROR(INDEX(tsk_Name,GanttView[[#This Row],[_Row]])="",TRUE()),"",INDEX(tsk_PlanFinish,GanttView[[#This Row],[_Row]]))</f>
        <v/>
      </c>
      <c r="G41" s="67" t="str">
        <f aca="false">IF(IFERROR(INDEX(tsk_Name,GanttView[[#This Row],[_Row]])="",TRUE()),"",INDEX(tsk_FcStart,GanttView[[#This Row],[_Row]]))</f>
        <v/>
      </c>
      <c r="H41" s="67" t="str">
        <f aca="false">IF(IFERROR(INDEX(tsk_Name,GanttView[[#This Row],[_Row]])="",TRUE()),"",INDEX(tsk_FcFinish,GanttView[[#This Row],[_Row]]))</f>
        <v/>
      </c>
      <c r="I41" s="68" t="str">
        <f aca="false">IF(IFERROR(INDEX(tsk_Name,GanttView[[#This Row],[_Row]])="",TRUE()),"",INDEX(tsk_Progress,GanttView[[#This Row],[_Row]]))</f>
        <v/>
      </c>
      <c r="J41" s="66" t="str">
        <f aca="false">IF(IFERROR(INDEX(tsk_Name,GanttView[[#This Row],[_Row]])="",TRUE()),"",INDEX(tsk_Resource,GanttView[[#This Row],[_Row]])&amp;"")</f>
        <v/>
      </c>
      <c r="K41" s="69" t="str">
        <f aca="false">IF(IFERROR(INDEX(tsk_Name,GanttView[[#This Row],[_Row]])="",TRUE()),"",INDEX(tsk_Status,GanttView[[#This Row],[_Row]]))</f>
        <v/>
      </c>
      <c r="L41" s="70" t="n">
        <f aca="false">ROW()-ROW(GanttView[[#Headers],[ID]])</f>
        <v>36</v>
      </c>
      <c r="M41" s="71" t="b">
        <f aca="false">IF(IFERROR(INDEX(tsk_Name,GanttView[[#This Row],[_Row]])="",TRUE()),FALSE(),INDEX(tsk_IsSummary,GanttView[[#This Row],[_Row]]))</f>
        <v>0</v>
      </c>
      <c r="N41" s="71" t="b">
        <f aca="false">IF(IFERROR(INDEX(tsk_Name,GanttView[[#This Row],[_Row]])="",TRUE()),FALSE(),AND(INDEX(tsk_IsLeaf,GanttView[[#This Row],[_Row]])=1,N(INDEX(tsk_Duration,GanttView[[#This Row],[_Row]]))=0))</f>
        <v>0</v>
      </c>
      <c r="O4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1" s="72" t="n">
        <f aca="false">IF(GanttView[[#This Row],[_RemFrom]]=0,0,GanttView[[#This Row],[Forecast Finish]])</f>
        <v>0</v>
      </c>
      <c r="S41" s="71" t="b">
        <f aca="false">IF(IFERROR(INDEX(tsk_Name,GanttView[[#This Row],[_Row]])="",TRUE()),FALSE(),N(INDEX(tsk_Variance,GanttView[[#This Row],[_Row]]))&gt;0)</f>
        <v>0</v>
      </c>
      <c r="T41" s="72" t="n">
        <f aca="false">IF(IFERROR(INDEX(tsk_Name,GanttView[[#This Row],[_Row]])="",TRUE()),0,N(INDEX(tsk_Deadline,GanttView[[#This Row],[_Row]])))</f>
        <v>0</v>
      </c>
    </row>
    <row r="42" customFormat="false" ht="15" hidden="false" customHeight="false" outlineLevel="0" collapsed="false">
      <c r="A42" s="65" t="str">
        <f aca="false">IF(IFERROR(INDEX(tsk_Name,GanttView[[#This Row],[_Row]])="",TRUE()),"",INDEX(tsk_ID,GanttView[[#This Row],[_Row]]))</f>
        <v/>
      </c>
      <c r="B42" s="65" t="str">
        <f aca="false">IF(IFERROR(INDEX(tsk_Name,GanttView[[#This Row],[_Row]])="",TRUE()),"",INDEX(tsk_WBS,GanttView[[#This Row],[_Row]]))</f>
        <v/>
      </c>
      <c r="C42" s="66" t="str">
        <f aca="false">IF(IFERROR(INDEX(tsk_Name,GanttView[[#This Row],[_Row]])="",TRUE()),"",REPT("    ",INDEX(tsk_Level,GanttView[[#This Row],[_Row]])-1)&amp;INDEX(tsk_Name,GanttView[[#This Row],[_Row]]))</f>
        <v/>
      </c>
      <c r="D4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2" s="67" t="str">
        <f aca="false">IF(IFERROR(INDEX(tsk_Name,GanttView[[#This Row],[_Row]])="",TRUE()),"",INDEX(tsk_PlanStart,GanttView[[#This Row],[_Row]]))</f>
        <v/>
      </c>
      <c r="F42" s="67" t="str">
        <f aca="false">IF(IFERROR(INDEX(tsk_Name,GanttView[[#This Row],[_Row]])="",TRUE()),"",INDEX(tsk_PlanFinish,GanttView[[#This Row],[_Row]]))</f>
        <v/>
      </c>
      <c r="G42" s="67" t="str">
        <f aca="false">IF(IFERROR(INDEX(tsk_Name,GanttView[[#This Row],[_Row]])="",TRUE()),"",INDEX(tsk_FcStart,GanttView[[#This Row],[_Row]]))</f>
        <v/>
      </c>
      <c r="H42" s="67" t="str">
        <f aca="false">IF(IFERROR(INDEX(tsk_Name,GanttView[[#This Row],[_Row]])="",TRUE()),"",INDEX(tsk_FcFinish,GanttView[[#This Row],[_Row]]))</f>
        <v/>
      </c>
      <c r="I42" s="68" t="str">
        <f aca="false">IF(IFERROR(INDEX(tsk_Name,GanttView[[#This Row],[_Row]])="",TRUE()),"",INDEX(tsk_Progress,GanttView[[#This Row],[_Row]]))</f>
        <v/>
      </c>
      <c r="J42" s="66" t="str">
        <f aca="false">IF(IFERROR(INDEX(tsk_Name,GanttView[[#This Row],[_Row]])="",TRUE()),"",INDEX(tsk_Resource,GanttView[[#This Row],[_Row]])&amp;"")</f>
        <v/>
      </c>
      <c r="K42" s="69" t="str">
        <f aca="false">IF(IFERROR(INDEX(tsk_Name,GanttView[[#This Row],[_Row]])="",TRUE()),"",INDEX(tsk_Status,GanttView[[#This Row],[_Row]]))</f>
        <v/>
      </c>
      <c r="L42" s="70" t="n">
        <f aca="false">ROW()-ROW(GanttView[[#Headers],[ID]])</f>
        <v>37</v>
      </c>
      <c r="M42" s="71" t="b">
        <f aca="false">IF(IFERROR(INDEX(tsk_Name,GanttView[[#This Row],[_Row]])="",TRUE()),FALSE(),INDEX(tsk_IsSummary,GanttView[[#This Row],[_Row]]))</f>
        <v>0</v>
      </c>
      <c r="N42" s="71" t="b">
        <f aca="false">IF(IFERROR(INDEX(tsk_Name,GanttView[[#This Row],[_Row]])="",TRUE()),FALSE(),AND(INDEX(tsk_IsLeaf,GanttView[[#This Row],[_Row]])=1,N(INDEX(tsk_Duration,GanttView[[#This Row],[_Row]]))=0))</f>
        <v>0</v>
      </c>
      <c r="O4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2" s="72" t="n">
        <f aca="false">IF(GanttView[[#This Row],[_RemFrom]]=0,0,GanttView[[#This Row],[Forecast Finish]])</f>
        <v>0</v>
      </c>
      <c r="S42" s="71" t="b">
        <f aca="false">IF(IFERROR(INDEX(tsk_Name,GanttView[[#This Row],[_Row]])="",TRUE()),FALSE(),N(INDEX(tsk_Variance,GanttView[[#This Row],[_Row]]))&gt;0)</f>
        <v>0</v>
      </c>
      <c r="T42" s="72" t="n">
        <f aca="false">IF(IFERROR(INDEX(tsk_Name,GanttView[[#This Row],[_Row]])="",TRUE()),0,N(INDEX(tsk_Deadline,GanttView[[#This Row],[_Row]])))</f>
        <v>0</v>
      </c>
    </row>
    <row r="43" customFormat="false" ht="15" hidden="false" customHeight="false" outlineLevel="0" collapsed="false">
      <c r="A43" s="65" t="str">
        <f aca="false">IF(IFERROR(INDEX(tsk_Name,GanttView[[#This Row],[_Row]])="",TRUE()),"",INDEX(tsk_ID,GanttView[[#This Row],[_Row]]))</f>
        <v/>
      </c>
      <c r="B43" s="65" t="str">
        <f aca="false">IF(IFERROR(INDEX(tsk_Name,GanttView[[#This Row],[_Row]])="",TRUE()),"",INDEX(tsk_WBS,GanttView[[#This Row],[_Row]]))</f>
        <v/>
      </c>
      <c r="C43" s="66" t="str">
        <f aca="false">IF(IFERROR(INDEX(tsk_Name,GanttView[[#This Row],[_Row]])="",TRUE()),"",REPT("    ",INDEX(tsk_Level,GanttView[[#This Row],[_Row]])-1)&amp;INDEX(tsk_Name,GanttView[[#This Row],[_Row]]))</f>
        <v/>
      </c>
      <c r="D4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3" s="67" t="str">
        <f aca="false">IF(IFERROR(INDEX(tsk_Name,GanttView[[#This Row],[_Row]])="",TRUE()),"",INDEX(tsk_PlanStart,GanttView[[#This Row],[_Row]]))</f>
        <v/>
      </c>
      <c r="F43" s="67" t="str">
        <f aca="false">IF(IFERROR(INDEX(tsk_Name,GanttView[[#This Row],[_Row]])="",TRUE()),"",INDEX(tsk_PlanFinish,GanttView[[#This Row],[_Row]]))</f>
        <v/>
      </c>
      <c r="G43" s="67" t="str">
        <f aca="false">IF(IFERROR(INDEX(tsk_Name,GanttView[[#This Row],[_Row]])="",TRUE()),"",INDEX(tsk_FcStart,GanttView[[#This Row],[_Row]]))</f>
        <v/>
      </c>
      <c r="H43" s="67" t="str">
        <f aca="false">IF(IFERROR(INDEX(tsk_Name,GanttView[[#This Row],[_Row]])="",TRUE()),"",INDEX(tsk_FcFinish,GanttView[[#This Row],[_Row]]))</f>
        <v/>
      </c>
      <c r="I43" s="68" t="str">
        <f aca="false">IF(IFERROR(INDEX(tsk_Name,GanttView[[#This Row],[_Row]])="",TRUE()),"",INDEX(tsk_Progress,GanttView[[#This Row],[_Row]]))</f>
        <v/>
      </c>
      <c r="J43" s="66" t="str">
        <f aca="false">IF(IFERROR(INDEX(tsk_Name,GanttView[[#This Row],[_Row]])="",TRUE()),"",INDEX(tsk_Resource,GanttView[[#This Row],[_Row]])&amp;"")</f>
        <v/>
      </c>
      <c r="K43" s="69" t="str">
        <f aca="false">IF(IFERROR(INDEX(tsk_Name,GanttView[[#This Row],[_Row]])="",TRUE()),"",INDEX(tsk_Status,GanttView[[#This Row],[_Row]]))</f>
        <v/>
      </c>
      <c r="L43" s="70" t="n">
        <f aca="false">ROW()-ROW(GanttView[[#Headers],[ID]])</f>
        <v>38</v>
      </c>
      <c r="M43" s="71" t="b">
        <f aca="false">IF(IFERROR(INDEX(tsk_Name,GanttView[[#This Row],[_Row]])="",TRUE()),FALSE(),INDEX(tsk_IsSummary,GanttView[[#This Row],[_Row]]))</f>
        <v>0</v>
      </c>
      <c r="N43" s="71" t="b">
        <f aca="false">IF(IFERROR(INDEX(tsk_Name,GanttView[[#This Row],[_Row]])="",TRUE()),FALSE(),AND(INDEX(tsk_IsLeaf,GanttView[[#This Row],[_Row]])=1,N(INDEX(tsk_Duration,GanttView[[#This Row],[_Row]]))=0))</f>
        <v>0</v>
      </c>
      <c r="O4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3" s="72" t="n">
        <f aca="false">IF(GanttView[[#This Row],[_RemFrom]]=0,0,GanttView[[#This Row],[Forecast Finish]])</f>
        <v>0</v>
      </c>
      <c r="S43" s="71" t="b">
        <f aca="false">IF(IFERROR(INDEX(tsk_Name,GanttView[[#This Row],[_Row]])="",TRUE()),FALSE(),N(INDEX(tsk_Variance,GanttView[[#This Row],[_Row]]))&gt;0)</f>
        <v>0</v>
      </c>
      <c r="T43" s="72" t="n">
        <f aca="false">IF(IFERROR(INDEX(tsk_Name,GanttView[[#This Row],[_Row]])="",TRUE()),0,N(INDEX(tsk_Deadline,GanttView[[#This Row],[_Row]])))</f>
        <v>0</v>
      </c>
    </row>
    <row r="44" customFormat="false" ht="15" hidden="false" customHeight="false" outlineLevel="0" collapsed="false">
      <c r="A44" s="65" t="str">
        <f aca="false">IF(IFERROR(INDEX(tsk_Name,GanttView[[#This Row],[_Row]])="",TRUE()),"",INDEX(tsk_ID,GanttView[[#This Row],[_Row]]))</f>
        <v/>
      </c>
      <c r="B44" s="65" t="str">
        <f aca="false">IF(IFERROR(INDEX(tsk_Name,GanttView[[#This Row],[_Row]])="",TRUE()),"",INDEX(tsk_WBS,GanttView[[#This Row],[_Row]]))</f>
        <v/>
      </c>
      <c r="C44" s="66" t="str">
        <f aca="false">IF(IFERROR(INDEX(tsk_Name,GanttView[[#This Row],[_Row]])="",TRUE()),"",REPT("    ",INDEX(tsk_Level,GanttView[[#This Row],[_Row]])-1)&amp;INDEX(tsk_Name,GanttView[[#This Row],[_Row]]))</f>
        <v/>
      </c>
      <c r="D4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4" s="67" t="str">
        <f aca="false">IF(IFERROR(INDEX(tsk_Name,GanttView[[#This Row],[_Row]])="",TRUE()),"",INDEX(tsk_PlanStart,GanttView[[#This Row],[_Row]]))</f>
        <v/>
      </c>
      <c r="F44" s="67" t="str">
        <f aca="false">IF(IFERROR(INDEX(tsk_Name,GanttView[[#This Row],[_Row]])="",TRUE()),"",INDEX(tsk_PlanFinish,GanttView[[#This Row],[_Row]]))</f>
        <v/>
      </c>
      <c r="G44" s="67" t="str">
        <f aca="false">IF(IFERROR(INDEX(tsk_Name,GanttView[[#This Row],[_Row]])="",TRUE()),"",INDEX(tsk_FcStart,GanttView[[#This Row],[_Row]]))</f>
        <v/>
      </c>
      <c r="H44" s="67" t="str">
        <f aca="false">IF(IFERROR(INDEX(tsk_Name,GanttView[[#This Row],[_Row]])="",TRUE()),"",INDEX(tsk_FcFinish,GanttView[[#This Row],[_Row]]))</f>
        <v/>
      </c>
      <c r="I44" s="68" t="str">
        <f aca="false">IF(IFERROR(INDEX(tsk_Name,GanttView[[#This Row],[_Row]])="",TRUE()),"",INDEX(tsk_Progress,GanttView[[#This Row],[_Row]]))</f>
        <v/>
      </c>
      <c r="J44" s="66" t="str">
        <f aca="false">IF(IFERROR(INDEX(tsk_Name,GanttView[[#This Row],[_Row]])="",TRUE()),"",INDEX(tsk_Resource,GanttView[[#This Row],[_Row]])&amp;"")</f>
        <v/>
      </c>
      <c r="K44" s="69" t="str">
        <f aca="false">IF(IFERROR(INDEX(tsk_Name,GanttView[[#This Row],[_Row]])="",TRUE()),"",INDEX(tsk_Status,GanttView[[#This Row],[_Row]]))</f>
        <v/>
      </c>
      <c r="L44" s="70" t="n">
        <f aca="false">ROW()-ROW(GanttView[[#Headers],[ID]])</f>
        <v>39</v>
      </c>
      <c r="M44" s="71" t="b">
        <f aca="false">IF(IFERROR(INDEX(tsk_Name,GanttView[[#This Row],[_Row]])="",TRUE()),FALSE(),INDEX(tsk_IsSummary,GanttView[[#This Row],[_Row]]))</f>
        <v>0</v>
      </c>
      <c r="N44" s="71" t="b">
        <f aca="false">IF(IFERROR(INDEX(tsk_Name,GanttView[[#This Row],[_Row]])="",TRUE()),FALSE(),AND(INDEX(tsk_IsLeaf,GanttView[[#This Row],[_Row]])=1,N(INDEX(tsk_Duration,GanttView[[#This Row],[_Row]]))=0))</f>
        <v>0</v>
      </c>
      <c r="O4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4" s="72" t="n">
        <f aca="false">IF(GanttView[[#This Row],[_RemFrom]]=0,0,GanttView[[#This Row],[Forecast Finish]])</f>
        <v>0</v>
      </c>
      <c r="S44" s="71" t="b">
        <f aca="false">IF(IFERROR(INDEX(tsk_Name,GanttView[[#This Row],[_Row]])="",TRUE()),FALSE(),N(INDEX(tsk_Variance,GanttView[[#This Row],[_Row]]))&gt;0)</f>
        <v>0</v>
      </c>
      <c r="T44" s="72" t="n">
        <f aca="false">IF(IFERROR(INDEX(tsk_Name,GanttView[[#This Row],[_Row]])="",TRUE()),0,N(INDEX(tsk_Deadline,GanttView[[#This Row],[_Row]])))</f>
        <v>0</v>
      </c>
    </row>
    <row r="45" customFormat="false" ht="15" hidden="false" customHeight="false" outlineLevel="0" collapsed="false">
      <c r="A45" s="65" t="str">
        <f aca="false">IF(IFERROR(INDEX(tsk_Name,GanttView[[#This Row],[_Row]])="",TRUE()),"",INDEX(tsk_ID,GanttView[[#This Row],[_Row]]))</f>
        <v/>
      </c>
      <c r="B45" s="65" t="str">
        <f aca="false">IF(IFERROR(INDEX(tsk_Name,GanttView[[#This Row],[_Row]])="",TRUE()),"",INDEX(tsk_WBS,GanttView[[#This Row],[_Row]]))</f>
        <v/>
      </c>
      <c r="C45" s="66" t="str">
        <f aca="false">IF(IFERROR(INDEX(tsk_Name,GanttView[[#This Row],[_Row]])="",TRUE()),"",REPT("    ",INDEX(tsk_Level,GanttView[[#This Row],[_Row]])-1)&amp;INDEX(tsk_Name,GanttView[[#This Row],[_Row]]))</f>
        <v/>
      </c>
      <c r="D4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5" s="67" t="str">
        <f aca="false">IF(IFERROR(INDEX(tsk_Name,GanttView[[#This Row],[_Row]])="",TRUE()),"",INDEX(tsk_PlanStart,GanttView[[#This Row],[_Row]]))</f>
        <v/>
      </c>
      <c r="F45" s="67" t="str">
        <f aca="false">IF(IFERROR(INDEX(tsk_Name,GanttView[[#This Row],[_Row]])="",TRUE()),"",INDEX(tsk_PlanFinish,GanttView[[#This Row],[_Row]]))</f>
        <v/>
      </c>
      <c r="G45" s="67" t="str">
        <f aca="false">IF(IFERROR(INDEX(tsk_Name,GanttView[[#This Row],[_Row]])="",TRUE()),"",INDEX(tsk_FcStart,GanttView[[#This Row],[_Row]]))</f>
        <v/>
      </c>
      <c r="H45" s="67" t="str">
        <f aca="false">IF(IFERROR(INDEX(tsk_Name,GanttView[[#This Row],[_Row]])="",TRUE()),"",INDEX(tsk_FcFinish,GanttView[[#This Row],[_Row]]))</f>
        <v/>
      </c>
      <c r="I45" s="68" t="str">
        <f aca="false">IF(IFERROR(INDEX(tsk_Name,GanttView[[#This Row],[_Row]])="",TRUE()),"",INDEX(tsk_Progress,GanttView[[#This Row],[_Row]]))</f>
        <v/>
      </c>
      <c r="J45" s="66" t="str">
        <f aca="false">IF(IFERROR(INDEX(tsk_Name,GanttView[[#This Row],[_Row]])="",TRUE()),"",INDEX(tsk_Resource,GanttView[[#This Row],[_Row]])&amp;"")</f>
        <v/>
      </c>
      <c r="K45" s="69" t="str">
        <f aca="false">IF(IFERROR(INDEX(tsk_Name,GanttView[[#This Row],[_Row]])="",TRUE()),"",INDEX(tsk_Status,GanttView[[#This Row],[_Row]]))</f>
        <v/>
      </c>
      <c r="L45" s="70" t="n">
        <f aca="false">ROW()-ROW(GanttView[[#Headers],[ID]])</f>
        <v>40</v>
      </c>
      <c r="M45" s="71" t="b">
        <f aca="false">IF(IFERROR(INDEX(tsk_Name,GanttView[[#This Row],[_Row]])="",TRUE()),FALSE(),INDEX(tsk_IsSummary,GanttView[[#This Row],[_Row]]))</f>
        <v>0</v>
      </c>
      <c r="N45" s="71" t="b">
        <f aca="false">IF(IFERROR(INDEX(tsk_Name,GanttView[[#This Row],[_Row]])="",TRUE()),FALSE(),AND(INDEX(tsk_IsLeaf,GanttView[[#This Row],[_Row]])=1,N(INDEX(tsk_Duration,GanttView[[#This Row],[_Row]]))=0))</f>
        <v>0</v>
      </c>
      <c r="O4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5" s="72" t="n">
        <f aca="false">IF(GanttView[[#This Row],[_RemFrom]]=0,0,GanttView[[#This Row],[Forecast Finish]])</f>
        <v>0</v>
      </c>
      <c r="S45" s="71" t="b">
        <f aca="false">IF(IFERROR(INDEX(tsk_Name,GanttView[[#This Row],[_Row]])="",TRUE()),FALSE(),N(INDEX(tsk_Variance,GanttView[[#This Row],[_Row]]))&gt;0)</f>
        <v>0</v>
      </c>
      <c r="T45" s="72" t="n">
        <f aca="false">IF(IFERROR(INDEX(tsk_Name,GanttView[[#This Row],[_Row]])="",TRUE()),0,N(INDEX(tsk_Deadline,GanttView[[#This Row],[_Row]])))</f>
        <v>0</v>
      </c>
    </row>
    <row r="46" customFormat="false" ht="15" hidden="false" customHeight="false" outlineLevel="0" collapsed="false">
      <c r="A46" s="65" t="str">
        <f aca="false">IF(IFERROR(INDEX(tsk_Name,GanttView[[#This Row],[_Row]])="",TRUE()),"",INDEX(tsk_ID,GanttView[[#This Row],[_Row]]))</f>
        <v/>
      </c>
      <c r="B46" s="65" t="str">
        <f aca="false">IF(IFERROR(INDEX(tsk_Name,GanttView[[#This Row],[_Row]])="",TRUE()),"",INDEX(tsk_WBS,GanttView[[#This Row],[_Row]]))</f>
        <v/>
      </c>
      <c r="C46" s="66" t="str">
        <f aca="false">IF(IFERROR(INDEX(tsk_Name,GanttView[[#This Row],[_Row]])="",TRUE()),"",REPT("    ",INDEX(tsk_Level,GanttView[[#This Row],[_Row]])-1)&amp;INDEX(tsk_Name,GanttView[[#This Row],[_Row]]))</f>
        <v/>
      </c>
      <c r="D4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6" s="67" t="str">
        <f aca="false">IF(IFERROR(INDEX(tsk_Name,GanttView[[#This Row],[_Row]])="",TRUE()),"",INDEX(tsk_PlanStart,GanttView[[#This Row],[_Row]]))</f>
        <v/>
      </c>
      <c r="F46" s="67" t="str">
        <f aca="false">IF(IFERROR(INDEX(tsk_Name,GanttView[[#This Row],[_Row]])="",TRUE()),"",INDEX(tsk_PlanFinish,GanttView[[#This Row],[_Row]]))</f>
        <v/>
      </c>
      <c r="G46" s="67" t="str">
        <f aca="false">IF(IFERROR(INDEX(tsk_Name,GanttView[[#This Row],[_Row]])="",TRUE()),"",INDEX(tsk_FcStart,GanttView[[#This Row],[_Row]]))</f>
        <v/>
      </c>
      <c r="H46" s="67" t="str">
        <f aca="false">IF(IFERROR(INDEX(tsk_Name,GanttView[[#This Row],[_Row]])="",TRUE()),"",INDEX(tsk_FcFinish,GanttView[[#This Row],[_Row]]))</f>
        <v/>
      </c>
      <c r="I46" s="68" t="str">
        <f aca="false">IF(IFERROR(INDEX(tsk_Name,GanttView[[#This Row],[_Row]])="",TRUE()),"",INDEX(tsk_Progress,GanttView[[#This Row],[_Row]]))</f>
        <v/>
      </c>
      <c r="J46" s="66" t="str">
        <f aca="false">IF(IFERROR(INDEX(tsk_Name,GanttView[[#This Row],[_Row]])="",TRUE()),"",INDEX(tsk_Resource,GanttView[[#This Row],[_Row]])&amp;"")</f>
        <v/>
      </c>
      <c r="K46" s="69" t="str">
        <f aca="false">IF(IFERROR(INDEX(tsk_Name,GanttView[[#This Row],[_Row]])="",TRUE()),"",INDEX(tsk_Status,GanttView[[#This Row],[_Row]]))</f>
        <v/>
      </c>
      <c r="L46" s="70" t="n">
        <f aca="false">ROW()-ROW(GanttView[[#Headers],[ID]])</f>
        <v>41</v>
      </c>
      <c r="M46" s="71" t="b">
        <f aca="false">IF(IFERROR(INDEX(tsk_Name,GanttView[[#This Row],[_Row]])="",TRUE()),FALSE(),INDEX(tsk_IsSummary,GanttView[[#This Row],[_Row]]))</f>
        <v>0</v>
      </c>
      <c r="N46" s="71" t="b">
        <f aca="false">IF(IFERROR(INDEX(tsk_Name,GanttView[[#This Row],[_Row]])="",TRUE()),FALSE(),AND(INDEX(tsk_IsLeaf,GanttView[[#This Row],[_Row]])=1,N(INDEX(tsk_Duration,GanttView[[#This Row],[_Row]]))=0))</f>
        <v>0</v>
      </c>
      <c r="O4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6" s="72" t="n">
        <f aca="false">IF(GanttView[[#This Row],[_RemFrom]]=0,0,GanttView[[#This Row],[Forecast Finish]])</f>
        <v>0</v>
      </c>
      <c r="S46" s="71" t="b">
        <f aca="false">IF(IFERROR(INDEX(tsk_Name,GanttView[[#This Row],[_Row]])="",TRUE()),FALSE(),N(INDEX(tsk_Variance,GanttView[[#This Row],[_Row]]))&gt;0)</f>
        <v>0</v>
      </c>
      <c r="T46" s="72" t="n">
        <f aca="false">IF(IFERROR(INDEX(tsk_Name,GanttView[[#This Row],[_Row]])="",TRUE()),0,N(INDEX(tsk_Deadline,GanttView[[#This Row],[_Row]])))</f>
        <v>0</v>
      </c>
    </row>
    <row r="47" customFormat="false" ht="15" hidden="false" customHeight="false" outlineLevel="0" collapsed="false">
      <c r="A47" s="65" t="str">
        <f aca="false">IF(IFERROR(INDEX(tsk_Name,GanttView[[#This Row],[_Row]])="",TRUE()),"",INDEX(tsk_ID,GanttView[[#This Row],[_Row]]))</f>
        <v/>
      </c>
      <c r="B47" s="65" t="str">
        <f aca="false">IF(IFERROR(INDEX(tsk_Name,GanttView[[#This Row],[_Row]])="",TRUE()),"",INDEX(tsk_WBS,GanttView[[#This Row],[_Row]]))</f>
        <v/>
      </c>
      <c r="C47" s="66" t="str">
        <f aca="false">IF(IFERROR(INDEX(tsk_Name,GanttView[[#This Row],[_Row]])="",TRUE()),"",REPT("    ",INDEX(tsk_Level,GanttView[[#This Row],[_Row]])-1)&amp;INDEX(tsk_Name,GanttView[[#This Row],[_Row]]))</f>
        <v/>
      </c>
      <c r="D4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7" s="67" t="str">
        <f aca="false">IF(IFERROR(INDEX(tsk_Name,GanttView[[#This Row],[_Row]])="",TRUE()),"",INDEX(tsk_PlanStart,GanttView[[#This Row],[_Row]]))</f>
        <v/>
      </c>
      <c r="F47" s="67" t="str">
        <f aca="false">IF(IFERROR(INDEX(tsk_Name,GanttView[[#This Row],[_Row]])="",TRUE()),"",INDEX(tsk_PlanFinish,GanttView[[#This Row],[_Row]]))</f>
        <v/>
      </c>
      <c r="G47" s="67" t="str">
        <f aca="false">IF(IFERROR(INDEX(tsk_Name,GanttView[[#This Row],[_Row]])="",TRUE()),"",INDEX(tsk_FcStart,GanttView[[#This Row],[_Row]]))</f>
        <v/>
      </c>
      <c r="H47" s="67" t="str">
        <f aca="false">IF(IFERROR(INDEX(tsk_Name,GanttView[[#This Row],[_Row]])="",TRUE()),"",INDEX(tsk_FcFinish,GanttView[[#This Row],[_Row]]))</f>
        <v/>
      </c>
      <c r="I47" s="68" t="str">
        <f aca="false">IF(IFERROR(INDEX(tsk_Name,GanttView[[#This Row],[_Row]])="",TRUE()),"",INDEX(tsk_Progress,GanttView[[#This Row],[_Row]]))</f>
        <v/>
      </c>
      <c r="J47" s="66" t="str">
        <f aca="false">IF(IFERROR(INDEX(tsk_Name,GanttView[[#This Row],[_Row]])="",TRUE()),"",INDEX(tsk_Resource,GanttView[[#This Row],[_Row]])&amp;"")</f>
        <v/>
      </c>
      <c r="K47" s="69" t="str">
        <f aca="false">IF(IFERROR(INDEX(tsk_Name,GanttView[[#This Row],[_Row]])="",TRUE()),"",INDEX(tsk_Status,GanttView[[#This Row],[_Row]]))</f>
        <v/>
      </c>
      <c r="L47" s="70" t="n">
        <f aca="false">ROW()-ROW(GanttView[[#Headers],[ID]])</f>
        <v>42</v>
      </c>
      <c r="M47" s="71" t="b">
        <f aca="false">IF(IFERROR(INDEX(tsk_Name,GanttView[[#This Row],[_Row]])="",TRUE()),FALSE(),INDEX(tsk_IsSummary,GanttView[[#This Row],[_Row]]))</f>
        <v>0</v>
      </c>
      <c r="N47" s="71" t="b">
        <f aca="false">IF(IFERROR(INDEX(tsk_Name,GanttView[[#This Row],[_Row]])="",TRUE()),FALSE(),AND(INDEX(tsk_IsLeaf,GanttView[[#This Row],[_Row]])=1,N(INDEX(tsk_Duration,GanttView[[#This Row],[_Row]]))=0))</f>
        <v>0</v>
      </c>
      <c r="O4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7" s="72" t="n">
        <f aca="false">IF(GanttView[[#This Row],[_RemFrom]]=0,0,GanttView[[#This Row],[Forecast Finish]])</f>
        <v>0</v>
      </c>
      <c r="S47" s="71" t="b">
        <f aca="false">IF(IFERROR(INDEX(tsk_Name,GanttView[[#This Row],[_Row]])="",TRUE()),FALSE(),N(INDEX(tsk_Variance,GanttView[[#This Row],[_Row]]))&gt;0)</f>
        <v>0</v>
      </c>
      <c r="T47" s="72" t="n">
        <f aca="false">IF(IFERROR(INDEX(tsk_Name,GanttView[[#This Row],[_Row]])="",TRUE()),0,N(INDEX(tsk_Deadline,GanttView[[#This Row],[_Row]])))</f>
        <v>0</v>
      </c>
    </row>
    <row r="48" customFormat="false" ht="15" hidden="false" customHeight="false" outlineLevel="0" collapsed="false">
      <c r="A48" s="65" t="str">
        <f aca="false">IF(IFERROR(INDEX(tsk_Name,GanttView[[#This Row],[_Row]])="",TRUE()),"",INDEX(tsk_ID,GanttView[[#This Row],[_Row]]))</f>
        <v/>
      </c>
      <c r="B48" s="65" t="str">
        <f aca="false">IF(IFERROR(INDEX(tsk_Name,GanttView[[#This Row],[_Row]])="",TRUE()),"",INDEX(tsk_WBS,GanttView[[#This Row],[_Row]]))</f>
        <v/>
      </c>
      <c r="C48" s="66" t="str">
        <f aca="false">IF(IFERROR(INDEX(tsk_Name,GanttView[[#This Row],[_Row]])="",TRUE()),"",REPT("    ",INDEX(tsk_Level,GanttView[[#This Row],[_Row]])-1)&amp;INDEX(tsk_Name,GanttView[[#This Row],[_Row]]))</f>
        <v/>
      </c>
      <c r="D4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8" s="67" t="str">
        <f aca="false">IF(IFERROR(INDEX(tsk_Name,GanttView[[#This Row],[_Row]])="",TRUE()),"",INDEX(tsk_PlanStart,GanttView[[#This Row],[_Row]]))</f>
        <v/>
      </c>
      <c r="F48" s="67" t="str">
        <f aca="false">IF(IFERROR(INDEX(tsk_Name,GanttView[[#This Row],[_Row]])="",TRUE()),"",INDEX(tsk_PlanFinish,GanttView[[#This Row],[_Row]]))</f>
        <v/>
      </c>
      <c r="G48" s="67" t="str">
        <f aca="false">IF(IFERROR(INDEX(tsk_Name,GanttView[[#This Row],[_Row]])="",TRUE()),"",INDEX(tsk_FcStart,GanttView[[#This Row],[_Row]]))</f>
        <v/>
      </c>
      <c r="H48" s="67" t="str">
        <f aca="false">IF(IFERROR(INDEX(tsk_Name,GanttView[[#This Row],[_Row]])="",TRUE()),"",INDEX(tsk_FcFinish,GanttView[[#This Row],[_Row]]))</f>
        <v/>
      </c>
      <c r="I48" s="68" t="str">
        <f aca="false">IF(IFERROR(INDEX(tsk_Name,GanttView[[#This Row],[_Row]])="",TRUE()),"",INDEX(tsk_Progress,GanttView[[#This Row],[_Row]]))</f>
        <v/>
      </c>
      <c r="J48" s="66" t="str">
        <f aca="false">IF(IFERROR(INDEX(tsk_Name,GanttView[[#This Row],[_Row]])="",TRUE()),"",INDEX(tsk_Resource,GanttView[[#This Row],[_Row]])&amp;"")</f>
        <v/>
      </c>
      <c r="K48" s="69" t="str">
        <f aca="false">IF(IFERROR(INDEX(tsk_Name,GanttView[[#This Row],[_Row]])="",TRUE()),"",INDEX(tsk_Status,GanttView[[#This Row],[_Row]]))</f>
        <v/>
      </c>
      <c r="L48" s="70" t="n">
        <f aca="false">ROW()-ROW(GanttView[[#Headers],[ID]])</f>
        <v>43</v>
      </c>
      <c r="M48" s="71" t="b">
        <f aca="false">IF(IFERROR(INDEX(tsk_Name,GanttView[[#This Row],[_Row]])="",TRUE()),FALSE(),INDEX(tsk_IsSummary,GanttView[[#This Row],[_Row]]))</f>
        <v>0</v>
      </c>
      <c r="N48" s="71" t="b">
        <f aca="false">IF(IFERROR(INDEX(tsk_Name,GanttView[[#This Row],[_Row]])="",TRUE()),FALSE(),AND(INDEX(tsk_IsLeaf,GanttView[[#This Row],[_Row]])=1,N(INDEX(tsk_Duration,GanttView[[#This Row],[_Row]]))=0))</f>
        <v>0</v>
      </c>
      <c r="O4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8" s="72" t="n">
        <f aca="false">IF(GanttView[[#This Row],[_RemFrom]]=0,0,GanttView[[#This Row],[Forecast Finish]])</f>
        <v>0</v>
      </c>
      <c r="S48" s="71" t="b">
        <f aca="false">IF(IFERROR(INDEX(tsk_Name,GanttView[[#This Row],[_Row]])="",TRUE()),FALSE(),N(INDEX(tsk_Variance,GanttView[[#This Row],[_Row]]))&gt;0)</f>
        <v>0</v>
      </c>
      <c r="T48" s="72" t="n">
        <f aca="false">IF(IFERROR(INDEX(tsk_Name,GanttView[[#This Row],[_Row]])="",TRUE()),0,N(INDEX(tsk_Deadline,GanttView[[#This Row],[_Row]])))</f>
        <v>0</v>
      </c>
    </row>
    <row r="49" customFormat="false" ht="15" hidden="false" customHeight="false" outlineLevel="0" collapsed="false">
      <c r="A49" s="65" t="str">
        <f aca="false">IF(IFERROR(INDEX(tsk_Name,GanttView[[#This Row],[_Row]])="",TRUE()),"",INDEX(tsk_ID,GanttView[[#This Row],[_Row]]))</f>
        <v/>
      </c>
      <c r="B49" s="65" t="str">
        <f aca="false">IF(IFERROR(INDEX(tsk_Name,GanttView[[#This Row],[_Row]])="",TRUE()),"",INDEX(tsk_WBS,GanttView[[#This Row],[_Row]]))</f>
        <v/>
      </c>
      <c r="C49" s="66" t="str">
        <f aca="false">IF(IFERROR(INDEX(tsk_Name,GanttView[[#This Row],[_Row]])="",TRUE()),"",REPT("    ",INDEX(tsk_Level,GanttView[[#This Row],[_Row]])-1)&amp;INDEX(tsk_Name,GanttView[[#This Row],[_Row]]))</f>
        <v/>
      </c>
      <c r="D4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9" s="67" t="str">
        <f aca="false">IF(IFERROR(INDEX(tsk_Name,GanttView[[#This Row],[_Row]])="",TRUE()),"",INDEX(tsk_PlanStart,GanttView[[#This Row],[_Row]]))</f>
        <v/>
      </c>
      <c r="F49" s="67" t="str">
        <f aca="false">IF(IFERROR(INDEX(tsk_Name,GanttView[[#This Row],[_Row]])="",TRUE()),"",INDEX(tsk_PlanFinish,GanttView[[#This Row],[_Row]]))</f>
        <v/>
      </c>
      <c r="G49" s="67" t="str">
        <f aca="false">IF(IFERROR(INDEX(tsk_Name,GanttView[[#This Row],[_Row]])="",TRUE()),"",INDEX(tsk_FcStart,GanttView[[#This Row],[_Row]]))</f>
        <v/>
      </c>
      <c r="H49" s="67" t="str">
        <f aca="false">IF(IFERROR(INDEX(tsk_Name,GanttView[[#This Row],[_Row]])="",TRUE()),"",INDEX(tsk_FcFinish,GanttView[[#This Row],[_Row]]))</f>
        <v/>
      </c>
      <c r="I49" s="68" t="str">
        <f aca="false">IF(IFERROR(INDEX(tsk_Name,GanttView[[#This Row],[_Row]])="",TRUE()),"",INDEX(tsk_Progress,GanttView[[#This Row],[_Row]]))</f>
        <v/>
      </c>
      <c r="J49" s="66" t="str">
        <f aca="false">IF(IFERROR(INDEX(tsk_Name,GanttView[[#This Row],[_Row]])="",TRUE()),"",INDEX(tsk_Resource,GanttView[[#This Row],[_Row]])&amp;"")</f>
        <v/>
      </c>
      <c r="K49" s="69" t="str">
        <f aca="false">IF(IFERROR(INDEX(tsk_Name,GanttView[[#This Row],[_Row]])="",TRUE()),"",INDEX(tsk_Status,GanttView[[#This Row],[_Row]]))</f>
        <v/>
      </c>
      <c r="L49" s="70" t="n">
        <f aca="false">ROW()-ROW(GanttView[[#Headers],[ID]])</f>
        <v>44</v>
      </c>
      <c r="M49" s="71" t="b">
        <f aca="false">IF(IFERROR(INDEX(tsk_Name,GanttView[[#This Row],[_Row]])="",TRUE()),FALSE(),INDEX(tsk_IsSummary,GanttView[[#This Row],[_Row]]))</f>
        <v>0</v>
      </c>
      <c r="N49" s="71" t="b">
        <f aca="false">IF(IFERROR(INDEX(tsk_Name,GanttView[[#This Row],[_Row]])="",TRUE()),FALSE(),AND(INDEX(tsk_IsLeaf,GanttView[[#This Row],[_Row]])=1,N(INDEX(tsk_Duration,GanttView[[#This Row],[_Row]]))=0))</f>
        <v>0</v>
      </c>
      <c r="O4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9" s="72" t="n">
        <f aca="false">IF(GanttView[[#This Row],[_RemFrom]]=0,0,GanttView[[#This Row],[Forecast Finish]])</f>
        <v>0</v>
      </c>
      <c r="S49" s="71" t="b">
        <f aca="false">IF(IFERROR(INDEX(tsk_Name,GanttView[[#This Row],[_Row]])="",TRUE()),FALSE(),N(INDEX(tsk_Variance,GanttView[[#This Row],[_Row]]))&gt;0)</f>
        <v>0</v>
      </c>
      <c r="T49" s="72" t="n">
        <f aca="false">IF(IFERROR(INDEX(tsk_Name,GanttView[[#This Row],[_Row]])="",TRUE()),0,N(INDEX(tsk_Deadline,GanttView[[#This Row],[_Row]])))</f>
        <v>0</v>
      </c>
    </row>
    <row r="50" customFormat="false" ht="15" hidden="false" customHeight="false" outlineLevel="0" collapsed="false">
      <c r="A50" s="65" t="str">
        <f aca="false">IF(IFERROR(INDEX(tsk_Name,GanttView[[#This Row],[_Row]])="",TRUE()),"",INDEX(tsk_ID,GanttView[[#This Row],[_Row]]))</f>
        <v/>
      </c>
      <c r="B50" s="65" t="str">
        <f aca="false">IF(IFERROR(INDEX(tsk_Name,GanttView[[#This Row],[_Row]])="",TRUE()),"",INDEX(tsk_WBS,GanttView[[#This Row],[_Row]]))</f>
        <v/>
      </c>
      <c r="C50" s="66" t="str">
        <f aca="false">IF(IFERROR(INDEX(tsk_Name,GanttView[[#This Row],[_Row]])="",TRUE()),"",REPT("    ",INDEX(tsk_Level,GanttView[[#This Row],[_Row]])-1)&amp;INDEX(tsk_Name,GanttView[[#This Row],[_Row]]))</f>
        <v/>
      </c>
      <c r="D5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0" s="67" t="str">
        <f aca="false">IF(IFERROR(INDEX(tsk_Name,GanttView[[#This Row],[_Row]])="",TRUE()),"",INDEX(tsk_PlanStart,GanttView[[#This Row],[_Row]]))</f>
        <v/>
      </c>
      <c r="F50" s="67" t="str">
        <f aca="false">IF(IFERROR(INDEX(tsk_Name,GanttView[[#This Row],[_Row]])="",TRUE()),"",INDEX(tsk_PlanFinish,GanttView[[#This Row],[_Row]]))</f>
        <v/>
      </c>
      <c r="G50" s="67" t="str">
        <f aca="false">IF(IFERROR(INDEX(tsk_Name,GanttView[[#This Row],[_Row]])="",TRUE()),"",INDEX(tsk_FcStart,GanttView[[#This Row],[_Row]]))</f>
        <v/>
      </c>
      <c r="H50" s="67" t="str">
        <f aca="false">IF(IFERROR(INDEX(tsk_Name,GanttView[[#This Row],[_Row]])="",TRUE()),"",INDEX(tsk_FcFinish,GanttView[[#This Row],[_Row]]))</f>
        <v/>
      </c>
      <c r="I50" s="68" t="str">
        <f aca="false">IF(IFERROR(INDEX(tsk_Name,GanttView[[#This Row],[_Row]])="",TRUE()),"",INDEX(tsk_Progress,GanttView[[#This Row],[_Row]]))</f>
        <v/>
      </c>
      <c r="J50" s="66" t="str">
        <f aca="false">IF(IFERROR(INDEX(tsk_Name,GanttView[[#This Row],[_Row]])="",TRUE()),"",INDEX(tsk_Resource,GanttView[[#This Row],[_Row]])&amp;"")</f>
        <v/>
      </c>
      <c r="K50" s="69" t="str">
        <f aca="false">IF(IFERROR(INDEX(tsk_Name,GanttView[[#This Row],[_Row]])="",TRUE()),"",INDEX(tsk_Status,GanttView[[#This Row],[_Row]]))</f>
        <v/>
      </c>
      <c r="L50" s="70" t="n">
        <f aca="false">ROW()-ROW(GanttView[[#Headers],[ID]])</f>
        <v>45</v>
      </c>
      <c r="M50" s="71" t="b">
        <f aca="false">IF(IFERROR(INDEX(tsk_Name,GanttView[[#This Row],[_Row]])="",TRUE()),FALSE(),INDEX(tsk_IsSummary,GanttView[[#This Row],[_Row]]))</f>
        <v>0</v>
      </c>
      <c r="N50" s="71" t="b">
        <f aca="false">IF(IFERROR(INDEX(tsk_Name,GanttView[[#This Row],[_Row]])="",TRUE()),FALSE(),AND(INDEX(tsk_IsLeaf,GanttView[[#This Row],[_Row]])=1,N(INDEX(tsk_Duration,GanttView[[#This Row],[_Row]]))=0))</f>
        <v>0</v>
      </c>
      <c r="O5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0" s="72" t="n">
        <f aca="false">IF(GanttView[[#This Row],[_RemFrom]]=0,0,GanttView[[#This Row],[Forecast Finish]])</f>
        <v>0</v>
      </c>
      <c r="S50" s="71" t="b">
        <f aca="false">IF(IFERROR(INDEX(tsk_Name,GanttView[[#This Row],[_Row]])="",TRUE()),FALSE(),N(INDEX(tsk_Variance,GanttView[[#This Row],[_Row]]))&gt;0)</f>
        <v>0</v>
      </c>
      <c r="T50" s="72" t="n">
        <f aca="false">IF(IFERROR(INDEX(tsk_Name,GanttView[[#This Row],[_Row]])="",TRUE()),0,N(INDEX(tsk_Deadline,GanttView[[#This Row],[_Row]])))</f>
        <v>0</v>
      </c>
    </row>
    <row r="51" customFormat="false" ht="15" hidden="false" customHeight="false" outlineLevel="0" collapsed="false">
      <c r="A51" s="65" t="str">
        <f aca="false">IF(IFERROR(INDEX(tsk_Name,GanttView[[#This Row],[_Row]])="",TRUE()),"",INDEX(tsk_ID,GanttView[[#This Row],[_Row]]))</f>
        <v/>
      </c>
      <c r="B51" s="65" t="str">
        <f aca="false">IF(IFERROR(INDEX(tsk_Name,GanttView[[#This Row],[_Row]])="",TRUE()),"",INDEX(tsk_WBS,GanttView[[#This Row],[_Row]]))</f>
        <v/>
      </c>
      <c r="C51" s="66" t="str">
        <f aca="false">IF(IFERROR(INDEX(tsk_Name,GanttView[[#This Row],[_Row]])="",TRUE()),"",REPT("    ",INDEX(tsk_Level,GanttView[[#This Row],[_Row]])-1)&amp;INDEX(tsk_Name,GanttView[[#This Row],[_Row]]))</f>
        <v/>
      </c>
      <c r="D5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1" s="67" t="str">
        <f aca="false">IF(IFERROR(INDEX(tsk_Name,GanttView[[#This Row],[_Row]])="",TRUE()),"",INDEX(tsk_PlanStart,GanttView[[#This Row],[_Row]]))</f>
        <v/>
      </c>
      <c r="F51" s="67" t="str">
        <f aca="false">IF(IFERROR(INDEX(tsk_Name,GanttView[[#This Row],[_Row]])="",TRUE()),"",INDEX(tsk_PlanFinish,GanttView[[#This Row],[_Row]]))</f>
        <v/>
      </c>
      <c r="G51" s="67" t="str">
        <f aca="false">IF(IFERROR(INDEX(tsk_Name,GanttView[[#This Row],[_Row]])="",TRUE()),"",INDEX(tsk_FcStart,GanttView[[#This Row],[_Row]]))</f>
        <v/>
      </c>
      <c r="H51" s="67" t="str">
        <f aca="false">IF(IFERROR(INDEX(tsk_Name,GanttView[[#This Row],[_Row]])="",TRUE()),"",INDEX(tsk_FcFinish,GanttView[[#This Row],[_Row]]))</f>
        <v/>
      </c>
      <c r="I51" s="68" t="str">
        <f aca="false">IF(IFERROR(INDEX(tsk_Name,GanttView[[#This Row],[_Row]])="",TRUE()),"",INDEX(tsk_Progress,GanttView[[#This Row],[_Row]]))</f>
        <v/>
      </c>
      <c r="J51" s="66" t="str">
        <f aca="false">IF(IFERROR(INDEX(tsk_Name,GanttView[[#This Row],[_Row]])="",TRUE()),"",INDEX(tsk_Resource,GanttView[[#This Row],[_Row]])&amp;"")</f>
        <v/>
      </c>
      <c r="K51" s="69" t="str">
        <f aca="false">IF(IFERROR(INDEX(tsk_Name,GanttView[[#This Row],[_Row]])="",TRUE()),"",INDEX(tsk_Status,GanttView[[#This Row],[_Row]]))</f>
        <v/>
      </c>
      <c r="L51" s="70" t="n">
        <f aca="false">ROW()-ROW(GanttView[[#Headers],[ID]])</f>
        <v>46</v>
      </c>
      <c r="M51" s="71" t="b">
        <f aca="false">IF(IFERROR(INDEX(tsk_Name,GanttView[[#This Row],[_Row]])="",TRUE()),FALSE(),INDEX(tsk_IsSummary,GanttView[[#This Row],[_Row]]))</f>
        <v>0</v>
      </c>
      <c r="N51" s="71" t="b">
        <f aca="false">IF(IFERROR(INDEX(tsk_Name,GanttView[[#This Row],[_Row]])="",TRUE()),FALSE(),AND(INDEX(tsk_IsLeaf,GanttView[[#This Row],[_Row]])=1,N(INDEX(tsk_Duration,GanttView[[#This Row],[_Row]]))=0))</f>
        <v>0</v>
      </c>
      <c r="O5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1" s="72" t="n">
        <f aca="false">IF(GanttView[[#This Row],[_RemFrom]]=0,0,GanttView[[#This Row],[Forecast Finish]])</f>
        <v>0</v>
      </c>
      <c r="S51" s="71" t="b">
        <f aca="false">IF(IFERROR(INDEX(tsk_Name,GanttView[[#This Row],[_Row]])="",TRUE()),FALSE(),N(INDEX(tsk_Variance,GanttView[[#This Row],[_Row]]))&gt;0)</f>
        <v>0</v>
      </c>
      <c r="T51" s="72" t="n">
        <f aca="false">IF(IFERROR(INDEX(tsk_Name,GanttView[[#This Row],[_Row]])="",TRUE()),0,N(INDEX(tsk_Deadline,GanttView[[#This Row],[_Row]])))</f>
        <v>0</v>
      </c>
    </row>
    <row r="52" customFormat="false" ht="15" hidden="false" customHeight="false" outlineLevel="0" collapsed="false">
      <c r="A52" s="65" t="str">
        <f aca="false">IF(IFERROR(INDEX(tsk_Name,GanttView[[#This Row],[_Row]])="",TRUE()),"",INDEX(tsk_ID,GanttView[[#This Row],[_Row]]))</f>
        <v/>
      </c>
      <c r="B52" s="65" t="str">
        <f aca="false">IF(IFERROR(INDEX(tsk_Name,GanttView[[#This Row],[_Row]])="",TRUE()),"",INDEX(tsk_WBS,GanttView[[#This Row],[_Row]]))</f>
        <v/>
      </c>
      <c r="C52" s="66" t="str">
        <f aca="false">IF(IFERROR(INDEX(tsk_Name,GanttView[[#This Row],[_Row]])="",TRUE()),"",REPT("    ",INDEX(tsk_Level,GanttView[[#This Row],[_Row]])-1)&amp;INDEX(tsk_Name,GanttView[[#This Row],[_Row]]))</f>
        <v/>
      </c>
      <c r="D5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2" s="67" t="str">
        <f aca="false">IF(IFERROR(INDEX(tsk_Name,GanttView[[#This Row],[_Row]])="",TRUE()),"",INDEX(tsk_PlanStart,GanttView[[#This Row],[_Row]]))</f>
        <v/>
      </c>
      <c r="F52" s="67" t="str">
        <f aca="false">IF(IFERROR(INDEX(tsk_Name,GanttView[[#This Row],[_Row]])="",TRUE()),"",INDEX(tsk_PlanFinish,GanttView[[#This Row],[_Row]]))</f>
        <v/>
      </c>
      <c r="G52" s="67" t="str">
        <f aca="false">IF(IFERROR(INDEX(tsk_Name,GanttView[[#This Row],[_Row]])="",TRUE()),"",INDEX(tsk_FcStart,GanttView[[#This Row],[_Row]]))</f>
        <v/>
      </c>
      <c r="H52" s="67" t="str">
        <f aca="false">IF(IFERROR(INDEX(tsk_Name,GanttView[[#This Row],[_Row]])="",TRUE()),"",INDEX(tsk_FcFinish,GanttView[[#This Row],[_Row]]))</f>
        <v/>
      </c>
      <c r="I52" s="68" t="str">
        <f aca="false">IF(IFERROR(INDEX(tsk_Name,GanttView[[#This Row],[_Row]])="",TRUE()),"",INDEX(tsk_Progress,GanttView[[#This Row],[_Row]]))</f>
        <v/>
      </c>
      <c r="J52" s="66" t="str">
        <f aca="false">IF(IFERROR(INDEX(tsk_Name,GanttView[[#This Row],[_Row]])="",TRUE()),"",INDEX(tsk_Resource,GanttView[[#This Row],[_Row]])&amp;"")</f>
        <v/>
      </c>
      <c r="K52" s="69" t="str">
        <f aca="false">IF(IFERROR(INDEX(tsk_Name,GanttView[[#This Row],[_Row]])="",TRUE()),"",INDEX(tsk_Status,GanttView[[#This Row],[_Row]]))</f>
        <v/>
      </c>
      <c r="L52" s="70" t="n">
        <f aca="false">ROW()-ROW(GanttView[[#Headers],[ID]])</f>
        <v>47</v>
      </c>
      <c r="M52" s="71" t="b">
        <f aca="false">IF(IFERROR(INDEX(tsk_Name,GanttView[[#This Row],[_Row]])="",TRUE()),FALSE(),INDEX(tsk_IsSummary,GanttView[[#This Row],[_Row]]))</f>
        <v>0</v>
      </c>
      <c r="N52" s="71" t="b">
        <f aca="false">IF(IFERROR(INDEX(tsk_Name,GanttView[[#This Row],[_Row]])="",TRUE()),FALSE(),AND(INDEX(tsk_IsLeaf,GanttView[[#This Row],[_Row]])=1,N(INDEX(tsk_Duration,GanttView[[#This Row],[_Row]]))=0))</f>
        <v>0</v>
      </c>
      <c r="O5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2" s="72" t="n">
        <f aca="false">IF(GanttView[[#This Row],[_RemFrom]]=0,0,GanttView[[#This Row],[Forecast Finish]])</f>
        <v>0</v>
      </c>
      <c r="S52" s="71" t="b">
        <f aca="false">IF(IFERROR(INDEX(tsk_Name,GanttView[[#This Row],[_Row]])="",TRUE()),FALSE(),N(INDEX(tsk_Variance,GanttView[[#This Row],[_Row]]))&gt;0)</f>
        <v>0</v>
      </c>
      <c r="T52" s="72" t="n">
        <f aca="false">IF(IFERROR(INDEX(tsk_Name,GanttView[[#This Row],[_Row]])="",TRUE()),0,N(INDEX(tsk_Deadline,GanttView[[#This Row],[_Row]])))</f>
        <v>0</v>
      </c>
    </row>
    <row r="53" customFormat="false" ht="15" hidden="false" customHeight="false" outlineLevel="0" collapsed="false">
      <c r="A53" s="65" t="str">
        <f aca="false">IF(IFERROR(INDEX(tsk_Name,GanttView[[#This Row],[_Row]])="",TRUE()),"",INDEX(tsk_ID,GanttView[[#This Row],[_Row]]))</f>
        <v/>
      </c>
      <c r="B53" s="65" t="str">
        <f aca="false">IF(IFERROR(INDEX(tsk_Name,GanttView[[#This Row],[_Row]])="",TRUE()),"",INDEX(tsk_WBS,GanttView[[#This Row],[_Row]]))</f>
        <v/>
      </c>
      <c r="C53" s="66" t="str">
        <f aca="false">IF(IFERROR(INDEX(tsk_Name,GanttView[[#This Row],[_Row]])="",TRUE()),"",REPT("    ",INDEX(tsk_Level,GanttView[[#This Row],[_Row]])-1)&amp;INDEX(tsk_Name,GanttView[[#This Row],[_Row]]))</f>
        <v/>
      </c>
      <c r="D5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3" s="67" t="str">
        <f aca="false">IF(IFERROR(INDEX(tsk_Name,GanttView[[#This Row],[_Row]])="",TRUE()),"",INDEX(tsk_PlanStart,GanttView[[#This Row],[_Row]]))</f>
        <v/>
      </c>
      <c r="F53" s="67" t="str">
        <f aca="false">IF(IFERROR(INDEX(tsk_Name,GanttView[[#This Row],[_Row]])="",TRUE()),"",INDEX(tsk_PlanFinish,GanttView[[#This Row],[_Row]]))</f>
        <v/>
      </c>
      <c r="G53" s="67" t="str">
        <f aca="false">IF(IFERROR(INDEX(tsk_Name,GanttView[[#This Row],[_Row]])="",TRUE()),"",INDEX(tsk_FcStart,GanttView[[#This Row],[_Row]]))</f>
        <v/>
      </c>
      <c r="H53" s="67" t="str">
        <f aca="false">IF(IFERROR(INDEX(tsk_Name,GanttView[[#This Row],[_Row]])="",TRUE()),"",INDEX(tsk_FcFinish,GanttView[[#This Row],[_Row]]))</f>
        <v/>
      </c>
      <c r="I53" s="68" t="str">
        <f aca="false">IF(IFERROR(INDEX(tsk_Name,GanttView[[#This Row],[_Row]])="",TRUE()),"",INDEX(tsk_Progress,GanttView[[#This Row],[_Row]]))</f>
        <v/>
      </c>
      <c r="J53" s="66" t="str">
        <f aca="false">IF(IFERROR(INDEX(tsk_Name,GanttView[[#This Row],[_Row]])="",TRUE()),"",INDEX(tsk_Resource,GanttView[[#This Row],[_Row]])&amp;"")</f>
        <v/>
      </c>
      <c r="K53" s="69" t="str">
        <f aca="false">IF(IFERROR(INDEX(tsk_Name,GanttView[[#This Row],[_Row]])="",TRUE()),"",INDEX(tsk_Status,GanttView[[#This Row],[_Row]]))</f>
        <v/>
      </c>
      <c r="L53" s="70" t="n">
        <f aca="false">ROW()-ROW(GanttView[[#Headers],[ID]])</f>
        <v>48</v>
      </c>
      <c r="M53" s="71" t="b">
        <f aca="false">IF(IFERROR(INDEX(tsk_Name,GanttView[[#This Row],[_Row]])="",TRUE()),FALSE(),INDEX(tsk_IsSummary,GanttView[[#This Row],[_Row]]))</f>
        <v>0</v>
      </c>
      <c r="N53" s="71" t="b">
        <f aca="false">IF(IFERROR(INDEX(tsk_Name,GanttView[[#This Row],[_Row]])="",TRUE()),FALSE(),AND(INDEX(tsk_IsLeaf,GanttView[[#This Row],[_Row]])=1,N(INDEX(tsk_Duration,GanttView[[#This Row],[_Row]]))=0))</f>
        <v>0</v>
      </c>
      <c r="O5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3" s="72" t="n">
        <f aca="false">IF(GanttView[[#This Row],[_RemFrom]]=0,0,GanttView[[#This Row],[Forecast Finish]])</f>
        <v>0</v>
      </c>
      <c r="S53" s="71" t="b">
        <f aca="false">IF(IFERROR(INDEX(tsk_Name,GanttView[[#This Row],[_Row]])="",TRUE()),FALSE(),N(INDEX(tsk_Variance,GanttView[[#This Row],[_Row]]))&gt;0)</f>
        <v>0</v>
      </c>
      <c r="T53" s="72" t="n">
        <f aca="false">IF(IFERROR(INDEX(tsk_Name,GanttView[[#This Row],[_Row]])="",TRUE()),0,N(INDEX(tsk_Deadline,GanttView[[#This Row],[_Row]])))</f>
        <v>0</v>
      </c>
    </row>
    <row r="54" customFormat="false" ht="15" hidden="false" customHeight="false" outlineLevel="0" collapsed="false">
      <c r="A54" s="65" t="str">
        <f aca="false">IF(IFERROR(INDEX(tsk_Name,GanttView[[#This Row],[_Row]])="",TRUE()),"",INDEX(tsk_ID,GanttView[[#This Row],[_Row]]))</f>
        <v/>
      </c>
      <c r="B54" s="65" t="str">
        <f aca="false">IF(IFERROR(INDEX(tsk_Name,GanttView[[#This Row],[_Row]])="",TRUE()),"",INDEX(tsk_WBS,GanttView[[#This Row],[_Row]]))</f>
        <v/>
      </c>
      <c r="C54" s="66" t="str">
        <f aca="false">IF(IFERROR(INDEX(tsk_Name,GanttView[[#This Row],[_Row]])="",TRUE()),"",REPT("    ",INDEX(tsk_Level,GanttView[[#This Row],[_Row]])-1)&amp;INDEX(tsk_Name,GanttView[[#This Row],[_Row]]))</f>
        <v/>
      </c>
      <c r="D5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4" s="67" t="str">
        <f aca="false">IF(IFERROR(INDEX(tsk_Name,GanttView[[#This Row],[_Row]])="",TRUE()),"",INDEX(tsk_PlanStart,GanttView[[#This Row],[_Row]]))</f>
        <v/>
      </c>
      <c r="F54" s="67" t="str">
        <f aca="false">IF(IFERROR(INDEX(tsk_Name,GanttView[[#This Row],[_Row]])="",TRUE()),"",INDEX(tsk_PlanFinish,GanttView[[#This Row],[_Row]]))</f>
        <v/>
      </c>
      <c r="G54" s="67" t="str">
        <f aca="false">IF(IFERROR(INDEX(tsk_Name,GanttView[[#This Row],[_Row]])="",TRUE()),"",INDEX(tsk_FcStart,GanttView[[#This Row],[_Row]]))</f>
        <v/>
      </c>
      <c r="H54" s="67" t="str">
        <f aca="false">IF(IFERROR(INDEX(tsk_Name,GanttView[[#This Row],[_Row]])="",TRUE()),"",INDEX(tsk_FcFinish,GanttView[[#This Row],[_Row]]))</f>
        <v/>
      </c>
      <c r="I54" s="68" t="str">
        <f aca="false">IF(IFERROR(INDEX(tsk_Name,GanttView[[#This Row],[_Row]])="",TRUE()),"",INDEX(tsk_Progress,GanttView[[#This Row],[_Row]]))</f>
        <v/>
      </c>
      <c r="J54" s="66" t="str">
        <f aca="false">IF(IFERROR(INDEX(tsk_Name,GanttView[[#This Row],[_Row]])="",TRUE()),"",INDEX(tsk_Resource,GanttView[[#This Row],[_Row]])&amp;"")</f>
        <v/>
      </c>
      <c r="K54" s="69" t="str">
        <f aca="false">IF(IFERROR(INDEX(tsk_Name,GanttView[[#This Row],[_Row]])="",TRUE()),"",INDEX(tsk_Status,GanttView[[#This Row],[_Row]]))</f>
        <v/>
      </c>
      <c r="L54" s="70" t="n">
        <f aca="false">ROW()-ROW(GanttView[[#Headers],[ID]])</f>
        <v>49</v>
      </c>
      <c r="M54" s="71" t="b">
        <f aca="false">IF(IFERROR(INDEX(tsk_Name,GanttView[[#This Row],[_Row]])="",TRUE()),FALSE(),INDEX(tsk_IsSummary,GanttView[[#This Row],[_Row]]))</f>
        <v>0</v>
      </c>
      <c r="N54" s="71" t="b">
        <f aca="false">IF(IFERROR(INDEX(tsk_Name,GanttView[[#This Row],[_Row]])="",TRUE()),FALSE(),AND(INDEX(tsk_IsLeaf,GanttView[[#This Row],[_Row]])=1,N(INDEX(tsk_Duration,GanttView[[#This Row],[_Row]]))=0))</f>
        <v>0</v>
      </c>
      <c r="O5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4" s="72" t="n">
        <f aca="false">IF(GanttView[[#This Row],[_RemFrom]]=0,0,GanttView[[#This Row],[Forecast Finish]])</f>
        <v>0</v>
      </c>
      <c r="S54" s="71" t="b">
        <f aca="false">IF(IFERROR(INDEX(tsk_Name,GanttView[[#This Row],[_Row]])="",TRUE()),FALSE(),N(INDEX(tsk_Variance,GanttView[[#This Row],[_Row]]))&gt;0)</f>
        <v>0</v>
      </c>
      <c r="T54" s="72" t="n">
        <f aca="false">IF(IFERROR(INDEX(tsk_Name,GanttView[[#This Row],[_Row]])="",TRUE()),0,N(INDEX(tsk_Deadline,GanttView[[#This Row],[_Row]])))</f>
        <v>0</v>
      </c>
    </row>
    <row r="55" customFormat="false" ht="15" hidden="false" customHeight="false" outlineLevel="0" collapsed="false">
      <c r="A55" s="65" t="str">
        <f aca="false">IF(IFERROR(INDEX(tsk_Name,GanttView[[#This Row],[_Row]])="",TRUE()),"",INDEX(tsk_ID,GanttView[[#This Row],[_Row]]))</f>
        <v/>
      </c>
      <c r="B55" s="65" t="str">
        <f aca="false">IF(IFERROR(INDEX(tsk_Name,GanttView[[#This Row],[_Row]])="",TRUE()),"",INDEX(tsk_WBS,GanttView[[#This Row],[_Row]]))</f>
        <v/>
      </c>
      <c r="C55" s="66" t="str">
        <f aca="false">IF(IFERROR(INDEX(tsk_Name,GanttView[[#This Row],[_Row]])="",TRUE()),"",REPT("    ",INDEX(tsk_Level,GanttView[[#This Row],[_Row]])-1)&amp;INDEX(tsk_Name,GanttView[[#This Row],[_Row]]))</f>
        <v/>
      </c>
      <c r="D5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5" s="67" t="str">
        <f aca="false">IF(IFERROR(INDEX(tsk_Name,GanttView[[#This Row],[_Row]])="",TRUE()),"",INDEX(tsk_PlanStart,GanttView[[#This Row],[_Row]]))</f>
        <v/>
      </c>
      <c r="F55" s="67" t="str">
        <f aca="false">IF(IFERROR(INDEX(tsk_Name,GanttView[[#This Row],[_Row]])="",TRUE()),"",INDEX(tsk_PlanFinish,GanttView[[#This Row],[_Row]]))</f>
        <v/>
      </c>
      <c r="G55" s="67" t="str">
        <f aca="false">IF(IFERROR(INDEX(tsk_Name,GanttView[[#This Row],[_Row]])="",TRUE()),"",INDEX(tsk_FcStart,GanttView[[#This Row],[_Row]]))</f>
        <v/>
      </c>
      <c r="H55" s="67" t="str">
        <f aca="false">IF(IFERROR(INDEX(tsk_Name,GanttView[[#This Row],[_Row]])="",TRUE()),"",INDEX(tsk_FcFinish,GanttView[[#This Row],[_Row]]))</f>
        <v/>
      </c>
      <c r="I55" s="68" t="str">
        <f aca="false">IF(IFERROR(INDEX(tsk_Name,GanttView[[#This Row],[_Row]])="",TRUE()),"",INDEX(tsk_Progress,GanttView[[#This Row],[_Row]]))</f>
        <v/>
      </c>
      <c r="J55" s="66" t="str">
        <f aca="false">IF(IFERROR(INDEX(tsk_Name,GanttView[[#This Row],[_Row]])="",TRUE()),"",INDEX(tsk_Resource,GanttView[[#This Row],[_Row]])&amp;"")</f>
        <v/>
      </c>
      <c r="K55" s="69" t="str">
        <f aca="false">IF(IFERROR(INDEX(tsk_Name,GanttView[[#This Row],[_Row]])="",TRUE()),"",INDEX(tsk_Status,GanttView[[#This Row],[_Row]]))</f>
        <v/>
      </c>
      <c r="L55" s="70" t="n">
        <f aca="false">ROW()-ROW(GanttView[[#Headers],[ID]])</f>
        <v>50</v>
      </c>
      <c r="M55" s="71" t="b">
        <f aca="false">IF(IFERROR(INDEX(tsk_Name,GanttView[[#This Row],[_Row]])="",TRUE()),FALSE(),INDEX(tsk_IsSummary,GanttView[[#This Row],[_Row]]))</f>
        <v>0</v>
      </c>
      <c r="N55" s="71" t="b">
        <f aca="false">IF(IFERROR(INDEX(tsk_Name,GanttView[[#This Row],[_Row]])="",TRUE()),FALSE(),AND(INDEX(tsk_IsLeaf,GanttView[[#This Row],[_Row]])=1,N(INDEX(tsk_Duration,GanttView[[#This Row],[_Row]]))=0))</f>
        <v>0</v>
      </c>
      <c r="O5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5" s="72" t="n">
        <f aca="false">IF(GanttView[[#This Row],[_RemFrom]]=0,0,GanttView[[#This Row],[Forecast Finish]])</f>
        <v>0</v>
      </c>
      <c r="S55" s="71" t="b">
        <f aca="false">IF(IFERROR(INDEX(tsk_Name,GanttView[[#This Row],[_Row]])="",TRUE()),FALSE(),N(INDEX(tsk_Variance,GanttView[[#This Row],[_Row]]))&gt;0)</f>
        <v>0</v>
      </c>
      <c r="T55" s="72" t="n">
        <f aca="false">IF(IFERROR(INDEX(tsk_Name,GanttView[[#This Row],[_Row]])="",TRUE()),0,N(INDEX(tsk_Deadline,GanttView[[#This Row],[_Row]])))</f>
        <v>0</v>
      </c>
    </row>
    <row r="56" customFormat="false" ht="15" hidden="false" customHeight="false" outlineLevel="0" collapsed="false">
      <c r="A56" s="65" t="str">
        <f aca="false">IF(IFERROR(INDEX(tsk_Name,GanttView[[#This Row],[_Row]])="",TRUE()),"",INDEX(tsk_ID,GanttView[[#This Row],[_Row]]))</f>
        <v/>
      </c>
      <c r="B56" s="65" t="str">
        <f aca="false">IF(IFERROR(INDEX(tsk_Name,GanttView[[#This Row],[_Row]])="",TRUE()),"",INDEX(tsk_WBS,GanttView[[#This Row],[_Row]]))</f>
        <v/>
      </c>
      <c r="C56" s="66" t="str">
        <f aca="false">IF(IFERROR(INDEX(tsk_Name,GanttView[[#This Row],[_Row]])="",TRUE()),"",REPT("    ",INDEX(tsk_Level,GanttView[[#This Row],[_Row]])-1)&amp;INDEX(tsk_Name,GanttView[[#This Row],[_Row]]))</f>
        <v/>
      </c>
      <c r="D5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6" s="67" t="str">
        <f aca="false">IF(IFERROR(INDEX(tsk_Name,GanttView[[#This Row],[_Row]])="",TRUE()),"",INDEX(tsk_PlanStart,GanttView[[#This Row],[_Row]]))</f>
        <v/>
      </c>
      <c r="F56" s="67" t="str">
        <f aca="false">IF(IFERROR(INDEX(tsk_Name,GanttView[[#This Row],[_Row]])="",TRUE()),"",INDEX(tsk_PlanFinish,GanttView[[#This Row],[_Row]]))</f>
        <v/>
      </c>
      <c r="G56" s="67" t="str">
        <f aca="false">IF(IFERROR(INDEX(tsk_Name,GanttView[[#This Row],[_Row]])="",TRUE()),"",INDEX(tsk_FcStart,GanttView[[#This Row],[_Row]]))</f>
        <v/>
      </c>
      <c r="H56" s="67" t="str">
        <f aca="false">IF(IFERROR(INDEX(tsk_Name,GanttView[[#This Row],[_Row]])="",TRUE()),"",INDEX(tsk_FcFinish,GanttView[[#This Row],[_Row]]))</f>
        <v/>
      </c>
      <c r="I56" s="68" t="str">
        <f aca="false">IF(IFERROR(INDEX(tsk_Name,GanttView[[#This Row],[_Row]])="",TRUE()),"",INDEX(tsk_Progress,GanttView[[#This Row],[_Row]]))</f>
        <v/>
      </c>
      <c r="J56" s="66" t="str">
        <f aca="false">IF(IFERROR(INDEX(tsk_Name,GanttView[[#This Row],[_Row]])="",TRUE()),"",INDEX(tsk_Resource,GanttView[[#This Row],[_Row]])&amp;"")</f>
        <v/>
      </c>
      <c r="K56" s="69" t="str">
        <f aca="false">IF(IFERROR(INDEX(tsk_Name,GanttView[[#This Row],[_Row]])="",TRUE()),"",INDEX(tsk_Status,GanttView[[#This Row],[_Row]]))</f>
        <v/>
      </c>
      <c r="L56" s="70" t="n">
        <f aca="false">ROW()-ROW(GanttView[[#Headers],[ID]])</f>
        <v>51</v>
      </c>
      <c r="M56" s="71" t="b">
        <f aca="false">IF(IFERROR(INDEX(tsk_Name,GanttView[[#This Row],[_Row]])="",TRUE()),FALSE(),INDEX(tsk_IsSummary,GanttView[[#This Row],[_Row]]))</f>
        <v>0</v>
      </c>
      <c r="N56" s="71" t="b">
        <f aca="false">IF(IFERROR(INDEX(tsk_Name,GanttView[[#This Row],[_Row]])="",TRUE()),FALSE(),AND(INDEX(tsk_IsLeaf,GanttView[[#This Row],[_Row]])=1,N(INDEX(tsk_Duration,GanttView[[#This Row],[_Row]]))=0))</f>
        <v>0</v>
      </c>
      <c r="O5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6" s="72" t="n">
        <f aca="false">IF(GanttView[[#This Row],[_RemFrom]]=0,0,GanttView[[#This Row],[Forecast Finish]])</f>
        <v>0</v>
      </c>
      <c r="S56" s="71" t="b">
        <f aca="false">IF(IFERROR(INDEX(tsk_Name,GanttView[[#This Row],[_Row]])="",TRUE()),FALSE(),N(INDEX(tsk_Variance,GanttView[[#This Row],[_Row]]))&gt;0)</f>
        <v>0</v>
      </c>
      <c r="T56" s="72" t="n">
        <f aca="false">IF(IFERROR(INDEX(tsk_Name,GanttView[[#This Row],[_Row]])="",TRUE()),0,N(INDEX(tsk_Deadline,GanttView[[#This Row],[_Row]])))</f>
        <v>0</v>
      </c>
    </row>
    <row r="57" customFormat="false" ht="15" hidden="false" customHeight="false" outlineLevel="0" collapsed="false">
      <c r="A57" s="65" t="str">
        <f aca="false">IF(IFERROR(INDEX(tsk_Name,GanttView[[#This Row],[_Row]])="",TRUE()),"",INDEX(tsk_ID,GanttView[[#This Row],[_Row]]))</f>
        <v/>
      </c>
      <c r="B57" s="65" t="str">
        <f aca="false">IF(IFERROR(INDEX(tsk_Name,GanttView[[#This Row],[_Row]])="",TRUE()),"",INDEX(tsk_WBS,GanttView[[#This Row],[_Row]]))</f>
        <v/>
      </c>
      <c r="C57" s="66" t="str">
        <f aca="false">IF(IFERROR(INDEX(tsk_Name,GanttView[[#This Row],[_Row]])="",TRUE()),"",REPT("    ",INDEX(tsk_Level,GanttView[[#This Row],[_Row]])-1)&amp;INDEX(tsk_Name,GanttView[[#This Row],[_Row]]))</f>
        <v/>
      </c>
      <c r="D5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7" s="67" t="str">
        <f aca="false">IF(IFERROR(INDEX(tsk_Name,GanttView[[#This Row],[_Row]])="",TRUE()),"",INDEX(tsk_PlanStart,GanttView[[#This Row],[_Row]]))</f>
        <v/>
      </c>
      <c r="F57" s="67" t="str">
        <f aca="false">IF(IFERROR(INDEX(tsk_Name,GanttView[[#This Row],[_Row]])="",TRUE()),"",INDEX(tsk_PlanFinish,GanttView[[#This Row],[_Row]]))</f>
        <v/>
      </c>
      <c r="G57" s="67" t="str">
        <f aca="false">IF(IFERROR(INDEX(tsk_Name,GanttView[[#This Row],[_Row]])="",TRUE()),"",INDEX(tsk_FcStart,GanttView[[#This Row],[_Row]]))</f>
        <v/>
      </c>
      <c r="H57" s="67" t="str">
        <f aca="false">IF(IFERROR(INDEX(tsk_Name,GanttView[[#This Row],[_Row]])="",TRUE()),"",INDEX(tsk_FcFinish,GanttView[[#This Row],[_Row]]))</f>
        <v/>
      </c>
      <c r="I57" s="68" t="str">
        <f aca="false">IF(IFERROR(INDEX(tsk_Name,GanttView[[#This Row],[_Row]])="",TRUE()),"",INDEX(tsk_Progress,GanttView[[#This Row],[_Row]]))</f>
        <v/>
      </c>
      <c r="J57" s="66" t="str">
        <f aca="false">IF(IFERROR(INDEX(tsk_Name,GanttView[[#This Row],[_Row]])="",TRUE()),"",INDEX(tsk_Resource,GanttView[[#This Row],[_Row]])&amp;"")</f>
        <v/>
      </c>
      <c r="K57" s="69" t="str">
        <f aca="false">IF(IFERROR(INDEX(tsk_Name,GanttView[[#This Row],[_Row]])="",TRUE()),"",INDEX(tsk_Status,GanttView[[#This Row],[_Row]]))</f>
        <v/>
      </c>
      <c r="L57" s="70" t="n">
        <f aca="false">ROW()-ROW(GanttView[[#Headers],[ID]])</f>
        <v>52</v>
      </c>
      <c r="M57" s="71" t="b">
        <f aca="false">IF(IFERROR(INDEX(tsk_Name,GanttView[[#This Row],[_Row]])="",TRUE()),FALSE(),INDEX(tsk_IsSummary,GanttView[[#This Row],[_Row]]))</f>
        <v>0</v>
      </c>
      <c r="N57" s="71" t="b">
        <f aca="false">IF(IFERROR(INDEX(tsk_Name,GanttView[[#This Row],[_Row]])="",TRUE()),FALSE(),AND(INDEX(tsk_IsLeaf,GanttView[[#This Row],[_Row]])=1,N(INDEX(tsk_Duration,GanttView[[#This Row],[_Row]]))=0))</f>
        <v>0</v>
      </c>
      <c r="O5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7" s="72" t="n">
        <f aca="false">IF(GanttView[[#This Row],[_RemFrom]]=0,0,GanttView[[#This Row],[Forecast Finish]])</f>
        <v>0</v>
      </c>
      <c r="S57" s="71" t="b">
        <f aca="false">IF(IFERROR(INDEX(tsk_Name,GanttView[[#This Row],[_Row]])="",TRUE()),FALSE(),N(INDEX(tsk_Variance,GanttView[[#This Row],[_Row]]))&gt;0)</f>
        <v>0</v>
      </c>
      <c r="T57" s="72" t="n">
        <f aca="false">IF(IFERROR(INDEX(tsk_Name,GanttView[[#This Row],[_Row]])="",TRUE()),0,N(INDEX(tsk_Deadline,GanttView[[#This Row],[_Row]])))</f>
        <v>0</v>
      </c>
    </row>
    <row r="58" customFormat="false" ht="15" hidden="false" customHeight="false" outlineLevel="0" collapsed="false">
      <c r="A58" s="65" t="str">
        <f aca="false">IF(IFERROR(INDEX(tsk_Name,GanttView[[#This Row],[_Row]])="",TRUE()),"",INDEX(tsk_ID,GanttView[[#This Row],[_Row]]))</f>
        <v/>
      </c>
      <c r="B58" s="65" t="str">
        <f aca="false">IF(IFERROR(INDEX(tsk_Name,GanttView[[#This Row],[_Row]])="",TRUE()),"",INDEX(tsk_WBS,GanttView[[#This Row],[_Row]]))</f>
        <v/>
      </c>
      <c r="C58" s="66" t="str">
        <f aca="false">IF(IFERROR(INDEX(tsk_Name,GanttView[[#This Row],[_Row]])="",TRUE()),"",REPT("    ",INDEX(tsk_Level,GanttView[[#This Row],[_Row]])-1)&amp;INDEX(tsk_Name,GanttView[[#This Row],[_Row]]))</f>
        <v/>
      </c>
      <c r="D5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8" s="67" t="str">
        <f aca="false">IF(IFERROR(INDEX(tsk_Name,GanttView[[#This Row],[_Row]])="",TRUE()),"",INDEX(tsk_PlanStart,GanttView[[#This Row],[_Row]]))</f>
        <v/>
      </c>
      <c r="F58" s="67" t="str">
        <f aca="false">IF(IFERROR(INDEX(tsk_Name,GanttView[[#This Row],[_Row]])="",TRUE()),"",INDEX(tsk_PlanFinish,GanttView[[#This Row],[_Row]]))</f>
        <v/>
      </c>
      <c r="G58" s="67" t="str">
        <f aca="false">IF(IFERROR(INDEX(tsk_Name,GanttView[[#This Row],[_Row]])="",TRUE()),"",INDEX(tsk_FcStart,GanttView[[#This Row],[_Row]]))</f>
        <v/>
      </c>
      <c r="H58" s="67" t="str">
        <f aca="false">IF(IFERROR(INDEX(tsk_Name,GanttView[[#This Row],[_Row]])="",TRUE()),"",INDEX(tsk_FcFinish,GanttView[[#This Row],[_Row]]))</f>
        <v/>
      </c>
      <c r="I58" s="68" t="str">
        <f aca="false">IF(IFERROR(INDEX(tsk_Name,GanttView[[#This Row],[_Row]])="",TRUE()),"",INDEX(tsk_Progress,GanttView[[#This Row],[_Row]]))</f>
        <v/>
      </c>
      <c r="J58" s="66" t="str">
        <f aca="false">IF(IFERROR(INDEX(tsk_Name,GanttView[[#This Row],[_Row]])="",TRUE()),"",INDEX(tsk_Resource,GanttView[[#This Row],[_Row]])&amp;"")</f>
        <v/>
      </c>
      <c r="K58" s="69" t="str">
        <f aca="false">IF(IFERROR(INDEX(tsk_Name,GanttView[[#This Row],[_Row]])="",TRUE()),"",INDEX(tsk_Status,GanttView[[#This Row],[_Row]]))</f>
        <v/>
      </c>
      <c r="L58" s="70" t="n">
        <f aca="false">ROW()-ROW(GanttView[[#Headers],[ID]])</f>
        <v>53</v>
      </c>
      <c r="M58" s="71" t="b">
        <f aca="false">IF(IFERROR(INDEX(tsk_Name,GanttView[[#This Row],[_Row]])="",TRUE()),FALSE(),INDEX(tsk_IsSummary,GanttView[[#This Row],[_Row]]))</f>
        <v>0</v>
      </c>
      <c r="N58" s="71" t="b">
        <f aca="false">IF(IFERROR(INDEX(tsk_Name,GanttView[[#This Row],[_Row]])="",TRUE()),FALSE(),AND(INDEX(tsk_IsLeaf,GanttView[[#This Row],[_Row]])=1,N(INDEX(tsk_Duration,GanttView[[#This Row],[_Row]]))=0))</f>
        <v>0</v>
      </c>
      <c r="O5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8" s="72" t="n">
        <f aca="false">IF(GanttView[[#This Row],[_RemFrom]]=0,0,GanttView[[#This Row],[Forecast Finish]])</f>
        <v>0</v>
      </c>
      <c r="S58" s="71" t="b">
        <f aca="false">IF(IFERROR(INDEX(tsk_Name,GanttView[[#This Row],[_Row]])="",TRUE()),FALSE(),N(INDEX(tsk_Variance,GanttView[[#This Row],[_Row]]))&gt;0)</f>
        <v>0</v>
      </c>
      <c r="T58" s="72" t="n">
        <f aca="false">IF(IFERROR(INDEX(tsk_Name,GanttView[[#This Row],[_Row]])="",TRUE()),0,N(INDEX(tsk_Deadline,GanttView[[#This Row],[_Row]])))</f>
        <v>0</v>
      </c>
    </row>
    <row r="59" customFormat="false" ht="15" hidden="false" customHeight="false" outlineLevel="0" collapsed="false">
      <c r="A59" s="65" t="str">
        <f aca="false">IF(IFERROR(INDEX(tsk_Name,GanttView[[#This Row],[_Row]])="",TRUE()),"",INDEX(tsk_ID,GanttView[[#This Row],[_Row]]))</f>
        <v/>
      </c>
      <c r="B59" s="65" t="str">
        <f aca="false">IF(IFERROR(INDEX(tsk_Name,GanttView[[#This Row],[_Row]])="",TRUE()),"",INDEX(tsk_WBS,GanttView[[#This Row],[_Row]]))</f>
        <v/>
      </c>
      <c r="C59" s="66" t="str">
        <f aca="false">IF(IFERROR(INDEX(tsk_Name,GanttView[[#This Row],[_Row]])="",TRUE()),"",REPT("    ",INDEX(tsk_Level,GanttView[[#This Row],[_Row]])-1)&amp;INDEX(tsk_Name,GanttView[[#This Row],[_Row]]))</f>
        <v/>
      </c>
      <c r="D5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9" s="67" t="str">
        <f aca="false">IF(IFERROR(INDEX(tsk_Name,GanttView[[#This Row],[_Row]])="",TRUE()),"",INDEX(tsk_PlanStart,GanttView[[#This Row],[_Row]]))</f>
        <v/>
      </c>
      <c r="F59" s="67" t="str">
        <f aca="false">IF(IFERROR(INDEX(tsk_Name,GanttView[[#This Row],[_Row]])="",TRUE()),"",INDEX(tsk_PlanFinish,GanttView[[#This Row],[_Row]]))</f>
        <v/>
      </c>
      <c r="G59" s="67" t="str">
        <f aca="false">IF(IFERROR(INDEX(tsk_Name,GanttView[[#This Row],[_Row]])="",TRUE()),"",INDEX(tsk_FcStart,GanttView[[#This Row],[_Row]]))</f>
        <v/>
      </c>
      <c r="H59" s="67" t="str">
        <f aca="false">IF(IFERROR(INDEX(tsk_Name,GanttView[[#This Row],[_Row]])="",TRUE()),"",INDEX(tsk_FcFinish,GanttView[[#This Row],[_Row]]))</f>
        <v/>
      </c>
      <c r="I59" s="68" t="str">
        <f aca="false">IF(IFERROR(INDEX(tsk_Name,GanttView[[#This Row],[_Row]])="",TRUE()),"",INDEX(tsk_Progress,GanttView[[#This Row],[_Row]]))</f>
        <v/>
      </c>
      <c r="J59" s="66" t="str">
        <f aca="false">IF(IFERROR(INDEX(tsk_Name,GanttView[[#This Row],[_Row]])="",TRUE()),"",INDEX(tsk_Resource,GanttView[[#This Row],[_Row]])&amp;"")</f>
        <v/>
      </c>
      <c r="K59" s="69" t="str">
        <f aca="false">IF(IFERROR(INDEX(tsk_Name,GanttView[[#This Row],[_Row]])="",TRUE()),"",INDEX(tsk_Status,GanttView[[#This Row],[_Row]]))</f>
        <v/>
      </c>
      <c r="L59" s="70" t="n">
        <f aca="false">ROW()-ROW(GanttView[[#Headers],[ID]])</f>
        <v>54</v>
      </c>
      <c r="M59" s="71" t="b">
        <f aca="false">IF(IFERROR(INDEX(tsk_Name,GanttView[[#This Row],[_Row]])="",TRUE()),FALSE(),INDEX(tsk_IsSummary,GanttView[[#This Row],[_Row]]))</f>
        <v>0</v>
      </c>
      <c r="N59" s="71" t="b">
        <f aca="false">IF(IFERROR(INDEX(tsk_Name,GanttView[[#This Row],[_Row]])="",TRUE()),FALSE(),AND(INDEX(tsk_IsLeaf,GanttView[[#This Row],[_Row]])=1,N(INDEX(tsk_Duration,GanttView[[#This Row],[_Row]]))=0))</f>
        <v>0</v>
      </c>
      <c r="O5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9" s="72" t="n">
        <f aca="false">IF(GanttView[[#This Row],[_RemFrom]]=0,0,GanttView[[#This Row],[Forecast Finish]])</f>
        <v>0</v>
      </c>
      <c r="S59" s="71" t="b">
        <f aca="false">IF(IFERROR(INDEX(tsk_Name,GanttView[[#This Row],[_Row]])="",TRUE()),FALSE(),N(INDEX(tsk_Variance,GanttView[[#This Row],[_Row]]))&gt;0)</f>
        <v>0</v>
      </c>
      <c r="T59" s="72" t="n">
        <f aca="false">IF(IFERROR(INDEX(tsk_Name,GanttView[[#This Row],[_Row]])="",TRUE()),0,N(INDEX(tsk_Deadline,GanttView[[#This Row],[_Row]])))</f>
        <v>0</v>
      </c>
    </row>
    <row r="60" customFormat="false" ht="15" hidden="false" customHeight="false" outlineLevel="0" collapsed="false">
      <c r="A60" s="65" t="str">
        <f aca="false">IF(IFERROR(INDEX(tsk_Name,GanttView[[#This Row],[_Row]])="",TRUE()),"",INDEX(tsk_ID,GanttView[[#This Row],[_Row]]))</f>
        <v/>
      </c>
      <c r="B60" s="65" t="str">
        <f aca="false">IF(IFERROR(INDEX(tsk_Name,GanttView[[#This Row],[_Row]])="",TRUE()),"",INDEX(tsk_WBS,GanttView[[#This Row],[_Row]]))</f>
        <v/>
      </c>
      <c r="C60" s="66" t="str">
        <f aca="false">IF(IFERROR(INDEX(tsk_Name,GanttView[[#This Row],[_Row]])="",TRUE()),"",REPT("    ",INDEX(tsk_Level,GanttView[[#This Row],[_Row]])-1)&amp;INDEX(tsk_Name,GanttView[[#This Row],[_Row]]))</f>
        <v/>
      </c>
      <c r="D6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0" s="67" t="str">
        <f aca="false">IF(IFERROR(INDEX(tsk_Name,GanttView[[#This Row],[_Row]])="",TRUE()),"",INDEX(tsk_PlanStart,GanttView[[#This Row],[_Row]]))</f>
        <v/>
      </c>
      <c r="F60" s="67" t="str">
        <f aca="false">IF(IFERROR(INDEX(tsk_Name,GanttView[[#This Row],[_Row]])="",TRUE()),"",INDEX(tsk_PlanFinish,GanttView[[#This Row],[_Row]]))</f>
        <v/>
      </c>
      <c r="G60" s="67" t="str">
        <f aca="false">IF(IFERROR(INDEX(tsk_Name,GanttView[[#This Row],[_Row]])="",TRUE()),"",INDEX(tsk_FcStart,GanttView[[#This Row],[_Row]]))</f>
        <v/>
      </c>
      <c r="H60" s="67" t="str">
        <f aca="false">IF(IFERROR(INDEX(tsk_Name,GanttView[[#This Row],[_Row]])="",TRUE()),"",INDEX(tsk_FcFinish,GanttView[[#This Row],[_Row]]))</f>
        <v/>
      </c>
      <c r="I60" s="68" t="str">
        <f aca="false">IF(IFERROR(INDEX(tsk_Name,GanttView[[#This Row],[_Row]])="",TRUE()),"",INDEX(tsk_Progress,GanttView[[#This Row],[_Row]]))</f>
        <v/>
      </c>
      <c r="J60" s="66" t="str">
        <f aca="false">IF(IFERROR(INDEX(tsk_Name,GanttView[[#This Row],[_Row]])="",TRUE()),"",INDEX(tsk_Resource,GanttView[[#This Row],[_Row]])&amp;"")</f>
        <v/>
      </c>
      <c r="K60" s="69" t="str">
        <f aca="false">IF(IFERROR(INDEX(tsk_Name,GanttView[[#This Row],[_Row]])="",TRUE()),"",INDEX(tsk_Status,GanttView[[#This Row],[_Row]]))</f>
        <v/>
      </c>
      <c r="L60" s="70" t="n">
        <f aca="false">ROW()-ROW(GanttView[[#Headers],[ID]])</f>
        <v>55</v>
      </c>
      <c r="M60" s="71" t="b">
        <f aca="false">IF(IFERROR(INDEX(tsk_Name,GanttView[[#This Row],[_Row]])="",TRUE()),FALSE(),INDEX(tsk_IsSummary,GanttView[[#This Row],[_Row]]))</f>
        <v>0</v>
      </c>
      <c r="N60" s="71" t="b">
        <f aca="false">IF(IFERROR(INDEX(tsk_Name,GanttView[[#This Row],[_Row]])="",TRUE()),FALSE(),AND(INDEX(tsk_IsLeaf,GanttView[[#This Row],[_Row]])=1,N(INDEX(tsk_Duration,GanttView[[#This Row],[_Row]]))=0))</f>
        <v>0</v>
      </c>
      <c r="O6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0" s="72" t="n">
        <f aca="false">IF(GanttView[[#This Row],[_RemFrom]]=0,0,GanttView[[#This Row],[Forecast Finish]])</f>
        <v>0</v>
      </c>
      <c r="S60" s="71" t="b">
        <f aca="false">IF(IFERROR(INDEX(tsk_Name,GanttView[[#This Row],[_Row]])="",TRUE()),FALSE(),N(INDEX(tsk_Variance,GanttView[[#This Row],[_Row]]))&gt;0)</f>
        <v>0</v>
      </c>
      <c r="T60" s="72" t="n">
        <f aca="false">IF(IFERROR(INDEX(tsk_Name,GanttView[[#This Row],[_Row]])="",TRUE()),0,N(INDEX(tsk_Deadline,GanttView[[#This Row],[_Row]])))</f>
        <v>0</v>
      </c>
    </row>
    <row r="61" customFormat="false" ht="15" hidden="false" customHeight="false" outlineLevel="0" collapsed="false">
      <c r="A61" s="65" t="str">
        <f aca="false">IF(IFERROR(INDEX(tsk_Name,GanttView[[#This Row],[_Row]])="",TRUE()),"",INDEX(tsk_ID,GanttView[[#This Row],[_Row]]))</f>
        <v/>
      </c>
      <c r="B61" s="65" t="str">
        <f aca="false">IF(IFERROR(INDEX(tsk_Name,GanttView[[#This Row],[_Row]])="",TRUE()),"",INDEX(tsk_WBS,GanttView[[#This Row],[_Row]]))</f>
        <v/>
      </c>
      <c r="C61" s="66" t="str">
        <f aca="false">IF(IFERROR(INDEX(tsk_Name,GanttView[[#This Row],[_Row]])="",TRUE()),"",REPT("    ",INDEX(tsk_Level,GanttView[[#This Row],[_Row]])-1)&amp;INDEX(tsk_Name,GanttView[[#This Row],[_Row]]))</f>
        <v/>
      </c>
      <c r="D6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1" s="67" t="str">
        <f aca="false">IF(IFERROR(INDEX(tsk_Name,GanttView[[#This Row],[_Row]])="",TRUE()),"",INDEX(tsk_PlanStart,GanttView[[#This Row],[_Row]]))</f>
        <v/>
      </c>
      <c r="F61" s="67" t="str">
        <f aca="false">IF(IFERROR(INDEX(tsk_Name,GanttView[[#This Row],[_Row]])="",TRUE()),"",INDEX(tsk_PlanFinish,GanttView[[#This Row],[_Row]]))</f>
        <v/>
      </c>
      <c r="G61" s="67" t="str">
        <f aca="false">IF(IFERROR(INDEX(tsk_Name,GanttView[[#This Row],[_Row]])="",TRUE()),"",INDEX(tsk_FcStart,GanttView[[#This Row],[_Row]]))</f>
        <v/>
      </c>
      <c r="H61" s="67" t="str">
        <f aca="false">IF(IFERROR(INDEX(tsk_Name,GanttView[[#This Row],[_Row]])="",TRUE()),"",INDEX(tsk_FcFinish,GanttView[[#This Row],[_Row]]))</f>
        <v/>
      </c>
      <c r="I61" s="68" t="str">
        <f aca="false">IF(IFERROR(INDEX(tsk_Name,GanttView[[#This Row],[_Row]])="",TRUE()),"",INDEX(tsk_Progress,GanttView[[#This Row],[_Row]]))</f>
        <v/>
      </c>
      <c r="J61" s="66" t="str">
        <f aca="false">IF(IFERROR(INDEX(tsk_Name,GanttView[[#This Row],[_Row]])="",TRUE()),"",INDEX(tsk_Resource,GanttView[[#This Row],[_Row]])&amp;"")</f>
        <v/>
      </c>
      <c r="K61" s="69" t="str">
        <f aca="false">IF(IFERROR(INDEX(tsk_Name,GanttView[[#This Row],[_Row]])="",TRUE()),"",INDEX(tsk_Status,GanttView[[#This Row],[_Row]]))</f>
        <v/>
      </c>
      <c r="L61" s="70" t="n">
        <f aca="false">ROW()-ROW(GanttView[[#Headers],[ID]])</f>
        <v>56</v>
      </c>
      <c r="M61" s="71" t="b">
        <f aca="false">IF(IFERROR(INDEX(tsk_Name,GanttView[[#This Row],[_Row]])="",TRUE()),FALSE(),INDEX(tsk_IsSummary,GanttView[[#This Row],[_Row]]))</f>
        <v>0</v>
      </c>
      <c r="N61" s="71" t="b">
        <f aca="false">IF(IFERROR(INDEX(tsk_Name,GanttView[[#This Row],[_Row]])="",TRUE()),FALSE(),AND(INDEX(tsk_IsLeaf,GanttView[[#This Row],[_Row]])=1,N(INDEX(tsk_Duration,GanttView[[#This Row],[_Row]]))=0))</f>
        <v>0</v>
      </c>
      <c r="O6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1" s="72" t="n">
        <f aca="false">IF(GanttView[[#This Row],[_RemFrom]]=0,0,GanttView[[#This Row],[Forecast Finish]])</f>
        <v>0</v>
      </c>
      <c r="S61" s="71" t="b">
        <f aca="false">IF(IFERROR(INDEX(tsk_Name,GanttView[[#This Row],[_Row]])="",TRUE()),FALSE(),N(INDEX(tsk_Variance,GanttView[[#This Row],[_Row]]))&gt;0)</f>
        <v>0</v>
      </c>
      <c r="T61" s="72" t="n">
        <f aca="false">IF(IFERROR(INDEX(tsk_Name,GanttView[[#This Row],[_Row]])="",TRUE()),0,N(INDEX(tsk_Deadline,GanttView[[#This Row],[_Row]])))</f>
        <v>0</v>
      </c>
    </row>
    <row r="62" customFormat="false" ht="15" hidden="false" customHeight="false" outlineLevel="0" collapsed="false">
      <c r="A62" s="65" t="str">
        <f aca="false">IF(IFERROR(INDEX(tsk_Name,GanttView[[#This Row],[_Row]])="",TRUE()),"",INDEX(tsk_ID,GanttView[[#This Row],[_Row]]))</f>
        <v/>
      </c>
      <c r="B62" s="65" t="str">
        <f aca="false">IF(IFERROR(INDEX(tsk_Name,GanttView[[#This Row],[_Row]])="",TRUE()),"",INDEX(tsk_WBS,GanttView[[#This Row],[_Row]]))</f>
        <v/>
      </c>
      <c r="C62" s="66" t="str">
        <f aca="false">IF(IFERROR(INDEX(tsk_Name,GanttView[[#This Row],[_Row]])="",TRUE()),"",REPT("    ",INDEX(tsk_Level,GanttView[[#This Row],[_Row]])-1)&amp;INDEX(tsk_Name,GanttView[[#This Row],[_Row]]))</f>
        <v/>
      </c>
      <c r="D6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2" s="67" t="str">
        <f aca="false">IF(IFERROR(INDEX(tsk_Name,GanttView[[#This Row],[_Row]])="",TRUE()),"",INDEX(tsk_PlanStart,GanttView[[#This Row],[_Row]]))</f>
        <v/>
      </c>
      <c r="F62" s="67" t="str">
        <f aca="false">IF(IFERROR(INDEX(tsk_Name,GanttView[[#This Row],[_Row]])="",TRUE()),"",INDEX(tsk_PlanFinish,GanttView[[#This Row],[_Row]]))</f>
        <v/>
      </c>
      <c r="G62" s="67" t="str">
        <f aca="false">IF(IFERROR(INDEX(tsk_Name,GanttView[[#This Row],[_Row]])="",TRUE()),"",INDEX(tsk_FcStart,GanttView[[#This Row],[_Row]]))</f>
        <v/>
      </c>
      <c r="H62" s="67" t="str">
        <f aca="false">IF(IFERROR(INDEX(tsk_Name,GanttView[[#This Row],[_Row]])="",TRUE()),"",INDEX(tsk_FcFinish,GanttView[[#This Row],[_Row]]))</f>
        <v/>
      </c>
      <c r="I62" s="68" t="str">
        <f aca="false">IF(IFERROR(INDEX(tsk_Name,GanttView[[#This Row],[_Row]])="",TRUE()),"",INDEX(tsk_Progress,GanttView[[#This Row],[_Row]]))</f>
        <v/>
      </c>
      <c r="J62" s="66" t="str">
        <f aca="false">IF(IFERROR(INDEX(tsk_Name,GanttView[[#This Row],[_Row]])="",TRUE()),"",INDEX(tsk_Resource,GanttView[[#This Row],[_Row]])&amp;"")</f>
        <v/>
      </c>
      <c r="K62" s="69" t="str">
        <f aca="false">IF(IFERROR(INDEX(tsk_Name,GanttView[[#This Row],[_Row]])="",TRUE()),"",INDEX(tsk_Status,GanttView[[#This Row],[_Row]]))</f>
        <v/>
      </c>
      <c r="L62" s="70" t="n">
        <f aca="false">ROW()-ROW(GanttView[[#Headers],[ID]])</f>
        <v>57</v>
      </c>
      <c r="M62" s="71" t="b">
        <f aca="false">IF(IFERROR(INDEX(tsk_Name,GanttView[[#This Row],[_Row]])="",TRUE()),FALSE(),INDEX(tsk_IsSummary,GanttView[[#This Row],[_Row]]))</f>
        <v>0</v>
      </c>
      <c r="N62" s="71" t="b">
        <f aca="false">IF(IFERROR(INDEX(tsk_Name,GanttView[[#This Row],[_Row]])="",TRUE()),FALSE(),AND(INDEX(tsk_IsLeaf,GanttView[[#This Row],[_Row]])=1,N(INDEX(tsk_Duration,GanttView[[#This Row],[_Row]]))=0))</f>
        <v>0</v>
      </c>
      <c r="O6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2" s="72" t="n">
        <f aca="false">IF(GanttView[[#This Row],[_RemFrom]]=0,0,GanttView[[#This Row],[Forecast Finish]])</f>
        <v>0</v>
      </c>
      <c r="S62" s="71" t="b">
        <f aca="false">IF(IFERROR(INDEX(tsk_Name,GanttView[[#This Row],[_Row]])="",TRUE()),FALSE(),N(INDEX(tsk_Variance,GanttView[[#This Row],[_Row]]))&gt;0)</f>
        <v>0</v>
      </c>
      <c r="T62" s="72" t="n">
        <f aca="false">IF(IFERROR(INDEX(tsk_Name,GanttView[[#This Row],[_Row]])="",TRUE()),0,N(INDEX(tsk_Deadline,GanttView[[#This Row],[_Row]])))</f>
        <v>0</v>
      </c>
    </row>
    <row r="63" customFormat="false" ht="15" hidden="false" customHeight="false" outlineLevel="0" collapsed="false">
      <c r="A63" s="65" t="str">
        <f aca="false">IF(IFERROR(INDEX(tsk_Name,GanttView[[#This Row],[_Row]])="",TRUE()),"",INDEX(tsk_ID,GanttView[[#This Row],[_Row]]))</f>
        <v/>
      </c>
      <c r="B63" s="65" t="str">
        <f aca="false">IF(IFERROR(INDEX(tsk_Name,GanttView[[#This Row],[_Row]])="",TRUE()),"",INDEX(tsk_WBS,GanttView[[#This Row],[_Row]]))</f>
        <v/>
      </c>
      <c r="C63" s="66" t="str">
        <f aca="false">IF(IFERROR(INDEX(tsk_Name,GanttView[[#This Row],[_Row]])="",TRUE()),"",REPT("    ",INDEX(tsk_Level,GanttView[[#This Row],[_Row]])-1)&amp;INDEX(tsk_Name,GanttView[[#This Row],[_Row]]))</f>
        <v/>
      </c>
      <c r="D6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3" s="67" t="str">
        <f aca="false">IF(IFERROR(INDEX(tsk_Name,GanttView[[#This Row],[_Row]])="",TRUE()),"",INDEX(tsk_PlanStart,GanttView[[#This Row],[_Row]]))</f>
        <v/>
      </c>
      <c r="F63" s="67" t="str">
        <f aca="false">IF(IFERROR(INDEX(tsk_Name,GanttView[[#This Row],[_Row]])="",TRUE()),"",INDEX(tsk_PlanFinish,GanttView[[#This Row],[_Row]]))</f>
        <v/>
      </c>
      <c r="G63" s="67" t="str">
        <f aca="false">IF(IFERROR(INDEX(tsk_Name,GanttView[[#This Row],[_Row]])="",TRUE()),"",INDEX(tsk_FcStart,GanttView[[#This Row],[_Row]]))</f>
        <v/>
      </c>
      <c r="H63" s="67" t="str">
        <f aca="false">IF(IFERROR(INDEX(tsk_Name,GanttView[[#This Row],[_Row]])="",TRUE()),"",INDEX(tsk_FcFinish,GanttView[[#This Row],[_Row]]))</f>
        <v/>
      </c>
      <c r="I63" s="68" t="str">
        <f aca="false">IF(IFERROR(INDEX(tsk_Name,GanttView[[#This Row],[_Row]])="",TRUE()),"",INDEX(tsk_Progress,GanttView[[#This Row],[_Row]]))</f>
        <v/>
      </c>
      <c r="J63" s="66" t="str">
        <f aca="false">IF(IFERROR(INDEX(tsk_Name,GanttView[[#This Row],[_Row]])="",TRUE()),"",INDEX(tsk_Resource,GanttView[[#This Row],[_Row]])&amp;"")</f>
        <v/>
      </c>
      <c r="K63" s="69" t="str">
        <f aca="false">IF(IFERROR(INDEX(tsk_Name,GanttView[[#This Row],[_Row]])="",TRUE()),"",INDEX(tsk_Status,GanttView[[#This Row],[_Row]]))</f>
        <v/>
      </c>
      <c r="L63" s="70" t="n">
        <f aca="false">ROW()-ROW(GanttView[[#Headers],[ID]])</f>
        <v>58</v>
      </c>
      <c r="M63" s="71" t="b">
        <f aca="false">IF(IFERROR(INDEX(tsk_Name,GanttView[[#This Row],[_Row]])="",TRUE()),FALSE(),INDEX(tsk_IsSummary,GanttView[[#This Row],[_Row]]))</f>
        <v>0</v>
      </c>
      <c r="N63" s="71" t="b">
        <f aca="false">IF(IFERROR(INDEX(tsk_Name,GanttView[[#This Row],[_Row]])="",TRUE()),FALSE(),AND(INDEX(tsk_IsLeaf,GanttView[[#This Row],[_Row]])=1,N(INDEX(tsk_Duration,GanttView[[#This Row],[_Row]]))=0))</f>
        <v>0</v>
      </c>
      <c r="O6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3" s="72" t="n">
        <f aca="false">IF(GanttView[[#This Row],[_RemFrom]]=0,0,GanttView[[#This Row],[Forecast Finish]])</f>
        <v>0</v>
      </c>
      <c r="S63" s="71" t="b">
        <f aca="false">IF(IFERROR(INDEX(tsk_Name,GanttView[[#This Row],[_Row]])="",TRUE()),FALSE(),N(INDEX(tsk_Variance,GanttView[[#This Row],[_Row]]))&gt;0)</f>
        <v>0</v>
      </c>
      <c r="T63" s="72" t="n">
        <f aca="false">IF(IFERROR(INDEX(tsk_Name,GanttView[[#This Row],[_Row]])="",TRUE()),0,N(INDEX(tsk_Deadline,GanttView[[#This Row],[_Row]])))</f>
        <v>0</v>
      </c>
    </row>
    <row r="64" customFormat="false" ht="15" hidden="false" customHeight="false" outlineLevel="0" collapsed="false">
      <c r="A64" s="65" t="str">
        <f aca="false">IF(IFERROR(INDEX(tsk_Name,GanttView[[#This Row],[_Row]])="",TRUE()),"",INDEX(tsk_ID,GanttView[[#This Row],[_Row]]))</f>
        <v/>
      </c>
      <c r="B64" s="65" t="str">
        <f aca="false">IF(IFERROR(INDEX(tsk_Name,GanttView[[#This Row],[_Row]])="",TRUE()),"",INDEX(tsk_WBS,GanttView[[#This Row],[_Row]]))</f>
        <v/>
      </c>
      <c r="C64" s="66" t="str">
        <f aca="false">IF(IFERROR(INDEX(tsk_Name,GanttView[[#This Row],[_Row]])="",TRUE()),"",REPT("    ",INDEX(tsk_Level,GanttView[[#This Row],[_Row]])-1)&amp;INDEX(tsk_Name,GanttView[[#This Row],[_Row]]))</f>
        <v/>
      </c>
      <c r="D6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4" s="67" t="str">
        <f aca="false">IF(IFERROR(INDEX(tsk_Name,GanttView[[#This Row],[_Row]])="",TRUE()),"",INDEX(tsk_PlanStart,GanttView[[#This Row],[_Row]]))</f>
        <v/>
      </c>
      <c r="F64" s="67" t="str">
        <f aca="false">IF(IFERROR(INDEX(tsk_Name,GanttView[[#This Row],[_Row]])="",TRUE()),"",INDEX(tsk_PlanFinish,GanttView[[#This Row],[_Row]]))</f>
        <v/>
      </c>
      <c r="G64" s="67" t="str">
        <f aca="false">IF(IFERROR(INDEX(tsk_Name,GanttView[[#This Row],[_Row]])="",TRUE()),"",INDEX(tsk_FcStart,GanttView[[#This Row],[_Row]]))</f>
        <v/>
      </c>
      <c r="H64" s="67" t="str">
        <f aca="false">IF(IFERROR(INDEX(tsk_Name,GanttView[[#This Row],[_Row]])="",TRUE()),"",INDEX(tsk_FcFinish,GanttView[[#This Row],[_Row]]))</f>
        <v/>
      </c>
      <c r="I64" s="68" t="str">
        <f aca="false">IF(IFERROR(INDEX(tsk_Name,GanttView[[#This Row],[_Row]])="",TRUE()),"",INDEX(tsk_Progress,GanttView[[#This Row],[_Row]]))</f>
        <v/>
      </c>
      <c r="J64" s="66" t="str">
        <f aca="false">IF(IFERROR(INDEX(tsk_Name,GanttView[[#This Row],[_Row]])="",TRUE()),"",INDEX(tsk_Resource,GanttView[[#This Row],[_Row]])&amp;"")</f>
        <v/>
      </c>
      <c r="K64" s="69" t="str">
        <f aca="false">IF(IFERROR(INDEX(tsk_Name,GanttView[[#This Row],[_Row]])="",TRUE()),"",INDEX(tsk_Status,GanttView[[#This Row],[_Row]]))</f>
        <v/>
      </c>
      <c r="L64" s="70" t="n">
        <f aca="false">ROW()-ROW(GanttView[[#Headers],[ID]])</f>
        <v>59</v>
      </c>
      <c r="M64" s="71" t="b">
        <f aca="false">IF(IFERROR(INDEX(tsk_Name,GanttView[[#This Row],[_Row]])="",TRUE()),FALSE(),INDEX(tsk_IsSummary,GanttView[[#This Row],[_Row]]))</f>
        <v>0</v>
      </c>
      <c r="N64" s="71" t="b">
        <f aca="false">IF(IFERROR(INDEX(tsk_Name,GanttView[[#This Row],[_Row]])="",TRUE()),FALSE(),AND(INDEX(tsk_IsLeaf,GanttView[[#This Row],[_Row]])=1,N(INDEX(tsk_Duration,GanttView[[#This Row],[_Row]]))=0))</f>
        <v>0</v>
      </c>
      <c r="O6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4" s="72" t="n">
        <f aca="false">IF(GanttView[[#This Row],[_RemFrom]]=0,0,GanttView[[#This Row],[Forecast Finish]])</f>
        <v>0</v>
      </c>
      <c r="S64" s="71" t="b">
        <f aca="false">IF(IFERROR(INDEX(tsk_Name,GanttView[[#This Row],[_Row]])="",TRUE()),FALSE(),N(INDEX(tsk_Variance,GanttView[[#This Row],[_Row]]))&gt;0)</f>
        <v>0</v>
      </c>
      <c r="T64" s="72" t="n">
        <f aca="false">IF(IFERROR(INDEX(tsk_Name,GanttView[[#This Row],[_Row]])="",TRUE()),0,N(INDEX(tsk_Deadline,GanttView[[#This Row],[_Row]])))</f>
        <v>0</v>
      </c>
    </row>
    <row r="65" customFormat="false" ht="15" hidden="false" customHeight="false" outlineLevel="0" collapsed="false">
      <c r="A65" s="65" t="str">
        <f aca="false">IF(IFERROR(INDEX(tsk_Name,GanttView[[#This Row],[_Row]])="",TRUE()),"",INDEX(tsk_ID,GanttView[[#This Row],[_Row]]))</f>
        <v/>
      </c>
      <c r="B65" s="65" t="str">
        <f aca="false">IF(IFERROR(INDEX(tsk_Name,GanttView[[#This Row],[_Row]])="",TRUE()),"",INDEX(tsk_WBS,GanttView[[#This Row],[_Row]]))</f>
        <v/>
      </c>
      <c r="C65" s="66" t="str">
        <f aca="false">IF(IFERROR(INDEX(tsk_Name,GanttView[[#This Row],[_Row]])="",TRUE()),"",REPT("    ",INDEX(tsk_Level,GanttView[[#This Row],[_Row]])-1)&amp;INDEX(tsk_Name,GanttView[[#This Row],[_Row]]))</f>
        <v/>
      </c>
      <c r="D6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5" s="67" t="str">
        <f aca="false">IF(IFERROR(INDEX(tsk_Name,GanttView[[#This Row],[_Row]])="",TRUE()),"",INDEX(tsk_PlanStart,GanttView[[#This Row],[_Row]]))</f>
        <v/>
      </c>
      <c r="F65" s="67" t="str">
        <f aca="false">IF(IFERROR(INDEX(tsk_Name,GanttView[[#This Row],[_Row]])="",TRUE()),"",INDEX(tsk_PlanFinish,GanttView[[#This Row],[_Row]]))</f>
        <v/>
      </c>
      <c r="G65" s="67" t="str">
        <f aca="false">IF(IFERROR(INDEX(tsk_Name,GanttView[[#This Row],[_Row]])="",TRUE()),"",INDEX(tsk_FcStart,GanttView[[#This Row],[_Row]]))</f>
        <v/>
      </c>
      <c r="H65" s="67" t="str">
        <f aca="false">IF(IFERROR(INDEX(tsk_Name,GanttView[[#This Row],[_Row]])="",TRUE()),"",INDEX(tsk_FcFinish,GanttView[[#This Row],[_Row]]))</f>
        <v/>
      </c>
      <c r="I65" s="68" t="str">
        <f aca="false">IF(IFERROR(INDEX(tsk_Name,GanttView[[#This Row],[_Row]])="",TRUE()),"",INDEX(tsk_Progress,GanttView[[#This Row],[_Row]]))</f>
        <v/>
      </c>
      <c r="J65" s="66" t="str">
        <f aca="false">IF(IFERROR(INDEX(tsk_Name,GanttView[[#This Row],[_Row]])="",TRUE()),"",INDEX(tsk_Resource,GanttView[[#This Row],[_Row]])&amp;"")</f>
        <v/>
      </c>
      <c r="K65" s="69" t="str">
        <f aca="false">IF(IFERROR(INDEX(tsk_Name,GanttView[[#This Row],[_Row]])="",TRUE()),"",INDEX(tsk_Status,GanttView[[#This Row],[_Row]]))</f>
        <v/>
      </c>
      <c r="L65" s="70" t="n">
        <f aca="false">ROW()-ROW(GanttView[[#Headers],[ID]])</f>
        <v>60</v>
      </c>
      <c r="M65" s="71" t="b">
        <f aca="false">IF(IFERROR(INDEX(tsk_Name,GanttView[[#This Row],[_Row]])="",TRUE()),FALSE(),INDEX(tsk_IsSummary,GanttView[[#This Row],[_Row]]))</f>
        <v>0</v>
      </c>
      <c r="N65" s="71" t="b">
        <f aca="false">IF(IFERROR(INDEX(tsk_Name,GanttView[[#This Row],[_Row]])="",TRUE()),FALSE(),AND(INDEX(tsk_IsLeaf,GanttView[[#This Row],[_Row]])=1,N(INDEX(tsk_Duration,GanttView[[#This Row],[_Row]]))=0))</f>
        <v>0</v>
      </c>
      <c r="O6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5" s="72" t="n">
        <f aca="false">IF(GanttView[[#This Row],[_RemFrom]]=0,0,GanttView[[#This Row],[Forecast Finish]])</f>
        <v>0</v>
      </c>
      <c r="S65" s="71" t="b">
        <f aca="false">IF(IFERROR(INDEX(tsk_Name,GanttView[[#This Row],[_Row]])="",TRUE()),FALSE(),N(INDEX(tsk_Variance,GanttView[[#This Row],[_Row]]))&gt;0)</f>
        <v>0</v>
      </c>
      <c r="T65" s="72" t="n">
        <f aca="false">IF(IFERROR(INDEX(tsk_Name,GanttView[[#This Row],[_Row]])="",TRUE()),0,N(INDEX(tsk_Deadline,GanttView[[#This Row],[_Row]])))</f>
        <v>0</v>
      </c>
    </row>
    <row r="66" customFormat="false" ht="15" hidden="false" customHeight="false" outlineLevel="0" collapsed="false">
      <c r="A66" s="65" t="str">
        <f aca="false">IF(IFERROR(INDEX(tsk_Name,GanttView[[#This Row],[_Row]])="",TRUE()),"",INDEX(tsk_ID,GanttView[[#This Row],[_Row]]))</f>
        <v/>
      </c>
      <c r="B66" s="65" t="str">
        <f aca="false">IF(IFERROR(INDEX(tsk_Name,GanttView[[#This Row],[_Row]])="",TRUE()),"",INDEX(tsk_WBS,GanttView[[#This Row],[_Row]]))</f>
        <v/>
      </c>
      <c r="C66" s="66" t="str">
        <f aca="false">IF(IFERROR(INDEX(tsk_Name,GanttView[[#This Row],[_Row]])="",TRUE()),"",REPT("    ",INDEX(tsk_Level,GanttView[[#This Row],[_Row]])-1)&amp;INDEX(tsk_Name,GanttView[[#This Row],[_Row]]))</f>
        <v/>
      </c>
      <c r="D6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6" s="67" t="str">
        <f aca="false">IF(IFERROR(INDEX(tsk_Name,GanttView[[#This Row],[_Row]])="",TRUE()),"",INDEX(tsk_PlanStart,GanttView[[#This Row],[_Row]]))</f>
        <v/>
      </c>
      <c r="F66" s="67" t="str">
        <f aca="false">IF(IFERROR(INDEX(tsk_Name,GanttView[[#This Row],[_Row]])="",TRUE()),"",INDEX(tsk_PlanFinish,GanttView[[#This Row],[_Row]]))</f>
        <v/>
      </c>
      <c r="G66" s="67" t="str">
        <f aca="false">IF(IFERROR(INDEX(tsk_Name,GanttView[[#This Row],[_Row]])="",TRUE()),"",INDEX(tsk_FcStart,GanttView[[#This Row],[_Row]]))</f>
        <v/>
      </c>
      <c r="H66" s="67" t="str">
        <f aca="false">IF(IFERROR(INDEX(tsk_Name,GanttView[[#This Row],[_Row]])="",TRUE()),"",INDEX(tsk_FcFinish,GanttView[[#This Row],[_Row]]))</f>
        <v/>
      </c>
      <c r="I66" s="68" t="str">
        <f aca="false">IF(IFERROR(INDEX(tsk_Name,GanttView[[#This Row],[_Row]])="",TRUE()),"",INDEX(tsk_Progress,GanttView[[#This Row],[_Row]]))</f>
        <v/>
      </c>
      <c r="J66" s="66" t="str">
        <f aca="false">IF(IFERROR(INDEX(tsk_Name,GanttView[[#This Row],[_Row]])="",TRUE()),"",INDEX(tsk_Resource,GanttView[[#This Row],[_Row]])&amp;"")</f>
        <v/>
      </c>
      <c r="K66" s="69" t="str">
        <f aca="false">IF(IFERROR(INDEX(tsk_Name,GanttView[[#This Row],[_Row]])="",TRUE()),"",INDEX(tsk_Status,GanttView[[#This Row],[_Row]]))</f>
        <v/>
      </c>
      <c r="L66" s="70" t="n">
        <f aca="false">ROW()-ROW(GanttView[[#Headers],[ID]])</f>
        <v>61</v>
      </c>
      <c r="M66" s="71" t="b">
        <f aca="false">IF(IFERROR(INDEX(tsk_Name,GanttView[[#This Row],[_Row]])="",TRUE()),FALSE(),INDEX(tsk_IsSummary,GanttView[[#This Row],[_Row]]))</f>
        <v>0</v>
      </c>
      <c r="N66" s="71" t="b">
        <f aca="false">IF(IFERROR(INDEX(tsk_Name,GanttView[[#This Row],[_Row]])="",TRUE()),FALSE(),AND(INDEX(tsk_IsLeaf,GanttView[[#This Row],[_Row]])=1,N(INDEX(tsk_Duration,GanttView[[#This Row],[_Row]]))=0))</f>
        <v>0</v>
      </c>
      <c r="O6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6" s="72" t="n">
        <f aca="false">IF(GanttView[[#This Row],[_RemFrom]]=0,0,GanttView[[#This Row],[Forecast Finish]])</f>
        <v>0</v>
      </c>
      <c r="S66" s="71" t="b">
        <f aca="false">IF(IFERROR(INDEX(tsk_Name,GanttView[[#This Row],[_Row]])="",TRUE()),FALSE(),N(INDEX(tsk_Variance,GanttView[[#This Row],[_Row]]))&gt;0)</f>
        <v>0</v>
      </c>
      <c r="T66" s="72" t="n">
        <f aca="false">IF(IFERROR(INDEX(tsk_Name,GanttView[[#This Row],[_Row]])="",TRUE()),0,N(INDEX(tsk_Deadline,GanttView[[#This Row],[_Row]])))</f>
        <v>0</v>
      </c>
    </row>
    <row r="67" customFormat="false" ht="15" hidden="false" customHeight="false" outlineLevel="0" collapsed="false">
      <c r="A67" s="65" t="str">
        <f aca="false">IF(IFERROR(INDEX(tsk_Name,GanttView[[#This Row],[_Row]])="",TRUE()),"",INDEX(tsk_ID,GanttView[[#This Row],[_Row]]))</f>
        <v/>
      </c>
      <c r="B67" s="65" t="str">
        <f aca="false">IF(IFERROR(INDEX(tsk_Name,GanttView[[#This Row],[_Row]])="",TRUE()),"",INDEX(tsk_WBS,GanttView[[#This Row],[_Row]]))</f>
        <v/>
      </c>
      <c r="C67" s="66" t="str">
        <f aca="false">IF(IFERROR(INDEX(tsk_Name,GanttView[[#This Row],[_Row]])="",TRUE()),"",REPT("    ",INDEX(tsk_Level,GanttView[[#This Row],[_Row]])-1)&amp;INDEX(tsk_Name,GanttView[[#This Row],[_Row]]))</f>
        <v/>
      </c>
      <c r="D6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7" s="67" t="str">
        <f aca="false">IF(IFERROR(INDEX(tsk_Name,GanttView[[#This Row],[_Row]])="",TRUE()),"",INDEX(tsk_PlanStart,GanttView[[#This Row],[_Row]]))</f>
        <v/>
      </c>
      <c r="F67" s="67" t="str">
        <f aca="false">IF(IFERROR(INDEX(tsk_Name,GanttView[[#This Row],[_Row]])="",TRUE()),"",INDEX(tsk_PlanFinish,GanttView[[#This Row],[_Row]]))</f>
        <v/>
      </c>
      <c r="G67" s="67" t="str">
        <f aca="false">IF(IFERROR(INDEX(tsk_Name,GanttView[[#This Row],[_Row]])="",TRUE()),"",INDEX(tsk_FcStart,GanttView[[#This Row],[_Row]]))</f>
        <v/>
      </c>
      <c r="H67" s="67" t="str">
        <f aca="false">IF(IFERROR(INDEX(tsk_Name,GanttView[[#This Row],[_Row]])="",TRUE()),"",INDEX(tsk_FcFinish,GanttView[[#This Row],[_Row]]))</f>
        <v/>
      </c>
      <c r="I67" s="68" t="str">
        <f aca="false">IF(IFERROR(INDEX(tsk_Name,GanttView[[#This Row],[_Row]])="",TRUE()),"",INDEX(tsk_Progress,GanttView[[#This Row],[_Row]]))</f>
        <v/>
      </c>
      <c r="J67" s="66" t="str">
        <f aca="false">IF(IFERROR(INDEX(tsk_Name,GanttView[[#This Row],[_Row]])="",TRUE()),"",INDEX(tsk_Resource,GanttView[[#This Row],[_Row]])&amp;"")</f>
        <v/>
      </c>
      <c r="K67" s="69" t="str">
        <f aca="false">IF(IFERROR(INDEX(tsk_Name,GanttView[[#This Row],[_Row]])="",TRUE()),"",INDEX(tsk_Status,GanttView[[#This Row],[_Row]]))</f>
        <v/>
      </c>
      <c r="L67" s="70" t="n">
        <f aca="false">ROW()-ROW(GanttView[[#Headers],[ID]])</f>
        <v>62</v>
      </c>
      <c r="M67" s="71" t="b">
        <f aca="false">IF(IFERROR(INDEX(tsk_Name,GanttView[[#This Row],[_Row]])="",TRUE()),FALSE(),INDEX(tsk_IsSummary,GanttView[[#This Row],[_Row]]))</f>
        <v>0</v>
      </c>
      <c r="N67" s="71" t="b">
        <f aca="false">IF(IFERROR(INDEX(tsk_Name,GanttView[[#This Row],[_Row]])="",TRUE()),FALSE(),AND(INDEX(tsk_IsLeaf,GanttView[[#This Row],[_Row]])=1,N(INDEX(tsk_Duration,GanttView[[#This Row],[_Row]]))=0))</f>
        <v>0</v>
      </c>
      <c r="O6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7" s="72" t="n">
        <f aca="false">IF(GanttView[[#This Row],[_RemFrom]]=0,0,GanttView[[#This Row],[Forecast Finish]])</f>
        <v>0</v>
      </c>
      <c r="S67" s="71" t="b">
        <f aca="false">IF(IFERROR(INDEX(tsk_Name,GanttView[[#This Row],[_Row]])="",TRUE()),FALSE(),N(INDEX(tsk_Variance,GanttView[[#This Row],[_Row]]))&gt;0)</f>
        <v>0</v>
      </c>
      <c r="T67" s="72" t="n">
        <f aca="false">IF(IFERROR(INDEX(tsk_Name,GanttView[[#This Row],[_Row]])="",TRUE()),0,N(INDEX(tsk_Deadline,GanttView[[#This Row],[_Row]])))</f>
        <v>0</v>
      </c>
    </row>
    <row r="68" customFormat="false" ht="15" hidden="false" customHeight="false" outlineLevel="0" collapsed="false">
      <c r="A68" s="65" t="str">
        <f aca="false">IF(IFERROR(INDEX(tsk_Name,GanttView[[#This Row],[_Row]])="",TRUE()),"",INDEX(tsk_ID,GanttView[[#This Row],[_Row]]))</f>
        <v/>
      </c>
      <c r="B68" s="65" t="str">
        <f aca="false">IF(IFERROR(INDEX(tsk_Name,GanttView[[#This Row],[_Row]])="",TRUE()),"",INDEX(tsk_WBS,GanttView[[#This Row],[_Row]]))</f>
        <v/>
      </c>
      <c r="C68" s="66" t="str">
        <f aca="false">IF(IFERROR(INDEX(tsk_Name,GanttView[[#This Row],[_Row]])="",TRUE()),"",REPT("    ",INDEX(tsk_Level,GanttView[[#This Row],[_Row]])-1)&amp;INDEX(tsk_Name,GanttView[[#This Row],[_Row]]))</f>
        <v/>
      </c>
      <c r="D6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8" s="67" t="str">
        <f aca="false">IF(IFERROR(INDEX(tsk_Name,GanttView[[#This Row],[_Row]])="",TRUE()),"",INDEX(tsk_PlanStart,GanttView[[#This Row],[_Row]]))</f>
        <v/>
      </c>
      <c r="F68" s="67" t="str">
        <f aca="false">IF(IFERROR(INDEX(tsk_Name,GanttView[[#This Row],[_Row]])="",TRUE()),"",INDEX(tsk_PlanFinish,GanttView[[#This Row],[_Row]]))</f>
        <v/>
      </c>
      <c r="G68" s="67" t="str">
        <f aca="false">IF(IFERROR(INDEX(tsk_Name,GanttView[[#This Row],[_Row]])="",TRUE()),"",INDEX(tsk_FcStart,GanttView[[#This Row],[_Row]]))</f>
        <v/>
      </c>
      <c r="H68" s="67" t="str">
        <f aca="false">IF(IFERROR(INDEX(tsk_Name,GanttView[[#This Row],[_Row]])="",TRUE()),"",INDEX(tsk_FcFinish,GanttView[[#This Row],[_Row]]))</f>
        <v/>
      </c>
      <c r="I68" s="68" t="str">
        <f aca="false">IF(IFERROR(INDEX(tsk_Name,GanttView[[#This Row],[_Row]])="",TRUE()),"",INDEX(tsk_Progress,GanttView[[#This Row],[_Row]]))</f>
        <v/>
      </c>
      <c r="J68" s="66" t="str">
        <f aca="false">IF(IFERROR(INDEX(tsk_Name,GanttView[[#This Row],[_Row]])="",TRUE()),"",INDEX(tsk_Resource,GanttView[[#This Row],[_Row]])&amp;"")</f>
        <v/>
      </c>
      <c r="K68" s="69" t="str">
        <f aca="false">IF(IFERROR(INDEX(tsk_Name,GanttView[[#This Row],[_Row]])="",TRUE()),"",INDEX(tsk_Status,GanttView[[#This Row],[_Row]]))</f>
        <v/>
      </c>
      <c r="L68" s="70" t="n">
        <f aca="false">ROW()-ROW(GanttView[[#Headers],[ID]])</f>
        <v>63</v>
      </c>
      <c r="M68" s="71" t="b">
        <f aca="false">IF(IFERROR(INDEX(tsk_Name,GanttView[[#This Row],[_Row]])="",TRUE()),FALSE(),INDEX(tsk_IsSummary,GanttView[[#This Row],[_Row]]))</f>
        <v>0</v>
      </c>
      <c r="N68" s="71" t="b">
        <f aca="false">IF(IFERROR(INDEX(tsk_Name,GanttView[[#This Row],[_Row]])="",TRUE()),FALSE(),AND(INDEX(tsk_IsLeaf,GanttView[[#This Row],[_Row]])=1,N(INDEX(tsk_Duration,GanttView[[#This Row],[_Row]]))=0))</f>
        <v>0</v>
      </c>
      <c r="O6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8" s="72" t="n">
        <f aca="false">IF(GanttView[[#This Row],[_RemFrom]]=0,0,GanttView[[#This Row],[Forecast Finish]])</f>
        <v>0</v>
      </c>
      <c r="S68" s="71" t="b">
        <f aca="false">IF(IFERROR(INDEX(tsk_Name,GanttView[[#This Row],[_Row]])="",TRUE()),FALSE(),N(INDEX(tsk_Variance,GanttView[[#This Row],[_Row]]))&gt;0)</f>
        <v>0</v>
      </c>
      <c r="T68" s="72" t="n">
        <f aca="false">IF(IFERROR(INDEX(tsk_Name,GanttView[[#This Row],[_Row]])="",TRUE()),0,N(INDEX(tsk_Deadline,GanttView[[#This Row],[_Row]])))</f>
        <v>0</v>
      </c>
    </row>
    <row r="69" customFormat="false" ht="15" hidden="false" customHeight="false" outlineLevel="0" collapsed="false">
      <c r="A69" s="65" t="str">
        <f aca="false">IF(IFERROR(INDEX(tsk_Name,GanttView[[#This Row],[_Row]])="",TRUE()),"",INDEX(tsk_ID,GanttView[[#This Row],[_Row]]))</f>
        <v/>
      </c>
      <c r="B69" s="65" t="str">
        <f aca="false">IF(IFERROR(INDEX(tsk_Name,GanttView[[#This Row],[_Row]])="",TRUE()),"",INDEX(tsk_WBS,GanttView[[#This Row],[_Row]]))</f>
        <v/>
      </c>
      <c r="C69" s="66" t="str">
        <f aca="false">IF(IFERROR(INDEX(tsk_Name,GanttView[[#This Row],[_Row]])="",TRUE()),"",REPT("    ",INDEX(tsk_Level,GanttView[[#This Row],[_Row]])-1)&amp;INDEX(tsk_Name,GanttView[[#This Row],[_Row]]))</f>
        <v/>
      </c>
      <c r="D6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9" s="67" t="str">
        <f aca="false">IF(IFERROR(INDEX(tsk_Name,GanttView[[#This Row],[_Row]])="",TRUE()),"",INDEX(tsk_PlanStart,GanttView[[#This Row],[_Row]]))</f>
        <v/>
      </c>
      <c r="F69" s="67" t="str">
        <f aca="false">IF(IFERROR(INDEX(tsk_Name,GanttView[[#This Row],[_Row]])="",TRUE()),"",INDEX(tsk_PlanFinish,GanttView[[#This Row],[_Row]]))</f>
        <v/>
      </c>
      <c r="G69" s="67" t="str">
        <f aca="false">IF(IFERROR(INDEX(tsk_Name,GanttView[[#This Row],[_Row]])="",TRUE()),"",INDEX(tsk_FcStart,GanttView[[#This Row],[_Row]]))</f>
        <v/>
      </c>
      <c r="H69" s="67" t="str">
        <f aca="false">IF(IFERROR(INDEX(tsk_Name,GanttView[[#This Row],[_Row]])="",TRUE()),"",INDEX(tsk_FcFinish,GanttView[[#This Row],[_Row]]))</f>
        <v/>
      </c>
      <c r="I69" s="68" t="str">
        <f aca="false">IF(IFERROR(INDEX(tsk_Name,GanttView[[#This Row],[_Row]])="",TRUE()),"",INDEX(tsk_Progress,GanttView[[#This Row],[_Row]]))</f>
        <v/>
      </c>
      <c r="J69" s="66" t="str">
        <f aca="false">IF(IFERROR(INDEX(tsk_Name,GanttView[[#This Row],[_Row]])="",TRUE()),"",INDEX(tsk_Resource,GanttView[[#This Row],[_Row]])&amp;"")</f>
        <v/>
      </c>
      <c r="K69" s="69" t="str">
        <f aca="false">IF(IFERROR(INDEX(tsk_Name,GanttView[[#This Row],[_Row]])="",TRUE()),"",INDEX(tsk_Status,GanttView[[#This Row],[_Row]]))</f>
        <v/>
      </c>
      <c r="L69" s="70" t="n">
        <f aca="false">ROW()-ROW(GanttView[[#Headers],[ID]])</f>
        <v>64</v>
      </c>
      <c r="M69" s="71" t="b">
        <f aca="false">IF(IFERROR(INDEX(tsk_Name,GanttView[[#This Row],[_Row]])="",TRUE()),FALSE(),INDEX(tsk_IsSummary,GanttView[[#This Row],[_Row]]))</f>
        <v>0</v>
      </c>
      <c r="N69" s="71" t="b">
        <f aca="false">IF(IFERROR(INDEX(tsk_Name,GanttView[[#This Row],[_Row]])="",TRUE()),FALSE(),AND(INDEX(tsk_IsLeaf,GanttView[[#This Row],[_Row]])=1,N(INDEX(tsk_Duration,GanttView[[#This Row],[_Row]]))=0))</f>
        <v>0</v>
      </c>
      <c r="O6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9" s="72" t="n">
        <f aca="false">IF(GanttView[[#This Row],[_RemFrom]]=0,0,GanttView[[#This Row],[Forecast Finish]])</f>
        <v>0</v>
      </c>
      <c r="S69" s="71" t="b">
        <f aca="false">IF(IFERROR(INDEX(tsk_Name,GanttView[[#This Row],[_Row]])="",TRUE()),FALSE(),N(INDEX(tsk_Variance,GanttView[[#This Row],[_Row]]))&gt;0)</f>
        <v>0</v>
      </c>
      <c r="T69" s="72" t="n">
        <f aca="false">IF(IFERROR(INDEX(tsk_Name,GanttView[[#This Row],[_Row]])="",TRUE()),0,N(INDEX(tsk_Deadline,GanttView[[#This Row],[_Row]])))</f>
        <v>0</v>
      </c>
    </row>
    <row r="70" customFormat="false" ht="15" hidden="false" customHeight="false" outlineLevel="0" collapsed="false">
      <c r="A70" s="65" t="str">
        <f aca="false">IF(IFERROR(INDEX(tsk_Name,GanttView[[#This Row],[_Row]])="",TRUE()),"",INDEX(tsk_ID,GanttView[[#This Row],[_Row]]))</f>
        <v/>
      </c>
      <c r="B70" s="65" t="str">
        <f aca="false">IF(IFERROR(INDEX(tsk_Name,GanttView[[#This Row],[_Row]])="",TRUE()),"",INDEX(tsk_WBS,GanttView[[#This Row],[_Row]]))</f>
        <v/>
      </c>
      <c r="C70" s="66" t="str">
        <f aca="false">IF(IFERROR(INDEX(tsk_Name,GanttView[[#This Row],[_Row]])="",TRUE()),"",REPT("    ",INDEX(tsk_Level,GanttView[[#This Row],[_Row]])-1)&amp;INDEX(tsk_Name,GanttView[[#This Row],[_Row]]))</f>
        <v/>
      </c>
      <c r="D7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0" s="67" t="str">
        <f aca="false">IF(IFERROR(INDEX(tsk_Name,GanttView[[#This Row],[_Row]])="",TRUE()),"",INDEX(tsk_PlanStart,GanttView[[#This Row],[_Row]]))</f>
        <v/>
      </c>
      <c r="F70" s="67" t="str">
        <f aca="false">IF(IFERROR(INDEX(tsk_Name,GanttView[[#This Row],[_Row]])="",TRUE()),"",INDEX(tsk_PlanFinish,GanttView[[#This Row],[_Row]]))</f>
        <v/>
      </c>
      <c r="G70" s="67" t="str">
        <f aca="false">IF(IFERROR(INDEX(tsk_Name,GanttView[[#This Row],[_Row]])="",TRUE()),"",INDEX(tsk_FcStart,GanttView[[#This Row],[_Row]]))</f>
        <v/>
      </c>
      <c r="H70" s="67" t="str">
        <f aca="false">IF(IFERROR(INDEX(tsk_Name,GanttView[[#This Row],[_Row]])="",TRUE()),"",INDEX(tsk_FcFinish,GanttView[[#This Row],[_Row]]))</f>
        <v/>
      </c>
      <c r="I70" s="68" t="str">
        <f aca="false">IF(IFERROR(INDEX(tsk_Name,GanttView[[#This Row],[_Row]])="",TRUE()),"",INDEX(tsk_Progress,GanttView[[#This Row],[_Row]]))</f>
        <v/>
      </c>
      <c r="J70" s="66" t="str">
        <f aca="false">IF(IFERROR(INDEX(tsk_Name,GanttView[[#This Row],[_Row]])="",TRUE()),"",INDEX(tsk_Resource,GanttView[[#This Row],[_Row]])&amp;"")</f>
        <v/>
      </c>
      <c r="K70" s="69" t="str">
        <f aca="false">IF(IFERROR(INDEX(tsk_Name,GanttView[[#This Row],[_Row]])="",TRUE()),"",INDEX(tsk_Status,GanttView[[#This Row],[_Row]]))</f>
        <v/>
      </c>
      <c r="L70" s="70" t="n">
        <f aca="false">ROW()-ROW(GanttView[[#Headers],[ID]])</f>
        <v>65</v>
      </c>
      <c r="M70" s="71" t="b">
        <f aca="false">IF(IFERROR(INDEX(tsk_Name,GanttView[[#This Row],[_Row]])="",TRUE()),FALSE(),INDEX(tsk_IsSummary,GanttView[[#This Row],[_Row]]))</f>
        <v>0</v>
      </c>
      <c r="N70" s="71" t="b">
        <f aca="false">IF(IFERROR(INDEX(tsk_Name,GanttView[[#This Row],[_Row]])="",TRUE()),FALSE(),AND(INDEX(tsk_IsLeaf,GanttView[[#This Row],[_Row]])=1,N(INDEX(tsk_Duration,GanttView[[#This Row],[_Row]]))=0))</f>
        <v>0</v>
      </c>
      <c r="O7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0" s="72" t="n">
        <f aca="false">IF(GanttView[[#This Row],[_RemFrom]]=0,0,GanttView[[#This Row],[Forecast Finish]])</f>
        <v>0</v>
      </c>
      <c r="S70" s="71" t="b">
        <f aca="false">IF(IFERROR(INDEX(tsk_Name,GanttView[[#This Row],[_Row]])="",TRUE()),FALSE(),N(INDEX(tsk_Variance,GanttView[[#This Row],[_Row]]))&gt;0)</f>
        <v>0</v>
      </c>
      <c r="T70" s="72" t="n">
        <f aca="false">IF(IFERROR(INDEX(tsk_Name,GanttView[[#This Row],[_Row]])="",TRUE()),0,N(INDEX(tsk_Deadline,GanttView[[#This Row],[_Row]])))</f>
        <v>0</v>
      </c>
    </row>
    <row r="71" customFormat="false" ht="15" hidden="false" customHeight="false" outlineLevel="0" collapsed="false">
      <c r="A71" s="65" t="str">
        <f aca="false">IF(IFERROR(INDEX(tsk_Name,GanttView[[#This Row],[_Row]])="",TRUE()),"",INDEX(tsk_ID,GanttView[[#This Row],[_Row]]))</f>
        <v/>
      </c>
      <c r="B71" s="65" t="str">
        <f aca="false">IF(IFERROR(INDEX(tsk_Name,GanttView[[#This Row],[_Row]])="",TRUE()),"",INDEX(tsk_WBS,GanttView[[#This Row],[_Row]]))</f>
        <v/>
      </c>
      <c r="C71" s="66" t="str">
        <f aca="false">IF(IFERROR(INDEX(tsk_Name,GanttView[[#This Row],[_Row]])="",TRUE()),"",REPT("    ",INDEX(tsk_Level,GanttView[[#This Row],[_Row]])-1)&amp;INDEX(tsk_Name,GanttView[[#This Row],[_Row]]))</f>
        <v/>
      </c>
      <c r="D7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1" s="67" t="str">
        <f aca="false">IF(IFERROR(INDEX(tsk_Name,GanttView[[#This Row],[_Row]])="",TRUE()),"",INDEX(tsk_PlanStart,GanttView[[#This Row],[_Row]]))</f>
        <v/>
      </c>
      <c r="F71" s="67" t="str">
        <f aca="false">IF(IFERROR(INDEX(tsk_Name,GanttView[[#This Row],[_Row]])="",TRUE()),"",INDEX(tsk_PlanFinish,GanttView[[#This Row],[_Row]]))</f>
        <v/>
      </c>
      <c r="G71" s="67" t="str">
        <f aca="false">IF(IFERROR(INDEX(tsk_Name,GanttView[[#This Row],[_Row]])="",TRUE()),"",INDEX(tsk_FcStart,GanttView[[#This Row],[_Row]]))</f>
        <v/>
      </c>
      <c r="H71" s="67" t="str">
        <f aca="false">IF(IFERROR(INDEX(tsk_Name,GanttView[[#This Row],[_Row]])="",TRUE()),"",INDEX(tsk_FcFinish,GanttView[[#This Row],[_Row]]))</f>
        <v/>
      </c>
      <c r="I71" s="68" t="str">
        <f aca="false">IF(IFERROR(INDEX(tsk_Name,GanttView[[#This Row],[_Row]])="",TRUE()),"",INDEX(tsk_Progress,GanttView[[#This Row],[_Row]]))</f>
        <v/>
      </c>
      <c r="J71" s="66" t="str">
        <f aca="false">IF(IFERROR(INDEX(tsk_Name,GanttView[[#This Row],[_Row]])="",TRUE()),"",INDEX(tsk_Resource,GanttView[[#This Row],[_Row]])&amp;"")</f>
        <v/>
      </c>
      <c r="K71" s="69" t="str">
        <f aca="false">IF(IFERROR(INDEX(tsk_Name,GanttView[[#This Row],[_Row]])="",TRUE()),"",INDEX(tsk_Status,GanttView[[#This Row],[_Row]]))</f>
        <v/>
      </c>
      <c r="L71" s="70" t="n">
        <f aca="false">ROW()-ROW(GanttView[[#Headers],[ID]])</f>
        <v>66</v>
      </c>
      <c r="M71" s="71" t="b">
        <f aca="false">IF(IFERROR(INDEX(tsk_Name,GanttView[[#This Row],[_Row]])="",TRUE()),FALSE(),INDEX(tsk_IsSummary,GanttView[[#This Row],[_Row]]))</f>
        <v>0</v>
      </c>
      <c r="N71" s="71" t="b">
        <f aca="false">IF(IFERROR(INDEX(tsk_Name,GanttView[[#This Row],[_Row]])="",TRUE()),FALSE(),AND(INDEX(tsk_IsLeaf,GanttView[[#This Row],[_Row]])=1,N(INDEX(tsk_Duration,GanttView[[#This Row],[_Row]]))=0))</f>
        <v>0</v>
      </c>
      <c r="O7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1" s="72" t="n">
        <f aca="false">IF(GanttView[[#This Row],[_RemFrom]]=0,0,GanttView[[#This Row],[Forecast Finish]])</f>
        <v>0</v>
      </c>
      <c r="S71" s="71" t="b">
        <f aca="false">IF(IFERROR(INDEX(tsk_Name,GanttView[[#This Row],[_Row]])="",TRUE()),FALSE(),N(INDEX(tsk_Variance,GanttView[[#This Row],[_Row]]))&gt;0)</f>
        <v>0</v>
      </c>
      <c r="T71" s="72" t="n">
        <f aca="false">IF(IFERROR(INDEX(tsk_Name,GanttView[[#This Row],[_Row]])="",TRUE()),0,N(INDEX(tsk_Deadline,GanttView[[#This Row],[_Row]])))</f>
        <v>0</v>
      </c>
    </row>
    <row r="72" customFormat="false" ht="15" hidden="false" customHeight="false" outlineLevel="0" collapsed="false">
      <c r="A72" s="65" t="str">
        <f aca="false">IF(IFERROR(INDEX(tsk_Name,GanttView[[#This Row],[_Row]])="",TRUE()),"",INDEX(tsk_ID,GanttView[[#This Row],[_Row]]))</f>
        <v/>
      </c>
      <c r="B72" s="65" t="str">
        <f aca="false">IF(IFERROR(INDEX(tsk_Name,GanttView[[#This Row],[_Row]])="",TRUE()),"",INDEX(tsk_WBS,GanttView[[#This Row],[_Row]]))</f>
        <v/>
      </c>
      <c r="C72" s="66" t="str">
        <f aca="false">IF(IFERROR(INDEX(tsk_Name,GanttView[[#This Row],[_Row]])="",TRUE()),"",REPT("    ",INDEX(tsk_Level,GanttView[[#This Row],[_Row]])-1)&amp;INDEX(tsk_Name,GanttView[[#This Row],[_Row]]))</f>
        <v/>
      </c>
      <c r="D7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2" s="67" t="str">
        <f aca="false">IF(IFERROR(INDEX(tsk_Name,GanttView[[#This Row],[_Row]])="",TRUE()),"",INDEX(tsk_PlanStart,GanttView[[#This Row],[_Row]]))</f>
        <v/>
      </c>
      <c r="F72" s="67" t="str">
        <f aca="false">IF(IFERROR(INDEX(tsk_Name,GanttView[[#This Row],[_Row]])="",TRUE()),"",INDEX(tsk_PlanFinish,GanttView[[#This Row],[_Row]]))</f>
        <v/>
      </c>
      <c r="G72" s="67" t="str">
        <f aca="false">IF(IFERROR(INDEX(tsk_Name,GanttView[[#This Row],[_Row]])="",TRUE()),"",INDEX(tsk_FcStart,GanttView[[#This Row],[_Row]]))</f>
        <v/>
      </c>
      <c r="H72" s="67" t="str">
        <f aca="false">IF(IFERROR(INDEX(tsk_Name,GanttView[[#This Row],[_Row]])="",TRUE()),"",INDEX(tsk_FcFinish,GanttView[[#This Row],[_Row]]))</f>
        <v/>
      </c>
      <c r="I72" s="68" t="str">
        <f aca="false">IF(IFERROR(INDEX(tsk_Name,GanttView[[#This Row],[_Row]])="",TRUE()),"",INDEX(tsk_Progress,GanttView[[#This Row],[_Row]]))</f>
        <v/>
      </c>
      <c r="J72" s="66" t="str">
        <f aca="false">IF(IFERROR(INDEX(tsk_Name,GanttView[[#This Row],[_Row]])="",TRUE()),"",INDEX(tsk_Resource,GanttView[[#This Row],[_Row]])&amp;"")</f>
        <v/>
      </c>
      <c r="K72" s="69" t="str">
        <f aca="false">IF(IFERROR(INDEX(tsk_Name,GanttView[[#This Row],[_Row]])="",TRUE()),"",INDEX(tsk_Status,GanttView[[#This Row],[_Row]]))</f>
        <v/>
      </c>
      <c r="L72" s="70" t="n">
        <f aca="false">ROW()-ROW(GanttView[[#Headers],[ID]])</f>
        <v>67</v>
      </c>
      <c r="M72" s="71" t="b">
        <f aca="false">IF(IFERROR(INDEX(tsk_Name,GanttView[[#This Row],[_Row]])="",TRUE()),FALSE(),INDEX(tsk_IsSummary,GanttView[[#This Row],[_Row]]))</f>
        <v>0</v>
      </c>
      <c r="N72" s="71" t="b">
        <f aca="false">IF(IFERROR(INDEX(tsk_Name,GanttView[[#This Row],[_Row]])="",TRUE()),FALSE(),AND(INDEX(tsk_IsLeaf,GanttView[[#This Row],[_Row]])=1,N(INDEX(tsk_Duration,GanttView[[#This Row],[_Row]]))=0))</f>
        <v>0</v>
      </c>
      <c r="O7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2" s="72" t="n">
        <f aca="false">IF(GanttView[[#This Row],[_RemFrom]]=0,0,GanttView[[#This Row],[Forecast Finish]])</f>
        <v>0</v>
      </c>
      <c r="S72" s="71" t="b">
        <f aca="false">IF(IFERROR(INDEX(tsk_Name,GanttView[[#This Row],[_Row]])="",TRUE()),FALSE(),N(INDEX(tsk_Variance,GanttView[[#This Row],[_Row]]))&gt;0)</f>
        <v>0</v>
      </c>
      <c r="T72" s="72" t="n">
        <f aca="false">IF(IFERROR(INDEX(tsk_Name,GanttView[[#This Row],[_Row]])="",TRUE()),0,N(INDEX(tsk_Deadline,GanttView[[#This Row],[_Row]])))</f>
        <v>0</v>
      </c>
    </row>
    <row r="73" customFormat="false" ht="15" hidden="false" customHeight="false" outlineLevel="0" collapsed="false">
      <c r="A73" s="65" t="str">
        <f aca="false">IF(IFERROR(INDEX(tsk_Name,GanttView[[#This Row],[_Row]])="",TRUE()),"",INDEX(tsk_ID,GanttView[[#This Row],[_Row]]))</f>
        <v/>
      </c>
      <c r="B73" s="65" t="str">
        <f aca="false">IF(IFERROR(INDEX(tsk_Name,GanttView[[#This Row],[_Row]])="",TRUE()),"",INDEX(tsk_WBS,GanttView[[#This Row],[_Row]]))</f>
        <v/>
      </c>
      <c r="C73" s="66" t="str">
        <f aca="false">IF(IFERROR(INDEX(tsk_Name,GanttView[[#This Row],[_Row]])="",TRUE()),"",REPT("    ",INDEX(tsk_Level,GanttView[[#This Row],[_Row]])-1)&amp;INDEX(tsk_Name,GanttView[[#This Row],[_Row]]))</f>
        <v/>
      </c>
      <c r="D7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3" s="67" t="str">
        <f aca="false">IF(IFERROR(INDEX(tsk_Name,GanttView[[#This Row],[_Row]])="",TRUE()),"",INDEX(tsk_PlanStart,GanttView[[#This Row],[_Row]]))</f>
        <v/>
      </c>
      <c r="F73" s="67" t="str">
        <f aca="false">IF(IFERROR(INDEX(tsk_Name,GanttView[[#This Row],[_Row]])="",TRUE()),"",INDEX(tsk_PlanFinish,GanttView[[#This Row],[_Row]]))</f>
        <v/>
      </c>
      <c r="G73" s="67" t="str">
        <f aca="false">IF(IFERROR(INDEX(tsk_Name,GanttView[[#This Row],[_Row]])="",TRUE()),"",INDEX(tsk_FcStart,GanttView[[#This Row],[_Row]]))</f>
        <v/>
      </c>
      <c r="H73" s="67" t="str">
        <f aca="false">IF(IFERROR(INDEX(tsk_Name,GanttView[[#This Row],[_Row]])="",TRUE()),"",INDEX(tsk_FcFinish,GanttView[[#This Row],[_Row]]))</f>
        <v/>
      </c>
      <c r="I73" s="68" t="str">
        <f aca="false">IF(IFERROR(INDEX(tsk_Name,GanttView[[#This Row],[_Row]])="",TRUE()),"",INDEX(tsk_Progress,GanttView[[#This Row],[_Row]]))</f>
        <v/>
      </c>
      <c r="J73" s="66" t="str">
        <f aca="false">IF(IFERROR(INDEX(tsk_Name,GanttView[[#This Row],[_Row]])="",TRUE()),"",INDEX(tsk_Resource,GanttView[[#This Row],[_Row]])&amp;"")</f>
        <v/>
      </c>
      <c r="K73" s="69" t="str">
        <f aca="false">IF(IFERROR(INDEX(tsk_Name,GanttView[[#This Row],[_Row]])="",TRUE()),"",INDEX(tsk_Status,GanttView[[#This Row],[_Row]]))</f>
        <v/>
      </c>
      <c r="L73" s="70" t="n">
        <f aca="false">ROW()-ROW(GanttView[[#Headers],[ID]])</f>
        <v>68</v>
      </c>
      <c r="M73" s="71" t="b">
        <f aca="false">IF(IFERROR(INDEX(tsk_Name,GanttView[[#This Row],[_Row]])="",TRUE()),FALSE(),INDEX(tsk_IsSummary,GanttView[[#This Row],[_Row]]))</f>
        <v>0</v>
      </c>
      <c r="N73" s="71" t="b">
        <f aca="false">IF(IFERROR(INDEX(tsk_Name,GanttView[[#This Row],[_Row]])="",TRUE()),FALSE(),AND(INDEX(tsk_IsLeaf,GanttView[[#This Row],[_Row]])=1,N(INDEX(tsk_Duration,GanttView[[#This Row],[_Row]]))=0))</f>
        <v>0</v>
      </c>
      <c r="O7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3" s="72" t="n">
        <f aca="false">IF(GanttView[[#This Row],[_RemFrom]]=0,0,GanttView[[#This Row],[Forecast Finish]])</f>
        <v>0</v>
      </c>
      <c r="S73" s="71" t="b">
        <f aca="false">IF(IFERROR(INDEX(tsk_Name,GanttView[[#This Row],[_Row]])="",TRUE()),FALSE(),N(INDEX(tsk_Variance,GanttView[[#This Row],[_Row]]))&gt;0)</f>
        <v>0</v>
      </c>
      <c r="T73" s="72" t="n">
        <f aca="false">IF(IFERROR(INDEX(tsk_Name,GanttView[[#This Row],[_Row]])="",TRUE()),0,N(INDEX(tsk_Deadline,GanttView[[#This Row],[_Row]])))</f>
        <v>0</v>
      </c>
    </row>
    <row r="74" customFormat="false" ht="15" hidden="false" customHeight="false" outlineLevel="0" collapsed="false">
      <c r="A74" s="65" t="str">
        <f aca="false">IF(IFERROR(INDEX(tsk_Name,GanttView[[#This Row],[_Row]])="",TRUE()),"",INDEX(tsk_ID,GanttView[[#This Row],[_Row]]))</f>
        <v/>
      </c>
      <c r="B74" s="65" t="str">
        <f aca="false">IF(IFERROR(INDEX(tsk_Name,GanttView[[#This Row],[_Row]])="",TRUE()),"",INDEX(tsk_WBS,GanttView[[#This Row],[_Row]]))</f>
        <v/>
      </c>
      <c r="C74" s="66" t="str">
        <f aca="false">IF(IFERROR(INDEX(tsk_Name,GanttView[[#This Row],[_Row]])="",TRUE()),"",REPT("    ",INDEX(tsk_Level,GanttView[[#This Row],[_Row]])-1)&amp;INDEX(tsk_Name,GanttView[[#This Row],[_Row]]))</f>
        <v/>
      </c>
      <c r="D7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4" s="67" t="str">
        <f aca="false">IF(IFERROR(INDEX(tsk_Name,GanttView[[#This Row],[_Row]])="",TRUE()),"",INDEX(tsk_PlanStart,GanttView[[#This Row],[_Row]]))</f>
        <v/>
      </c>
      <c r="F74" s="67" t="str">
        <f aca="false">IF(IFERROR(INDEX(tsk_Name,GanttView[[#This Row],[_Row]])="",TRUE()),"",INDEX(tsk_PlanFinish,GanttView[[#This Row],[_Row]]))</f>
        <v/>
      </c>
      <c r="G74" s="67" t="str">
        <f aca="false">IF(IFERROR(INDEX(tsk_Name,GanttView[[#This Row],[_Row]])="",TRUE()),"",INDEX(tsk_FcStart,GanttView[[#This Row],[_Row]]))</f>
        <v/>
      </c>
      <c r="H74" s="67" t="str">
        <f aca="false">IF(IFERROR(INDEX(tsk_Name,GanttView[[#This Row],[_Row]])="",TRUE()),"",INDEX(tsk_FcFinish,GanttView[[#This Row],[_Row]]))</f>
        <v/>
      </c>
      <c r="I74" s="68" t="str">
        <f aca="false">IF(IFERROR(INDEX(tsk_Name,GanttView[[#This Row],[_Row]])="",TRUE()),"",INDEX(tsk_Progress,GanttView[[#This Row],[_Row]]))</f>
        <v/>
      </c>
      <c r="J74" s="66" t="str">
        <f aca="false">IF(IFERROR(INDEX(tsk_Name,GanttView[[#This Row],[_Row]])="",TRUE()),"",INDEX(tsk_Resource,GanttView[[#This Row],[_Row]])&amp;"")</f>
        <v/>
      </c>
      <c r="K74" s="69" t="str">
        <f aca="false">IF(IFERROR(INDEX(tsk_Name,GanttView[[#This Row],[_Row]])="",TRUE()),"",INDEX(tsk_Status,GanttView[[#This Row],[_Row]]))</f>
        <v/>
      </c>
      <c r="L74" s="70" t="n">
        <f aca="false">ROW()-ROW(GanttView[[#Headers],[ID]])</f>
        <v>69</v>
      </c>
      <c r="M74" s="71" t="b">
        <f aca="false">IF(IFERROR(INDEX(tsk_Name,GanttView[[#This Row],[_Row]])="",TRUE()),FALSE(),INDEX(tsk_IsSummary,GanttView[[#This Row],[_Row]]))</f>
        <v>0</v>
      </c>
      <c r="N74" s="71" t="b">
        <f aca="false">IF(IFERROR(INDEX(tsk_Name,GanttView[[#This Row],[_Row]])="",TRUE()),FALSE(),AND(INDEX(tsk_IsLeaf,GanttView[[#This Row],[_Row]])=1,N(INDEX(tsk_Duration,GanttView[[#This Row],[_Row]]))=0))</f>
        <v>0</v>
      </c>
      <c r="O7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4" s="72" t="n">
        <f aca="false">IF(GanttView[[#This Row],[_RemFrom]]=0,0,GanttView[[#This Row],[Forecast Finish]])</f>
        <v>0</v>
      </c>
      <c r="S74" s="71" t="b">
        <f aca="false">IF(IFERROR(INDEX(tsk_Name,GanttView[[#This Row],[_Row]])="",TRUE()),FALSE(),N(INDEX(tsk_Variance,GanttView[[#This Row],[_Row]]))&gt;0)</f>
        <v>0</v>
      </c>
      <c r="T74" s="72" t="n">
        <f aca="false">IF(IFERROR(INDEX(tsk_Name,GanttView[[#This Row],[_Row]])="",TRUE()),0,N(INDEX(tsk_Deadline,GanttView[[#This Row],[_Row]])))</f>
        <v>0</v>
      </c>
    </row>
    <row r="75" customFormat="false" ht="15" hidden="false" customHeight="false" outlineLevel="0" collapsed="false">
      <c r="A75" s="65" t="str">
        <f aca="false">IF(IFERROR(INDEX(tsk_Name,GanttView[[#This Row],[_Row]])="",TRUE()),"",INDEX(tsk_ID,GanttView[[#This Row],[_Row]]))</f>
        <v/>
      </c>
      <c r="B75" s="65" t="str">
        <f aca="false">IF(IFERROR(INDEX(tsk_Name,GanttView[[#This Row],[_Row]])="",TRUE()),"",INDEX(tsk_WBS,GanttView[[#This Row],[_Row]]))</f>
        <v/>
      </c>
      <c r="C75" s="66" t="str">
        <f aca="false">IF(IFERROR(INDEX(tsk_Name,GanttView[[#This Row],[_Row]])="",TRUE()),"",REPT("    ",INDEX(tsk_Level,GanttView[[#This Row],[_Row]])-1)&amp;INDEX(tsk_Name,GanttView[[#This Row],[_Row]]))</f>
        <v/>
      </c>
      <c r="D7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5" s="67" t="str">
        <f aca="false">IF(IFERROR(INDEX(tsk_Name,GanttView[[#This Row],[_Row]])="",TRUE()),"",INDEX(tsk_PlanStart,GanttView[[#This Row],[_Row]]))</f>
        <v/>
      </c>
      <c r="F75" s="67" t="str">
        <f aca="false">IF(IFERROR(INDEX(tsk_Name,GanttView[[#This Row],[_Row]])="",TRUE()),"",INDEX(tsk_PlanFinish,GanttView[[#This Row],[_Row]]))</f>
        <v/>
      </c>
      <c r="G75" s="67" t="str">
        <f aca="false">IF(IFERROR(INDEX(tsk_Name,GanttView[[#This Row],[_Row]])="",TRUE()),"",INDEX(tsk_FcStart,GanttView[[#This Row],[_Row]]))</f>
        <v/>
      </c>
      <c r="H75" s="67" t="str">
        <f aca="false">IF(IFERROR(INDEX(tsk_Name,GanttView[[#This Row],[_Row]])="",TRUE()),"",INDEX(tsk_FcFinish,GanttView[[#This Row],[_Row]]))</f>
        <v/>
      </c>
      <c r="I75" s="68" t="str">
        <f aca="false">IF(IFERROR(INDEX(tsk_Name,GanttView[[#This Row],[_Row]])="",TRUE()),"",INDEX(tsk_Progress,GanttView[[#This Row],[_Row]]))</f>
        <v/>
      </c>
      <c r="J75" s="66" t="str">
        <f aca="false">IF(IFERROR(INDEX(tsk_Name,GanttView[[#This Row],[_Row]])="",TRUE()),"",INDEX(tsk_Resource,GanttView[[#This Row],[_Row]])&amp;"")</f>
        <v/>
      </c>
      <c r="K75" s="69" t="str">
        <f aca="false">IF(IFERROR(INDEX(tsk_Name,GanttView[[#This Row],[_Row]])="",TRUE()),"",INDEX(tsk_Status,GanttView[[#This Row],[_Row]]))</f>
        <v/>
      </c>
      <c r="L75" s="70" t="n">
        <f aca="false">ROW()-ROW(GanttView[[#Headers],[ID]])</f>
        <v>70</v>
      </c>
      <c r="M75" s="71" t="b">
        <f aca="false">IF(IFERROR(INDEX(tsk_Name,GanttView[[#This Row],[_Row]])="",TRUE()),FALSE(),INDEX(tsk_IsSummary,GanttView[[#This Row],[_Row]]))</f>
        <v>0</v>
      </c>
      <c r="N75" s="71" t="b">
        <f aca="false">IF(IFERROR(INDEX(tsk_Name,GanttView[[#This Row],[_Row]])="",TRUE()),FALSE(),AND(INDEX(tsk_IsLeaf,GanttView[[#This Row],[_Row]])=1,N(INDEX(tsk_Duration,GanttView[[#This Row],[_Row]]))=0))</f>
        <v>0</v>
      </c>
      <c r="O7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5" s="72" t="n">
        <f aca="false">IF(GanttView[[#This Row],[_RemFrom]]=0,0,GanttView[[#This Row],[Forecast Finish]])</f>
        <v>0</v>
      </c>
      <c r="S75" s="71" t="b">
        <f aca="false">IF(IFERROR(INDEX(tsk_Name,GanttView[[#This Row],[_Row]])="",TRUE()),FALSE(),N(INDEX(tsk_Variance,GanttView[[#This Row],[_Row]]))&gt;0)</f>
        <v>0</v>
      </c>
      <c r="T75" s="72" t="n">
        <f aca="false">IF(IFERROR(INDEX(tsk_Name,GanttView[[#This Row],[_Row]])="",TRUE()),0,N(INDEX(tsk_Deadline,GanttView[[#This Row],[_Row]])))</f>
        <v>0</v>
      </c>
    </row>
    <row r="76" customFormat="false" ht="15" hidden="false" customHeight="false" outlineLevel="0" collapsed="false">
      <c r="A76" s="65" t="str">
        <f aca="false">IF(IFERROR(INDEX(tsk_Name,GanttView[[#This Row],[_Row]])="",TRUE()),"",INDEX(tsk_ID,GanttView[[#This Row],[_Row]]))</f>
        <v/>
      </c>
      <c r="B76" s="65" t="str">
        <f aca="false">IF(IFERROR(INDEX(tsk_Name,GanttView[[#This Row],[_Row]])="",TRUE()),"",INDEX(tsk_WBS,GanttView[[#This Row],[_Row]]))</f>
        <v/>
      </c>
      <c r="C76" s="66" t="str">
        <f aca="false">IF(IFERROR(INDEX(tsk_Name,GanttView[[#This Row],[_Row]])="",TRUE()),"",REPT("    ",INDEX(tsk_Level,GanttView[[#This Row],[_Row]])-1)&amp;INDEX(tsk_Name,GanttView[[#This Row],[_Row]]))</f>
        <v/>
      </c>
      <c r="D7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6" s="67" t="str">
        <f aca="false">IF(IFERROR(INDEX(tsk_Name,GanttView[[#This Row],[_Row]])="",TRUE()),"",INDEX(tsk_PlanStart,GanttView[[#This Row],[_Row]]))</f>
        <v/>
      </c>
      <c r="F76" s="67" t="str">
        <f aca="false">IF(IFERROR(INDEX(tsk_Name,GanttView[[#This Row],[_Row]])="",TRUE()),"",INDEX(tsk_PlanFinish,GanttView[[#This Row],[_Row]]))</f>
        <v/>
      </c>
      <c r="G76" s="67" t="str">
        <f aca="false">IF(IFERROR(INDEX(tsk_Name,GanttView[[#This Row],[_Row]])="",TRUE()),"",INDEX(tsk_FcStart,GanttView[[#This Row],[_Row]]))</f>
        <v/>
      </c>
      <c r="H76" s="67" t="str">
        <f aca="false">IF(IFERROR(INDEX(tsk_Name,GanttView[[#This Row],[_Row]])="",TRUE()),"",INDEX(tsk_FcFinish,GanttView[[#This Row],[_Row]]))</f>
        <v/>
      </c>
      <c r="I76" s="68" t="str">
        <f aca="false">IF(IFERROR(INDEX(tsk_Name,GanttView[[#This Row],[_Row]])="",TRUE()),"",INDEX(tsk_Progress,GanttView[[#This Row],[_Row]]))</f>
        <v/>
      </c>
      <c r="J76" s="66" t="str">
        <f aca="false">IF(IFERROR(INDEX(tsk_Name,GanttView[[#This Row],[_Row]])="",TRUE()),"",INDEX(tsk_Resource,GanttView[[#This Row],[_Row]])&amp;"")</f>
        <v/>
      </c>
      <c r="K76" s="69" t="str">
        <f aca="false">IF(IFERROR(INDEX(tsk_Name,GanttView[[#This Row],[_Row]])="",TRUE()),"",INDEX(tsk_Status,GanttView[[#This Row],[_Row]]))</f>
        <v/>
      </c>
      <c r="L76" s="70" t="n">
        <f aca="false">ROW()-ROW(GanttView[[#Headers],[ID]])</f>
        <v>71</v>
      </c>
      <c r="M76" s="71" t="b">
        <f aca="false">IF(IFERROR(INDEX(tsk_Name,GanttView[[#This Row],[_Row]])="",TRUE()),FALSE(),INDEX(tsk_IsSummary,GanttView[[#This Row],[_Row]]))</f>
        <v>0</v>
      </c>
      <c r="N76" s="71" t="b">
        <f aca="false">IF(IFERROR(INDEX(tsk_Name,GanttView[[#This Row],[_Row]])="",TRUE()),FALSE(),AND(INDEX(tsk_IsLeaf,GanttView[[#This Row],[_Row]])=1,N(INDEX(tsk_Duration,GanttView[[#This Row],[_Row]]))=0))</f>
        <v>0</v>
      </c>
      <c r="O7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6" s="72" t="n">
        <f aca="false">IF(GanttView[[#This Row],[_RemFrom]]=0,0,GanttView[[#This Row],[Forecast Finish]])</f>
        <v>0</v>
      </c>
      <c r="S76" s="71" t="b">
        <f aca="false">IF(IFERROR(INDEX(tsk_Name,GanttView[[#This Row],[_Row]])="",TRUE()),FALSE(),N(INDEX(tsk_Variance,GanttView[[#This Row],[_Row]]))&gt;0)</f>
        <v>0</v>
      </c>
      <c r="T76" s="72" t="n">
        <f aca="false">IF(IFERROR(INDEX(tsk_Name,GanttView[[#This Row],[_Row]])="",TRUE()),0,N(INDEX(tsk_Deadline,GanttView[[#This Row],[_Row]])))</f>
        <v>0</v>
      </c>
    </row>
    <row r="77" customFormat="false" ht="15" hidden="false" customHeight="false" outlineLevel="0" collapsed="false">
      <c r="A77" s="65" t="str">
        <f aca="false">IF(IFERROR(INDEX(tsk_Name,GanttView[[#This Row],[_Row]])="",TRUE()),"",INDEX(tsk_ID,GanttView[[#This Row],[_Row]]))</f>
        <v/>
      </c>
      <c r="B77" s="65" t="str">
        <f aca="false">IF(IFERROR(INDEX(tsk_Name,GanttView[[#This Row],[_Row]])="",TRUE()),"",INDEX(tsk_WBS,GanttView[[#This Row],[_Row]]))</f>
        <v/>
      </c>
      <c r="C77" s="66" t="str">
        <f aca="false">IF(IFERROR(INDEX(tsk_Name,GanttView[[#This Row],[_Row]])="",TRUE()),"",REPT("    ",INDEX(tsk_Level,GanttView[[#This Row],[_Row]])-1)&amp;INDEX(tsk_Name,GanttView[[#This Row],[_Row]]))</f>
        <v/>
      </c>
      <c r="D7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7" s="67" t="str">
        <f aca="false">IF(IFERROR(INDEX(tsk_Name,GanttView[[#This Row],[_Row]])="",TRUE()),"",INDEX(tsk_PlanStart,GanttView[[#This Row],[_Row]]))</f>
        <v/>
      </c>
      <c r="F77" s="67" t="str">
        <f aca="false">IF(IFERROR(INDEX(tsk_Name,GanttView[[#This Row],[_Row]])="",TRUE()),"",INDEX(tsk_PlanFinish,GanttView[[#This Row],[_Row]]))</f>
        <v/>
      </c>
      <c r="G77" s="67" t="str">
        <f aca="false">IF(IFERROR(INDEX(tsk_Name,GanttView[[#This Row],[_Row]])="",TRUE()),"",INDEX(tsk_FcStart,GanttView[[#This Row],[_Row]]))</f>
        <v/>
      </c>
      <c r="H77" s="67" t="str">
        <f aca="false">IF(IFERROR(INDEX(tsk_Name,GanttView[[#This Row],[_Row]])="",TRUE()),"",INDEX(tsk_FcFinish,GanttView[[#This Row],[_Row]]))</f>
        <v/>
      </c>
      <c r="I77" s="68" t="str">
        <f aca="false">IF(IFERROR(INDEX(tsk_Name,GanttView[[#This Row],[_Row]])="",TRUE()),"",INDEX(tsk_Progress,GanttView[[#This Row],[_Row]]))</f>
        <v/>
      </c>
      <c r="J77" s="66" t="str">
        <f aca="false">IF(IFERROR(INDEX(tsk_Name,GanttView[[#This Row],[_Row]])="",TRUE()),"",INDEX(tsk_Resource,GanttView[[#This Row],[_Row]])&amp;"")</f>
        <v/>
      </c>
      <c r="K77" s="69" t="str">
        <f aca="false">IF(IFERROR(INDEX(tsk_Name,GanttView[[#This Row],[_Row]])="",TRUE()),"",INDEX(tsk_Status,GanttView[[#This Row],[_Row]]))</f>
        <v/>
      </c>
      <c r="L77" s="70" t="n">
        <f aca="false">ROW()-ROW(GanttView[[#Headers],[ID]])</f>
        <v>72</v>
      </c>
      <c r="M77" s="71" t="b">
        <f aca="false">IF(IFERROR(INDEX(tsk_Name,GanttView[[#This Row],[_Row]])="",TRUE()),FALSE(),INDEX(tsk_IsSummary,GanttView[[#This Row],[_Row]]))</f>
        <v>0</v>
      </c>
      <c r="N77" s="71" t="b">
        <f aca="false">IF(IFERROR(INDEX(tsk_Name,GanttView[[#This Row],[_Row]])="",TRUE()),FALSE(),AND(INDEX(tsk_IsLeaf,GanttView[[#This Row],[_Row]])=1,N(INDEX(tsk_Duration,GanttView[[#This Row],[_Row]]))=0))</f>
        <v>0</v>
      </c>
      <c r="O7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7" s="72" t="n">
        <f aca="false">IF(GanttView[[#This Row],[_RemFrom]]=0,0,GanttView[[#This Row],[Forecast Finish]])</f>
        <v>0</v>
      </c>
      <c r="S77" s="71" t="b">
        <f aca="false">IF(IFERROR(INDEX(tsk_Name,GanttView[[#This Row],[_Row]])="",TRUE()),FALSE(),N(INDEX(tsk_Variance,GanttView[[#This Row],[_Row]]))&gt;0)</f>
        <v>0</v>
      </c>
      <c r="T77" s="72" t="n">
        <f aca="false">IF(IFERROR(INDEX(tsk_Name,GanttView[[#This Row],[_Row]])="",TRUE()),0,N(INDEX(tsk_Deadline,GanttView[[#This Row],[_Row]])))</f>
        <v>0</v>
      </c>
    </row>
    <row r="78" customFormat="false" ht="15" hidden="false" customHeight="false" outlineLevel="0" collapsed="false">
      <c r="A78" s="65" t="str">
        <f aca="false">IF(IFERROR(INDEX(tsk_Name,GanttView[[#This Row],[_Row]])="",TRUE()),"",INDEX(tsk_ID,GanttView[[#This Row],[_Row]]))</f>
        <v/>
      </c>
      <c r="B78" s="65" t="str">
        <f aca="false">IF(IFERROR(INDEX(tsk_Name,GanttView[[#This Row],[_Row]])="",TRUE()),"",INDEX(tsk_WBS,GanttView[[#This Row],[_Row]]))</f>
        <v/>
      </c>
      <c r="C78" s="66" t="str">
        <f aca="false">IF(IFERROR(INDEX(tsk_Name,GanttView[[#This Row],[_Row]])="",TRUE()),"",REPT("    ",INDEX(tsk_Level,GanttView[[#This Row],[_Row]])-1)&amp;INDEX(tsk_Name,GanttView[[#This Row],[_Row]]))</f>
        <v/>
      </c>
      <c r="D7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8" s="67" t="str">
        <f aca="false">IF(IFERROR(INDEX(tsk_Name,GanttView[[#This Row],[_Row]])="",TRUE()),"",INDEX(tsk_PlanStart,GanttView[[#This Row],[_Row]]))</f>
        <v/>
      </c>
      <c r="F78" s="67" t="str">
        <f aca="false">IF(IFERROR(INDEX(tsk_Name,GanttView[[#This Row],[_Row]])="",TRUE()),"",INDEX(tsk_PlanFinish,GanttView[[#This Row],[_Row]]))</f>
        <v/>
      </c>
      <c r="G78" s="67" t="str">
        <f aca="false">IF(IFERROR(INDEX(tsk_Name,GanttView[[#This Row],[_Row]])="",TRUE()),"",INDEX(tsk_FcStart,GanttView[[#This Row],[_Row]]))</f>
        <v/>
      </c>
      <c r="H78" s="67" t="str">
        <f aca="false">IF(IFERROR(INDEX(tsk_Name,GanttView[[#This Row],[_Row]])="",TRUE()),"",INDEX(tsk_FcFinish,GanttView[[#This Row],[_Row]]))</f>
        <v/>
      </c>
      <c r="I78" s="68" t="str">
        <f aca="false">IF(IFERROR(INDEX(tsk_Name,GanttView[[#This Row],[_Row]])="",TRUE()),"",INDEX(tsk_Progress,GanttView[[#This Row],[_Row]]))</f>
        <v/>
      </c>
      <c r="J78" s="66" t="str">
        <f aca="false">IF(IFERROR(INDEX(tsk_Name,GanttView[[#This Row],[_Row]])="",TRUE()),"",INDEX(tsk_Resource,GanttView[[#This Row],[_Row]])&amp;"")</f>
        <v/>
      </c>
      <c r="K78" s="69" t="str">
        <f aca="false">IF(IFERROR(INDEX(tsk_Name,GanttView[[#This Row],[_Row]])="",TRUE()),"",INDEX(tsk_Status,GanttView[[#This Row],[_Row]]))</f>
        <v/>
      </c>
      <c r="L78" s="70" t="n">
        <f aca="false">ROW()-ROW(GanttView[[#Headers],[ID]])</f>
        <v>73</v>
      </c>
      <c r="M78" s="71" t="b">
        <f aca="false">IF(IFERROR(INDEX(tsk_Name,GanttView[[#This Row],[_Row]])="",TRUE()),FALSE(),INDEX(tsk_IsSummary,GanttView[[#This Row],[_Row]]))</f>
        <v>0</v>
      </c>
      <c r="N78" s="71" t="b">
        <f aca="false">IF(IFERROR(INDEX(tsk_Name,GanttView[[#This Row],[_Row]])="",TRUE()),FALSE(),AND(INDEX(tsk_IsLeaf,GanttView[[#This Row],[_Row]])=1,N(INDEX(tsk_Duration,GanttView[[#This Row],[_Row]]))=0))</f>
        <v>0</v>
      </c>
      <c r="O7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8" s="72" t="n">
        <f aca="false">IF(GanttView[[#This Row],[_RemFrom]]=0,0,GanttView[[#This Row],[Forecast Finish]])</f>
        <v>0</v>
      </c>
      <c r="S78" s="71" t="b">
        <f aca="false">IF(IFERROR(INDEX(tsk_Name,GanttView[[#This Row],[_Row]])="",TRUE()),FALSE(),N(INDEX(tsk_Variance,GanttView[[#This Row],[_Row]]))&gt;0)</f>
        <v>0</v>
      </c>
      <c r="T78" s="72" t="n">
        <f aca="false">IF(IFERROR(INDEX(tsk_Name,GanttView[[#This Row],[_Row]])="",TRUE()),0,N(INDEX(tsk_Deadline,GanttView[[#This Row],[_Row]])))</f>
        <v>0</v>
      </c>
    </row>
    <row r="79" customFormat="false" ht="15" hidden="false" customHeight="false" outlineLevel="0" collapsed="false">
      <c r="A79" s="65" t="str">
        <f aca="false">IF(IFERROR(INDEX(tsk_Name,GanttView[[#This Row],[_Row]])="",TRUE()),"",INDEX(tsk_ID,GanttView[[#This Row],[_Row]]))</f>
        <v/>
      </c>
      <c r="B79" s="65" t="str">
        <f aca="false">IF(IFERROR(INDEX(tsk_Name,GanttView[[#This Row],[_Row]])="",TRUE()),"",INDEX(tsk_WBS,GanttView[[#This Row],[_Row]]))</f>
        <v/>
      </c>
      <c r="C79" s="66" t="str">
        <f aca="false">IF(IFERROR(INDEX(tsk_Name,GanttView[[#This Row],[_Row]])="",TRUE()),"",REPT("    ",INDEX(tsk_Level,GanttView[[#This Row],[_Row]])-1)&amp;INDEX(tsk_Name,GanttView[[#This Row],[_Row]]))</f>
        <v/>
      </c>
      <c r="D7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9" s="67" t="str">
        <f aca="false">IF(IFERROR(INDEX(tsk_Name,GanttView[[#This Row],[_Row]])="",TRUE()),"",INDEX(tsk_PlanStart,GanttView[[#This Row],[_Row]]))</f>
        <v/>
      </c>
      <c r="F79" s="67" t="str">
        <f aca="false">IF(IFERROR(INDEX(tsk_Name,GanttView[[#This Row],[_Row]])="",TRUE()),"",INDEX(tsk_PlanFinish,GanttView[[#This Row],[_Row]]))</f>
        <v/>
      </c>
      <c r="G79" s="67" t="str">
        <f aca="false">IF(IFERROR(INDEX(tsk_Name,GanttView[[#This Row],[_Row]])="",TRUE()),"",INDEX(tsk_FcStart,GanttView[[#This Row],[_Row]]))</f>
        <v/>
      </c>
      <c r="H79" s="67" t="str">
        <f aca="false">IF(IFERROR(INDEX(tsk_Name,GanttView[[#This Row],[_Row]])="",TRUE()),"",INDEX(tsk_FcFinish,GanttView[[#This Row],[_Row]]))</f>
        <v/>
      </c>
      <c r="I79" s="68" t="str">
        <f aca="false">IF(IFERROR(INDEX(tsk_Name,GanttView[[#This Row],[_Row]])="",TRUE()),"",INDEX(tsk_Progress,GanttView[[#This Row],[_Row]]))</f>
        <v/>
      </c>
      <c r="J79" s="66" t="str">
        <f aca="false">IF(IFERROR(INDEX(tsk_Name,GanttView[[#This Row],[_Row]])="",TRUE()),"",INDEX(tsk_Resource,GanttView[[#This Row],[_Row]])&amp;"")</f>
        <v/>
      </c>
      <c r="K79" s="69" t="str">
        <f aca="false">IF(IFERROR(INDEX(tsk_Name,GanttView[[#This Row],[_Row]])="",TRUE()),"",INDEX(tsk_Status,GanttView[[#This Row],[_Row]]))</f>
        <v/>
      </c>
      <c r="L79" s="70" t="n">
        <f aca="false">ROW()-ROW(GanttView[[#Headers],[ID]])</f>
        <v>74</v>
      </c>
      <c r="M79" s="71" t="b">
        <f aca="false">IF(IFERROR(INDEX(tsk_Name,GanttView[[#This Row],[_Row]])="",TRUE()),FALSE(),INDEX(tsk_IsSummary,GanttView[[#This Row],[_Row]]))</f>
        <v>0</v>
      </c>
      <c r="N79" s="71" t="b">
        <f aca="false">IF(IFERROR(INDEX(tsk_Name,GanttView[[#This Row],[_Row]])="",TRUE()),FALSE(),AND(INDEX(tsk_IsLeaf,GanttView[[#This Row],[_Row]])=1,N(INDEX(tsk_Duration,GanttView[[#This Row],[_Row]]))=0))</f>
        <v>0</v>
      </c>
      <c r="O7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9" s="72" t="n">
        <f aca="false">IF(GanttView[[#This Row],[_RemFrom]]=0,0,GanttView[[#This Row],[Forecast Finish]])</f>
        <v>0</v>
      </c>
      <c r="S79" s="71" t="b">
        <f aca="false">IF(IFERROR(INDEX(tsk_Name,GanttView[[#This Row],[_Row]])="",TRUE()),FALSE(),N(INDEX(tsk_Variance,GanttView[[#This Row],[_Row]]))&gt;0)</f>
        <v>0</v>
      </c>
      <c r="T79" s="72" t="n">
        <f aca="false">IF(IFERROR(INDEX(tsk_Name,GanttView[[#This Row],[_Row]])="",TRUE()),0,N(INDEX(tsk_Deadline,GanttView[[#This Row],[_Row]])))</f>
        <v>0</v>
      </c>
    </row>
    <row r="80" customFormat="false" ht="15" hidden="false" customHeight="false" outlineLevel="0" collapsed="false">
      <c r="A80" s="65" t="str">
        <f aca="false">IF(IFERROR(INDEX(tsk_Name,GanttView[[#This Row],[_Row]])="",TRUE()),"",INDEX(tsk_ID,GanttView[[#This Row],[_Row]]))</f>
        <v/>
      </c>
      <c r="B80" s="65" t="str">
        <f aca="false">IF(IFERROR(INDEX(tsk_Name,GanttView[[#This Row],[_Row]])="",TRUE()),"",INDEX(tsk_WBS,GanttView[[#This Row],[_Row]]))</f>
        <v/>
      </c>
      <c r="C80" s="66" t="str">
        <f aca="false">IF(IFERROR(INDEX(tsk_Name,GanttView[[#This Row],[_Row]])="",TRUE()),"",REPT("    ",INDEX(tsk_Level,GanttView[[#This Row],[_Row]])-1)&amp;INDEX(tsk_Name,GanttView[[#This Row],[_Row]]))</f>
        <v/>
      </c>
      <c r="D8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0" s="67" t="str">
        <f aca="false">IF(IFERROR(INDEX(tsk_Name,GanttView[[#This Row],[_Row]])="",TRUE()),"",INDEX(tsk_PlanStart,GanttView[[#This Row],[_Row]]))</f>
        <v/>
      </c>
      <c r="F80" s="67" t="str">
        <f aca="false">IF(IFERROR(INDEX(tsk_Name,GanttView[[#This Row],[_Row]])="",TRUE()),"",INDEX(tsk_PlanFinish,GanttView[[#This Row],[_Row]]))</f>
        <v/>
      </c>
      <c r="G80" s="67" t="str">
        <f aca="false">IF(IFERROR(INDEX(tsk_Name,GanttView[[#This Row],[_Row]])="",TRUE()),"",INDEX(tsk_FcStart,GanttView[[#This Row],[_Row]]))</f>
        <v/>
      </c>
      <c r="H80" s="67" t="str">
        <f aca="false">IF(IFERROR(INDEX(tsk_Name,GanttView[[#This Row],[_Row]])="",TRUE()),"",INDEX(tsk_FcFinish,GanttView[[#This Row],[_Row]]))</f>
        <v/>
      </c>
      <c r="I80" s="68" t="str">
        <f aca="false">IF(IFERROR(INDEX(tsk_Name,GanttView[[#This Row],[_Row]])="",TRUE()),"",INDEX(tsk_Progress,GanttView[[#This Row],[_Row]]))</f>
        <v/>
      </c>
      <c r="J80" s="66" t="str">
        <f aca="false">IF(IFERROR(INDEX(tsk_Name,GanttView[[#This Row],[_Row]])="",TRUE()),"",INDEX(tsk_Resource,GanttView[[#This Row],[_Row]])&amp;"")</f>
        <v/>
      </c>
      <c r="K80" s="69" t="str">
        <f aca="false">IF(IFERROR(INDEX(tsk_Name,GanttView[[#This Row],[_Row]])="",TRUE()),"",INDEX(tsk_Status,GanttView[[#This Row],[_Row]]))</f>
        <v/>
      </c>
      <c r="L80" s="70" t="n">
        <f aca="false">ROW()-ROW(GanttView[[#Headers],[ID]])</f>
        <v>75</v>
      </c>
      <c r="M80" s="71" t="b">
        <f aca="false">IF(IFERROR(INDEX(tsk_Name,GanttView[[#This Row],[_Row]])="",TRUE()),FALSE(),INDEX(tsk_IsSummary,GanttView[[#This Row],[_Row]]))</f>
        <v>0</v>
      </c>
      <c r="N80" s="71" t="b">
        <f aca="false">IF(IFERROR(INDEX(tsk_Name,GanttView[[#This Row],[_Row]])="",TRUE()),FALSE(),AND(INDEX(tsk_IsLeaf,GanttView[[#This Row],[_Row]])=1,N(INDEX(tsk_Duration,GanttView[[#This Row],[_Row]]))=0))</f>
        <v>0</v>
      </c>
      <c r="O8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0" s="72" t="n">
        <f aca="false">IF(GanttView[[#This Row],[_RemFrom]]=0,0,GanttView[[#This Row],[Forecast Finish]])</f>
        <v>0</v>
      </c>
      <c r="S80" s="71" t="b">
        <f aca="false">IF(IFERROR(INDEX(tsk_Name,GanttView[[#This Row],[_Row]])="",TRUE()),FALSE(),N(INDEX(tsk_Variance,GanttView[[#This Row],[_Row]]))&gt;0)</f>
        <v>0</v>
      </c>
      <c r="T80" s="72" t="n">
        <f aca="false">IF(IFERROR(INDEX(tsk_Name,GanttView[[#This Row],[_Row]])="",TRUE()),0,N(INDEX(tsk_Deadline,GanttView[[#This Row],[_Row]])))</f>
        <v>0</v>
      </c>
    </row>
    <row r="81" customFormat="false" ht="15" hidden="false" customHeight="false" outlineLevel="0" collapsed="false">
      <c r="A81" s="65" t="str">
        <f aca="false">IF(IFERROR(INDEX(tsk_Name,GanttView[[#This Row],[_Row]])="",TRUE()),"",INDEX(tsk_ID,GanttView[[#This Row],[_Row]]))</f>
        <v/>
      </c>
      <c r="B81" s="65" t="str">
        <f aca="false">IF(IFERROR(INDEX(tsk_Name,GanttView[[#This Row],[_Row]])="",TRUE()),"",INDEX(tsk_WBS,GanttView[[#This Row],[_Row]]))</f>
        <v/>
      </c>
      <c r="C81" s="66" t="str">
        <f aca="false">IF(IFERROR(INDEX(tsk_Name,GanttView[[#This Row],[_Row]])="",TRUE()),"",REPT("    ",INDEX(tsk_Level,GanttView[[#This Row],[_Row]])-1)&amp;INDEX(tsk_Name,GanttView[[#This Row],[_Row]]))</f>
        <v/>
      </c>
      <c r="D8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1" s="67" t="str">
        <f aca="false">IF(IFERROR(INDEX(tsk_Name,GanttView[[#This Row],[_Row]])="",TRUE()),"",INDEX(tsk_PlanStart,GanttView[[#This Row],[_Row]]))</f>
        <v/>
      </c>
      <c r="F81" s="67" t="str">
        <f aca="false">IF(IFERROR(INDEX(tsk_Name,GanttView[[#This Row],[_Row]])="",TRUE()),"",INDEX(tsk_PlanFinish,GanttView[[#This Row],[_Row]]))</f>
        <v/>
      </c>
      <c r="G81" s="67" t="str">
        <f aca="false">IF(IFERROR(INDEX(tsk_Name,GanttView[[#This Row],[_Row]])="",TRUE()),"",INDEX(tsk_FcStart,GanttView[[#This Row],[_Row]]))</f>
        <v/>
      </c>
      <c r="H81" s="67" t="str">
        <f aca="false">IF(IFERROR(INDEX(tsk_Name,GanttView[[#This Row],[_Row]])="",TRUE()),"",INDEX(tsk_FcFinish,GanttView[[#This Row],[_Row]]))</f>
        <v/>
      </c>
      <c r="I81" s="68" t="str">
        <f aca="false">IF(IFERROR(INDEX(tsk_Name,GanttView[[#This Row],[_Row]])="",TRUE()),"",INDEX(tsk_Progress,GanttView[[#This Row],[_Row]]))</f>
        <v/>
      </c>
      <c r="J81" s="66" t="str">
        <f aca="false">IF(IFERROR(INDEX(tsk_Name,GanttView[[#This Row],[_Row]])="",TRUE()),"",INDEX(tsk_Resource,GanttView[[#This Row],[_Row]])&amp;"")</f>
        <v/>
      </c>
      <c r="K81" s="69" t="str">
        <f aca="false">IF(IFERROR(INDEX(tsk_Name,GanttView[[#This Row],[_Row]])="",TRUE()),"",INDEX(tsk_Status,GanttView[[#This Row],[_Row]]))</f>
        <v/>
      </c>
      <c r="L81" s="70" t="n">
        <f aca="false">ROW()-ROW(GanttView[[#Headers],[ID]])</f>
        <v>76</v>
      </c>
      <c r="M81" s="71" t="b">
        <f aca="false">IF(IFERROR(INDEX(tsk_Name,GanttView[[#This Row],[_Row]])="",TRUE()),FALSE(),INDEX(tsk_IsSummary,GanttView[[#This Row],[_Row]]))</f>
        <v>0</v>
      </c>
      <c r="N81" s="71" t="b">
        <f aca="false">IF(IFERROR(INDEX(tsk_Name,GanttView[[#This Row],[_Row]])="",TRUE()),FALSE(),AND(INDEX(tsk_IsLeaf,GanttView[[#This Row],[_Row]])=1,N(INDEX(tsk_Duration,GanttView[[#This Row],[_Row]]))=0))</f>
        <v>0</v>
      </c>
      <c r="O8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1" s="72" t="n">
        <f aca="false">IF(GanttView[[#This Row],[_RemFrom]]=0,0,GanttView[[#This Row],[Forecast Finish]])</f>
        <v>0</v>
      </c>
      <c r="S81" s="71" t="b">
        <f aca="false">IF(IFERROR(INDEX(tsk_Name,GanttView[[#This Row],[_Row]])="",TRUE()),FALSE(),N(INDEX(tsk_Variance,GanttView[[#This Row],[_Row]]))&gt;0)</f>
        <v>0</v>
      </c>
      <c r="T81" s="72" t="n">
        <f aca="false">IF(IFERROR(INDEX(tsk_Name,GanttView[[#This Row],[_Row]])="",TRUE()),0,N(INDEX(tsk_Deadline,GanttView[[#This Row],[_Row]])))</f>
        <v>0</v>
      </c>
    </row>
    <row r="82" customFormat="false" ht="15" hidden="false" customHeight="false" outlineLevel="0" collapsed="false">
      <c r="A82" s="65" t="str">
        <f aca="false">IF(IFERROR(INDEX(tsk_Name,GanttView[[#This Row],[_Row]])="",TRUE()),"",INDEX(tsk_ID,GanttView[[#This Row],[_Row]]))</f>
        <v/>
      </c>
      <c r="B82" s="65" t="str">
        <f aca="false">IF(IFERROR(INDEX(tsk_Name,GanttView[[#This Row],[_Row]])="",TRUE()),"",INDEX(tsk_WBS,GanttView[[#This Row],[_Row]]))</f>
        <v/>
      </c>
      <c r="C82" s="66" t="str">
        <f aca="false">IF(IFERROR(INDEX(tsk_Name,GanttView[[#This Row],[_Row]])="",TRUE()),"",REPT("    ",INDEX(tsk_Level,GanttView[[#This Row],[_Row]])-1)&amp;INDEX(tsk_Name,GanttView[[#This Row],[_Row]]))</f>
        <v/>
      </c>
      <c r="D8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2" s="67" t="str">
        <f aca="false">IF(IFERROR(INDEX(tsk_Name,GanttView[[#This Row],[_Row]])="",TRUE()),"",INDEX(tsk_PlanStart,GanttView[[#This Row],[_Row]]))</f>
        <v/>
      </c>
      <c r="F82" s="67" t="str">
        <f aca="false">IF(IFERROR(INDEX(tsk_Name,GanttView[[#This Row],[_Row]])="",TRUE()),"",INDEX(tsk_PlanFinish,GanttView[[#This Row],[_Row]]))</f>
        <v/>
      </c>
      <c r="G82" s="67" t="str">
        <f aca="false">IF(IFERROR(INDEX(tsk_Name,GanttView[[#This Row],[_Row]])="",TRUE()),"",INDEX(tsk_FcStart,GanttView[[#This Row],[_Row]]))</f>
        <v/>
      </c>
      <c r="H82" s="67" t="str">
        <f aca="false">IF(IFERROR(INDEX(tsk_Name,GanttView[[#This Row],[_Row]])="",TRUE()),"",INDEX(tsk_FcFinish,GanttView[[#This Row],[_Row]]))</f>
        <v/>
      </c>
      <c r="I82" s="68" t="str">
        <f aca="false">IF(IFERROR(INDEX(tsk_Name,GanttView[[#This Row],[_Row]])="",TRUE()),"",INDEX(tsk_Progress,GanttView[[#This Row],[_Row]]))</f>
        <v/>
      </c>
      <c r="J82" s="66" t="str">
        <f aca="false">IF(IFERROR(INDEX(tsk_Name,GanttView[[#This Row],[_Row]])="",TRUE()),"",INDEX(tsk_Resource,GanttView[[#This Row],[_Row]])&amp;"")</f>
        <v/>
      </c>
      <c r="K82" s="69" t="str">
        <f aca="false">IF(IFERROR(INDEX(tsk_Name,GanttView[[#This Row],[_Row]])="",TRUE()),"",INDEX(tsk_Status,GanttView[[#This Row],[_Row]]))</f>
        <v/>
      </c>
      <c r="L82" s="70" t="n">
        <f aca="false">ROW()-ROW(GanttView[[#Headers],[ID]])</f>
        <v>77</v>
      </c>
      <c r="M82" s="71" t="b">
        <f aca="false">IF(IFERROR(INDEX(tsk_Name,GanttView[[#This Row],[_Row]])="",TRUE()),FALSE(),INDEX(tsk_IsSummary,GanttView[[#This Row],[_Row]]))</f>
        <v>0</v>
      </c>
      <c r="N82" s="71" t="b">
        <f aca="false">IF(IFERROR(INDEX(tsk_Name,GanttView[[#This Row],[_Row]])="",TRUE()),FALSE(),AND(INDEX(tsk_IsLeaf,GanttView[[#This Row],[_Row]])=1,N(INDEX(tsk_Duration,GanttView[[#This Row],[_Row]]))=0))</f>
        <v>0</v>
      </c>
      <c r="O8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2" s="72" t="n">
        <f aca="false">IF(GanttView[[#This Row],[_RemFrom]]=0,0,GanttView[[#This Row],[Forecast Finish]])</f>
        <v>0</v>
      </c>
      <c r="S82" s="71" t="b">
        <f aca="false">IF(IFERROR(INDEX(tsk_Name,GanttView[[#This Row],[_Row]])="",TRUE()),FALSE(),N(INDEX(tsk_Variance,GanttView[[#This Row],[_Row]]))&gt;0)</f>
        <v>0</v>
      </c>
      <c r="T82" s="72" t="n">
        <f aca="false">IF(IFERROR(INDEX(tsk_Name,GanttView[[#This Row],[_Row]])="",TRUE()),0,N(INDEX(tsk_Deadline,GanttView[[#This Row],[_Row]])))</f>
        <v>0</v>
      </c>
    </row>
    <row r="83" customFormat="false" ht="15" hidden="false" customHeight="false" outlineLevel="0" collapsed="false">
      <c r="A83" s="65" t="str">
        <f aca="false">IF(IFERROR(INDEX(tsk_Name,GanttView[[#This Row],[_Row]])="",TRUE()),"",INDEX(tsk_ID,GanttView[[#This Row],[_Row]]))</f>
        <v/>
      </c>
      <c r="B83" s="65" t="str">
        <f aca="false">IF(IFERROR(INDEX(tsk_Name,GanttView[[#This Row],[_Row]])="",TRUE()),"",INDEX(tsk_WBS,GanttView[[#This Row],[_Row]]))</f>
        <v/>
      </c>
      <c r="C83" s="66" t="str">
        <f aca="false">IF(IFERROR(INDEX(tsk_Name,GanttView[[#This Row],[_Row]])="",TRUE()),"",REPT("    ",INDEX(tsk_Level,GanttView[[#This Row],[_Row]])-1)&amp;INDEX(tsk_Name,GanttView[[#This Row],[_Row]]))</f>
        <v/>
      </c>
      <c r="D8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3" s="67" t="str">
        <f aca="false">IF(IFERROR(INDEX(tsk_Name,GanttView[[#This Row],[_Row]])="",TRUE()),"",INDEX(tsk_PlanStart,GanttView[[#This Row],[_Row]]))</f>
        <v/>
      </c>
      <c r="F83" s="67" t="str">
        <f aca="false">IF(IFERROR(INDEX(tsk_Name,GanttView[[#This Row],[_Row]])="",TRUE()),"",INDEX(tsk_PlanFinish,GanttView[[#This Row],[_Row]]))</f>
        <v/>
      </c>
      <c r="G83" s="67" t="str">
        <f aca="false">IF(IFERROR(INDEX(tsk_Name,GanttView[[#This Row],[_Row]])="",TRUE()),"",INDEX(tsk_FcStart,GanttView[[#This Row],[_Row]]))</f>
        <v/>
      </c>
      <c r="H83" s="67" t="str">
        <f aca="false">IF(IFERROR(INDEX(tsk_Name,GanttView[[#This Row],[_Row]])="",TRUE()),"",INDEX(tsk_FcFinish,GanttView[[#This Row],[_Row]]))</f>
        <v/>
      </c>
      <c r="I83" s="68" t="str">
        <f aca="false">IF(IFERROR(INDEX(tsk_Name,GanttView[[#This Row],[_Row]])="",TRUE()),"",INDEX(tsk_Progress,GanttView[[#This Row],[_Row]]))</f>
        <v/>
      </c>
      <c r="J83" s="66" t="str">
        <f aca="false">IF(IFERROR(INDEX(tsk_Name,GanttView[[#This Row],[_Row]])="",TRUE()),"",INDEX(tsk_Resource,GanttView[[#This Row],[_Row]])&amp;"")</f>
        <v/>
      </c>
      <c r="K83" s="69" t="str">
        <f aca="false">IF(IFERROR(INDEX(tsk_Name,GanttView[[#This Row],[_Row]])="",TRUE()),"",INDEX(tsk_Status,GanttView[[#This Row],[_Row]]))</f>
        <v/>
      </c>
      <c r="L83" s="70" t="n">
        <f aca="false">ROW()-ROW(GanttView[[#Headers],[ID]])</f>
        <v>78</v>
      </c>
      <c r="M83" s="71" t="b">
        <f aca="false">IF(IFERROR(INDEX(tsk_Name,GanttView[[#This Row],[_Row]])="",TRUE()),FALSE(),INDEX(tsk_IsSummary,GanttView[[#This Row],[_Row]]))</f>
        <v>0</v>
      </c>
      <c r="N83" s="71" t="b">
        <f aca="false">IF(IFERROR(INDEX(tsk_Name,GanttView[[#This Row],[_Row]])="",TRUE()),FALSE(),AND(INDEX(tsk_IsLeaf,GanttView[[#This Row],[_Row]])=1,N(INDEX(tsk_Duration,GanttView[[#This Row],[_Row]]))=0))</f>
        <v>0</v>
      </c>
      <c r="O8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3" s="72" t="n">
        <f aca="false">IF(GanttView[[#This Row],[_RemFrom]]=0,0,GanttView[[#This Row],[Forecast Finish]])</f>
        <v>0</v>
      </c>
      <c r="S83" s="71" t="b">
        <f aca="false">IF(IFERROR(INDEX(tsk_Name,GanttView[[#This Row],[_Row]])="",TRUE()),FALSE(),N(INDEX(tsk_Variance,GanttView[[#This Row],[_Row]]))&gt;0)</f>
        <v>0</v>
      </c>
      <c r="T83" s="72" t="n">
        <f aca="false">IF(IFERROR(INDEX(tsk_Name,GanttView[[#This Row],[_Row]])="",TRUE()),0,N(INDEX(tsk_Deadline,GanttView[[#This Row],[_Row]])))</f>
        <v>0</v>
      </c>
    </row>
    <row r="84" customFormat="false" ht="15" hidden="false" customHeight="false" outlineLevel="0" collapsed="false">
      <c r="A84" s="65" t="str">
        <f aca="false">IF(IFERROR(INDEX(tsk_Name,GanttView[[#This Row],[_Row]])="",TRUE()),"",INDEX(tsk_ID,GanttView[[#This Row],[_Row]]))</f>
        <v/>
      </c>
      <c r="B84" s="65" t="str">
        <f aca="false">IF(IFERROR(INDEX(tsk_Name,GanttView[[#This Row],[_Row]])="",TRUE()),"",INDEX(tsk_WBS,GanttView[[#This Row],[_Row]]))</f>
        <v/>
      </c>
      <c r="C84" s="66" t="str">
        <f aca="false">IF(IFERROR(INDEX(tsk_Name,GanttView[[#This Row],[_Row]])="",TRUE()),"",REPT("    ",INDEX(tsk_Level,GanttView[[#This Row],[_Row]])-1)&amp;INDEX(tsk_Name,GanttView[[#This Row],[_Row]]))</f>
        <v/>
      </c>
      <c r="D8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4" s="67" t="str">
        <f aca="false">IF(IFERROR(INDEX(tsk_Name,GanttView[[#This Row],[_Row]])="",TRUE()),"",INDEX(tsk_PlanStart,GanttView[[#This Row],[_Row]]))</f>
        <v/>
      </c>
      <c r="F84" s="67" t="str">
        <f aca="false">IF(IFERROR(INDEX(tsk_Name,GanttView[[#This Row],[_Row]])="",TRUE()),"",INDEX(tsk_PlanFinish,GanttView[[#This Row],[_Row]]))</f>
        <v/>
      </c>
      <c r="G84" s="67" t="str">
        <f aca="false">IF(IFERROR(INDEX(tsk_Name,GanttView[[#This Row],[_Row]])="",TRUE()),"",INDEX(tsk_FcStart,GanttView[[#This Row],[_Row]]))</f>
        <v/>
      </c>
      <c r="H84" s="67" t="str">
        <f aca="false">IF(IFERROR(INDEX(tsk_Name,GanttView[[#This Row],[_Row]])="",TRUE()),"",INDEX(tsk_FcFinish,GanttView[[#This Row],[_Row]]))</f>
        <v/>
      </c>
      <c r="I84" s="68" t="str">
        <f aca="false">IF(IFERROR(INDEX(tsk_Name,GanttView[[#This Row],[_Row]])="",TRUE()),"",INDEX(tsk_Progress,GanttView[[#This Row],[_Row]]))</f>
        <v/>
      </c>
      <c r="J84" s="66" t="str">
        <f aca="false">IF(IFERROR(INDEX(tsk_Name,GanttView[[#This Row],[_Row]])="",TRUE()),"",INDEX(tsk_Resource,GanttView[[#This Row],[_Row]])&amp;"")</f>
        <v/>
      </c>
      <c r="K84" s="69" t="str">
        <f aca="false">IF(IFERROR(INDEX(tsk_Name,GanttView[[#This Row],[_Row]])="",TRUE()),"",INDEX(tsk_Status,GanttView[[#This Row],[_Row]]))</f>
        <v/>
      </c>
      <c r="L84" s="70" t="n">
        <f aca="false">ROW()-ROW(GanttView[[#Headers],[ID]])</f>
        <v>79</v>
      </c>
      <c r="M84" s="71" t="b">
        <f aca="false">IF(IFERROR(INDEX(tsk_Name,GanttView[[#This Row],[_Row]])="",TRUE()),FALSE(),INDEX(tsk_IsSummary,GanttView[[#This Row],[_Row]]))</f>
        <v>0</v>
      </c>
      <c r="N84" s="71" t="b">
        <f aca="false">IF(IFERROR(INDEX(tsk_Name,GanttView[[#This Row],[_Row]])="",TRUE()),FALSE(),AND(INDEX(tsk_IsLeaf,GanttView[[#This Row],[_Row]])=1,N(INDEX(tsk_Duration,GanttView[[#This Row],[_Row]]))=0))</f>
        <v>0</v>
      </c>
      <c r="O8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4" s="72" t="n">
        <f aca="false">IF(GanttView[[#This Row],[_RemFrom]]=0,0,GanttView[[#This Row],[Forecast Finish]])</f>
        <v>0</v>
      </c>
      <c r="S84" s="71" t="b">
        <f aca="false">IF(IFERROR(INDEX(tsk_Name,GanttView[[#This Row],[_Row]])="",TRUE()),FALSE(),N(INDEX(tsk_Variance,GanttView[[#This Row],[_Row]]))&gt;0)</f>
        <v>0</v>
      </c>
      <c r="T84" s="72" t="n">
        <f aca="false">IF(IFERROR(INDEX(tsk_Name,GanttView[[#This Row],[_Row]])="",TRUE()),0,N(INDEX(tsk_Deadline,GanttView[[#This Row],[_Row]])))</f>
        <v>0</v>
      </c>
    </row>
    <row r="85" customFormat="false" ht="15" hidden="false" customHeight="false" outlineLevel="0" collapsed="false">
      <c r="A85" s="65" t="str">
        <f aca="false">IF(IFERROR(INDEX(tsk_Name,GanttView[[#This Row],[_Row]])="",TRUE()),"",INDEX(tsk_ID,GanttView[[#This Row],[_Row]]))</f>
        <v/>
      </c>
      <c r="B85" s="65" t="str">
        <f aca="false">IF(IFERROR(INDEX(tsk_Name,GanttView[[#This Row],[_Row]])="",TRUE()),"",INDEX(tsk_WBS,GanttView[[#This Row],[_Row]]))</f>
        <v/>
      </c>
      <c r="C85" s="66" t="str">
        <f aca="false">IF(IFERROR(INDEX(tsk_Name,GanttView[[#This Row],[_Row]])="",TRUE()),"",REPT("    ",INDEX(tsk_Level,GanttView[[#This Row],[_Row]])-1)&amp;INDEX(tsk_Name,GanttView[[#This Row],[_Row]]))</f>
        <v/>
      </c>
      <c r="D8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5" s="67" t="str">
        <f aca="false">IF(IFERROR(INDEX(tsk_Name,GanttView[[#This Row],[_Row]])="",TRUE()),"",INDEX(tsk_PlanStart,GanttView[[#This Row],[_Row]]))</f>
        <v/>
      </c>
      <c r="F85" s="67" t="str">
        <f aca="false">IF(IFERROR(INDEX(tsk_Name,GanttView[[#This Row],[_Row]])="",TRUE()),"",INDEX(tsk_PlanFinish,GanttView[[#This Row],[_Row]]))</f>
        <v/>
      </c>
      <c r="G85" s="67" t="str">
        <f aca="false">IF(IFERROR(INDEX(tsk_Name,GanttView[[#This Row],[_Row]])="",TRUE()),"",INDEX(tsk_FcStart,GanttView[[#This Row],[_Row]]))</f>
        <v/>
      </c>
      <c r="H85" s="67" t="str">
        <f aca="false">IF(IFERROR(INDEX(tsk_Name,GanttView[[#This Row],[_Row]])="",TRUE()),"",INDEX(tsk_FcFinish,GanttView[[#This Row],[_Row]]))</f>
        <v/>
      </c>
      <c r="I85" s="68" t="str">
        <f aca="false">IF(IFERROR(INDEX(tsk_Name,GanttView[[#This Row],[_Row]])="",TRUE()),"",INDEX(tsk_Progress,GanttView[[#This Row],[_Row]]))</f>
        <v/>
      </c>
      <c r="J85" s="66" t="str">
        <f aca="false">IF(IFERROR(INDEX(tsk_Name,GanttView[[#This Row],[_Row]])="",TRUE()),"",INDEX(tsk_Resource,GanttView[[#This Row],[_Row]])&amp;"")</f>
        <v/>
      </c>
      <c r="K85" s="69" t="str">
        <f aca="false">IF(IFERROR(INDEX(tsk_Name,GanttView[[#This Row],[_Row]])="",TRUE()),"",INDEX(tsk_Status,GanttView[[#This Row],[_Row]]))</f>
        <v/>
      </c>
      <c r="L85" s="70" t="n">
        <f aca="false">ROW()-ROW(GanttView[[#Headers],[ID]])</f>
        <v>80</v>
      </c>
      <c r="M85" s="71" t="b">
        <f aca="false">IF(IFERROR(INDEX(tsk_Name,GanttView[[#This Row],[_Row]])="",TRUE()),FALSE(),INDEX(tsk_IsSummary,GanttView[[#This Row],[_Row]]))</f>
        <v>0</v>
      </c>
      <c r="N85" s="71" t="b">
        <f aca="false">IF(IFERROR(INDEX(tsk_Name,GanttView[[#This Row],[_Row]])="",TRUE()),FALSE(),AND(INDEX(tsk_IsLeaf,GanttView[[#This Row],[_Row]])=1,N(INDEX(tsk_Duration,GanttView[[#This Row],[_Row]]))=0))</f>
        <v>0</v>
      </c>
      <c r="O8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5" s="72" t="n">
        <f aca="false">IF(GanttView[[#This Row],[_RemFrom]]=0,0,GanttView[[#This Row],[Forecast Finish]])</f>
        <v>0</v>
      </c>
      <c r="S85" s="71" t="b">
        <f aca="false">IF(IFERROR(INDEX(tsk_Name,GanttView[[#This Row],[_Row]])="",TRUE()),FALSE(),N(INDEX(tsk_Variance,GanttView[[#This Row],[_Row]]))&gt;0)</f>
        <v>0</v>
      </c>
      <c r="T85" s="72" t="n">
        <f aca="false">IF(IFERROR(INDEX(tsk_Name,GanttView[[#This Row],[_Row]])="",TRUE()),0,N(INDEX(tsk_Deadline,GanttView[[#This Row],[_Row]])))</f>
        <v>0</v>
      </c>
    </row>
    <row r="86" customFormat="false" ht="15" hidden="false" customHeight="false" outlineLevel="0" collapsed="false">
      <c r="A86" s="65" t="str">
        <f aca="false">IF(IFERROR(INDEX(tsk_Name,GanttView[[#This Row],[_Row]])="",TRUE()),"",INDEX(tsk_ID,GanttView[[#This Row],[_Row]]))</f>
        <v/>
      </c>
      <c r="B86" s="65" t="str">
        <f aca="false">IF(IFERROR(INDEX(tsk_Name,GanttView[[#This Row],[_Row]])="",TRUE()),"",INDEX(tsk_WBS,GanttView[[#This Row],[_Row]]))</f>
        <v/>
      </c>
      <c r="C86" s="66" t="str">
        <f aca="false">IF(IFERROR(INDEX(tsk_Name,GanttView[[#This Row],[_Row]])="",TRUE()),"",REPT("    ",INDEX(tsk_Level,GanttView[[#This Row],[_Row]])-1)&amp;INDEX(tsk_Name,GanttView[[#This Row],[_Row]]))</f>
        <v/>
      </c>
      <c r="D8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6" s="67" t="str">
        <f aca="false">IF(IFERROR(INDEX(tsk_Name,GanttView[[#This Row],[_Row]])="",TRUE()),"",INDEX(tsk_PlanStart,GanttView[[#This Row],[_Row]]))</f>
        <v/>
      </c>
      <c r="F86" s="67" t="str">
        <f aca="false">IF(IFERROR(INDEX(tsk_Name,GanttView[[#This Row],[_Row]])="",TRUE()),"",INDEX(tsk_PlanFinish,GanttView[[#This Row],[_Row]]))</f>
        <v/>
      </c>
      <c r="G86" s="67" t="str">
        <f aca="false">IF(IFERROR(INDEX(tsk_Name,GanttView[[#This Row],[_Row]])="",TRUE()),"",INDEX(tsk_FcStart,GanttView[[#This Row],[_Row]]))</f>
        <v/>
      </c>
      <c r="H86" s="67" t="str">
        <f aca="false">IF(IFERROR(INDEX(tsk_Name,GanttView[[#This Row],[_Row]])="",TRUE()),"",INDEX(tsk_FcFinish,GanttView[[#This Row],[_Row]]))</f>
        <v/>
      </c>
      <c r="I86" s="68" t="str">
        <f aca="false">IF(IFERROR(INDEX(tsk_Name,GanttView[[#This Row],[_Row]])="",TRUE()),"",INDEX(tsk_Progress,GanttView[[#This Row],[_Row]]))</f>
        <v/>
      </c>
      <c r="J86" s="66" t="str">
        <f aca="false">IF(IFERROR(INDEX(tsk_Name,GanttView[[#This Row],[_Row]])="",TRUE()),"",INDEX(tsk_Resource,GanttView[[#This Row],[_Row]])&amp;"")</f>
        <v/>
      </c>
      <c r="K86" s="69" t="str">
        <f aca="false">IF(IFERROR(INDEX(tsk_Name,GanttView[[#This Row],[_Row]])="",TRUE()),"",INDEX(tsk_Status,GanttView[[#This Row],[_Row]]))</f>
        <v/>
      </c>
      <c r="L86" s="70" t="n">
        <f aca="false">ROW()-ROW(GanttView[[#Headers],[ID]])</f>
        <v>81</v>
      </c>
      <c r="M86" s="71" t="b">
        <f aca="false">IF(IFERROR(INDEX(tsk_Name,GanttView[[#This Row],[_Row]])="",TRUE()),FALSE(),INDEX(tsk_IsSummary,GanttView[[#This Row],[_Row]]))</f>
        <v>0</v>
      </c>
      <c r="N86" s="71" t="b">
        <f aca="false">IF(IFERROR(INDEX(tsk_Name,GanttView[[#This Row],[_Row]])="",TRUE()),FALSE(),AND(INDEX(tsk_IsLeaf,GanttView[[#This Row],[_Row]])=1,N(INDEX(tsk_Duration,GanttView[[#This Row],[_Row]]))=0))</f>
        <v>0</v>
      </c>
      <c r="O8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6" s="72" t="n">
        <f aca="false">IF(GanttView[[#This Row],[_RemFrom]]=0,0,GanttView[[#This Row],[Forecast Finish]])</f>
        <v>0</v>
      </c>
      <c r="S86" s="71" t="b">
        <f aca="false">IF(IFERROR(INDEX(tsk_Name,GanttView[[#This Row],[_Row]])="",TRUE()),FALSE(),N(INDEX(tsk_Variance,GanttView[[#This Row],[_Row]]))&gt;0)</f>
        <v>0</v>
      </c>
      <c r="T86" s="72" t="n">
        <f aca="false">IF(IFERROR(INDEX(tsk_Name,GanttView[[#This Row],[_Row]])="",TRUE()),0,N(INDEX(tsk_Deadline,GanttView[[#This Row],[_Row]])))</f>
        <v>0</v>
      </c>
    </row>
    <row r="87" customFormat="false" ht="15" hidden="false" customHeight="false" outlineLevel="0" collapsed="false">
      <c r="A87" s="65" t="str">
        <f aca="false">IF(IFERROR(INDEX(tsk_Name,GanttView[[#This Row],[_Row]])="",TRUE()),"",INDEX(tsk_ID,GanttView[[#This Row],[_Row]]))</f>
        <v/>
      </c>
      <c r="B87" s="65" t="str">
        <f aca="false">IF(IFERROR(INDEX(tsk_Name,GanttView[[#This Row],[_Row]])="",TRUE()),"",INDEX(tsk_WBS,GanttView[[#This Row],[_Row]]))</f>
        <v/>
      </c>
      <c r="C87" s="66" t="str">
        <f aca="false">IF(IFERROR(INDEX(tsk_Name,GanttView[[#This Row],[_Row]])="",TRUE()),"",REPT("    ",INDEX(tsk_Level,GanttView[[#This Row],[_Row]])-1)&amp;INDEX(tsk_Name,GanttView[[#This Row],[_Row]]))</f>
        <v/>
      </c>
      <c r="D8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7" s="67" t="str">
        <f aca="false">IF(IFERROR(INDEX(tsk_Name,GanttView[[#This Row],[_Row]])="",TRUE()),"",INDEX(tsk_PlanStart,GanttView[[#This Row],[_Row]]))</f>
        <v/>
      </c>
      <c r="F87" s="67" t="str">
        <f aca="false">IF(IFERROR(INDEX(tsk_Name,GanttView[[#This Row],[_Row]])="",TRUE()),"",INDEX(tsk_PlanFinish,GanttView[[#This Row],[_Row]]))</f>
        <v/>
      </c>
      <c r="G87" s="67" t="str">
        <f aca="false">IF(IFERROR(INDEX(tsk_Name,GanttView[[#This Row],[_Row]])="",TRUE()),"",INDEX(tsk_FcStart,GanttView[[#This Row],[_Row]]))</f>
        <v/>
      </c>
      <c r="H87" s="67" t="str">
        <f aca="false">IF(IFERROR(INDEX(tsk_Name,GanttView[[#This Row],[_Row]])="",TRUE()),"",INDEX(tsk_FcFinish,GanttView[[#This Row],[_Row]]))</f>
        <v/>
      </c>
      <c r="I87" s="68" t="str">
        <f aca="false">IF(IFERROR(INDEX(tsk_Name,GanttView[[#This Row],[_Row]])="",TRUE()),"",INDEX(tsk_Progress,GanttView[[#This Row],[_Row]]))</f>
        <v/>
      </c>
      <c r="J87" s="66" t="str">
        <f aca="false">IF(IFERROR(INDEX(tsk_Name,GanttView[[#This Row],[_Row]])="",TRUE()),"",INDEX(tsk_Resource,GanttView[[#This Row],[_Row]])&amp;"")</f>
        <v/>
      </c>
      <c r="K87" s="69" t="str">
        <f aca="false">IF(IFERROR(INDEX(tsk_Name,GanttView[[#This Row],[_Row]])="",TRUE()),"",INDEX(tsk_Status,GanttView[[#This Row],[_Row]]))</f>
        <v/>
      </c>
      <c r="L87" s="70" t="n">
        <f aca="false">ROW()-ROW(GanttView[[#Headers],[ID]])</f>
        <v>82</v>
      </c>
      <c r="M87" s="71" t="b">
        <f aca="false">IF(IFERROR(INDEX(tsk_Name,GanttView[[#This Row],[_Row]])="",TRUE()),FALSE(),INDEX(tsk_IsSummary,GanttView[[#This Row],[_Row]]))</f>
        <v>0</v>
      </c>
      <c r="N87" s="71" t="b">
        <f aca="false">IF(IFERROR(INDEX(tsk_Name,GanttView[[#This Row],[_Row]])="",TRUE()),FALSE(),AND(INDEX(tsk_IsLeaf,GanttView[[#This Row],[_Row]])=1,N(INDEX(tsk_Duration,GanttView[[#This Row],[_Row]]))=0))</f>
        <v>0</v>
      </c>
      <c r="O8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7" s="72" t="n">
        <f aca="false">IF(GanttView[[#This Row],[_RemFrom]]=0,0,GanttView[[#This Row],[Forecast Finish]])</f>
        <v>0</v>
      </c>
      <c r="S87" s="71" t="b">
        <f aca="false">IF(IFERROR(INDEX(tsk_Name,GanttView[[#This Row],[_Row]])="",TRUE()),FALSE(),N(INDEX(tsk_Variance,GanttView[[#This Row],[_Row]]))&gt;0)</f>
        <v>0</v>
      </c>
      <c r="T87" s="72" t="n">
        <f aca="false">IF(IFERROR(INDEX(tsk_Name,GanttView[[#This Row],[_Row]])="",TRUE()),0,N(INDEX(tsk_Deadline,GanttView[[#This Row],[_Row]])))</f>
        <v>0</v>
      </c>
    </row>
    <row r="88" customFormat="false" ht="15" hidden="false" customHeight="false" outlineLevel="0" collapsed="false">
      <c r="A88" s="65" t="str">
        <f aca="false">IF(IFERROR(INDEX(tsk_Name,GanttView[[#This Row],[_Row]])="",TRUE()),"",INDEX(tsk_ID,GanttView[[#This Row],[_Row]]))</f>
        <v/>
      </c>
      <c r="B88" s="65" t="str">
        <f aca="false">IF(IFERROR(INDEX(tsk_Name,GanttView[[#This Row],[_Row]])="",TRUE()),"",INDEX(tsk_WBS,GanttView[[#This Row],[_Row]]))</f>
        <v/>
      </c>
      <c r="C88" s="66" t="str">
        <f aca="false">IF(IFERROR(INDEX(tsk_Name,GanttView[[#This Row],[_Row]])="",TRUE()),"",REPT("    ",INDEX(tsk_Level,GanttView[[#This Row],[_Row]])-1)&amp;INDEX(tsk_Name,GanttView[[#This Row],[_Row]]))</f>
        <v/>
      </c>
      <c r="D8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8" s="67" t="str">
        <f aca="false">IF(IFERROR(INDEX(tsk_Name,GanttView[[#This Row],[_Row]])="",TRUE()),"",INDEX(tsk_PlanStart,GanttView[[#This Row],[_Row]]))</f>
        <v/>
      </c>
      <c r="F88" s="67" t="str">
        <f aca="false">IF(IFERROR(INDEX(tsk_Name,GanttView[[#This Row],[_Row]])="",TRUE()),"",INDEX(tsk_PlanFinish,GanttView[[#This Row],[_Row]]))</f>
        <v/>
      </c>
      <c r="G88" s="67" t="str">
        <f aca="false">IF(IFERROR(INDEX(tsk_Name,GanttView[[#This Row],[_Row]])="",TRUE()),"",INDEX(tsk_FcStart,GanttView[[#This Row],[_Row]]))</f>
        <v/>
      </c>
      <c r="H88" s="67" t="str">
        <f aca="false">IF(IFERROR(INDEX(tsk_Name,GanttView[[#This Row],[_Row]])="",TRUE()),"",INDEX(tsk_FcFinish,GanttView[[#This Row],[_Row]]))</f>
        <v/>
      </c>
      <c r="I88" s="68" t="str">
        <f aca="false">IF(IFERROR(INDEX(tsk_Name,GanttView[[#This Row],[_Row]])="",TRUE()),"",INDEX(tsk_Progress,GanttView[[#This Row],[_Row]]))</f>
        <v/>
      </c>
      <c r="J88" s="66" t="str">
        <f aca="false">IF(IFERROR(INDEX(tsk_Name,GanttView[[#This Row],[_Row]])="",TRUE()),"",INDEX(tsk_Resource,GanttView[[#This Row],[_Row]])&amp;"")</f>
        <v/>
      </c>
      <c r="K88" s="69" t="str">
        <f aca="false">IF(IFERROR(INDEX(tsk_Name,GanttView[[#This Row],[_Row]])="",TRUE()),"",INDEX(tsk_Status,GanttView[[#This Row],[_Row]]))</f>
        <v/>
      </c>
      <c r="L88" s="70" t="n">
        <f aca="false">ROW()-ROW(GanttView[[#Headers],[ID]])</f>
        <v>83</v>
      </c>
      <c r="M88" s="71" t="b">
        <f aca="false">IF(IFERROR(INDEX(tsk_Name,GanttView[[#This Row],[_Row]])="",TRUE()),FALSE(),INDEX(tsk_IsSummary,GanttView[[#This Row],[_Row]]))</f>
        <v>0</v>
      </c>
      <c r="N88" s="71" t="b">
        <f aca="false">IF(IFERROR(INDEX(tsk_Name,GanttView[[#This Row],[_Row]])="",TRUE()),FALSE(),AND(INDEX(tsk_IsLeaf,GanttView[[#This Row],[_Row]])=1,N(INDEX(tsk_Duration,GanttView[[#This Row],[_Row]]))=0))</f>
        <v>0</v>
      </c>
      <c r="O8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8" s="72" t="n">
        <f aca="false">IF(GanttView[[#This Row],[_RemFrom]]=0,0,GanttView[[#This Row],[Forecast Finish]])</f>
        <v>0</v>
      </c>
      <c r="S88" s="71" t="b">
        <f aca="false">IF(IFERROR(INDEX(tsk_Name,GanttView[[#This Row],[_Row]])="",TRUE()),FALSE(),N(INDEX(tsk_Variance,GanttView[[#This Row],[_Row]]))&gt;0)</f>
        <v>0</v>
      </c>
      <c r="T88" s="72" t="n">
        <f aca="false">IF(IFERROR(INDEX(tsk_Name,GanttView[[#This Row],[_Row]])="",TRUE()),0,N(INDEX(tsk_Deadline,GanttView[[#This Row],[_Row]])))</f>
        <v>0</v>
      </c>
    </row>
    <row r="89" customFormat="false" ht="15" hidden="false" customHeight="false" outlineLevel="0" collapsed="false">
      <c r="A89" s="65" t="str">
        <f aca="false">IF(IFERROR(INDEX(tsk_Name,GanttView[[#This Row],[_Row]])="",TRUE()),"",INDEX(tsk_ID,GanttView[[#This Row],[_Row]]))</f>
        <v/>
      </c>
      <c r="B89" s="65" t="str">
        <f aca="false">IF(IFERROR(INDEX(tsk_Name,GanttView[[#This Row],[_Row]])="",TRUE()),"",INDEX(tsk_WBS,GanttView[[#This Row],[_Row]]))</f>
        <v/>
      </c>
      <c r="C89" s="66" t="str">
        <f aca="false">IF(IFERROR(INDEX(tsk_Name,GanttView[[#This Row],[_Row]])="",TRUE()),"",REPT("    ",INDEX(tsk_Level,GanttView[[#This Row],[_Row]])-1)&amp;INDEX(tsk_Name,GanttView[[#This Row],[_Row]]))</f>
        <v/>
      </c>
      <c r="D8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9" s="67" t="str">
        <f aca="false">IF(IFERROR(INDEX(tsk_Name,GanttView[[#This Row],[_Row]])="",TRUE()),"",INDEX(tsk_PlanStart,GanttView[[#This Row],[_Row]]))</f>
        <v/>
      </c>
      <c r="F89" s="67" t="str">
        <f aca="false">IF(IFERROR(INDEX(tsk_Name,GanttView[[#This Row],[_Row]])="",TRUE()),"",INDEX(tsk_PlanFinish,GanttView[[#This Row],[_Row]]))</f>
        <v/>
      </c>
      <c r="G89" s="67" t="str">
        <f aca="false">IF(IFERROR(INDEX(tsk_Name,GanttView[[#This Row],[_Row]])="",TRUE()),"",INDEX(tsk_FcStart,GanttView[[#This Row],[_Row]]))</f>
        <v/>
      </c>
      <c r="H89" s="67" t="str">
        <f aca="false">IF(IFERROR(INDEX(tsk_Name,GanttView[[#This Row],[_Row]])="",TRUE()),"",INDEX(tsk_FcFinish,GanttView[[#This Row],[_Row]]))</f>
        <v/>
      </c>
      <c r="I89" s="68" t="str">
        <f aca="false">IF(IFERROR(INDEX(tsk_Name,GanttView[[#This Row],[_Row]])="",TRUE()),"",INDEX(tsk_Progress,GanttView[[#This Row],[_Row]]))</f>
        <v/>
      </c>
      <c r="J89" s="66" t="str">
        <f aca="false">IF(IFERROR(INDEX(tsk_Name,GanttView[[#This Row],[_Row]])="",TRUE()),"",INDEX(tsk_Resource,GanttView[[#This Row],[_Row]])&amp;"")</f>
        <v/>
      </c>
      <c r="K89" s="69" t="str">
        <f aca="false">IF(IFERROR(INDEX(tsk_Name,GanttView[[#This Row],[_Row]])="",TRUE()),"",INDEX(tsk_Status,GanttView[[#This Row],[_Row]]))</f>
        <v/>
      </c>
      <c r="L89" s="70" t="n">
        <f aca="false">ROW()-ROW(GanttView[[#Headers],[ID]])</f>
        <v>84</v>
      </c>
      <c r="M89" s="71" t="b">
        <f aca="false">IF(IFERROR(INDEX(tsk_Name,GanttView[[#This Row],[_Row]])="",TRUE()),FALSE(),INDEX(tsk_IsSummary,GanttView[[#This Row],[_Row]]))</f>
        <v>0</v>
      </c>
      <c r="N89" s="71" t="b">
        <f aca="false">IF(IFERROR(INDEX(tsk_Name,GanttView[[#This Row],[_Row]])="",TRUE()),FALSE(),AND(INDEX(tsk_IsLeaf,GanttView[[#This Row],[_Row]])=1,N(INDEX(tsk_Duration,GanttView[[#This Row],[_Row]]))=0))</f>
        <v>0</v>
      </c>
      <c r="O8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9" s="72" t="n">
        <f aca="false">IF(GanttView[[#This Row],[_RemFrom]]=0,0,GanttView[[#This Row],[Forecast Finish]])</f>
        <v>0</v>
      </c>
      <c r="S89" s="71" t="b">
        <f aca="false">IF(IFERROR(INDEX(tsk_Name,GanttView[[#This Row],[_Row]])="",TRUE()),FALSE(),N(INDEX(tsk_Variance,GanttView[[#This Row],[_Row]]))&gt;0)</f>
        <v>0</v>
      </c>
      <c r="T89" s="72" t="n">
        <f aca="false">IF(IFERROR(INDEX(tsk_Name,GanttView[[#This Row],[_Row]])="",TRUE()),0,N(INDEX(tsk_Deadline,GanttView[[#This Row],[_Row]])))</f>
        <v>0</v>
      </c>
    </row>
    <row r="90" customFormat="false" ht="15" hidden="false" customHeight="false" outlineLevel="0" collapsed="false">
      <c r="A90" s="65" t="str">
        <f aca="false">IF(IFERROR(INDEX(tsk_Name,GanttView[[#This Row],[_Row]])="",TRUE()),"",INDEX(tsk_ID,GanttView[[#This Row],[_Row]]))</f>
        <v/>
      </c>
      <c r="B90" s="65" t="str">
        <f aca="false">IF(IFERROR(INDEX(tsk_Name,GanttView[[#This Row],[_Row]])="",TRUE()),"",INDEX(tsk_WBS,GanttView[[#This Row],[_Row]]))</f>
        <v/>
      </c>
      <c r="C90" s="66" t="str">
        <f aca="false">IF(IFERROR(INDEX(tsk_Name,GanttView[[#This Row],[_Row]])="",TRUE()),"",REPT("    ",INDEX(tsk_Level,GanttView[[#This Row],[_Row]])-1)&amp;INDEX(tsk_Name,GanttView[[#This Row],[_Row]]))</f>
        <v/>
      </c>
      <c r="D9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0" s="67" t="str">
        <f aca="false">IF(IFERROR(INDEX(tsk_Name,GanttView[[#This Row],[_Row]])="",TRUE()),"",INDEX(tsk_PlanStart,GanttView[[#This Row],[_Row]]))</f>
        <v/>
      </c>
      <c r="F90" s="67" t="str">
        <f aca="false">IF(IFERROR(INDEX(tsk_Name,GanttView[[#This Row],[_Row]])="",TRUE()),"",INDEX(tsk_PlanFinish,GanttView[[#This Row],[_Row]]))</f>
        <v/>
      </c>
      <c r="G90" s="67" t="str">
        <f aca="false">IF(IFERROR(INDEX(tsk_Name,GanttView[[#This Row],[_Row]])="",TRUE()),"",INDEX(tsk_FcStart,GanttView[[#This Row],[_Row]]))</f>
        <v/>
      </c>
      <c r="H90" s="67" t="str">
        <f aca="false">IF(IFERROR(INDEX(tsk_Name,GanttView[[#This Row],[_Row]])="",TRUE()),"",INDEX(tsk_FcFinish,GanttView[[#This Row],[_Row]]))</f>
        <v/>
      </c>
      <c r="I90" s="68" t="str">
        <f aca="false">IF(IFERROR(INDEX(tsk_Name,GanttView[[#This Row],[_Row]])="",TRUE()),"",INDEX(tsk_Progress,GanttView[[#This Row],[_Row]]))</f>
        <v/>
      </c>
      <c r="J90" s="66" t="str">
        <f aca="false">IF(IFERROR(INDEX(tsk_Name,GanttView[[#This Row],[_Row]])="",TRUE()),"",INDEX(tsk_Resource,GanttView[[#This Row],[_Row]])&amp;"")</f>
        <v/>
      </c>
      <c r="K90" s="69" t="str">
        <f aca="false">IF(IFERROR(INDEX(tsk_Name,GanttView[[#This Row],[_Row]])="",TRUE()),"",INDEX(tsk_Status,GanttView[[#This Row],[_Row]]))</f>
        <v/>
      </c>
      <c r="L90" s="70" t="n">
        <f aca="false">ROW()-ROW(GanttView[[#Headers],[ID]])</f>
        <v>85</v>
      </c>
      <c r="M90" s="71" t="b">
        <f aca="false">IF(IFERROR(INDEX(tsk_Name,GanttView[[#This Row],[_Row]])="",TRUE()),FALSE(),INDEX(tsk_IsSummary,GanttView[[#This Row],[_Row]]))</f>
        <v>0</v>
      </c>
      <c r="N90" s="71" t="b">
        <f aca="false">IF(IFERROR(INDEX(tsk_Name,GanttView[[#This Row],[_Row]])="",TRUE()),FALSE(),AND(INDEX(tsk_IsLeaf,GanttView[[#This Row],[_Row]])=1,N(INDEX(tsk_Duration,GanttView[[#This Row],[_Row]]))=0))</f>
        <v>0</v>
      </c>
      <c r="O9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0" s="72" t="n">
        <f aca="false">IF(GanttView[[#This Row],[_RemFrom]]=0,0,GanttView[[#This Row],[Forecast Finish]])</f>
        <v>0</v>
      </c>
      <c r="S90" s="71" t="b">
        <f aca="false">IF(IFERROR(INDEX(tsk_Name,GanttView[[#This Row],[_Row]])="",TRUE()),FALSE(),N(INDEX(tsk_Variance,GanttView[[#This Row],[_Row]]))&gt;0)</f>
        <v>0</v>
      </c>
      <c r="T90" s="72" t="n">
        <f aca="false">IF(IFERROR(INDEX(tsk_Name,GanttView[[#This Row],[_Row]])="",TRUE()),0,N(INDEX(tsk_Deadline,GanttView[[#This Row],[_Row]])))</f>
        <v>0</v>
      </c>
    </row>
    <row r="91" customFormat="false" ht="15" hidden="false" customHeight="false" outlineLevel="0" collapsed="false">
      <c r="A91" s="65" t="str">
        <f aca="false">IF(IFERROR(INDEX(tsk_Name,GanttView[[#This Row],[_Row]])="",TRUE()),"",INDEX(tsk_ID,GanttView[[#This Row],[_Row]]))</f>
        <v/>
      </c>
      <c r="B91" s="65" t="str">
        <f aca="false">IF(IFERROR(INDEX(tsk_Name,GanttView[[#This Row],[_Row]])="",TRUE()),"",INDEX(tsk_WBS,GanttView[[#This Row],[_Row]]))</f>
        <v/>
      </c>
      <c r="C91" s="66" t="str">
        <f aca="false">IF(IFERROR(INDEX(tsk_Name,GanttView[[#This Row],[_Row]])="",TRUE()),"",REPT("    ",INDEX(tsk_Level,GanttView[[#This Row],[_Row]])-1)&amp;INDEX(tsk_Name,GanttView[[#This Row],[_Row]]))</f>
        <v/>
      </c>
      <c r="D9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1" s="67" t="str">
        <f aca="false">IF(IFERROR(INDEX(tsk_Name,GanttView[[#This Row],[_Row]])="",TRUE()),"",INDEX(tsk_PlanStart,GanttView[[#This Row],[_Row]]))</f>
        <v/>
      </c>
      <c r="F91" s="67" t="str">
        <f aca="false">IF(IFERROR(INDEX(tsk_Name,GanttView[[#This Row],[_Row]])="",TRUE()),"",INDEX(tsk_PlanFinish,GanttView[[#This Row],[_Row]]))</f>
        <v/>
      </c>
      <c r="G91" s="67" t="str">
        <f aca="false">IF(IFERROR(INDEX(tsk_Name,GanttView[[#This Row],[_Row]])="",TRUE()),"",INDEX(tsk_FcStart,GanttView[[#This Row],[_Row]]))</f>
        <v/>
      </c>
      <c r="H91" s="67" t="str">
        <f aca="false">IF(IFERROR(INDEX(tsk_Name,GanttView[[#This Row],[_Row]])="",TRUE()),"",INDEX(tsk_FcFinish,GanttView[[#This Row],[_Row]]))</f>
        <v/>
      </c>
      <c r="I91" s="68" t="str">
        <f aca="false">IF(IFERROR(INDEX(tsk_Name,GanttView[[#This Row],[_Row]])="",TRUE()),"",INDEX(tsk_Progress,GanttView[[#This Row],[_Row]]))</f>
        <v/>
      </c>
      <c r="J91" s="66" t="str">
        <f aca="false">IF(IFERROR(INDEX(tsk_Name,GanttView[[#This Row],[_Row]])="",TRUE()),"",INDEX(tsk_Resource,GanttView[[#This Row],[_Row]])&amp;"")</f>
        <v/>
      </c>
      <c r="K91" s="69" t="str">
        <f aca="false">IF(IFERROR(INDEX(tsk_Name,GanttView[[#This Row],[_Row]])="",TRUE()),"",INDEX(tsk_Status,GanttView[[#This Row],[_Row]]))</f>
        <v/>
      </c>
      <c r="L91" s="70" t="n">
        <f aca="false">ROW()-ROW(GanttView[[#Headers],[ID]])</f>
        <v>86</v>
      </c>
      <c r="M91" s="71" t="b">
        <f aca="false">IF(IFERROR(INDEX(tsk_Name,GanttView[[#This Row],[_Row]])="",TRUE()),FALSE(),INDEX(tsk_IsSummary,GanttView[[#This Row],[_Row]]))</f>
        <v>0</v>
      </c>
      <c r="N91" s="71" t="b">
        <f aca="false">IF(IFERROR(INDEX(tsk_Name,GanttView[[#This Row],[_Row]])="",TRUE()),FALSE(),AND(INDEX(tsk_IsLeaf,GanttView[[#This Row],[_Row]])=1,N(INDEX(tsk_Duration,GanttView[[#This Row],[_Row]]))=0))</f>
        <v>0</v>
      </c>
      <c r="O9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1" s="72" t="n">
        <f aca="false">IF(GanttView[[#This Row],[_RemFrom]]=0,0,GanttView[[#This Row],[Forecast Finish]])</f>
        <v>0</v>
      </c>
      <c r="S91" s="71" t="b">
        <f aca="false">IF(IFERROR(INDEX(tsk_Name,GanttView[[#This Row],[_Row]])="",TRUE()),FALSE(),N(INDEX(tsk_Variance,GanttView[[#This Row],[_Row]]))&gt;0)</f>
        <v>0</v>
      </c>
      <c r="T91" s="72" t="n">
        <f aca="false">IF(IFERROR(INDEX(tsk_Name,GanttView[[#This Row],[_Row]])="",TRUE()),0,N(INDEX(tsk_Deadline,GanttView[[#This Row],[_Row]])))</f>
        <v>0</v>
      </c>
    </row>
    <row r="92" customFormat="false" ht="15" hidden="false" customHeight="false" outlineLevel="0" collapsed="false">
      <c r="A92" s="65" t="str">
        <f aca="false">IF(IFERROR(INDEX(tsk_Name,GanttView[[#This Row],[_Row]])="",TRUE()),"",INDEX(tsk_ID,GanttView[[#This Row],[_Row]]))</f>
        <v/>
      </c>
      <c r="B92" s="65" t="str">
        <f aca="false">IF(IFERROR(INDEX(tsk_Name,GanttView[[#This Row],[_Row]])="",TRUE()),"",INDEX(tsk_WBS,GanttView[[#This Row],[_Row]]))</f>
        <v/>
      </c>
      <c r="C92" s="66" t="str">
        <f aca="false">IF(IFERROR(INDEX(tsk_Name,GanttView[[#This Row],[_Row]])="",TRUE()),"",REPT("    ",INDEX(tsk_Level,GanttView[[#This Row],[_Row]])-1)&amp;INDEX(tsk_Name,GanttView[[#This Row],[_Row]]))</f>
        <v/>
      </c>
      <c r="D9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2" s="67" t="str">
        <f aca="false">IF(IFERROR(INDEX(tsk_Name,GanttView[[#This Row],[_Row]])="",TRUE()),"",INDEX(tsk_PlanStart,GanttView[[#This Row],[_Row]]))</f>
        <v/>
      </c>
      <c r="F92" s="67" t="str">
        <f aca="false">IF(IFERROR(INDEX(tsk_Name,GanttView[[#This Row],[_Row]])="",TRUE()),"",INDEX(tsk_PlanFinish,GanttView[[#This Row],[_Row]]))</f>
        <v/>
      </c>
      <c r="G92" s="67" t="str">
        <f aca="false">IF(IFERROR(INDEX(tsk_Name,GanttView[[#This Row],[_Row]])="",TRUE()),"",INDEX(tsk_FcStart,GanttView[[#This Row],[_Row]]))</f>
        <v/>
      </c>
      <c r="H92" s="67" t="str">
        <f aca="false">IF(IFERROR(INDEX(tsk_Name,GanttView[[#This Row],[_Row]])="",TRUE()),"",INDEX(tsk_FcFinish,GanttView[[#This Row],[_Row]]))</f>
        <v/>
      </c>
      <c r="I92" s="68" t="str">
        <f aca="false">IF(IFERROR(INDEX(tsk_Name,GanttView[[#This Row],[_Row]])="",TRUE()),"",INDEX(tsk_Progress,GanttView[[#This Row],[_Row]]))</f>
        <v/>
      </c>
      <c r="J92" s="66" t="str">
        <f aca="false">IF(IFERROR(INDEX(tsk_Name,GanttView[[#This Row],[_Row]])="",TRUE()),"",INDEX(tsk_Resource,GanttView[[#This Row],[_Row]])&amp;"")</f>
        <v/>
      </c>
      <c r="K92" s="69" t="str">
        <f aca="false">IF(IFERROR(INDEX(tsk_Name,GanttView[[#This Row],[_Row]])="",TRUE()),"",INDEX(tsk_Status,GanttView[[#This Row],[_Row]]))</f>
        <v/>
      </c>
      <c r="L92" s="70" t="n">
        <f aca="false">ROW()-ROW(GanttView[[#Headers],[ID]])</f>
        <v>87</v>
      </c>
      <c r="M92" s="71" t="b">
        <f aca="false">IF(IFERROR(INDEX(tsk_Name,GanttView[[#This Row],[_Row]])="",TRUE()),FALSE(),INDEX(tsk_IsSummary,GanttView[[#This Row],[_Row]]))</f>
        <v>0</v>
      </c>
      <c r="N92" s="71" t="b">
        <f aca="false">IF(IFERROR(INDEX(tsk_Name,GanttView[[#This Row],[_Row]])="",TRUE()),FALSE(),AND(INDEX(tsk_IsLeaf,GanttView[[#This Row],[_Row]])=1,N(INDEX(tsk_Duration,GanttView[[#This Row],[_Row]]))=0))</f>
        <v>0</v>
      </c>
      <c r="O9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2" s="72" t="n">
        <f aca="false">IF(GanttView[[#This Row],[_RemFrom]]=0,0,GanttView[[#This Row],[Forecast Finish]])</f>
        <v>0</v>
      </c>
      <c r="S92" s="71" t="b">
        <f aca="false">IF(IFERROR(INDEX(tsk_Name,GanttView[[#This Row],[_Row]])="",TRUE()),FALSE(),N(INDEX(tsk_Variance,GanttView[[#This Row],[_Row]]))&gt;0)</f>
        <v>0</v>
      </c>
      <c r="T92" s="72" t="n">
        <f aca="false">IF(IFERROR(INDEX(tsk_Name,GanttView[[#This Row],[_Row]])="",TRUE()),0,N(INDEX(tsk_Deadline,GanttView[[#This Row],[_Row]])))</f>
        <v>0</v>
      </c>
    </row>
    <row r="93" customFormat="false" ht="15" hidden="false" customHeight="false" outlineLevel="0" collapsed="false">
      <c r="A93" s="65" t="str">
        <f aca="false">IF(IFERROR(INDEX(tsk_Name,GanttView[[#This Row],[_Row]])="",TRUE()),"",INDEX(tsk_ID,GanttView[[#This Row],[_Row]]))</f>
        <v/>
      </c>
      <c r="B93" s="65" t="str">
        <f aca="false">IF(IFERROR(INDEX(tsk_Name,GanttView[[#This Row],[_Row]])="",TRUE()),"",INDEX(tsk_WBS,GanttView[[#This Row],[_Row]]))</f>
        <v/>
      </c>
      <c r="C93" s="66" t="str">
        <f aca="false">IF(IFERROR(INDEX(tsk_Name,GanttView[[#This Row],[_Row]])="",TRUE()),"",REPT("    ",INDEX(tsk_Level,GanttView[[#This Row],[_Row]])-1)&amp;INDEX(tsk_Name,GanttView[[#This Row],[_Row]]))</f>
        <v/>
      </c>
      <c r="D9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3" s="67" t="str">
        <f aca="false">IF(IFERROR(INDEX(tsk_Name,GanttView[[#This Row],[_Row]])="",TRUE()),"",INDEX(tsk_PlanStart,GanttView[[#This Row],[_Row]]))</f>
        <v/>
      </c>
      <c r="F93" s="67" t="str">
        <f aca="false">IF(IFERROR(INDEX(tsk_Name,GanttView[[#This Row],[_Row]])="",TRUE()),"",INDEX(tsk_PlanFinish,GanttView[[#This Row],[_Row]]))</f>
        <v/>
      </c>
      <c r="G93" s="67" t="str">
        <f aca="false">IF(IFERROR(INDEX(tsk_Name,GanttView[[#This Row],[_Row]])="",TRUE()),"",INDEX(tsk_FcStart,GanttView[[#This Row],[_Row]]))</f>
        <v/>
      </c>
      <c r="H93" s="67" t="str">
        <f aca="false">IF(IFERROR(INDEX(tsk_Name,GanttView[[#This Row],[_Row]])="",TRUE()),"",INDEX(tsk_FcFinish,GanttView[[#This Row],[_Row]]))</f>
        <v/>
      </c>
      <c r="I93" s="68" t="str">
        <f aca="false">IF(IFERROR(INDEX(tsk_Name,GanttView[[#This Row],[_Row]])="",TRUE()),"",INDEX(tsk_Progress,GanttView[[#This Row],[_Row]]))</f>
        <v/>
      </c>
      <c r="J93" s="66" t="str">
        <f aca="false">IF(IFERROR(INDEX(tsk_Name,GanttView[[#This Row],[_Row]])="",TRUE()),"",INDEX(tsk_Resource,GanttView[[#This Row],[_Row]])&amp;"")</f>
        <v/>
      </c>
      <c r="K93" s="69" t="str">
        <f aca="false">IF(IFERROR(INDEX(tsk_Name,GanttView[[#This Row],[_Row]])="",TRUE()),"",INDEX(tsk_Status,GanttView[[#This Row],[_Row]]))</f>
        <v/>
      </c>
      <c r="L93" s="70" t="n">
        <f aca="false">ROW()-ROW(GanttView[[#Headers],[ID]])</f>
        <v>88</v>
      </c>
      <c r="M93" s="71" t="b">
        <f aca="false">IF(IFERROR(INDEX(tsk_Name,GanttView[[#This Row],[_Row]])="",TRUE()),FALSE(),INDEX(tsk_IsSummary,GanttView[[#This Row],[_Row]]))</f>
        <v>0</v>
      </c>
      <c r="N93" s="71" t="b">
        <f aca="false">IF(IFERROR(INDEX(tsk_Name,GanttView[[#This Row],[_Row]])="",TRUE()),FALSE(),AND(INDEX(tsk_IsLeaf,GanttView[[#This Row],[_Row]])=1,N(INDEX(tsk_Duration,GanttView[[#This Row],[_Row]]))=0))</f>
        <v>0</v>
      </c>
      <c r="O9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3" s="72" t="n">
        <f aca="false">IF(GanttView[[#This Row],[_RemFrom]]=0,0,GanttView[[#This Row],[Forecast Finish]])</f>
        <v>0</v>
      </c>
      <c r="S93" s="71" t="b">
        <f aca="false">IF(IFERROR(INDEX(tsk_Name,GanttView[[#This Row],[_Row]])="",TRUE()),FALSE(),N(INDEX(tsk_Variance,GanttView[[#This Row],[_Row]]))&gt;0)</f>
        <v>0</v>
      </c>
      <c r="T93" s="72" t="n">
        <f aca="false">IF(IFERROR(INDEX(tsk_Name,GanttView[[#This Row],[_Row]])="",TRUE()),0,N(INDEX(tsk_Deadline,GanttView[[#This Row],[_Row]])))</f>
        <v>0</v>
      </c>
    </row>
    <row r="94" customFormat="false" ht="15" hidden="false" customHeight="false" outlineLevel="0" collapsed="false">
      <c r="A94" s="65" t="str">
        <f aca="false">IF(IFERROR(INDEX(tsk_Name,GanttView[[#This Row],[_Row]])="",TRUE()),"",INDEX(tsk_ID,GanttView[[#This Row],[_Row]]))</f>
        <v/>
      </c>
      <c r="B94" s="65" t="str">
        <f aca="false">IF(IFERROR(INDEX(tsk_Name,GanttView[[#This Row],[_Row]])="",TRUE()),"",INDEX(tsk_WBS,GanttView[[#This Row],[_Row]]))</f>
        <v/>
      </c>
      <c r="C94" s="66" t="str">
        <f aca="false">IF(IFERROR(INDEX(tsk_Name,GanttView[[#This Row],[_Row]])="",TRUE()),"",REPT("    ",INDEX(tsk_Level,GanttView[[#This Row],[_Row]])-1)&amp;INDEX(tsk_Name,GanttView[[#This Row],[_Row]]))</f>
        <v/>
      </c>
      <c r="D9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4" s="67" t="str">
        <f aca="false">IF(IFERROR(INDEX(tsk_Name,GanttView[[#This Row],[_Row]])="",TRUE()),"",INDEX(tsk_PlanStart,GanttView[[#This Row],[_Row]]))</f>
        <v/>
      </c>
      <c r="F94" s="67" t="str">
        <f aca="false">IF(IFERROR(INDEX(tsk_Name,GanttView[[#This Row],[_Row]])="",TRUE()),"",INDEX(tsk_PlanFinish,GanttView[[#This Row],[_Row]]))</f>
        <v/>
      </c>
      <c r="G94" s="67" t="str">
        <f aca="false">IF(IFERROR(INDEX(tsk_Name,GanttView[[#This Row],[_Row]])="",TRUE()),"",INDEX(tsk_FcStart,GanttView[[#This Row],[_Row]]))</f>
        <v/>
      </c>
      <c r="H94" s="67" t="str">
        <f aca="false">IF(IFERROR(INDEX(tsk_Name,GanttView[[#This Row],[_Row]])="",TRUE()),"",INDEX(tsk_FcFinish,GanttView[[#This Row],[_Row]]))</f>
        <v/>
      </c>
      <c r="I94" s="68" t="str">
        <f aca="false">IF(IFERROR(INDEX(tsk_Name,GanttView[[#This Row],[_Row]])="",TRUE()),"",INDEX(tsk_Progress,GanttView[[#This Row],[_Row]]))</f>
        <v/>
      </c>
      <c r="J94" s="66" t="str">
        <f aca="false">IF(IFERROR(INDEX(tsk_Name,GanttView[[#This Row],[_Row]])="",TRUE()),"",INDEX(tsk_Resource,GanttView[[#This Row],[_Row]])&amp;"")</f>
        <v/>
      </c>
      <c r="K94" s="69" t="str">
        <f aca="false">IF(IFERROR(INDEX(tsk_Name,GanttView[[#This Row],[_Row]])="",TRUE()),"",INDEX(tsk_Status,GanttView[[#This Row],[_Row]]))</f>
        <v/>
      </c>
      <c r="L94" s="70" t="n">
        <f aca="false">ROW()-ROW(GanttView[[#Headers],[ID]])</f>
        <v>89</v>
      </c>
      <c r="M94" s="71" t="b">
        <f aca="false">IF(IFERROR(INDEX(tsk_Name,GanttView[[#This Row],[_Row]])="",TRUE()),FALSE(),INDEX(tsk_IsSummary,GanttView[[#This Row],[_Row]]))</f>
        <v>0</v>
      </c>
      <c r="N94" s="71" t="b">
        <f aca="false">IF(IFERROR(INDEX(tsk_Name,GanttView[[#This Row],[_Row]])="",TRUE()),FALSE(),AND(INDEX(tsk_IsLeaf,GanttView[[#This Row],[_Row]])=1,N(INDEX(tsk_Duration,GanttView[[#This Row],[_Row]]))=0))</f>
        <v>0</v>
      </c>
      <c r="O9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4" s="72" t="n">
        <f aca="false">IF(GanttView[[#This Row],[_RemFrom]]=0,0,GanttView[[#This Row],[Forecast Finish]])</f>
        <v>0</v>
      </c>
      <c r="S94" s="71" t="b">
        <f aca="false">IF(IFERROR(INDEX(tsk_Name,GanttView[[#This Row],[_Row]])="",TRUE()),FALSE(),N(INDEX(tsk_Variance,GanttView[[#This Row],[_Row]]))&gt;0)</f>
        <v>0</v>
      </c>
      <c r="T94" s="72" t="n">
        <f aca="false">IF(IFERROR(INDEX(tsk_Name,GanttView[[#This Row],[_Row]])="",TRUE()),0,N(INDEX(tsk_Deadline,GanttView[[#This Row],[_Row]])))</f>
        <v>0</v>
      </c>
    </row>
    <row r="95" customFormat="false" ht="15" hidden="false" customHeight="false" outlineLevel="0" collapsed="false">
      <c r="A95" s="65" t="str">
        <f aca="false">IF(IFERROR(INDEX(tsk_Name,GanttView[[#This Row],[_Row]])="",TRUE()),"",INDEX(tsk_ID,GanttView[[#This Row],[_Row]]))</f>
        <v/>
      </c>
      <c r="B95" s="65" t="str">
        <f aca="false">IF(IFERROR(INDEX(tsk_Name,GanttView[[#This Row],[_Row]])="",TRUE()),"",INDEX(tsk_WBS,GanttView[[#This Row],[_Row]]))</f>
        <v/>
      </c>
      <c r="C95" s="66" t="str">
        <f aca="false">IF(IFERROR(INDEX(tsk_Name,GanttView[[#This Row],[_Row]])="",TRUE()),"",REPT("    ",INDEX(tsk_Level,GanttView[[#This Row],[_Row]])-1)&amp;INDEX(tsk_Name,GanttView[[#This Row],[_Row]]))</f>
        <v/>
      </c>
      <c r="D9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5" s="67" t="str">
        <f aca="false">IF(IFERROR(INDEX(tsk_Name,GanttView[[#This Row],[_Row]])="",TRUE()),"",INDEX(tsk_PlanStart,GanttView[[#This Row],[_Row]]))</f>
        <v/>
      </c>
      <c r="F95" s="67" t="str">
        <f aca="false">IF(IFERROR(INDEX(tsk_Name,GanttView[[#This Row],[_Row]])="",TRUE()),"",INDEX(tsk_PlanFinish,GanttView[[#This Row],[_Row]]))</f>
        <v/>
      </c>
      <c r="G95" s="67" t="str">
        <f aca="false">IF(IFERROR(INDEX(tsk_Name,GanttView[[#This Row],[_Row]])="",TRUE()),"",INDEX(tsk_FcStart,GanttView[[#This Row],[_Row]]))</f>
        <v/>
      </c>
      <c r="H95" s="67" t="str">
        <f aca="false">IF(IFERROR(INDEX(tsk_Name,GanttView[[#This Row],[_Row]])="",TRUE()),"",INDEX(tsk_FcFinish,GanttView[[#This Row],[_Row]]))</f>
        <v/>
      </c>
      <c r="I95" s="68" t="str">
        <f aca="false">IF(IFERROR(INDEX(tsk_Name,GanttView[[#This Row],[_Row]])="",TRUE()),"",INDEX(tsk_Progress,GanttView[[#This Row],[_Row]]))</f>
        <v/>
      </c>
      <c r="J95" s="66" t="str">
        <f aca="false">IF(IFERROR(INDEX(tsk_Name,GanttView[[#This Row],[_Row]])="",TRUE()),"",INDEX(tsk_Resource,GanttView[[#This Row],[_Row]])&amp;"")</f>
        <v/>
      </c>
      <c r="K95" s="69" t="str">
        <f aca="false">IF(IFERROR(INDEX(tsk_Name,GanttView[[#This Row],[_Row]])="",TRUE()),"",INDEX(tsk_Status,GanttView[[#This Row],[_Row]]))</f>
        <v/>
      </c>
      <c r="L95" s="70" t="n">
        <f aca="false">ROW()-ROW(GanttView[[#Headers],[ID]])</f>
        <v>90</v>
      </c>
      <c r="M95" s="71" t="b">
        <f aca="false">IF(IFERROR(INDEX(tsk_Name,GanttView[[#This Row],[_Row]])="",TRUE()),FALSE(),INDEX(tsk_IsSummary,GanttView[[#This Row],[_Row]]))</f>
        <v>0</v>
      </c>
      <c r="N95" s="71" t="b">
        <f aca="false">IF(IFERROR(INDEX(tsk_Name,GanttView[[#This Row],[_Row]])="",TRUE()),FALSE(),AND(INDEX(tsk_IsLeaf,GanttView[[#This Row],[_Row]])=1,N(INDEX(tsk_Duration,GanttView[[#This Row],[_Row]]))=0))</f>
        <v>0</v>
      </c>
      <c r="O9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5" s="72" t="n">
        <f aca="false">IF(GanttView[[#This Row],[_RemFrom]]=0,0,GanttView[[#This Row],[Forecast Finish]])</f>
        <v>0</v>
      </c>
      <c r="S95" s="71" t="b">
        <f aca="false">IF(IFERROR(INDEX(tsk_Name,GanttView[[#This Row],[_Row]])="",TRUE()),FALSE(),N(INDEX(tsk_Variance,GanttView[[#This Row],[_Row]]))&gt;0)</f>
        <v>0</v>
      </c>
      <c r="T95" s="72" t="n">
        <f aca="false">IF(IFERROR(INDEX(tsk_Name,GanttView[[#This Row],[_Row]])="",TRUE()),0,N(INDEX(tsk_Deadline,GanttView[[#This Row],[_Row]])))</f>
        <v>0</v>
      </c>
    </row>
    <row r="96" customFormat="false" ht="15" hidden="false" customHeight="false" outlineLevel="0" collapsed="false">
      <c r="A96" s="65" t="str">
        <f aca="false">IF(IFERROR(INDEX(tsk_Name,GanttView[[#This Row],[_Row]])="",TRUE()),"",INDEX(tsk_ID,GanttView[[#This Row],[_Row]]))</f>
        <v/>
      </c>
      <c r="B96" s="65" t="str">
        <f aca="false">IF(IFERROR(INDEX(tsk_Name,GanttView[[#This Row],[_Row]])="",TRUE()),"",INDEX(tsk_WBS,GanttView[[#This Row],[_Row]]))</f>
        <v/>
      </c>
      <c r="C96" s="66" t="str">
        <f aca="false">IF(IFERROR(INDEX(tsk_Name,GanttView[[#This Row],[_Row]])="",TRUE()),"",REPT("    ",INDEX(tsk_Level,GanttView[[#This Row],[_Row]])-1)&amp;INDEX(tsk_Name,GanttView[[#This Row],[_Row]]))</f>
        <v/>
      </c>
      <c r="D9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6" s="67" t="str">
        <f aca="false">IF(IFERROR(INDEX(tsk_Name,GanttView[[#This Row],[_Row]])="",TRUE()),"",INDEX(tsk_PlanStart,GanttView[[#This Row],[_Row]]))</f>
        <v/>
      </c>
      <c r="F96" s="67" t="str">
        <f aca="false">IF(IFERROR(INDEX(tsk_Name,GanttView[[#This Row],[_Row]])="",TRUE()),"",INDEX(tsk_PlanFinish,GanttView[[#This Row],[_Row]]))</f>
        <v/>
      </c>
      <c r="G96" s="67" t="str">
        <f aca="false">IF(IFERROR(INDEX(tsk_Name,GanttView[[#This Row],[_Row]])="",TRUE()),"",INDEX(tsk_FcStart,GanttView[[#This Row],[_Row]]))</f>
        <v/>
      </c>
      <c r="H96" s="67" t="str">
        <f aca="false">IF(IFERROR(INDEX(tsk_Name,GanttView[[#This Row],[_Row]])="",TRUE()),"",INDEX(tsk_FcFinish,GanttView[[#This Row],[_Row]]))</f>
        <v/>
      </c>
      <c r="I96" s="68" t="str">
        <f aca="false">IF(IFERROR(INDEX(tsk_Name,GanttView[[#This Row],[_Row]])="",TRUE()),"",INDEX(tsk_Progress,GanttView[[#This Row],[_Row]]))</f>
        <v/>
      </c>
      <c r="J96" s="66" t="str">
        <f aca="false">IF(IFERROR(INDEX(tsk_Name,GanttView[[#This Row],[_Row]])="",TRUE()),"",INDEX(tsk_Resource,GanttView[[#This Row],[_Row]])&amp;"")</f>
        <v/>
      </c>
      <c r="K96" s="69" t="str">
        <f aca="false">IF(IFERROR(INDEX(tsk_Name,GanttView[[#This Row],[_Row]])="",TRUE()),"",INDEX(tsk_Status,GanttView[[#This Row],[_Row]]))</f>
        <v/>
      </c>
      <c r="L96" s="70" t="n">
        <f aca="false">ROW()-ROW(GanttView[[#Headers],[ID]])</f>
        <v>91</v>
      </c>
      <c r="M96" s="71" t="b">
        <f aca="false">IF(IFERROR(INDEX(tsk_Name,GanttView[[#This Row],[_Row]])="",TRUE()),FALSE(),INDEX(tsk_IsSummary,GanttView[[#This Row],[_Row]]))</f>
        <v>0</v>
      </c>
      <c r="N96" s="71" t="b">
        <f aca="false">IF(IFERROR(INDEX(tsk_Name,GanttView[[#This Row],[_Row]])="",TRUE()),FALSE(),AND(INDEX(tsk_IsLeaf,GanttView[[#This Row],[_Row]])=1,N(INDEX(tsk_Duration,GanttView[[#This Row],[_Row]]))=0))</f>
        <v>0</v>
      </c>
      <c r="O9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6" s="72" t="n">
        <f aca="false">IF(GanttView[[#This Row],[_RemFrom]]=0,0,GanttView[[#This Row],[Forecast Finish]])</f>
        <v>0</v>
      </c>
      <c r="S96" s="71" t="b">
        <f aca="false">IF(IFERROR(INDEX(tsk_Name,GanttView[[#This Row],[_Row]])="",TRUE()),FALSE(),N(INDEX(tsk_Variance,GanttView[[#This Row],[_Row]]))&gt;0)</f>
        <v>0</v>
      </c>
      <c r="T96" s="72" t="n">
        <f aca="false">IF(IFERROR(INDEX(tsk_Name,GanttView[[#This Row],[_Row]])="",TRUE()),0,N(INDEX(tsk_Deadline,GanttView[[#This Row],[_Row]])))</f>
        <v>0</v>
      </c>
    </row>
    <row r="97" customFormat="false" ht="15" hidden="false" customHeight="false" outlineLevel="0" collapsed="false">
      <c r="A97" s="65" t="str">
        <f aca="false">IF(IFERROR(INDEX(tsk_Name,GanttView[[#This Row],[_Row]])="",TRUE()),"",INDEX(tsk_ID,GanttView[[#This Row],[_Row]]))</f>
        <v/>
      </c>
      <c r="B97" s="65" t="str">
        <f aca="false">IF(IFERROR(INDEX(tsk_Name,GanttView[[#This Row],[_Row]])="",TRUE()),"",INDEX(tsk_WBS,GanttView[[#This Row],[_Row]]))</f>
        <v/>
      </c>
      <c r="C97" s="66" t="str">
        <f aca="false">IF(IFERROR(INDEX(tsk_Name,GanttView[[#This Row],[_Row]])="",TRUE()),"",REPT("    ",INDEX(tsk_Level,GanttView[[#This Row],[_Row]])-1)&amp;INDEX(tsk_Name,GanttView[[#This Row],[_Row]]))</f>
        <v/>
      </c>
      <c r="D9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7" s="67" t="str">
        <f aca="false">IF(IFERROR(INDEX(tsk_Name,GanttView[[#This Row],[_Row]])="",TRUE()),"",INDEX(tsk_PlanStart,GanttView[[#This Row],[_Row]]))</f>
        <v/>
      </c>
      <c r="F97" s="67" t="str">
        <f aca="false">IF(IFERROR(INDEX(tsk_Name,GanttView[[#This Row],[_Row]])="",TRUE()),"",INDEX(tsk_PlanFinish,GanttView[[#This Row],[_Row]]))</f>
        <v/>
      </c>
      <c r="G97" s="67" t="str">
        <f aca="false">IF(IFERROR(INDEX(tsk_Name,GanttView[[#This Row],[_Row]])="",TRUE()),"",INDEX(tsk_FcStart,GanttView[[#This Row],[_Row]]))</f>
        <v/>
      </c>
      <c r="H97" s="67" t="str">
        <f aca="false">IF(IFERROR(INDEX(tsk_Name,GanttView[[#This Row],[_Row]])="",TRUE()),"",INDEX(tsk_FcFinish,GanttView[[#This Row],[_Row]]))</f>
        <v/>
      </c>
      <c r="I97" s="68" t="str">
        <f aca="false">IF(IFERROR(INDEX(tsk_Name,GanttView[[#This Row],[_Row]])="",TRUE()),"",INDEX(tsk_Progress,GanttView[[#This Row],[_Row]]))</f>
        <v/>
      </c>
      <c r="J97" s="66" t="str">
        <f aca="false">IF(IFERROR(INDEX(tsk_Name,GanttView[[#This Row],[_Row]])="",TRUE()),"",INDEX(tsk_Resource,GanttView[[#This Row],[_Row]])&amp;"")</f>
        <v/>
      </c>
      <c r="K97" s="69" t="str">
        <f aca="false">IF(IFERROR(INDEX(tsk_Name,GanttView[[#This Row],[_Row]])="",TRUE()),"",INDEX(tsk_Status,GanttView[[#This Row],[_Row]]))</f>
        <v/>
      </c>
      <c r="L97" s="70" t="n">
        <f aca="false">ROW()-ROW(GanttView[[#Headers],[ID]])</f>
        <v>92</v>
      </c>
      <c r="M97" s="71" t="b">
        <f aca="false">IF(IFERROR(INDEX(tsk_Name,GanttView[[#This Row],[_Row]])="",TRUE()),FALSE(),INDEX(tsk_IsSummary,GanttView[[#This Row],[_Row]]))</f>
        <v>0</v>
      </c>
      <c r="N97" s="71" t="b">
        <f aca="false">IF(IFERROR(INDEX(tsk_Name,GanttView[[#This Row],[_Row]])="",TRUE()),FALSE(),AND(INDEX(tsk_IsLeaf,GanttView[[#This Row],[_Row]])=1,N(INDEX(tsk_Duration,GanttView[[#This Row],[_Row]]))=0))</f>
        <v>0</v>
      </c>
      <c r="O9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7" s="72" t="n">
        <f aca="false">IF(GanttView[[#This Row],[_RemFrom]]=0,0,GanttView[[#This Row],[Forecast Finish]])</f>
        <v>0</v>
      </c>
      <c r="S97" s="71" t="b">
        <f aca="false">IF(IFERROR(INDEX(tsk_Name,GanttView[[#This Row],[_Row]])="",TRUE()),FALSE(),N(INDEX(tsk_Variance,GanttView[[#This Row],[_Row]]))&gt;0)</f>
        <v>0</v>
      </c>
      <c r="T97" s="72" t="n">
        <f aca="false">IF(IFERROR(INDEX(tsk_Name,GanttView[[#This Row],[_Row]])="",TRUE()),0,N(INDEX(tsk_Deadline,GanttView[[#This Row],[_Row]])))</f>
        <v>0</v>
      </c>
    </row>
    <row r="98" customFormat="false" ht="15" hidden="false" customHeight="false" outlineLevel="0" collapsed="false">
      <c r="A98" s="65" t="str">
        <f aca="false">IF(IFERROR(INDEX(tsk_Name,GanttView[[#This Row],[_Row]])="",TRUE()),"",INDEX(tsk_ID,GanttView[[#This Row],[_Row]]))</f>
        <v/>
      </c>
      <c r="B98" s="65" t="str">
        <f aca="false">IF(IFERROR(INDEX(tsk_Name,GanttView[[#This Row],[_Row]])="",TRUE()),"",INDEX(tsk_WBS,GanttView[[#This Row],[_Row]]))</f>
        <v/>
      </c>
      <c r="C98" s="66" t="str">
        <f aca="false">IF(IFERROR(INDEX(tsk_Name,GanttView[[#This Row],[_Row]])="",TRUE()),"",REPT("    ",INDEX(tsk_Level,GanttView[[#This Row],[_Row]])-1)&amp;INDEX(tsk_Name,GanttView[[#This Row],[_Row]]))</f>
        <v/>
      </c>
      <c r="D9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8" s="67" t="str">
        <f aca="false">IF(IFERROR(INDEX(tsk_Name,GanttView[[#This Row],[_Row]])="",TRUE()),"",INDEX(tsk_PlanStart,GanttView[[#This Row],[_Row]]))</f>
        <v/>
      </c>
      <c r="F98" s="67" t="str">
        <f aca="false">IF(IFERROR(INDEX(tsk_Name,GanttView[[#This Row],[_Row]])="",TRUE()),"",INDEX(tsk_PlanFinish,GanttView[[#This Row],[_Row]]))</f>
        <v/>
      </c>
      <c r="G98" s="67" t="str">
        <f aca="false">IF(IFERROR(INDEX(tsk_Name,GanttView[[#This Row],[_Row]])="",TRUE()),"",INDEX(tsk_FcStart,GanttView[[#This Row],[_Row]]))</f>
        <v/>
      </c>
      <c r="H98" s="67" t="str">
        <f aca="false">IF(IFERROR(INDEX(tsk_Name,GanttView[[#This Row],[_Row]])="",TRUE()),"",INDEX(tsk_FcFinish,GanttView[[#This Row],[_Row]]))</f>
        <v/>
      </c>
      <c r="I98" s="68" t="str">
        <f aca="false">IF(IFERROR(INDEX(tsk_Name,GanttView[[#This Row],[_Row]])="",TRUE()),"",INDEX(tsk_Progress,GanttView[[#This Row],[_Row]]))</f>
        <v/>
      </c>
      <c r="J98" s="66" t="str">
        <f aca="false">IF(IFERROR(INDEX(tsk_Name,GanttView[[#This Row],[_Row]])="",TRUE()),"",INDEX(tsk_Resource,GanttView[[#This Row],[_Row]])&amp;"")</f>
        <v/>
      </c>
      <c r="K98" s="69" t="str">
        <f aca="false">IF(IFERROR(INDEX(tsk_Name,GanttView[[#This Row],[_Row]])="",TRUE()),"",INDEX(tsk_Status,GanttView[[#This Row],[_Row]]))</f>
        <v/>
      </c>
      <c r="L98" s="70" t="n">
        <f aca="false">ROW()-ROW(GanttView[[#Headers],[ID]])</f>
        <v>93</v>
      </c>
      <c r="M98" s="71" t="b">
        <f aca="false">IF(IFERROR(INDEX(tsk_Name,GanttView[[#This Row],[_Row]])="",TRUE()),FALSE(),INDEX(tsk_IsSummary,GanttView[[#This Row],[_Row]]))</f>
        <v>0</v>
      </c>
      <c r="N98" s="71" t="b">
        <f aca="false">IF(IFERROR(INDEX(tsk_Name,GanttView[[#This Row],[_Row]])="",TRUE()),FALSE(),AND(INDEX(tsk_IsLeaf,GanttView[[#This Row],[_Row]])=1,N(INDEX(tsk_Duration,GanttView[[#This Row],[_Row]]))=0))</f>
        <v>0</v>
      </c>
      <c r="O9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8" s="72" t="n">
        <f aca="false">IF(GanttView[[#This Row],[_RemFrom]]=0,0,GanttView[[#This Row],[Forecast Finish]])</f>
        <v>0</v>
      </c>
      <c r="S98" s="71" t="b">
        <f aca="false">IF(IFERROR(INDEX(tsk_Name,GanttView[[#This Row],[_Row]])="",TRUE()),FALSE(),N(INDEX(tsk_Variance,GanttView[[#This Row],[_Row]]))&gt;0)</f>
        <v>0</v>
      </c>
      <c r="T98" s="72" t="n">
        <f aca="false">IF(IFERROR(INDEX(tsk_Name,GanttView[[#This Row],[_Row]])="",TRUE()),0,N(INDEX(tsk_Deadline,GanttView[[#This Row],[_Row]])))</f>
        <v>0</v>
      </c>
    </row>
    <row r="99" customFormat="false" ht="15" hidden="false" customHeight="false" outlineLevel="0" collapsed="false">
      <c r="A99" s="65" t="str">
        <f aca="false">IF(IFERROR(INDEX(tsk_Name,GanttView[[#This Row],[_Row]])="",TRUE()),"",INDEX(tsk_ID,GanttView[[#This Row],[_Row]]))</f>
        <v/>
      </c>
      <c r="B99" s="65" t="str">
        <f aca="false">IF(IFERROR(INDEX(tsk_Name,GanttView[[#This Row],[_Row]])="",TRUE()),"",INDEX(tsk_WBS,GanttView[[#This Row],[_Row]]))</f>
        <v/>
      </c>
      <c r="C99" s="66" t="str">
        <f aca="false">IF(IFERROR(INDEX(tsk_Name,GanttView[[#This Row],[_Row]])="",TRUE()),"",REPT("    ",INDEX(tsk_Level,GanttView[[#This Row],[_Row]])-1)&amp;INDEX(tsk_Name,GanttView[[#This Row],[_Row]]))</f>
        <v/>
      </c>
      <c r="D9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9" s="67" t="str">
        <f aca="false">IF(IFERROR(INDEX(tsk_Name,GanttView[[#This Row],[_Row]])="",TRUE()),"",INDEX(tsk_PlanStart,GanttView[[#This Row],[_Row]]))</f>
        <v/>
      </c>
      <c r="F99" s="67" t="str">
        <f aca="false">IF(IFERROR(INDEX(tsk_Name,GanttView[[#This Row],[_Row]])="",TRUE()),"",INDEX(tsk_PlanFinish,GanttView[[#This Row],[_Row]]))</f>
        <v/>
      </c>
      <c r="G99" s="67" t="str">
        <f aca="false">IF(IFERROR(INDEX(tsk_Name,GanttView[[#This Row],[_Row]])="",TRUE()),"",INDEX(tsk_FcStart,GanttView[[#This Row],[_Row]]))</f>
        <v/>
      </c>
      <c r="H99" s="67" t="str">
        <f aca="false">IF(IFERROR(INDEX(tsk_Name,GanttView[[#This Row],[_Row]])="",TRUE()),"",INDEX(tsk_FcFinish,GanttView[[#This Row],[_Row]]))</f>
        <v/>
      </c>
      <c r="I99" s="68" t="str">
        <f aca="false">IF(IFERROR(INDEX(tsk_Name,GanttView[[#This Row],[_Row]])="",TRUE()),"",INDEX(tsk_Progress,GanttView[[#This Row],[_Row]]))</f>
        <v/>
      </c>
      <c r="J99" s="66" t="str">
        <f aca="false">IF(IFERROR(INDEX(tsk_Name,GanttView[[#This Row],[_Row]])="",TRUE()),"",INDEX(tsk_Resource,GanttView[[#This Row],[_Row]])&amp;"")</f>
        <v/>
      </c>
      <c r="K99" s="69" t="str">
        <f aca="false">IF(IFERROR(INDEX(tsk_Name,GanttView[[#This Row],[_Row]])="",TRUE()),"",INDEX(tsk_Status,GanttView[[#This Row],[_Row]]))</f>
        <v/>
      </c>
      <c r="L99" s="70" t="n">
        <f aca="false">ROW()-ROW(GanttView[[#Headers],[ID]])</f>
        <v>94</v>
      </c>
      <c r="M99" s="71" t="b">
        <f aca="false">IF(IFERROR(INDEX(tsk_Name,GanttView[[#This Row],[_Row]])="",TRUE()),FALSE(),INDEX(tsk_IsSummary,GanttView[[#This Row],[_Row]]))</f>
        <v>0</v>
      </c>
      <c r="N99" s="71" t="b">
        <f aca="false">IF(IFERROR(INDEX(tsk_Name,GanttView[[#This Row],[_Row]])="",TRUE()),FALSE(),AND(INDEX(tsk_IsLeaf,GanttView[[#This Row],[_Row]])=1,N(INDEX(tsk_Duration,GanttView[[#This Row],[_Row]]))=0))</f>
        <v>0</v>
      </c>
      <c r="O9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9" s="72" t="n">
        <f aca="false">IF(GanttView[[#This Row],[_RemFrom]]=0,0,GanttView[[#This Row],[Forecast Finish]])</f>
        <v>0</v>
      </c>
      <c r="S99" s="71" t="b">
        <f aca="false">IF(IFERROR(INDEX(tsk_Name,GanttView[[#This Row],[_Row]])="",TRUE()),FALSE(),N(INDEX(tsk_Variance,GanttView[[#This Row],[_Row]]))&gt;0)</f>
        <v>0</v>
      </c>
      <c r="T99" s="72" t="n">
        <f aca="false">IF(IFERROR(INDEX(tsk_Name,GanttView[[#This Row],[_Row]])="",TRUE()),0,N(INDEX(tsk_Deadline,GanttView[[#This Row],[_Row]])))</f>
        <v>0</v>
      </c>
    </row>
    <row r="100" customFormat="false" ht="15" hidden="false" customHeight="false" outlineLevel="0" collapsed="false">
      <c r="A100" s="65" t="str">
        <f aca="false">IF(IFERROR(INDEX(tsk_Name,GanttView[[#This Row],[_Row]])="",TRUE()),"",INDEX(tsk_ID,GanttView[[#This Row],[_Row]]))</f>
        <v/>
      </c>
      <c r="B100" s="65" t="str">
        <f aca="false">IF(IFERROR(INDEX(tsk_Name,GanttView[[#This Row],[_Row]])="",TRUE()),"",INDEX(tsk_WBS,GanttView[[#This Row],[_Row]]))</f>
        <v/>
      </c>
      <c r="C100" s="66" t="str">
        <f aca="false">IF(IFERROR(INDEX(tsk_Name,GanttView[[#This Row],[_Row]])="",TRUE()),"",REPT("    ",INDEX(tsk_Level,GanttView[[#This Row],[_Row]])-1)&amp;INDEX(tsk_Name,GanttView[[#This Row],[_Row]]))</f>
        <v/>
      </c>
      <c r="D10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0" s="67" t="str">
        <f aca="false">IF(IFERROR(INDEX(tsk_Name,GanttView[[#This Row],[_Row]])="",TRUE()),"",INDEX(tsk_PlanStart,GanttView[[#This Row],[_Row]]))</f>
        <v/>
      </c>
      <c r="F100" s="67" t="str">
        <f aca="false">IF(IFERROR(INDEX(tsk_Name,GanttView[[#This Row],[_Row]])="",TRUE()),"",INDEX(tsk_PlanFinish,GanttView[[#This Row],[_Row]]))</f>
        <v/>
      </c>
      <c r="G100" s="67" t="str">
        <f aca="false">IF(IFERROR(INDEX(tsk_Name,GanttView[[#This Row],[_Row]])="",TRUE()),"",INDEX(tsk_FcStart,GanttView[[#This Row],[_Row]]))</f>
        <v/>
      </c>
      <c r="H100" s="67" t="str">
        <f aca="false">IF(IFERROR(INDEX(tsk_Name,GanttView[[#This Row],[_Row]])="",TRUE()),"",INDEX(tsk_FcFinish,GanttView[[#This Row],[_Row]]))</f>
        <v/>
      </c>
      <c r="I100" s="68" t="str">
        <f aca="false">IF(IFERROR(INDEX(tsk_Name,GanttView[[#This Row],[_Row]])="",TRUE()),"",INDEX(tsk_Progress,GanttView[[#This Row],[_Row]]))</f>
        <v/>
      </c>
      <c r="J100" s="66" t="str">
        <f aca="false">IF(IFERROR(INDEX(tsk_Name,GanttView[[#This Row],[_Row]])="",TRUE()),"",INDEX(tsk_Resource,GanttView[[#This Row],[_Row]])&amp;"")</f>
        <v/>
      </c>
      <c r="K100" s="69" t="str">
        <f aca="false">IF(IFERROR(INDEX(tsk_Name,GanttView[[#This Row],[_Row]])="",TRUE()),"",INDEX(tsk_Status,GanttView[[#This Row],[_Row]]))</f>
        <v/>
      </c>
      <c r="L100" s="70" t="n">
        <f aca="false">ROW()-ROW(GanttView[[#Headers],[ID]])</f>
        <v>95</v>
      </c>
      <c r="M100" s="71" t="b">
        <f aca="false">IF(IFERROR(INDEX(tsk_Name,GanttView[[#This Row],[_Row]])="",TRUE()),FALSE(),INDEX(tsk_IsSummary,GanttView[[#This Row],[_Row]]))</f>
        <v>0</v>
      </c>
      <c r="N100" s="71" t="b">
        <f aca="false">IF(IFERROR(INDEX(tsk_Name,GanttView[[#This Row],[_Row]])="",TRUE()),FALSE(),AND(INDEX(tsk_IsLeaf,GanttView[[#This Row],[_Row]])=1,N(INDEX(tsk_Duration,GanttView[[#This Row],[_Row]]))=0))</f>
        <v>0</v>
      </c>
      <c r="O10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0" s="72" t="n">
        <f aca="false">IF(GanttView[[#This Row],[_RemFrom]]=0,0,GanttView[[#This Row],[Forecast Finish]])</f>
        <v>0</v>
      </c>
      <c r="S100" s="71" t="b">
        <f aca="false">IF(IFERROR(INDEX(tsk_Name,GanttView[[#This Row],[_Row]])="",TRUE()),FALSE(),N(INDEX(tsk_Variance,GanttView[[#This Row],[_Row]]))&gt;0)</f>
        <v>0</v>
      </c>
      <c r="T100" s="72" t="n">
        <f aca="false">IF(IFERROR(INDEX(tsk_Name,GanttView[[#This Row],[_Row]])="",TRUE()),0,N(INDEX(tsk_Deadline,GanttView[[#This Row],[_Row]])))</f>
        <v>0</v>
      </c>
    </row>
    <row r="101" customFormat="false" ht="15" hidden="false" customHeight="false" outlineLevel="0" collapsed="false">
      <c r="A101" s="65" t="str">
        <f aca="false">IF(IFERROR(INDEX(tsk_Name,GanttView[[#This Row],[_Row]])="",TRUE()),"",INDEX(tsk_ID,GanttView[[#This Row],[_Row]]))</f>
        <v/>
      </c>
      <c r="B101" s="65" t="str">
        <f aca="false">IF(IFERROR(INDEX(tsk_Name,GanttView[[#This Row],[_Row]])="",TRUE()),"",INDEX(tsk_WBS,GanttView[[#This Row],[_Row]]))</f>
        <v/>
      </c>
      <c r="C101" s="66" t="str">
        <f aca="false">IF(IFERROR(INDEX(tsk_Name,GanttView[[#This Row],[_Row]])="",TRUE()),"",REPT("    ",INDEX(tsk_Level,GanttView[[#This Row],[_Row]])-1)&amp;INDEX(tsk_Name,GanttView[[#This Row],[_Row]]))</f>
        <v/>
      </c>
      <c r="D10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1" s="67" t="str">
        <f aca="false">IF(IFERROR(INDEX(tsk_Name,GanttView[[#This Row],[_Row]])="",TRUE()),"",INDEX(tsk_PlanStart,GanttView[[#This Row],[_Row]]))</f>
        <v/>
      </c>
      <c r="F101" s="67" t="str">
        <f aca="false">IF(IFERROR(INDEX(tsk_Name,GanttView[[#This Row],[_Row]])="",TRUE()),"",INDEX(tsk_PlanFinish,GanttView[[#This Row],[_Row]]))</f>
        <v/>
      </c>
      <c r="G101" s="67" t="str">
        <f aca="false">IF(IFERROR(INDEX(tsk_Name,GanttView[[#This Row],[_Row]])="",TRUE()),"",INDEX(tsk_FcStart,GanttView[[#This Row],[_Row]]))</f>
        <v/>
      </c>
      <c r="H101" s="67" t="str">
        <f aca="false">IF(IFERROR(INDEX(tsk_Name,GanttView[[#This Row],[_Row]])="",TRUE()),"",INDEX(tsk_FcFinish,GanttView[[#This Row],[_Row]]))</f>
        <v/>
      </c>
      <c r="I101" s="68" t="str">
        <f aca="false">IF(IFERROR(INDEX(tsk_Name,GanttView[[#This Row],[_Row]])="",TRUE()),"",INDEX(tsk_Progress,GanttView[[#This Row],[_Row]]))</f>
        <v/>
      </c>
      <c r="J101" s="66" t="str">
        <f aca="false">IF(IFERROR(INDEX(tsk_Name,GanttView[[#This Row],[_Row]])="",TRUE()),"",INDEX(tsk_Resource,GanttView[[#This Row],[_Row]])&amp;"")</f>
        <v/>
      </c>
      <c r="K101" s="69" t="str">
        <f aca="false">IF(IFERROR(INDEX(tsk_Name,GanttView[[#This Row],[_Row]])="",TRUE()),"",INDEX(tsk_Status,GanttView[[#This Row],[_Row]]))</f>
        <v/>
      </c>
      <c r="L101" s="70" t="n">
        <f aca="false">ROW()-ROW(GanttView[[#Headers],[ID]])</f>
        <v>96</v>
      </c>
      <c r="M101" s="71" t="b">
        <f aca="false">IF(IFERROR(INDEX(tsk_Name,GanttView[[#This Row],[_Row]])="",TRUE()),FALSE(),INDEX(tsk_IsSummary,GanttView[[#This Row],[_Row]]))</f>
        <v>0</v>
      </c>
      <c r="N101" s="71" t="b">
        <f aca="false">IF(IFERROR(INDEX(tsk_Name,GanttView[[#This Row],[_Row]])="",TRUE()),FALSE(),AND(INDEX(tsk_IsLeaf,GanttView[[#This Row],[_Row]])=1,N(INDEX(tsk_Duration,GanttView[[#This Row],[_Row]]))=0))</f>
        <v>0</v>
      </c>
      <c r="O10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1" s="72" t="n">
        <f aca="false">IF(GanttView[[#This Row],[_RemFrom]]=0,0,GanttView[[#This Row],[Forecast Finish]])</f>
        <v>0</v>
      </c>
      <c r="S101" s="71" t="b">
        <f aca="false">IF(IFERROR(INDEX(tsk_Name,GanttView[[#This Row],[_Row]])="",TRUE()),FALSE(),N(INDEX(tsk_Variance,GanttView[[#This Row],[_Row]]))&gt;0)</f>
        <v>0</v>
      </c>
      <c r="T101" s="72" t="n">
        <f aca="false">IF(IFERROR(INDEX(tsk_Name,GanttView[[#This Row],[_Row]])="",TRUE()),0,N(INDEX(tsk_Deadline,GanttView[[#This Row],[_Row]])))</f>
        <v>0</v>
      </c>
    </row>
    <row r="102" customFormat="false" ht="15" hidden="false" customHeight="false" outlineLevel="0" collapsed="false">
      <c r="A102" s="65" t="str">
        <f aca="false">IF(IFERROR(INDEX(tsk_Name,GanttView[[#This Row],[_Row]])="",TRUE()),"",INDEX(tsk_ID,GanttView[[#This Row],[_Row]]))</f>
        <v/>
      </c>
      <c r="B102" s="65" t="str">
        <f aca="false">IF(IFERROR(INDEX(tsk_Name,GanttView[[#This Row],[_Row]])="",TRUE()),"",INDEX(tsk_WBS,GanttView[[#This Row],[_Row]]))</f>
        <v/>
      </c>
      <c r="C102" s="66" t="str">
        <f aca="false">IF(IFERROR(INDEX(tsk_Name,GanttView[[#This Row],[_Row]])="",TRUE()),"",REPT("    ",INDEX(tsk_Level,GanttView[[#This Row],[_Row]])-1)&amp;INDEX(tsk_Name,GanttView[[#This Row],[_Row]]))</f>
        <v/>
      </c>
      <c r="D10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2" s="67" t="str">
        <f aca="false">IF(IFERROR(INDEX(tsk_Name,GanttView[[#This Row],[_Row]])="",TRUE()),"",INDEX(tsk_PlanStart,GanttView[[#This Row],[_Row]]))</f>
        <v/>
      </c>
      <c r="F102" s="67" t="str">
        <f aca="false">IF(IFERROR(INDEX(tsk_Name,GanttView[[#This Row],[_Row]])="",TRUE()),"",INDEX(tsk_PlanFinish,GanttView[[#This Row],[_Row]]))</f>
        <v/>
      </c>
      <c r="G102" s="67" t="str">
        <f aca="false">IF(IFERROR(INDEX(tsk_Name,GanttView[[#This Row],[_Row]])="",TRUE()),"",INDEX(tsk_FcStart,GanttView[[#This Row],[_Row]]))</f>
        <v/>
      </c>
      <c r="H102" s="67" t="str">
        <f aca="false">IF(IFERROR(INDEX(tsk_Name,GanttView[[#This Row],[_Row]])="",TRUE()),"",INDEX(tsk_FcFinish,GanttView[[#This Row],[_Row]]))</f>
        <v/>
      </c>
      <c r="I102" s="68" t="str">
        <f aca="false">IF(IFERROR(INDEX(tsk_Name,GanttView[[#This Row],[_Row]])="",TRUE()),"",INDEX(tsk_Progress,GanttView[[#This Row],[_Row]]))</f>
        <v/>
      </c>
      <c r="J102" s="66" t="str">
        <f aca="false">IF(IFERROR(INDEX(tsk_Name,GanttView[[#This Row],[_Row]])="",TRUE()),"",INDEX(tsk_Resource,GanttView[[#This Row],[_Row]])&amp;"")</f>
        <v/>
      </c>
      <c r="K102" s="69" t="str">
        <f aca="false">IF(IFERROR(INDEX(tsk_Name,GanttView[[#This Row],[_Row]])="",TRUE()),"",INDEX(tsk_Status,GanttView[[#This Row],[_Row]]))</f>
        <v/>
      </c>
      <c r="L102" s="70" t="n">
        <f aca="false">ROW()-ROW(GanttView[[#Headers],[ID]])</f>
        <v>97</v>
      </c>
      <c r="M102" s="71" t="b">
        <f aca="false">IF(IFERROR(INDEX(tsk_Name,GanttView[[#This Row],[_Row]])="",TRUE()),FALSE(),INDEX(tsk_IsSummary,GanttView[[#This Row],[_Row]]))</f>
        <v>0</v>
      </c>
      <c r="N102" s="71" t="b">
        <f aca="false">IF(IFERROR(INDEX(tsk_Name,GanttView[[#This Row],[_Row]])="",TRUE()),FALSE(),AND(INDEX(tsk_IsLeaf,GanttView[[#This Row],[_Row]])=1,N(INDEX(tsk_Duration,GanttView[[#This Row],[_Row]]))=0))</f>
        <v>0</v>
      </c>
      <c r="O10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2" s="72" t="n">
        <f aca="false">IF(GanttView[[#This Row],[_RemFrom]]=0,0,GanttView[[#This Row],[Forecast Finish]])</f>
        <v>0</v>
      </c>
      <c r="S102" s="71" t="b">
        <f aca="false">IF(IFERROR(INDEX(tsk_Name,GanttView[[#This Row],[_Row]])="",TRUE()),FALSE(),N(INDEX(tsk_Variance,GanttView[[#This Row],[_Row]]))&gt;0)</f>
        <v>0</v>
      </c>
      <c r="T102" s="72" t="n">
        <f aca="false">IF(IFERROR(INDEX(tsk_Name,GanttView[[#This Row],[_Row]])="",TRUE()),0,N(INDEX(tsk_Deadline,GanttView[[#This Row],[_Row]])))</f>
        <v>0</v>
      </c>
    </row>
    <row r="103" customFormat="false" ht="15" hidden="false" customHeight="false" outlineLevel="0" collapsed="false">
      <c r="A103" s="65" t="str">
        <f aca="false">IF(IFERROR(INDEX(tsk_Name,GanttView[[#This Row],[_Row]])="",TRUE()),"",INDEX(tsk_ID,GanttView[[#This Row],[_Row]]))</f>
        <v/>
      </c>
      <c r="B103" s="65" t="str">
        <f aca="false">IF(IFERROR(INDEX(tsk_Name,GanttView[[#This Row],[_Row]])="",TRUE()),"",INDEX(tsk_WBS,GanttView[[#This Row],[_Row]]))</f>
        <v/>
      </c>
      <c r="C103" s="66" t="str">
        <f aca="false">IF(IFERROR(INDEX(tsk_Name,GanttView[[#This Row],[_Row]])="",TRUE()),"",REPT("    ",INDEX(tsk_Level,GanttView[[#This Row],[_Row]])-1)&amp;INDEX(tsk_Name,GanttView[[#This Row],[_Row]]))</f>
        <v/>
      </c>
      <c r="D10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3" s="67" t="str">
        <f aca="false">IF(IFERROR(INDEX(tsk_Name,GanttView[[#This Row],[_Row]])="",TRUE()),"",INDEX(tsk_PlanStart,GanttView[[#This Row],[_Row]]))</f>
        <v/>
      </c>
      <c r="F103" s="67" t="str">
        <f aca="false">IF(IFERROR(INDEX(tsk_Name,GanttView[[#This Row],[_Row]])="",TRUE()),"",INDEX(tsk_PlanFinish,GanttView[[#This Row],[_Row]]))</f>
        <v/>
      </c>
      <c r="G103" s="67" t="str">
        <f aca="false">IF(IFERROR(INDEX(tsk_Name,GanttView[[#This Row],[_Row]])="",TRUE()),"",INDEX(tsk_FcStart,GanttView[[#This Row],[_Row]]))</f>
        <v/>
      </c>
      <c r="H103" s="67" t="str">
        <f aca="false">IF(IFERROR(INDEX(tsk_Name,GanttView[[#This Row],[_Row]])="",TRUE()),"",INDEX(tsk_FcFinish,GanttView[[#This Row],[_Row]]))</f>
        <v/>
      </c>
      <c r="I103" s="68" t="str">
        <f aca="false">IF(IFERROR(INDEX(tsk_Name,GanttView[[#This Row],[_Row]])="",TRUE()),"",INDEX(tsk_Progress,GanttView[[#This Row],[_Row]]))</f>
        <v/>
      </c>
      <c r="J103" s="66" t="str">
        <f aca="false">IF(IFERROR(INDEX(tsk_Name,GanttView[[#This Row],[_Row]])="",TRUE()),"",INDEX(tsk_Resource,GanttView[[#This Row],[_Row]])&amp;"")</f>
        <v/>
      </c>
      <c r="K103" s="69" t="str">
        <f aca="false">IF(IFERROR(INDEX(tsk_Name,GanttView[[#This Row],[_Row]])="",TRUE()),"",INDEX(tsk_Status,GanttView[[#This Row],[_Row]]))</f>
        <v/>
      </c>
      <c r="L103" s="70" t="n">
        <f aca="false">ROW()-ROW(GanttView[[#Headers],[ID]])</f>
        <v>98</v>
      </c>
      <c r="M103" s="71" t="b">
        <f aca="false">IF(IFERROR(INDEX(tsk_Name,GanttView[[#This Row],[_Row]])="",TRUE()),FALSE(),INDEX(tsk_IsSummary,GanttView[[#This Row],[_Row]]))</f>
        <v>0</v>
      </c>
      <c r="N103" s="71" t="b">
        <f aca="false">IF(IFERROR(INDEX(tsk_Name,GanttView[[#This Row],[_Row]])="",TRUE()),FALSE(),AND(INDEX(tsk_IsLeaf,GanttView[[#This Row],[_Row]])=1,N(INDEX(tsk_Duration,GanttView[[#This Row],[_Row]]))=0))</f>
        <v>0</v>
      </c>
      <c r="O10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3" s="72" t="n">
        <f aca="false">IF(GanttView[[#This Row],[_RemFrom]]=0,0,GanttView[[#This Row],[Forecast Finish]])</f>
        <v>0</v>
      </c>
      <c r="S103" s="71" t="b">
        <f aca="false">IF(IFERROR(INDEX(tsk_Name,GanttView[[#This Row],[_Row]])="",TRUE()),FALSE(),N(INDEX(tsk_Variance,GanttView[[#This Row],[_Row]]))&gt;0)</f>
        <v>0</v>
      </c>
      <c r="T103" s="72" t="n">
        <f aca="false">IF(IFERROR(INDEX(tsk_Name,GanttView[[#This Row],[_Row]])="",TRUE()),0,N(INDEX(tsk_Deadline,GanttView[[#This Row],[_Row]])))</f>
        <v>0</v>
      </c>
    </row>
    <row r="104" customFormat="false" ht="15" hidden="false" customHeight="false" outlineLevel="0" collapsed="false">
      <c r="A104" s="65" t="str">
        <f aca="false">IF(IFERROR(INDEX(tsk_Name,GanttView[[#This Row],[_Row]])="",TRUE()),"",INDEX(tsk_ID,GanttView[[#This Row],[_Row]]))</f>
        <v/>
      </c>
      <c r="B104" s="65" t="str">
        <f aca="false">IF(IFERROR(INDEX(tsk_Name,GanttView[[#This Row],[_Row]])="",TRUE()),"",INDEX(tsk_WBS,GanttView[[#This Row],[_Row]]))</f>
        <v/>
      </c>
      <c r="C104" s="66" t="str">
        <f aca="false">IF(IFERROR(INDEX(tsk_Name,GanttView[[#This Row],[_Row]])="",TRUE()),"",REPT("    ",INDEX(tsk_Level,GanttView[[#This Row],[_Row]])-1)&amp;INDEX(tsk_Name,GanttView[[#This Row],[_Row]]))</f>
        <v/>
      </c>
      <c r="D10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4" s="67" t="str">
        <f aca="false">IF(IFERROR(INDEX(tsk_Name,GanttView[[#This Row],[_Row]])="",TRUE()),"",INDEX(tsk_PlanStart,GanttView[[#This Row],[_Row]]))</f>
        <v/>
      </c>
      <c r="F104" s="67" t="str">
        <f aca="false">IF(IFERROR(INDEX(tsk_Name,GanttView[[#This Row],[_Row]])="",TRUE()),"",INDEX(tsk_PlanFinish,GanttView[[#This Row],[_Row]]))</f>
        <v/>
      </c>
      <c r="G104" s="67" t="str">
        <f aca="false">IF(IFERROR(INDEX(tsk_Name,GanttView[[#This Row],[_Row]])="",TRUE()),"",INDEX(tsk_FcStart,GanttView[[#This Row],[_Row]]))</f>
        <v/>
      </c>
      <c r="H104" s="67" t="str">
        <f aca="false">IF(IFERROR(INDEX(tsk_Name,GanttView[[#This Row],[_Row]])="",TRUE()),"",INDEX(tsk_FcFinish,GanttView[[#This Row],[_Row]]))</f>
        <v/>
      </c>
      <c r="I104" s="68" t="str">
        <f aca="false">IF(IFERROR(INDEX(tsk_Name,GanttView[[#This Row],[_Row]])="",TRUE()),"",INDEX(tsk_Progress,GanttView[[#This Row],[_Row]]))</f>
        <v/>
      </c>
      <c r="J104" s="66" t="str">
        <f aca="false">IF(IFERROR(INDEX(tsk_Name,GanttView[[#This Row],[_Row]])="",TRUE()),"",INDEX(tsk_Resource,GanttView[[#This Row],[_Row]])&amp;"")</f>
        <v/>
      </c>
      <c r="K104" s="69" t="str">
        <f aca="false">IF(IFERROR(INDEX(tsk_Name,GanttView[[#This Row],[_Row]])="",TRUE()),"",INDEX(tsk_Status,GanttView[[#This Row],[_Row]]))</f>
        <v/>
      </c>
      <c r="L104" s="70" t="n">
        <f aca="false">ROW()-ROW(GanttView[[#Headers],[ID]])</f>
        <v>99</v>
      </c>
      <c r="M104" s="71" t="b">
        <f aca="false">IF(IFERROR(INDEX(tsk_Name,GanttView[[#This Row],[_Row]])="",TRUE()),FALSE(),INDEX(tsk_IsSummary,GanttView[[#This Row],[_Row]]))</f>
        <v>0</v>
      </c>
      <c r="N104" s="71" t="b">
        <f aca="false">IF(IFERROR(INDEX(tsk_Name,GanttView[[#This Row],[_Row]])="",TRUE()),FALSE(),AND(INDEX(tsk_IsLeaf,GanttView[[#This Row],[_Row]])=1,N(INDEX(tsk_Duration,GanttView[[#This Row],[_Row]]))=0))</f>
        <v>0</v>
      </c>
      <c r="O10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4" s="72" t="n">
        <f aca="false">IF(GanttView[[#This Row],[_RemFrom]]=0,0,GanttView[[#This Row],[Forecast Finish]])</f>
        <v>0</v>
      </c>
      <c r="S104" s="71" t="b">
        <f aca="false">IF(IFERROR(INDEX(tsk_Name,GanttView[[#This Row],[_Row]])="",TRUE()),FALSE(),N(INDEX(tsk_Variance,GanttView[[#This Row],[_Row]]))&gt;0)</f>
        <v>0</v>
      </c>
      <c r="T104" s="72" t="n">
        <f aca="false">IF(IFERROR(INDEX(tsk_Name,GanttView[[#This Row],[_Row]])="",TRUE()),0,N(INDEX(tsk_Deadline,GanttView[[#This Row],[_Row]])))</f>
        <v>0</v>
      </c>
    </row>
    <row r="105" customFormat="false" ht="15" hidden="false" customHeight="false" outlineLevel="0" collapsed="false">
      <c r="A105" s="65" t="str">
        <f aca="false">IF(IFERROR(INDEX(tsk_Name,GanttView[[#This Row],[_Row]])="",TRUE()),"",INDEX(tsk_ID,GanttView[[#This Row],[_Row]]))</f>
        <v/>
      </c>
      <c r="B105" s="65" t="str">
        <f aca="false">IF(IFERROR(INDEX(tsk_Name,GanttView[[#This Row],[_Row]])="",TRUE()),"",INDEX(tsk_WBS,GanttView[[#This Row],[_Row]]))</f>
        <v/>
      </c>
      <c r="C105" s="66" t="str">
        <f aca="false">IF(IFERROR(INDEX(tsk_Name,GanttView[[#This Row],[_Row]])="",TRUE()),"",REPT("    ",INDEX(tsk_Level,GanttView[[#This Row],[_Row]])-1)&amp;INDEX(tsk_Name,GanttView[[#This Row],[_Row]]))</f>
        <v/>
      </c>
      <c r="D10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5" s="67" t="str">
        <f aca="false">IF(IFERROR(INDEX(tsk_Name,GanttView[[#This Row],[_Row]])="",TRUE()),"",INDEX(tsk_PlanStart,GanttView[[#This Row],[_Row]]))</f>
        <v/>
      </c>
      <c r="F105" s="67" t="str">
        <f aca="false">IF(IFERROR(INDEX(tsk_Name,GanttView[[#This Row],[_Row]])="",TRUE()),"",INDEX(tsk_PlanFinish,GanttView[[#This Row],[_Row]]))</f>
        <v/>
      </c>
      <c r="G105" s="67" t="str">
        <f aca="false">IF(IFERROR(INDEX(tsk_Name,GanttView[[#This Row],[_Row]])="",TRUE()),"",INDEX(tsk_FcStart,GanttView[[#This Row],[_Row]]))</f>
        <v/>
      </c>
      <c r="H105" s="67" t="str">
        <f aca="false">IF(IFERROR(INDEX(tsk_Name,GanttView[[#This Row],[_Row]])="",TRUE()),"",INDEX(tsk_FcFinish,GanttView[[#This Row],[_Row]]))</f>
        <v/>
      </c>
      <c r="I105" s="68" t="str">
        <f aca="false">IF(IFERROR(INDEX(tsk_Name,GanttView[[#This Row],[_Row]])="",TRUE()),"",INDEX(tsk_Progress,GanttView[[#This Row],[_Row]]))</f>
        <v/>
      </c>
      <c r="J105" s="66" t="str">
        <f aca="false">IF(IFERROR(INDEX(tsk_Name,GanttView[[#This Row],[_Row]])="",TRUE()),"",INDEX(tsk_Resource,GanttView[[#This Row],[_Row]])&amp;"")</f>
        <v/>
      </c>
      <c r="K105" s="69" t="str">
        <f aca="false">IF(IFERROR(INDEX(tsk_Name,GanttView[[#This Row],[_Row]])="",TRUE()),"",INDEX(tsk_Status,GanttView[[#This Row],[_Row]]))</f>
        <v/>
      </c>
      <c r="L105" s="70" t="n">
        <f aca="false">ROW()-ROW(GanttView[[#Headers],[ID]])</f>
        <v>100</v>
      </c>
      <c r="M105" s="71" t="b">
        <f aca="false">IF(IFERROR(INDEX(tsk_Name,GanttView[[#This Row],[_Row]])="",TRUE()),FALSE(),INDEX(tsk_IsSummary,GanttView[[#This Row],[_Row]]))</f>
        <v>0</v>
      </c>
      <c r="N105" s="71" t="b">
        <f aca="false">IF(IFERROR(INDEX(tsk_Name,GanttView[[#This Row],[_Row]])="",TRUE()),FALSE(),AND(INDEX(tsk_IsLeaf,GanttView[[#This Row],[_Row]])=1,N(INDEX(tsk_Duration,GanttView[[#This Row],[_Row]]))=0))</f>
        <v>0</v>
      </c>
      <c r="O10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5" s="72" t="n">
        <f aca="false">IF(GanttView[[#This Row],[_RemFrom]]=0,0,GanttView[[#This Row],[Forecast Finish]])</f>
        <v>0</v>
      </c>
      <c r="S105" s="71" t="b">
        <f aca="false">IF(IFERROR(INDEX(tsk_Name,GanttView[[#This Row],[_Row]])="",TRUE()),FALSE(),N(INDEX(tsk_Variance,GanttView[[#This Row],[_Row]]))&gt;0)</f>
        <v>0</v>
      </c>
      <c r="T105" s="72" t="n">
        <f aca="false">IF(IFERROR(INDEX(tsk_Name,GanttView[[#This Row],[_Row]])="",TRUE()),0,N(INDEX(tsk_Deadline,GanttView[[#This Row],[_Row]])))</f>
        <v>0</v>
      </c>
    </row>
    <row r="106" customFormat="false" ht="15" hidden="false" customHeight="false" outlineLevel="0" collapsed="false">
      <c r="A106" s="65" t="str">
        <f aca="false">IF(IFERROR(INDEX(tsk_Name,GanttView[[#This Row],[_Row]])="",TRUE()),"",INDEX(tsk_ID,GanttView[[#This Row],[_Row]]))</f>
        <v/>
      </c>
      <c r="B106" s="65" t="str">
        <f aca="false">IF(IFERROR(INDEX(tsk_Name,GanttView[[#This Row],[_Row]])="",TRUE()),"",INDEX(tsk_WBS,GanttView[[#This Row],[_Row]]))</f>
        <v/>
      </c>
      <c r="C106" s="66" t="str">
        <f aca="false">IF(IFERROR(INDEX(tsk_Name,GanttView[[#This Row],[_Row]])="",TRUE()),"",REPT("    ",INDEX(tsk_Level,GanttView[[#This Row],[_Row]])-1)&amp;INDEX(tsk_Name,GanttView[[#This Row],[_Row]]))</f>
        <v/>
      </c>
      <c r="D10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6" s="67" t="str">
        <f aca="false">IF(IFERROR(INDEX(tsk_Name,GanttView[[#This Row],[_Row]])="",TRUE()),"",INDEX(tsk_PlanStart,GanttView[[#This Row],[_Row]]))</f>
        <v/>
      </c>
      <c r="F106" s="67" t="str">
        <f aca="false">IF(IFERROR(INDEX(tsk_Name,GanttView[[#This Row],[_Row]])="",TRUE()),"",INDEX(tsk_PlanFinish,GanttView[[#This Row],[_Row]]))</f>
        <v/>
      </c>
      <c r="G106" s="67" t="str">
        <f aca="false">IF(IFERROR(INDEX(tsk_Name,GanttView[[#This Row],[_Row]])="",TRUE()),"",INDEX(tsk_FcStart,GanttView[[#This Row],[_Row]]))</f>
        <v/>
      </c>
      <c r="H106" s="67" t="str">
        <f aca="false">IF(IFERROR(INDEX(tsk_Name,GanttView[[#This Row],[_Row]])="",TRUE()),"",INDEX(tsk_FcFinish,GanttView[[#This Row],[_Row]]))</f>
        <v/>
      </c>
      <c r="I106" s="68" t="str">
        <f aca="false">IF(IFERROR(INDEX(tsk_Name,GanttView[[#This Row],[_Row]])="",TRUE()),"",INDEX(tsk_Progress,GanttView[[#This Row],[_Row]]))</f>
        <v/>
      </c>
      <c r="J106" s="66" t="str">
        <f aca="false">IF(IFERROR(INDEX(tsk_Name,GanttView[[#This Row],[_Row]])="",TRUE()),"",INDEX(tsk_Resource,GanttView[[#This Row],[_Row]])&amp;"")</f>
        <v/>
      </c>
      <c r="K106" s="69" t="str">
        <f aca="false">IF(IFERROR(INDEX(tsk_Name,GanttView[[#This Row],[_Row]])="",TRUE()),"",INDEX(tsk_Status,GanttView[[#This Row],[_Row]]))</f>
        <v/>
      </c>
      <c r="L106" s="70" t="n">
        <f aca="false">ROW()-ROW(GanttView[[#Headers],[ID]])</f>
        <v>101</v>
      </c>
      <c r="M106" s="71" t="b">
        <f aca="false">IF(IFERROR(INDEX(tsk_Name,GanttView[[#This Row],[_Row]])="",TRUE()),FALSE(),INDEX(tsk_IsSummary,GanttView[[#This Row],[_Row]]))</f>
        <v>0</v>
      </c>
      <c r="N106" s="71" t="b">
        <f aca="false">IF(IFERROR(INDEX(tsk_Name,GanttView[[#This Row],[_Row]])="",TRUE()),FALSE(),AND(INDEX(tsk_IsLeaf,GanttView[[#This Row],[_Row]])=1,N(INDEX(tsk_Duration,GanttView[[#This Row],[_Row]]))=0))</f>
        <v>0</v>
      </c>
      <c r="O10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6" s="72" t="n">
        <f aca="false">IF(GanttView[[#This Row],[_RemFrom]]=0,0,GanttView[[#This Row],[Forecast Finish]])</f>
        <v>0</v>
      </c>
      <c r="S106" s="71" t="b">
        <f aca="false">IF(IFERROR(INDEX(tsk_Name,GanttView[[#This Row],[_Row]])="",TRUE()),FALSE(),N(INDEX(tsk_Variance,GanttView[[#This Row],[_Row]]))&gt;0)</f>
        <v>0</v>
      </c>
      <c r="T106" s="72" t="n">
        <f aca="false">IF(IFERROR(INDEX(tsk_Name,GanttView[[#This Row],[_Row]])="",TRUE()),0,N(INDEX(tsk_Deadline,GanttView[[#This Row],[_Row]])))</f>
        <v>0</v>
      </c>
    </row>
    <row r="107" customFormat="false" ht="15" hidden="false" customHeight="false" outlineLevel="0" collapsed="false">
      <c r="A107" s="65" t="str">
        <f aca="false">IF(IFERROR(INDEX(tsk_Name,GanttView[[#This Row],[_Row]])="",TRUE()),"",INDEX(tsk_ID,GanttView[[#This Row],[_Row]]))</f>
        <v/>
      </c>
      <c r="B107" s="65" t="str">
        <f aca="false">IF(IFERROR(INDEX(tsk_Name,GanttView[[#This Row],[_Row]])="",TRUE()),"",INDEX(tsk_WBS,GanttView[[#This Row],[_Row]]))</f>
        <v/>
      </c>
      <c r="C107" s="66" t="str">
        <f aca="false">IF(IFERROR(INDEX(tsk_Name,GanttView[[#This Row],[_Row]])="",TRUE()),"",REPT("    ",INDEX(tsk_Level,GanttView[[#This Row],[_Row]])-1)&amp;INDEX(tsk_Name,GanttView[[#This Row],[_Row]]))</f>
        <v/>
      </c>
      <c r="D10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7" s="67" t="str">
        <f aca="false">IF(IFERROR(INDEX(tsk_Name,GanttView[[#This Row],[_Row]])="",TRUE()),"",INDEX(tsk_PlanStart,GanttView[[#This Row],[_Row]]))</f>
        <v/>
      </c>
      <c r="F107" s="67" t="str">
        <f aca="false">IF(IFERROR(INDEX(tsk_Name,GanttView[[#This Row],[_Row]])="",TRUE()),"",INDEX(tsk_PlanFinish,GanttView[[#This Row],[_Row]]))</f>
        <v/>
      </c>
      <c r="G107" s="67" t="str">
        <f aca="false">IF(IFERROR(INDEX(tsk_Name,GanttView[[#This Row],[_Row]])="",TRUE()),"",INDEX(tsk_FcStart,GanttView[[#This Row],[_Row]]))</f>
        <v/>
      </c>
      <c r="H107" s="67" t="str">
        <f aca="false">IF(IFERROR(INDEX(tsk_Name,GanttView[[#This Row],[_Row]])="",TRUE()),"",INDEX(tsk_FcFinish,GanttView[[#This Row],[_Row]]))</f>
        <v/>
      </c>
      <c r="I107" s="68" t="str">
        <f aca="false">IF(IFERROR(INDEX(tsk_Name,GanttView[[#This Row],[_Row]])="",TRUE()),"",INDEX(tsk_Progress,GanttView[[#This Row],[_Row]]))</f>
        <v/>
      </c>
      <c r="J107" s="66" t="str">
        <f aca="false">IF(IFERROR(INDEX(tsk_Name,GanttView[[#This Row],[_Row]])="",TRUE()),"",INDEX(tsk_Resource,GanttView[[#This Row],[_Row]])&amp;"")</f>
        <v/>
      </c>
      <c r="K107" s="69" t="str">
        <f aca="false">IF(IFERROR(INDEX(tsk_Name,GanttView[[#This Row],[_Row]])="",TRUE()),"",INDEX(tsk_Status,GanttView[[#This Row],[_Row]]))</f>
        <v/>
      </c>
      <c r="L107" s="70" t="n">
        <f aca="false">ROW()-ROW(GanttView[[#Headers],[ID]])</f>
        <v>102</v>
      </c>
      <c r="M107" s="71" t="b">
        <f aca="false">IF(IFERROR(INDEX(tsk_Name,GanttView[[#This Row],[_Row]])="",TRUE()),FALSE(),INDEX(tsk_IsSummary,GanttView[[#This Row],[_Row]]))</f>
        <v>0</v>
      </c>
      <c r="N107" s="71" t="b">
        <f aca="false">IF(IFERROR(INDEX(tsk_Name,GanttView[[#This Row],[_Row]])="",TRUE()),FALSE(),AND(INDEX(tsk_IsLeaf,GanttView[[#This Row],[_Row]])=1,N(INDEX(tsk_Duration,GanttView[[#This Row],[_Row]]))=0))</f>
        <v>0</v>
      </c>
      <c r="O10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7" s="72" t="n">
        <f aca="false">IF(GanttView[[#This Row],[_RemFrom]]=0,0,GanttView[[#This Row],[Forecast Finish]])</f>
        <v>0</v>
      </c>
      <c r="S107" s="71" t="b">
        <f aca="false">IF(IFERROR(INDEX(tsk_Name,GanttView[[#This Row],[_Row]])="",TRUE()),FALSE(),N(INDEX(tsk_Variance,GanttView[[#This Row],[_Row]]))&gt;0)</f>
        <v>0</v>
      </c>
      <c r="T107" s="72" t="n">
        <f aca="false">IF(IFERROR(INDEX(tsk_Name,GanttView[[#This Row],[_Row]])="",TRUE()),0,N(INDEX(tsk_Deadline,GanttView[[#This Row],[_Row]])))</f>
        <v>0</v>
      </c>
    </row>
    <row r="108" customFormat="false" ht="15" hidden="false" customHeight="false" outlineLevel="0" collapsed="false">
      <c r="A108" s="65" t="str">
        <f aca="false">IF(IFERROR(INDEX(tsk_Name,GanttView[[#This Row],[_Row]])="",TRUE()),"",INDEX(tsk_ID,GanttView[[#This Row],[_Row]]))</f>
        <v/>
      </c>
      <c r="B108" s="65" t="str">
        <f aca="false">IF(IFERROR(INDEX(tsk_Name,GanttView[[#This Row],[_Row]])="",TRUE()),"",INDEX(tsk_WBS,GanttView[[#This Row],[_Row]]))</f>
        <v/>
      </c>
      <c r="C108" s="66" t="str">
        <f aca="false">IF(IFERROR(INDEX(tsk_Name,GanttView[[#This Row],[_Row]])="",TRUE()),"",REPT("    ",INDEX(tsk_Level,GanttView[[#This Row],[_Row]])-1)&amp;INDEX(tsk_Name,GanttView[[#This Row],[_Row]]))</f>
        <v/>
      </c>
      <c r="D10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8" s="67" t="str">
        <f aca="false">IF(IFERROR(INDEX(tsk_Name,GanttView[[#This Row],[_Row]])="",TRUE()),"",INDEX(tsk_PlanStart,GanttView[[#This Row],[_Row]]))</f>
        <v/>
      </c>
      <c r="F108" s="67" t="str">
        <f aca="false">IF(IFERROR(INDEX(tsk_Name,GanttView[[#This Row],[_Row]])="",TRUE()),"",INDEX(tsk_PlanFinish,GanttView[[#This Row],[_Row]]))</f>
        <v/>
      </c>
      <c r="G108" s="67" t="str">
        <f aca="false">IF(IFERROR(INDEX(tsk_Name,GanttView[[#This Row],[_Row]])="",TRUE()),"",INDEX(tsk_FcStart,GanttView[[#This Row],[_Row]]))</f>
        <v/>
      </c>
      <c r="H108" s="67" t="str">
        <f aca="false">IF(IFERROR(INDEX(tsk_Name,GanttView[[#This Row],[_Row]])="",TRUE()),"",INDEX(tsk_FcFinish,GanttView[[#This Row],[_Row]]))</f>
        <v/>
      </c>
      <c r="I108" s="68" t="str">
        <f aca="false">IF(IFERROR(INDEX(tsk_Name,GanttView[[#This Row],[_Row]])="",TRUE()),"",INDEX(tsk_Progress,GanttView[[#This Row],[_Row]]))</f>
        <v/>
      </c>
      <c r="J108" s="66" t="str">
        <f aca="false">IF(IFERROR(INDEX(tsk_Name,GanttView[[#This Row],[_Row]])="",TRUE()),"",INDEX(tsk_Resource,GanttView[[#This Row],[_Row]])&amp;"")</f>
        <v/>
      </c>
      <c r="K108" s="69" t="str">
        <f aca="false">IF(IFERROR(INDEX(tsk_Name,GanttView[[#This Row],[_Row]])="",TRUE()),"",INDEX(tsk_Status,GanttView[[#This Row],[_Row]]))</f>
        <v/>
      </c>
      <c r="L108" s="70" t="n">
        <f aca="false">ROW()-ROW(GanttView[[#Headers],[ID]])</f>
        <v>103</v>
      </c>
      <c r="M108" s="71" t="b">
        <f aca="false">IF(IFERROR(INDEX(tsk_Name,GanttView[[#This Row],[_Row]])="",TRUE()),FALSE(),INDEX(tsk_IsSummary,GanttView[[#This Row],[_Row]]))</f>
        <v>0</v>
      </c>
      <c r="N108" s="71" t="b">
        <f aca="false">IF(IFERROR(INDEX(tsk_Name,GanttView[[#This Row],[_Row]])="",TRUE()),FALSE(),AND(INDEX(tsk_IsLeaf,GanttView[[#This Row],[_Row]])=1,N(INDEX(tsk_Duration,GanttView[[#This Row],[_Row]]))=0))</f>
        <v>0</v>
      </c>
      <c r="O10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8" s="72" t="n">
        <f aca="false">IF(GanttView[[#This Row],[_RemFrom]]=0,0,GanttView[[#This Row],[Forecast Finish]])</f>
        <v>0</v>
      </c>
      <c r="S108" s="71" t="b">
        <f aca="false">IF(IFERROR(INDEX(tsk_Name,GanttView[[#This Row],[_Row]])="",TRUE()),FALSE(),N(INDEX(tsk_Variance,GanttView[[#This Row],[_Row]]))&gt;0)</f>
        <v>0</v>
      </c>
      <c r="T108" s="72" t="n">
        <f aca="false">IF(IFERROR(INDEX(tsk_Name,GanttView[[#This Row],[_Row]])="",TRUE()),0,N(INDEX(tsk_Deadline,GanttView[[#This Row],[_Row]])))</f>
        <v>0</v>
      </c>
    </row>
    <row r="109" customFormat="false" ht="15" hidden="false" customHeight="false" outlineLevel="0" collapsed="false">
      <c r="A109" s="65" t="str">
        <f aca="false">IF(IFERROR(INDEX(tsk_Name,GanttView[[#This Row],[_Row]])="",TRUE()),"",INDEX(tsk_ID,GanttView[[#This Row],[_Row]]))</f>
        <v/>
      </c>
      <c r="B109" s="65" t="str">
        <f aca="false">IF(IFERROR(INDEX(tsk_Name,GanttView[[#This Row],[_Row]])="",TRUE()),"",INDEX(tsk_WBS,GanttView[[#This Row],[_Row]]))</f>
        <v/>
      </c>
      <c r="C109" s="66" t="str">
        <f aca="false">IF(IFERROR(INDEX(tsk_Name,GanttView[[#This Row],[_Row]])="",TRUE()),"",REPT("    ",INDEX(tsk_Level,GanttView[[#This Row],[_Row]])-1)&amp;INDEX(tsk_Name,GanttView[[#This Row],[_Row]]))</f>
        <v/>
      </c>
      <c r="D10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9" s="67" t="str">
        <f aca="false">IF(IFERROR(INDEX(tsk_Name,GanttView[[#This Row],[_Row]])="",TRUE()),"",INDEX(tsk_PlanStart,GanttView[[#This Row],[_Row]]))</f>
        <v/>
      </c>
      <c r="F109" s="67" t="str">
        <f aca="false">IF(IFERROR(INDEX(tsk_Name,GanttView[[#This Row],[_Row]])="",TRUE()),"",INDEX(tsk_PlanFinish,GanttView[[#This Row],[_Row]]))</f>
        <v/>
      </c>
      <c r="G109" s="67" t="str">
        <f aca="false">IF(IFERROR(INDEX(tsk_Name,GanttView[[#This Row],[_Row]])="",TRUE()),"",INDEX(tsk_FcStart,GanttView[[#This Row],[_Row]]))</f>
        <v/>
      </c>
      <c r="H109" s="67" t="str">
        <f aca="false">IF(IFERROR(INDEX(tsk_Name,GanttView[[#This Row],[_Row]])="",TRUE()),"",INDEX(tsk_FcFinish,GanttView[[#This Row],[_Row]]))</f>
        <v/>
      </c>
      <c r="I109" s="68" t="str">
        <f aca="false">IF(IFERROR(INDEX(tsk_Name,GanttView[[#This Row],[_Row]])="",TRUE()),"",INDEX(tsk_Progress,GanttView[[#This Row],[_Row]]))</f>
        <v/>
      </c>
      <c r="J109" s="66" t="str">
        <f aca="false">IF(IFERROR(INDEX(tsk_Name,GanttView[[#This Row],[_Row]])="",TRUE()),"",INDEX(tsk_Resource,GanttView[[#This Row],[_Row]])&amp;"")</f>
        <v/>
      </c>
      <c r="K109" s="69" t="str">
        <f aca="false">IF(IFERROR(INDEX(tsk_Name,GanttView[[#This Row],[_Row]])="",TRUE()),"",INDEX(tsk_Status,GanttView[[#This Row],[_Row]]))</f>
        <v/>
      </c>
      <c r="L109" s="70" t="n">
        <f aca="false">ROW()-ROW(GanttView[[#Headers],[ID]])</f>
        <v>104</v>
      </c>
      <c r="M109" s="71" t="b">
        <f aca="false">IF(IFERROR(INDEX(tsk_Name,GanttView[[#This Row],[_Row]])="",TRUE()),FALSE(),INDEX(tsk_IsSummary,GanttView[[#This Row],[_Row]]))</f>
        <v>0</v>
      </c>
      <c r="N109" s="71" t="b">
        <f aca="false">IF(IFERROR(INDEX(tsk_Name,GanttView[[#This Row],[_Row]])="",TRUE()),FALSE(),AND(INDEX(tsk_IsLeaf,GanttView[[#This Row],[_Row]])=1,N(INDEX(tsk_Duration,GanttView[[#This Row],[_Row]]))=0))</f>
        <v>0</v>
      </c>
      <c r="O10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9" s="72" t="n">
        <f aca="false">IF(GanttView[[#This Row],[_RemFrom]]=0,0,GanttView[[#This Row],[Forecast Finish]])</f>
        <v>0</v>
      </c>
      <c r="S109" s="71" t="b">
        <f aca="false">IF(IFERROR(INDEX(tsk_Name,GanttView[[#This Row],[_Row]])="",TRUE()),FALSE(),N(INDEX(tsk_Variance,GanttView[[#This Row],[_Row]]))&gt;0)</f>
        <v>0</v>
      </c>
      <c r="T109" s="72" t="n">
        <f aca="false">IF(IFERROR(INDEX(tsk_Name,GanttView[[#This Row],[_Row]])="",TRUE()),0,N(INDEX(tsk_Deadline,GanttView[[#This Row],[_Row]])))</f>
        <v>0</v>
      </c>
    </row>
    <row r="110" customFormat="false" ht="15" hidden="false" customHeight="false" outlineLevel="0" collapsed="false">
      <c r="A110" s="65" t="str">
        <f aca="false">IF(IFERROR(INDEX(tsk_Name,GanttView[[#This Row],[_Row]])="",TRUE()),"",INDEX(tsk_ID,GanttView[[#This Row],[_Row]]))</f>
        <v/>
      </c>
      <c r="B110" s="65" t="str">
        <f aca="false">IF(IFERROR(INDEX(tsk_Name,GanttView[[#This Row],[_Row]])="",TRUE()),"",INDEX(tsk_WBS,GanttView[[#This Row],[_Row]]))</f>
        <v/>
      </c>
      <c r="C110" s="66" t="str">
        <f aca="false">IF(IFERROR(INDEX(tsk_Name,GanttView[[#This Row],[_Row]])="",TRUE()),"",REPT("    ",INDEX(tsk_Level,GanttView[[#This Row],[_Row]])-1)&amp;INDEX(tsk_Name,GanttView[[#This Row],[_Row]]))</f>
        <v/>
      </c>
      <c r="D11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0" s="67" t="str">
        <f aca="false">IF(IFERROR(INDEX(tsk_Name,GanttView[[#This Row],[_Row]])="",TRUE()),"",INDEX(tsk_PlanStart,GanttView[[#This Row],[_Row]]))</f>
        <v/>
      </c>
      <c r="F110" s="67" t="str">
        <f aca="false">IF(IFERROR(INDEX(tsk_Name,GanttView[[#This Row],[_Row]])="",TRUE()),"",INDEX(tsk_PlanFinish,GanttView[[#This Row],[_Row]]))</f>
        <v/>
      </c>
      <c r="G110" s="67" t="str">
        <f aca="false">IF(IFERROR(INDEX(tsk_Name,GanttView[[#This Row],[_Row]])="",TRUE()),"",INDEX(tsk_FcStart,GanttView[[#This Row],[_Row]]))</f>
        <v/>
      </c>
      <c r="H110" s="67" t="str">
        <f aca="false">IF(IFERROR(INDEX(tsk_Name,GanttView[[#This Row],[_Row]])="",TRUE()),"",INDEX(tsk_FcFinish,GanttView[[#This Row],[_Row]]))</f>
        <v/>
      </c>
      <c r="I110" s="68" t="str">
        <f aca="false">IF(IFERROR(INDEX(tsk_Name,GanttView[[#This Row],[_Row]])="",TRUE()),"",INDEX(tsk_Progress,GanttView[[#This Row],[_Row]]))</f>
        <v/>
      </c>
      <c r="J110" s="66" t="str">
        <f aca="false">IF(IFERROR(INDEX(tsk_Name,GanttView[[#This Row],[_Row]])="",TRUE()),"",INDEX(tsk_Resource,GanttView[[#This Row],[_Row]])&amp;"")</f>
        <v/>
      </c>
      <c r="K110" s="69" t="str">
        <f aca="false">IF(IFERROR(INDEX(tsk_Name,GanttView[[#This Row],[_Row]])="",TRUE()),"",INDEX(tsk_Status,GanttView[[#This Row],[_Row]]))</f>
        <v/>
      </c>
      <c r="L110" s="70" t="n">
        <f aca="false">ROW()-ROW(GanttView[[#Headers],[ID]])</f>
        <v>105</v>
      </c>
      <c r="M110" s="71" t="b">
        <f aca="false">IF(IFERROR(INDEX(tsk_Name,GanttView[[#This Row],[_Row]])="",TRUE()),FALSE(),INDEX(tsk_IsSummary,GanttView[[#This Row],[_Row]]))</f>
        <v>0</v>
      </c>
      <c r="N110" s="71" t="b">
        <f aca="false">IF(IFERROR(INDEX(tsk_Name,GanttView[[#This Row],[_Row]])="",TRUE()),FALSE(),AND(INDEX(tsk_IsLeaf,GanttView[[#This Row],[_Row]])=1,N(INDEX(tsk_Duration,GanttView[[#This Row],[_Row]]))=0))</f>
        <v>0</v>
      </c>
      <c r="O11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0" s="72" t="n">
        <f aca="false">IF(GanttView[[#This Row],[_RemFrom]]=0,0,GanttView[[#This Row],[Forecast Finish]])</f>
        <v>0</v>
      </c>
      <c r="S110" s="71" t="b">
        <f aca="false">IF(IFERROR(INDEX(tsk_Name,GanttView[[#This Row],[_Row]])="",TRUE()),FALSE(),N(INDEX(tsk_Variance,GanttView[[#This Row],[_Row]]))&gt;0)</f>
        <v>0</v>
      </c>
      <c r="T110" s="72" t="n">
        <f aca="false">IF(IFERROR(INDEX(tsk_Name,GanttView[[#This Row],[_Row]])="",TRUE()),0,N(INDEX(tsk_Deadline,GanttView[[#This Row],[_Row]])))</f>
        <v>0</v>
      </c>
    </row>
    <row r="111" customFormat="false" ht="15" hidden="false" customHeight="false" outlineLevel="0" collapsed="false">
      <c r="A111" s="65" t="str">
        <f aca="false">IF(IFERROR(INDEX(tsk_Name,GanttView[[#This Row],[_Row]])="",TRUE()),"",INDEX(tsk_ID,GanttView[[#This Row],[_Row]]))</f>
        <v/>
      </c>
      <c r="B111" s="65" t="str">
        <f aca="false">IF(IFERROR(INDEX(tsk_Name,GanttView[[#This Row],[_Row]])="",TRUE()),"",INDEX(tsk_WBS,GanttView[[#This Row],[_Row]]))</f>
        <v/>
      </c>
      <c r="C111" s="66" t="str">
        <f aca="false">IF(IFERROR(INDEX(tsk_Name,GanttView[[#This Row],[_Row]])="",TRUE()),"",REPT("    ",INDEX(tsk_Level,GanttView[[#This Row],[_Row]])-1)&amp;INDEX(tsk_Name,GanttView[[#This Row],[_Row]]))</f>
        <v/>
      </c>
      <c r="D11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1" s="67" t="str">
        <f aca="false">IF(IFERROR(INDEX(tsk_Name,GanttView[[#This Row],[_Row]])="",TRUE()),"",INDEX(tsk_PlanStart,GanttView[[#This Row],[_Row]]))</f>
        <v/>
      </c>
      <c r="F111" s="67" t="str">
        <f aca="false">IF(IFERROR(INDEX(tsk_Name,GanttView[[#This Row],[_Row]])="",TRUE()),"",INDEX(tsk_PlanFinish,GanttView[[#This Row],[_Row]]))</f>
        <v/>
      </c>
      <c r="G111" s="67" t="str">
        <f aca="false">IF(IFERROR(INDEX(tsk_Name,GanttView[[#This Row],[_Row]])="",TRUE()),"",INDEX(tsk_FcStart,GanttView[[#This Row],[_Row]]))</f>
        <v/>
      </c>
      <c r="H111" s="67" t="str">
        <f aca="false">IF(IFERROR(INDEX(tsk_Name,GanttView[[#This Row],[_Row]])="",TRUE()),"",INDEX(tsk_FcFinish,GanttView[[#This Row],[_Row]]))</f>
        <v/>
      </c>
      <c r="I111" s="68" t="str">
        <f aca="false">IF(IFERROR(INDEX(tsk_Name,GanttView[[#This Row],[_Row]])="",TRUE()),"",INDEX(tsk_Progress,GanttView[[#This Row],[_Row]]))</f>
        <v/>
      </c>
      <c r="J111" s="66" t="str">
        <f aca="false">IF(IFERROR(INDEX(tsk_Name,GanttView[[#This Row],[_Row]])="",TRUE()),"",INDEX(tsk_Resource,GanttView[[#This Row],[_Row]])&amp;"")</f>
        <v/>
      </c>
      <c r="K111" s="69" t="str">
        <f aca="false">IF(IFERROR(INDEX(tsk_Name,GanttView[[#This Row],[_Row]])="",TRUE()),"",INDEX(tsk_Status,GanttView[[#This Row],[_Row]]))</f>
        <v/>
      </c>
      <c r="L111" s="70" t="n">
        <f aca="false">ROW()-ROW(GanttView[[#Headers],[ID]])</f>
        <v>106</v>
      </c>
      <c r="M111" s="71" t="b">
        <f aca="false">IF(IFERROR(INDEX(tsk_Name,GanttView[[#This Row],[_Row]])="",TRUE()),FALSE(),INDEX(tsk_IsSummary,GanttView[[#This Row],[_Row]]))</f>
        <v>0</v>
      </c>
      <c r="N111" s="71" t="b">
        <f aca="false">IF(IFERROR(INDEX(tsk_Name,GanttView[[#This Row],[_Row]])="",TRUE()),FALSE(),AND(INDEX(tsk_IsLeaf,GanttView[[#This Row],[_Row]])=1,N(INDEX(tsk_Duration,GanttView[[#This Row],[_Row]]))=0))</f>
        <v>0</v>
      </c>
      <c r="O11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1" s="72" t="n">
        <f aca="false">IF(GanttView[[#This Row],[_RemFrom]]=0,0,GanttView[[#This Row],[Forecast Finish]])</f>
        <v>0</v>
      </c>
      <c r="S111" s="71" t="b">
        <f aca="false">IF(IFERROR(INDEX(tsk_Name,GanttView[[#This Row],[_Row]])="",TRUE()),FALSE(),N(INDEX(tsk_Variance,GanttView[[#This Row],[_Row]]))&gt;0)</f>
        <v>0</v>
      </c>
      <c r="T111" s="72" t="n">
        <f aca="false">IF(IFERROR(INDEX(tsk_Name,GanttView[[#This Row],[_Row]])="",TRUE()),0,N(INDEX(tsk_Deadline,GanttView[[#This Row],[_Row]])))</f>
        <v>0</v>
      </c>
    </row>
    <row r="112" customFormat="false" ht="15" hidden="false" customHeight="false" outlineLevel="0" collapsed="false">
      <c r="A112" s="65" t="str">
        <f aca="false">IF(IFERROR(INDEX(tsk_Name,GanttView[[#This Row],[_Row]])="",TRUE()),"",INDEX(tsk_ID,GanttView[[#This Row],[_Row]]))</f>
        <v/>
      </c>
      <c r="B112" s="65" t="str">
        <f aca="false">IF(IFERROR(INDEX(tsk_Name,GanttView[[#This Row],[_Row]])="",TRUE()),"",INDEX(tsk_WBS,GanttView[[#This Row],[_Row]]))</f>
        <v/>
      </c>
      <c r="C112" s="66" t="str">
        <f aca="false">IF(IFERROR(INDEX(tsk_Name,GanttView[[#This Row],[_Row]])="",TRUE()),"",REPT("    ",INDEX(tsk_Level,GanttView[[#This Row],[_Row]])-1)&amp;INDEX(tsk_Name,GanttView[[#This Row],[_Row]]))</f>
        <v/>
      </c>
      <c r="D11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2" s="67" t="str">
        <f aca="false">IF(IFERROR(INDEX(tsk_Name,GanttView[[#This Row],[_Row]])="",TRUE()),"",INDEX(tsk_PlanStart,GanttView[[#This Row],[_Row]]))</f>
        <v/>
      </c>
      <c r="F112" s="67" t="str">
        <f aca="false">IF(IFERROR(INDEX(tsk_Name,GanttView[[#This Row],[_Row]])="",TRUE()),"",INDEX(tsk_PlanFinish,GanttView[[#This Row],[_Row]]))</f>
        <v/>
      </c>
      <c r="G112" s="67" t="str">
        <f aca="false">IF(IFERROR(INDEX(tsk_Name,GanttView[[#This Row],[_Row]])="",TRUE()),"",INDEX(tsk_FcStart,GanttView[[#This Row],[_Row]]))</f>
        <v/>
      </c>
      <c r="H112" s="67" t="str">
        <f aca="false">IF(IFERROR(INDEX(tsk_Name,GanttView[[#This Row],[_Row]])="",TRUE()),"",INDEX(tsk_FcFinish,GanttView[[#This Row],[_Row]]))</f>
        <v/>
      </c>
      <c r="I112" s="68" t="str">
        <f aca="false">IF(IFERROR(INDEX(tsk_Name,GanttView[[#This Row],[_Row]])="",TRUE()),"",INDEX(tsk_Progress,GanttView[[#This Row],[_Row]]))</f>
        <v/>
      </c>
      <c r="J112" s="66" t="str">
        <f aca="false">IF(IFERROR(INDEX(tsk_Name,GanttView[[#This Row],[_Row]])="",TRUE()),"",INDEX(tsk_Resource,GanttView[[#This Row],[_Row]])&amp;"")</f>
        <v/>
      </c>
      <c r="K112" s="69" t="str">
        <f aca="false">IF(IFERROR(INDEX(tsk_Name,GanttView[[#This Row],[_Row]])="",TRUE()),"",INDEX(tsk_Status,GanttView[[#This Row],[_Row]]))</f>
        <v/>
      </c>
      <c r="L112" s="70" t="n">
        <f aca="false">ROW()-ROW(GanttView[[#Headers],[ID]])</f>
        <v>107</v>
      </c>
      <c r="M112" s="71" t="b">
        <f aca="false">IF(IFERROR(INDEX(tsk_Name,GanttView[[#This Row],[_Row]])="",TRUE()),FALSE(),INDEX(tsk_IsSummary,GanttView[[#This Row],[_Row]]))</f>
        <v>0</v>
      </c>
      <c r="N112" s="71" t="b">
        <f aca="false">IF(IFERROR(INDEX(tsk_Name,GanttView[[#This Row],[_Row]])="",TRUE()),FALSE(),AND(INDEX(tsk_IsLeaf,GanttView[[#This Row],[_Row]])=1,N(INDEX(tsk_Duration,GanttView[[#This Row],[_Row]]))=0))</f>
        <v>0</v>
      </c>
      <c r="O11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2" s="72" t="n">
        <f aca="false">IF(GanttView[[#This Row],[_RemFrom]]=0,0,GanttView[[#This Row],[Forecast Finish]])</f>
        <v>0</v>
      </c>
      <c r="S112" s="71" t="b">
        <f aca="false">IF(IFERROR(INDEX(tsk_Name,GanttView[[#This Row],[_Row]])="",TRUE()),FALSE(),N(INDEX(tsk_Variance,GanttView[[#This Row],[_Row]]))&gt;0)</f>
        <v>0</v>
      </c>
      <c r="T112" s="72" t="n">
        <f aca="false">IF(IFERROR(INDEX(tsk_Name,GanttView[[#This Row],[_Row]])="",TRUE()),0,N(INDEX(tsk_Deadline,GanttView[[#This Row],[_Row]])))</f>
        <v>0</v>
      </c>
    </row>
    <row r="113" customFormat="false" ht="15" hidden="false" customHeight="false" outlineLevel="0" collapsed="false">
      <c r="A113" s="65" t="str">
        <f aca="false">IF(IFERROR(INDEX(tsk_Name,GanttView[[#This Row],[_Row]])="",TRUE()),"",INDEX(tsk_ID,GanttView[[#This Row],[_Row]]))</f>
        <v/>
      </c>
      <c r="B113" s="65" t="str">
        <f aca="false">IF(IFERROR(INDEX(tsk_Name,GanttView[[#This Row],[_Row]])="",TRUE()),"",INDEX(tsk_WBS,GanttView[[#This Row],[_Row]]))</f>
        <v/>
      </c>
      <c r="C113" s="66" t="str">
        <f aca="false">IF(IFERROR(INDEX(tsk_Name,GanttView[[#This Row],[_Row]])="",TRUE()),"",REPT("    ",INDEX(tsk_Level,GanttView[[#This Row],[_Row]])-1)&amp;INDEX(tsk_Name,GanttView[[#This Row],[_Row]]))</f>
        <v/>
      </c>
      <c r="D11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3" s="67" t="str">
        <f aca="false">IF(IFERROR(INDEX(tsk_Name,GanttView[[#This Row],[_Row]])="",TRUE()),"",INDEX(tsk_PlanStart,GanttView[[#This Row],[_Row]]))</f>
        <v/>
      </c>
      <c r="F113" s="67" t="str">
        <f aca="false">IF(IFERROR(INDEX(tsk_Name,GanttView[[#This Row],[_Row]])="",TRUE()),"",INDEX(tsk_PlanFinish,GanttView[[#This Row],[_Row]]))</f>
        <v/>
      </c>
      <c r="G113" s="67" t="str">
        <f aca="false">IF(IFERROR(INDEX(tsk_Name,GanttView[[#This Row],[_Row]])="",TRUE()),"",INDEX(tsk_FcStart,GanttView[[#This Row],[_Row]]))</f>
        <v/>
      </c>
      <c r="H113" s="67" t="str">
        <f aca="false">IF(IFERROR(INDEX(tsk_Name,GanttView[[#This Row],[_Row]])="",TRUE()),"",INDEX(tsk_FcFinish,GanttView[[#This Row],[_Row]]))</f>
        <v/>
      </c>
      <c r="I113" s="68" t="str">
        <f aca="false">IF(IFERROR(INDEX(tsk_Name,GanttView[[#This Row],[_Row]])="",TRUE()),"",INDEX(tsk_Progress,GanttView[[#This Row],[_Row]]))</f>
        <v/>
      </c>
      <c r="J113" s="66" t="str">
        <f aca="false">IF(IFERROR(INDEX(tsk_Name,GanttView[[#This Row],[_Row]])="",TRUE()),"",INDEX(tsk_Resource,GanttView[[#This Row],[_Row]])&amp;"")</f>
        <v/>
      </c>
      <c r="K113" s="69" t="str">
        <f aca="false">IF(IFERROR(INDEX(tsk_Name,GanttView[[#This Row],[_Row]])="",TRUE()),"",INDEX(tsk_Status,GanttView[[#This Row],[_Row]]))</f>
        <v/>
      </c>
      <c r="L113" s="70" t="n">
        <f aca="false">ROW()-ROW(GanttView[[#Headers],[ID]])</f>
        <v>108</v>
      </c>
      <c r="M113" s="71" t="b">
        <f aca="false">IF(IFERROR(INDEX(tsk_Name,GanttView[[#This Row],[_Row]])="",TRUE()),FALSE(),INDEX(tsk_IsSummary,GanttView[[#This Row],[_Row]]))</f>
        <v>0</v>
      </c>
      <c r="N113" s="71" t="b">
        <f aca="false">IF(IFERROR(INDEX(tsk_Name,GanttView[[#This Row],[_Row]])="",TRUE()),FALSE(),AND(INDEX(tsk_IsLeaf,GanttView[[#This Row],[_Row]])=1,N(INDEX(tsk_Duration,GanttView[[#This Row],[_Row]]))=0))</f>
        <v>0</v>
      </c>
      <c r="O11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3" s="72" t="n">
        <f aca="false">IF(GanttView[[#This Row],[_RemFrom]]=0,0,GanttView[[#This Row],[Forecast Finish]])</f>
        <v>0</v>
      </c>
      <c r="S113" s="71" t="b">
        <f aca="false">IF(IFERROR(INDEX(tsk_Name,GanttView[[#This Row],[_Row]])="",TRUE()),FALSE(),N(INDEX(tsk_Variance,GanttView[[#This Row],[_Row]]))&gt;0)</f>
        <v>0</v>
      </c>
      <c r="T113" s="72" t="n">
        <f aca="false">IF(IFERROR(INDEX(tsk_Name,GanttView[[#This Row],[_Row]])="",TRUE()),0,N(INDEX(tsk_Deadline,GanttView[[#This Row],[_Row]])))</f>
        <v>0</v>
      </c>
    </row>
    <row r="114" customFormat="false" ht="15" hidden="false" customHeight="false" outlineLevel="0" collapsed="false">
      <c r="A114" s="65" t="str">
        <f aca="false">IF(IFERROR(INDEX(tsk_Name,GanttView[[#This Row],[_Row]])="",TRUE()),"",INDEX(tsk_ID,GanttView[[#This Row],[_Row]]))</f>
        <v/>
      </c>
      <c r="B114" s="65" t="str">
        <f aca="false">IF(IFERROR(INDEX(tsk_Name,GanttView[[#This Row],[_Row]])="",TRUE()),"",INDEX(tsk_WBS,GanttView[[#This Row],[_Row]]))</f>
        <v/>
      </c>
      <c r="C114" s="66" t="str">
        <f aca="false">IF(IFERROR(INDEX(tsk_Name,GanttView[[#This Row],[_Row]])="",TRUE()),"",REPT("    ",INDEX(tsk_Level,GanttView[[#This Row],[_Row]])-1)&amp;INDEX(tsk_Name,GanttView[[#This Row],[_Row]]))</f>
        <v/>
      </c>
      <c r="D11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4" s="67" t="str">
        <f aca="false">IF(IFERROR(INDEX(tsk_Name,GanttView[[#This Row],[_Row]])="",TRUE()),"",INDEX(tsk_PlanStart,GanttView[[#This Row],[_Row]]))</f>
        <v/>
      </c>
      <c r="F114" s="67" t="str">
        <f aca="false">IF(IFERROR(INDEX(tsk_Name,GanttView[[#This Row],[_Row]])="",TRUE()),"",INDEX(tsk_PlanFinish,GanttView[[#This Row],[_Row]]))</f>
        <v/>
      </c>
      <c r="G114" s="67" t="str">
        <f aca="false">IF(IFERROR(INDEX(tsk_Name,GanttView[[#This Row],[_Row]])="",TRUE()),"",INDEX(tsk_FcStart,GanttView[[#This Row],[_Row]]))</f>
        <v/>
      </c>
      <c r="H114" s="67" t="str">
        <f aca="false">IF(IFERROR(INDEX(tsk_Name,GanttView[[#This Row],[_Row]])="",TRUE()),"",INDEX(tsk_FcFinish,GanttView[[#This Row],[_Row]]))</f>
        <v/>
      </c>
      <c r="I114" s="68" t="str">
        <f aca="false">IF(IFERROR(INDEX(tsk_Name,GanttView[[#This Row],[_Row]])="",TRUE()),"",INDEX(tsk_Progress,GanttView[[#This Row],[_Row]]))</f>
        <v/>
      </c>
      <c r="J114" s="66" t="str">
        <f aca="false">IF(IFERROR(INDEX(tsk_Name,GanttView[[#This Row],[_Row]])="",TRUE()),"",INDEX(tsk_Resource,GanttView[[#This Row],[_Row]])&amp;"")</f>
        <v/>
      </c>
      <c r="K114" s="69" t="str">
        <f aca="false">IF(IFERROR(INDEX(tsk_Name,GanttView[[#This Row],[_Row]])="",TRUE()),"",INDEX(tsk_Status,GanttView[[#This Row],[_Row]]))</f>
        <v/>
      </c>
      <c r="L114" s="70" t="n">
        <f aca="false">ROW()-ROW(GanttView[[#Headers],[ID]])</f>
        <v>109</v>
      </c>
      <c r="M114" s="71" t="b">
        <f aca="false">IF(IFERROR(INDEX(tsk_Name,GanttView[[#This Row],[_Row]])="",TRUE()),FALSE(),INDEX(tsk_IsSummary,GanttView[[#This Row],[_Row]]))</f>
        <v>0</v>
      </c>
      <c r="N114" s="71" t="b">
        <f aca="false">IF(IFERROR(INDEX(tsk_Name,GanttView[[#This Row],[_Row]])="",TRUE()),FALSE(),AND(INDEX(tsk_IsLeaf,GanttView[[#This Row],[_Row]])=1,N(INDEX(tsk_Duration,GanttView[[#This Row],[_Row]]))=0))</f>
        <v>0</v>
      </c>
      <c r="O11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4" s="72" t="n">
        <f aca="false">IF(GanttView[[#This Row],[_RemFrom]]=0,0,GanttView[[#This Row],[Forecast Finish]])</f>
        <v>0</v>
      </c>
      <c r="S114" s="71" t="b">
        <f aca="false">IF(IFERROR(INDEX(tsk_Name,GanttView[[#This Row],[_Row]])="",TRUE()),FALSE(),N(INDEX(tsk_Variance,GanttView[[#This Row],[_Row]]))&gt;0)</f>
        <v>0</v>
      </c>
      <c r="T114" s="72" t="n">
        <f aca="false">IF(IFERROR(INDEX(tsk_Name,GanttView[[#This Row],[_Row]])="",TRUE()),0,N(INDEX(tsk_Deadline,GanttView[[#This Row],[_Row]])))</f>
        <v>0</v>
      </c>
    </row>
    <row r="115" customFormat="false" ht="15" hidden="false" customHeight="false" outlineLevel="0" collapsed="false">
      <c r="A115" s="65" t="str">
        <f aca="false">IF(IFERROR(INDEX(tsk_Name,GanttView[[#This Row],[_Row]])="",TRUE()),"",INDEX(tsk_ID,GanttView[[#This Row],[_Row]]))</f>
        <v/>
      </c>
      <c r="B115" s="65" t="str">
        <f aca="false">IF(IFERROR(INDEX(tsk_Name,GanttView[[#This Row],[_Row]])="",TRUE()),"",INDEX(tsk_WBS,GanttView[[#This Row],[_Row]]))</f>
        <v/>
      </c>
      <c r="C115" s="66" t="str">
        <f aca="false">IF(IFERROR(INDEX(tsk_Name,GanttView[[#This Row],[_Row]])="",TRUE()),"",REPT("    ",INDEX(tsk_Level,GanttView[[#This Row],[_Row]])-1)&amp;INDEX(tsk_Name,GanttView[[#This Row],[_Row]]))</f>
        <v/>
      </c>
      <c r="D11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5" s="67" t="str">
        <f aca="false">IF(IFERROR(INDEX(tsk_Name,GanttView[[#This Row],[_Row]])="",TRUE()),"",INDEX(tsk_PlanStart,GanttView[[#This Row],[_Row]]))</f>
        <v/>
      </c>
      <c r="F115" s="67" t="str">
        <f aca="false">IF(IFERROR(INDEX(tsk_Name,GanttView[[#This Row],[_Row]])="",TRUE()),"",INDEX(tsk_PlanFinish,GanttView[[#This Row],[_Row]]))</f>
        <v/>
      </c>
      <c r="G115" s="67" t="str">
        <f aca="false">IF(IFERROR(INDEX(tsk_Name,GanttView[[#This Row],[_Row]])="",TRUE()),"",INDEX(tsk_FcStart,GanttView[[#This Row],[_Row]]))</f>
        <v/>
      </c>
      <c r="H115" s="67" t="str">
        <f aca="false">IF(IFERROR(INDEX(tsk_Name,GanttView[[#This Row],[_Row]])="",TRUE()),"",INDEX(tsk_FcFinish,GanttView[[#This Row],[_Row]]))</f>
        <v/>
      </c>
      <c r="I115" s="68" t="str">
        <f aca="false">IF(IFERROR(INDEX(tsk_Name,GanttView[[#This Row],[_Row]])="",TRUE()),"",INDEX(tsk_Progress,GanttView[[#This Row],[_Row]]))</f>
        <v/>
      </c>
      <c r="J115" s="66" t="str">
        <f aca="false">IF(IFERROR(INDEX(tsk_Name,GanttView[[#This Row],[_Row]])="",TRUE()),"",INDEX(tsk_Resource,GanttView[[#This Row],[_Row]])&amp;"")</f>
        <v/>
      </c>
      <c r="K115" s="69" t="str">
        <f aca="false">IF(IFERROR(INDEX(tsk_Name,GanttView[[#This Row],[_Row]])="",TRUE()),"",INDEX(tsk_Status,GanttView[[#This Row],[_Row]]))</f>
        <v/>
      </c>
      <c r="L115" s="70" t="n">
        <f aca="false">ROW()-ROW(GanttView[[#Headers],[ID]])</f>
        <v>110</v>
      </c>
      <c r="M115" s="71" t="b">
        <f aca="false">IF(IFERROR(INDEX(tsk_Name,GanttView[[#This Row],[_Row]])="",TRUE()),FALSE(),INDEX(tsk_IsSummary,GanttView[[#This Row],[_Row]]))</f>
        <v>0</v>
      </c>
      <c r="N115" s="71" t="b">
        <f aca="false">IF(IFERROR(INDEX(tsk_Name,GanttView[[#This Row],[_Row]])="",TRUE()),FALSE(),AND(INDEX(tsk_IsLeaf,GanttView[[#This Row],[_Row]])=1,N(INDEX(tsk_Duration,GanttView[[#This Row],[_Row]]))=0))</f>
        <v>0</v>
      </c>
      <c r="O11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5" s="72" t="n">
        <f aca="false">IF(GanttView[[#This Row],[_RemFrom]]=0,0,GanttView[[#This Row],[Forecast Finish]])</f>
        <v>0</v>
      </c>
      <c r="S115" s="71" t="b">
        <f aca="false">IF(IFERROR(INDEX(tsk_Name,GanttView[[#This Row],[_Row]])="",TRUE()),FALSE(),N(INDEX(tsk_Variance,GanttView[[#This Row],[_Row]]))&gt;0)</f>
        <v>0</v>
      </c>
      <c r="T115" s="72" t="n">
        <f aca="false">IF(IFERROR(INDEX(tsk_Name,GanttView[[#This Row],[_Row]])="",TRUE()),0,N(INDEX(tsk_Deadline,GanttView[[#This Row],[_Row]])))</f>
        <v>0</v>
      </c>
    </row>
    <row r="116" customFormat="false" ht="15" hidden="false" customHeight="false" outlineLevel="0" collapsed="false">
      <c r="A116" s="65" t="str">
        <f aca="false">IF(IFERROR(INDEX(tsk_Name,GanttView[[#This Row],[_Row]])="",TRUE()),"",INDEX(tsk_ID,GanttView[[#This Row],[_Row]]))</f>
        <v/>
      </c>
      <c r="B116" s="65" t="str">
        <f aca="false">IF(IFERROR(INDEX(tsk_Name,GanttView[[#This Row],[_Row]])="",TRUE()),"",INDEX(tsk_WBS,GanttView[[#This Row],[_Row]]))</f>
        <v/>
      </c>
      <c r="C116" s="66" t="str">
        <f aca="false">IF(IFERROR(INDEX(tsk_Name,GanttView[[#This Row],[_Row]])="",TRUE()),"",REPT("    ",INDEX(tsk_Level,GanttView[[#This Row],[_Row]])-1)&amp;INDEX(tsk_Name,GanttView[[#This Row],[_Row]]))</f>
        <v/>
      </c>
      <c r="D11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6" s="67" t="str">
        <f aca="false">IF(IFERROR(INDEX(tsk_Name,GanttView[[#This Row],[_Row]])="",TRUE()),"",INDEX(tsk_PlanStart,GanttView[[#This Row],[_Row]]))</f>
        <v/>
      </c>
      <c r="F116" s="67" t="str">
        <f aca="false">IF(IFERROR(INDEX(tsk_Name,GanttView[[#This Row],[_Row]])="",TRUE()),"",INDEX(tsk_PlanFinish,GanttView[[#This Row],[_Row]]))</f>
        <v/>
      </c>
      <c r="G116" s="67" t="str">
        <f aca="false">IF(IFERROR(INDEX(tsk_Name,GanttView[[#This Row],[_Row]])="",TRUE()),"",INDEX(tsk_FcStart,GanttView[[#This Row],[_Row]]))</f>
        <v/>
      </c>
      <c r="H116" s="67" t="str">
        <f aca="false">IF(IFERROR(INDEX(tsk_Name,GanttView[[#This Row],[_Row]])="",TRUE()),"",INDEX(tsk_FcFinish,GanttView[[#This Row],[_Row]]))</f>
        <v/>
      </c>
      <c r="I116" s="68" t="str">
        <f aca="false">IF(IFERROR(INDEX(tsk_Name,GanttView[[#This Row],[_Row]])="",TRUE()),"",INDEX(tsk_Progress,GanttView[[#This Row],[_Row]]))</f>
        <v/>
      </c>
      <c r="J116" s="66" t="str">
        <f aca="false">IF(IFERROR(INDEX(tsk_Name,GanttView[[#This Row],[_Row]])="",TRUE()),"",INDEX(tsk_Resource,GanttView[[#This Row],[_Row]])&amp;"")</f>
        <v/>
      </c>
      <c r="K116" s="69" t="str">
        <f aca="false">IF(IFERROR(INDEX(tsk_Name,GanttView[[#This Row],[_Row]])="",TRUE()),"",INDEX(tsk_Status,GanttView[[#This Row],[_Row]]))</f>
        <v/>
      </c>
      <c r="L116" s="70" t="n">
        <f aca="false">ROW()-ROW(GanttView[[#Headers],[ID]])</f>
        <v>111</v>
      </c>
      <c r="M116" s="71" t="b">
        <f aca="false">IF(IFERROR(INDEX(tsk_Name,GanttView[[#This Row],[_Row]])="",TRUE()),FALSE(),INDEX(tsk_IsSummary,GanttView[[#This Row],[_Row]]))</f>
        <v>0</v>
      </c>
      <c r="N116" s="71" t="b">
        <f aca="false">IF(IFERROR(INDEX(tsk_Name,GanttView[[#This Row],[_Row]])="",TRUE()),FALSE(),AND(INDEX(tsk_IsLeaf,GanttView[[#This Row],[_Row]])=1,N(INDEX(tsk_Duration,GanttView[[#This Row],[_Row]]))=0))</f>
        <v>0</v>
      </c>
      <c r="O11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6" s="72" t="n">
        <f aca="false">IF(GanttView[[#This Row],[_RemFrom]]=0,0,GanttView[[#This Row],[Forecast Finish]])</f>
        <v>0</v>
      </c>
      <c r="S116" s="71" t="b">
        <f aca="false">IF(IFERROR(INDEX(tsk_Name,GanttView[[#This Row],[_Row]])="",TRUE()),FALSE(),N(INDEX(tsk_Variance,GanttView[[#This Row],[_Row]]))&gt;0)</f>
        <v>0</v>
      </c>
      <c r="T116" s="72" t="n">
        <f aca="false">IF(IFERROR(INDEX(tsk_Name,GanttView[[#This Row],[_Row]])="",TRUE()),0,N(INDEX(tsk_Deadline,GanttView[[#This Row],[_Row]])))</f>
        <v>0</v>
      </c>
    </row>
    <row r="117" customFormat="false" ht="15" hidden="false" customHeight="false" outlineLevel="0" collapsed="false">
      <c r="A117" s="65" t="str">
        <f aca="false">IF(IFERROR(INDEX(tsk_Name,GanttView[[#This Row],[_Row]])="",TRUE()),"",INDEX(tsk_ID,GanttView[[#This Row],[_Row]]))</f>
        <v/>
      </c>
      <c r="B117" s="65" t="str">
        <f aca="false">IF(IFERROR(INDEX(tsk_Name,GanttView[[#This Row],[_Row]])="",TRUE()),"",INDEX(tsk_WBS,GanttView[[#This Row],[_Row]]))</f>
        <v/>
      </c>
      <c r="C117" s="66" t="str">
        <f aca="false">IF(IFERROR(INDEX(tsk_Name,GanttView[[#This Row],[_Row]])="",TRUE()),"",REPT("    ",INDEX(tsk_Level,GanttView[[#This Row],[_Row]])-1)&amp;INDEX(tsk_Name,GanttView[[#This Row],[_Row]]))</f>
        <v/>
      </c>
      <c r="D11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7" s="67" t="str">
        <f aca="false">IF(IFERROR(INDEX(tsk_Name,GanttView[[#This Row],[_Row]])="",TRUE()),"",INDEX(tsk_PlanStart,GanttView[[#This Row],[_Row]]))</f>
        <v/>
      </c>
      <c r="F117" s="67" t="str">
        <f aca="false">IF(IFERROR(INDEX(tsk_Name,GanttView[[#This Row],[_Row]])="",TRUE()),"",INDEX(tsk_PlanFinish,GanttView[[#This Row],[_Row]]))</f>
        <v/>
      </c>
      <c r="G117" s="67" t="str">
        <f aca="false">IF(IFERROR(INDEX(tsk_Name,GanttView[[#This Row],[_Row]])="",TRUE()),"",INDEX(tsk_FcStart,GanttView[[#This Row],[_Row]]))</f>
        <v/>
      </c>
      <c r="H117" s="67" t="str">
        <f aca="false">IF(IFERROR(INDEX(tsk_Name,GanttView[[#This Row],[_Row]])="",TRUE()),"",INDEX(tsk_FcFinish,GanttView[[#This Row],[_Row]]))</f>
        <v/>
      </c>
      <c r="I117" s="68" t="str">
        <f aca="false">IF(IFERROR(INDEX(tsk_Name,GanttView[[#This Row],[_Row]])="",TRUE()),"",INDEX(tsk_Progress,GanttView[[#This Row],[_Row]]))</f>
        <v/>
      </c>
      <c r="J117" s="66" t="str">
        <f aca="false">IF(IFERROR(INDEX(tsk_Name,GanttView[[#This Row],[_Row]])="",TRUE()),"",INDEX(tsk_Resource,GanttView[[#This Row],[_Row]])&amp;"")</f>
        <v/>
      </c>
      <c r="K117" s="69" t="str">
        <f aca="false">IF(IFERROR(INDEX(tsk_Name,GanttView[[#This Row],[_Row]])="",TRUE()),"",INDEX(tsk_Status,GanttView[[#This Row],[_Row]]))</f>
        <v/>
      </c>
      <c r="L117" s="70" t="n">
        <f aca="false">ROW()-ROW(GanttView[[#Headers],[ID]])</f>
        <v>112</v>
      </c>
      <c r="M117" s="71" t="b">
        <f aca="false">IF(IFERROR(INDEX(tsk_Name,GanttView[[#This Row],[_Row]])="",TRUE()),FALSE(),INDEX(tsk_IsSummary,GanttView[[#This Row],[_Row]]))</f>
        <v>0</v>
      </c>
      <c r="N117" s="71" t="b">
        <f aca="false">IF(IFERROR(INDEX(tsk_Name,GanttView[[#This Row],[_Row]])="",TRUE()),FALSE(),AND(INDEX(tsk_IsLeaf,GanttView[[#This Row],[_Row]])=1,N(INDEX(tsk_Duration,GanttView[[#This Row],[_Row]]))=0))</f>
        <v>0</v>
      </c>
      <c r="O11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7" s="72" t="n">
        <f aca="false">IF(GanttView[[#This Row],[_RemFrom]]=0,0,GanttView[[#This Row],[Forecast Finish]])</f>
        <v>0</v>
      </c>
      <c r="S117" s="71" t="b">
        <f aca="false">IF(IFERROR(INDEX(tsk_Name,GanttView[[#This Row],[_Row]])="",TRUE()),FALSE(),N(INDEX(tsk_Variance,GanttView[[#This Row],[_Row]]))&gt;0)</f>
        <v>0</v>
      </c>
      <c r="T117" s="72" t="n">
        <f aca="false">IF(IFERROR(INDEX(tsk_Name,GanttView[[#This Row],[_Row]])="",TRUE()),0,N(INDEX(tsk_Deadline,GanttView[[#This Row],[_Row]])))</f>
        <v>0</v>
      </c>
    </row>
    <row r="118" customFormat="false" ht="15" hidden="false" customHeight="false" outlineLevel="0" collapsed="false">
      <c r="A118" s="65" t="str">
        <f aca="false">IF(IFERROR(INDEX(tsk_Name,GanttView[[#This Row],[_Row]])="",TRUE()),"",INDEX(tsk_ID,GanttView[[#This Row],[_Row]]))</f>
        <v/>
      </c>
      <c r="B118" s="65" t="str">
        <f aca="false">IF(IFERROR(INDEX(tsk_Name,GanttView[[#This Row],[_Row]])="",TRUE()),"",INDEX(tsk_WBS,GanttView[[#This Row],[_Row]]))</f>
        <v/>
      </c>
      <c r="C118" s="66" t="str">
        <f aca="false">IF(IFERROR(INDEX(tsk_Name,GanttView[[#This Row],[_Row]])="",TRUE()),"",REPT("    ",INDEX(tsk_Level,GanttView[[#This Row],[_Row]])-1)&amp;INDEX(tsk_Name,GanttView[[#This Row],[_Row]]))</f>
        <v/>
      </c>
      <c r="D11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8" s="67" t="str">
        <f aca="false">IF(IFERROR(INDEX(tsk_Name,GanttView[[#This Row],[_Row]])="",TRUE()),"",INDEX(tsk_PlanStart,GanttView[[#This Row],[_Row]]))</f>
        <v/>
      </c>
      <c r="F118" s="67" t="str">
        <f aca="false">IF(IFERROR(INDEX(tsk_Name,GanttView[[#This Row],[_Row]])="",TRUE()),"",INDEX(tsk_PlanFinish,GanttView[[#This Row],[_Row]]))</f>
        <v/>
      </c>
      <c r="G118" s="67" t="str">
        <f aca="false">IF(IFERROR(INDEX(tsk_Name,GanttView[[#This Row],[_Row]])="",TRUE()),"",INDEX(tsk_FcStart,GanttView[[#This Row],[_Row]]))</f>
        <v/>
      </c>
      <c r="H118" s="67" t="str">
        <f aca="false">IF(IFERROR(INDEX(tsk_Name,GanttView[[#This Row],[_Row]])="",TRUE()),"",INDEX(tsk_FcFinish,GanttView[[#This Row],[_Row]]))</f>
        <v/>
      </c>
      <c r="I118" s="68" t="str">
        <f aca="false">IF(IFERROR(INDEX(tsk_Name,GanttView[[#This Row],[_Row]])="",TRUE()),"",INDEX(tsk_Progress,GanttView[[#This Row],[_Row]]))</f>
        <v/>
      </c>
      <c r="J118" s="66" t="str">
        <f aca="false">IF(IFERROR(INDEX(tsk_Name,GanttView[[#This Row],[_Row]])="",TRUE()),"",INDEX(tsk_Resource,GanttView[[#This Row],[_Row]])&amp;"")</f>
        <v/>
      </c>
      <c r="K118" s="69" t="str">
        <f aca="false">IF(IFERROR(INDEX(tsk_Name,GanttView[[#This Row],[_Row]])="",TRUE()),"",INDEX(tsk_Status,GanttView[[#This Row],[_Row]]))</f>
        <v/>
      </c>
      <c r="L118" s="70" t="n">
        <f aca="false">ROW()-ROW(GanttView[[#Headers],[ID]])</f>
        <v>113</v>
      </c>
      <c r="M118" s="71" t="b">
        <f aca="false">IF(IFERROR(INDEX(tsk_Name,GanttView[[#This Row],[_Row]])="",TRUE()),FALSE(),INDEX(tsk_IsSummary,GanttView[[#This Row],[_Row]]))</f>
        <v>0</v>
      </c>
      <c r="N118" s="71" t="b">
        <f aca="false">IF(IFERROR(INDEX(tsk_Name,GanttView[[#This Row],[_Row]])="",TRUE()),FALSE(),AND(INDEX(tsk_IsLeaf,GanttView[[#This Row],[_Row]])=1,N(INDEX(tsk_Duration,GanttView[[#This Row],[_Row]]))=0))</f>
        <v>0</v>
      </c>
      <c r="O11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8" s="72" t="n">
        <f aca="false">IF(GanttView[[#This Row],[_RemFrom]]=0,0,GanttView[[#This Row],[Forecast Finish]])</f>
        <v>0</v>
      </c>
      <c r="S118" s="71" t="b">
        <f aca="false">IF(IFERROR(INDEX(tsk_Name,GanttView[[#This Row],[_Row]])="",TRUE()),FALSE(),N(INDEX(tsk_Variance,GanttView[[#This Row],[_Row]]))&gt;0)</f>
        <v>0</v>
      </c>
      <c r="T118" s="72" t="n">
        <f aca="false">IF(IFERROR(INDEX(tsk_Name,GanttView[[#This Row],[_Row]])="",TRUE()),0,N(INDEX(tsk_Deadline,GanttView[[#This Row],[_Row]])))</f>
        <v>0</v>
      </c>
    </row>
    <row r="119" customFormat="false" ht="15" hidden="false" customHeight="false" outlineLevel="0" collapsed="false">
      <c r="A119" s="65" t="str">
        <f aca="false">IF(IFERROR(INDEX(tsk_Name,GanttView[[#This Row],[_Row]])="",TRUE()),"",INDEX(tsk_ID,GanttView[[#This Row],[_Row]]))</f>
        <v/>
      </c>
      <c r="B119" s="65" t="str">
        <f aca="false">IF(IFERROR(INDEX(tsk_Name,GanttView[[#This Row],[_Row]])="",TRUE()),"",INDEX(tsk_WBS,GanttView[[#This Row],[_Row]]))</f>
        <v/>
      </c>
      <c r="C119" s="66" t="str">
        <f aca="false">IF(IFERROR(INDEX(tsk_Name,GanttView[[#This Row],[_Row]])="",TRUE()),"",REPT("    ",INDEX(tsk_Level,GanttView[[#This Row],[_Row]])-1)&amp;INDEX(tsk_Name,GanttView[[#This Row],[_Row]]))</f>
        <v/>
      </c>
      <c r="D11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9" s="67" t="str">
        <f aca="false">IF(IFERROR(INDEX(tsk_Name,GanttView[[#This Row],[_Row]])="",TRUE()),"",INDEX(tsk_PlanStart,GanttView[[#This Row],[_Row]]))</f>
        <v/>
      </c>
      <c r="F119" s="67" t="str">
        <f aca="false">IF(IFERROR(INDEX(tsk_Name,GanttView[[#This Row],[_Row]])="",TRUE()),"",INDEX(tsk_PlanFinish,GanttView[[#This Row],[_Row]]))</f>
        <v/>
      </c>
      <c r="G119" s="67" t="str">
        <f aca="false">IF(IFERROR(INDEX(tsk_Name,GanttView[[#This Row],[_Row]])="",TRUE()),"",INDEX(tsk_FcStart,GanttView[[#This Row],[_Row]]))</f>
        <v/>
      </c>
      <c r="H119" s="67" t="str">
        <f aca="false">IF(IFERROR(INDEX(tsk_Name,GanttView[[#This Row],[_Row]])="",TRUE()),"",INDEX(tsk_FcFinish,GanttView[[#This Row],[_Row]]))</f>
        <v/>
      </c>
      <c r="I119" s="68" t="str">
        <f aca="false">IF(IFERROR(INDEX(tsk_Name,GanttView[[#This Row],[_Row]])="",TRUE()),"",INDEX(tsk_Progress,GanttView[[#This Row],[_Row]]))</f>
        <v/>
      </c>
      <c r="J119" s="66" t="str">
        <f aca="false">IF(IFERROR(INDEX(tsk_Name,GanttView[[#This Row],[_Row]])="",TRUE()),"",INDEX(tsk_Resource,GanttView[[#This Row],[_Row]])&amp;"")</f>
        <v/>
      </c>
      <c r="K119" s="69" t="str">
        <f aca="false">IF(IFERROR(INDEX(tsk_Name,GanttView[[#This Row],[_Row]])="",TRUE()),"",INDEX(tsk_Status,GanttView[[#This Row],[_Row]]))</f>
        <v/>
      </c>
      <c r="L119" s="70" t="n">
        <f aca="false">ROW()-ROW(GanttView[[#Headers],[ID]])</f>
        <v>114</v>
      </c>
      <c r="M119" s="71" t="b">
        <f aca="false">IF(IFERROR(INDEX(tsk_Name,GanttView[[#This Row],[_Row]])="",TRUE()),FALSE(),INDEX(tsk_IsSummary,GanttView[[#This Row],[_Row]]))</f>
        <v>0</v>
      </c>
      <c r="N119" s="71" t="b">
        <f aca="false">IF(IFERROR(INDEX(tsk_Name,GanttView[[#This Row],[_Row]])="",TRUE()),FALSE(),AND(INDEX(tsk_IsLeaf,GanttView[[#This Row],[_Row]])=1,N(INDEX(tsk_Duration,GanttView[[#This Row],[_Row]]))=0))</f>
        <v>0</v>
      </c>
      <c r="O11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9" s="72" t="n">
        <f aca="false">IF(GanttView[[#This Row],[_RemFrom]]=0,0,GanttView[[#This Row],[Forecast Finish]])</f>
        <v>0</v>
      </c>
      <c r="S119" s="71" t="b">
        <f aca="false">IF(IFERROR(INDEX(tsk_Name,GanttView[[#This Row],[_Row]])="",TRUE()),FALSE(),N(INDEX(tsk_Variance,GanttView[[#This Row],[_Row]]))&gt;0)</f>
        <v>0</v>
      </c>
      <c r="T119" s="72" t="n">
        <f aca="false">IF(IFERROR(INDEX(tsk_Name,GanttView[[#This Row],[_Row]])="",TRUE()),0,N(INDEX(tsk_Deadline,GanttView[[#This Row],[_Row]])))</f>
        <v>0</v>
      </c>
    </row>
    <row r="120" customFormat="false" ht="15" hidden="false" customHeight="false" outlineLevel="0" collapsed="false">
      <c r="A120" s="65" t="str">
        <f aca="false">IF(IFERROR(INDEX(tsk_Name,GanttView[[#This Row],[_Row]])="",TRUE()),"",INDEX(tsk_ID,GanttView[[#This Row],[_Row]]))</f>
        <v/>
      </c>
      <c r="B120" s="65" t="str">
        <f aca="false">IF(IFERROR(INDEX(tsk_Name,GanttView[[#This Row],[_Row]])="",TRUE()),"",INDEX(tsk_WBS,GanttView[[#This Row],[_Row]]))</f>
        <v/>
      </c>
      <c r="C120" s="66" t="str">
        <f aca="false">IF(IFERROR(INDEX(tsk_Name,GanttView[[#This Row],[_Row]])="",TRUE()),"",REPT("    ",INDEX(tsk_Level,GanttView[[#This Row],[_Row]])-1)&amp;INDEX(tsk_Name,GanttView[[#This Row],[_Row]]))</f>
        <v/>
      </c>
      <c r="D12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0" s="67" t="str">
        <f aca="false">IF(IFERROR(INDEX(tsk_Name,GanttView[[#This Row],[_Row]])="",TRUE()),"",INDEX(tsk_PlanStart,GanttView[[#This Row],[_Row]]))</f>
        <v/>
      </c>
      <c r="F120" s="67" t="str">
        <f aca="false">IF(IFERROR(INDEX(tsk_Name,GanttView[[#This Row],[_Row]])="",TRUE()),"",INDEX(tsk_PlanFinish,GanttView[[#This Row],[_Row]]))</f>
        <v/>
      </c>
      <c r="G120" s="67" t="str">
        <f aca="false">IF(IFERROR(INDEX(tsk_Name,GanttView[[#This Row],[_Row]])="",TRUE()),"",INDEX(tsk_FcStart,GanttView[[#This Row],[_Row]]))</f>
        <v/>
      </c>
      <c r="H120" s="67" t="str">
        <f aca="false">IF(IFERROR(INDEX(tsk_Name,GanttView[[#This Row],[_Row]])="",TRUE()),"",INDEX(tsk_FcFinish,GanttView[[#This Row],[_Row]]))</f>
        <v/>
      </c>
      <c r="I120" s="68" t="str">
        <f aca="false">IF(IFERROR(INDEX(tsk_Name,GanttView[[#This Row],[_Row]])="",TRUE()),"",INDEX(tsk_Progress,GanttView[[#This Row],[_Row]]))</f>
        <v/>
      </c>
      <c r="J120" s="66" t="str">
        <f aca="false">IF(IFERROR(INDEX(tsk_Name,GanttView[[#This Row],[_Row]])="",TRUE()),"",INDEX(tsk_Resource,GanttView[[#This Row],[_Row]])&amp;"")</f>
        <v/>
      </c>
      <c r="K120" s="69" t="str">
        <f aca="false">IF(IFERROR(INDEX(tsk_Name,GanttView[[#This Row],[_Row]])="",TRUE()),"",INDEX(tsk_Status,GanttView[[#This Row],[_Row]]))</f>
        <v/>
      </c>
      <c r="L120" s="70" t="n">
        <f aca="false">ROW()-ROW(GanttView[[#Headers],[ID]])</f>
        <v>115</v>
      </c>
      <c r="M120" s="71" t="b">
        <f aca="false">IF(IFERROR(INDEX(tsk_Name,GanttView[[#This Row],[_Row]])="",TRUE()),FALSE(),INDEX(tsk_IsSummary,GanttView[[#This Row],[_Row]]))</f>
        <v>0</v>
      </c>
      <c r="N120" s="71" t="b">
        <f aca="false">IF(IFERROR(INDEX(tsk_Name,GanttView[[#This Row],[_Row]])="",TRUE()),FALSE(),AND(INDEX(tsk_IsLeaf,GanttView[[#This Row],[_Row]])=1,N(INDEX(tsk_Duration,GanttView[[#This Row],[_Row]]))=0))</f>
        <v>0</v>
      </c>
      <c r="O12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0" s="72" t="n">
        <f aca="false">IF(GanttView[[#This Row],[_RemFrom]]=0,0,GanttView[[#This Row],[Forecast Finish]])</f>
        <v>0</v>
      </c>
      <c r="S120" s="71" t="b">
        <f aca="false">IF(IFERROR(INDEX(tsk_Name,GanttView[[#This Row],[_Row]])="",TRUE()),FALSE(),N(INDEX(tsk_Variance,GanttView[[#This Row],[_Row]]))&gt;0)</f>
        <v>0</v>
      </c>
      <c r="T120" s="72" t="n">
        <f aca="false">IF(IFERROR(INDEX(tsk_Name,GanttView[[#This Row],[_Row]])="",TRUE()),0,N(INDEX(tsk_Deadline,GanttView[[#This Row],[_Row]])))</f>
        <v>0</v>
      </c>
    </row>
    <row r="121" customFormat="false" ht="15" hidden="false" customHeight="false" outlineLevel="0" collapsed="false">
      <c r="A121" s="65" t="str">
        <f aca="false">IF(IFERROR(INDEX(tsk_Name,GanttView[[#This Row],[_Row]])="",TRUE()),"",INDEX(tsk_ID,GanttView[[#This Row],[_Row]]))</f>
        <v/>
      </c>
      <c r="B121" s="65" t="str">
        <f aca="false">IF(IFERROR(INDEX(tsk_Name,GanttView[[#This Row],[_Row]])="",TRUE()),"",INDEX(tsk_WBS,GanttView[[#This Row],[_Row]]))</f>
        <v/>
      </c>
      <c r="C121" s="66" t="str">
        <f aca="false">IF(IFERROR(INDEX(tsk_Name,GanttView[[#This Row],[_Row]])="",TRUE()),"",REPT("    ",INDEX(tsk_Level,GanttView[[#This Row],[_Row]])-1)&amp;INDEX(tsk_Name,GanttView[[#This Row],[_Row]]))</f>
        <v/>
      </c>
      <c r="D12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1" s="67" t="str">
        <f aca="false">IF(IFERROR(INDEX(tsk_Name,GanttView[[#This Row],[_Row]])="",TRUE()),"",INDEX(tsk_PlanStart,GanttView[[#This Row],[_Row]]))</f>
        <v/>
      </c>
      <c r="F121" s="67" t="str">
        <f aca="false">IF(IFERROR(INDEX(tsk_Name,GanttView[[#This Row],[_Row]])="",TRUE()),"",INDEX(tsk_PlanFinish,GanttView[[#This Row],[_Row]]))</f>
        <v/>
      </c>
      <c r="G121" s="67" t="str">
        <f aca="false">IF(IFERROR(INDEX(tsk_Name,GanttView[[#This Row],[_Row]])="",TRUE()),"",INDEX(tsk_FcStart,GanttView[[#This Row],[_Row]]))</f>
        <v/>
      </c>
      <c r="H121" s="67" t="str">
        <f aca="false">IF(IFERROR(INDEX(tsk_Name,GanttView[[#This Row],[_Row]])="",TRUE()),"",INDEX(tsk_FcFinish,GanttView[[#This Row],[_Row]]))</f>
        <v/>
      </c>
      <c r="I121" s="68" t="str">
        <f aca="false">IF(IFERROR(INDEX(tsk_Name,GanttView[[#This Row],[_Row]])="",TRUE()),"",INDEX(tsk_Progress,GanttView[[#This Row],[_Row]]))</f>
        <v/>
      </c>
      <c r="J121" s="66" t="str">
        <f aca="false">IF(IFERROR(INDEX(tsk_Name,GanttView[[#This Row],[_Row]])="",TRUE()),"",INDEX(tsk_Resource,GanttView[[#This Row],[_Row]])&amp;"")</f>
        <v/>
      </c>
      <c r="K121" s="69" t="str">
        <f aca="false">IF(IFERROR(INDEX(tsk_Name,GanttView[[#This Row],[_Row]])="",TRUE()),"",INDEX(tsk_Status,GanttView[[#This Row],[_Row]]))</f>
        <v/>
      </c>
      <c r="L121" s="70" t="n">
        <f aca="false">ROW()-ROW(GanttView[[#Headers],[ID]])</f>
        <v>116</v>
      </c>
      <c r="M121" s="71" t="b">
        <f aca="false">IF(IFERROR(INDEX(tsk_Name,GanttView[[#This Row],[_Row]])="",TRUE()),FALSE(),INDEX(tsk_IsSummary,GanttView[[#This Row],[_Row]]))</f>
        <v>0</v>
      </c>
      <c r="N121" s="71" t="b">
        <f aca="false">IF(IFERROR(INDEX(tsk_Name,GanttView[[#This Row],[_Row]])="",TRUE()),FALSE(),AND(INDEX(tsk_IsLeaf,GanttView[[#This Row],[_Row]])=1,N(INDEX(tsk_Duration,GanttView[[#This Row],[_Row]]))=0))</f>
        <v>0</v>
      </c>
      <c r="O12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1" s="72" t="n">
        <f aca="false">IF(GanttView[[#This Row],[_RemFrom]]=0,0,GanttView[[#This Row],[Forecast Finish]])</f>
        <v>0</v>
      </c>
      <c r="S121" s="71" t="b">
        <f aca="false">IF(IFERROR(INDEX(tsk_Name,GanttView[[#This Row],[_Row]])="",TRUE()),FALSE(),N(INDEX(tsk_Variance,GanttView[[#This Row],[_Row]]))&gt;0)</f>
        <v>0</v>
      </c>
      <c r="T121" s="72" t="n">
        <f aca="false">IF(IFERROR(INDEX(tsk_Name,GanttView[[#This Row],[_Row]])="",TRUE()),0,N(INDEX(tsk_Deadline,GanttView[[#This Row],[_Row]])))</f>
        <v>0</v>
      </c>
    </row>
    <row r="122" customFormat="false" ht="15" hidden="false" customHeight="false" outlineLevel="0" collapsed="false">
      <c r="A122" s="65" t="str">
        <f aca="false">IF(IFERROR(INDEX(tsk_Name,GanttView[[#This Row],[_Row]])="",TRUE()),"",INDEX(tsk_ID,GanttView[[#This Row],[_Row]]))</f>
        <v/>
      </c>
      <c r="B122" s="65" t="str">
        <f aca="false">IF(IFERROR(INDEX(tsk_Name,GanttView[[#This Row],[_Row]])="",TRUE()),"",INDEX(tsk_WBS,GanttView[[#This Row],[_Row]]))</f>
        <v/>
      </c>
      <c r="C122" s="66" t="str">
        <f aca="false">IF(IFERROR(INDEX(tsk_Name,GanttView[[#This Row],[_Row]])="",TRUE()),"",REPT("    ",INDEX(tsk_Level,GanttView[[#This Row],[_Row]])-1)&amp;INDEX(tsk_Name,GanttView[[#This Row],[_Row]]))</f>
        <v/>
      </c>
      <c r="D12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2" s="67" t="str">
        <f aca="false">IF(IFERROR(INDEX(tsk_Name,GanttView[[#This Row],[_Row]])="",TRUE()),"",INDEX(tsk_PlanStart,GanttView[[#This Row],[_Row]]))</f>
        <v/>
      </c>
      <c r="F122" s="67" t="str">
        <f aca="false">IF(IFERROR(INDEX(tsk_Name,GanttView[[#This Row],[_Row]])="",TRUE()),"",INDEX(tsk_PlanFinish,GanttView[[#This Row],[_Row]]))</f>
        <v/>
      </c>
      <c r="G122" s="67" t="str">
        <f aca="false">IF(IFERROR(INDEX(tsk_Name,GanttView[[#This Row],[_Row]])="",TRUE()),"",INDEX(tsk_FcStart,GanttView[[#This Row],[_Row]]))</f>
        <v/>
      </c>
      <c r="H122" s="67" t="str">
        <f aca="false">IF(IFERROR(INDEX(tsk_Name,GanttView[[#This Row],[_Row]])="",TRUE()),"",INDEX(tsk_FcFinish,GanttView[[#This Row],[_Row]]))</f>
        <v/>
      </c>
      <c r="I122" s="68" t="str">
        <f aca="false">IF(IFERROR(INDEX(tsk_Name,GanttView[[#This Row],[_Row]])="",TRUE()),"",INDEX(tsk_Progress,GanttView[[#This Row],[_Row]]))</f>
        <v/>
      </c>
      <c r="J122" s="66" t="str">
        <f aca="false">IF(IFERROR(INDEX(tsk_Name,GanttView[[#This Row],[_Row]])="",TRUE()),"",INDEX(tsk_Resource,GanttView[[#This Row],[_Row]])&amp;"")</f>
        <v/>
      </c>
      <c r="K122" s="69" t="str">
        <f aca="false">IF(IFERROR(INDEX(tsk_Name,GanttView[[#This Row],[_Row]])="",TRUE()),"",INDEX(tsk_Status,GanttView[[#This Row],[_Row]]))</f>
        <v/>
      </c>
      <c r="L122" s="70" t="n">
        <f aca="false">ROW()-ROW(GanttView[[#Headers],[ID]])</f>
        <v>117</v>
      </c>
      <c r="M122" s="71" t="b">
        <f aca="false">IF(IFERROR(INDEX(tsk_Name,GanttView[[#This Row],[_Row]])="",TRUE()),FALSE(),INDEX(tsk_IsSummary,GanttView[[#This Row],[_Row]]))</f>
        <v>0</v>
      </c>
      <c r="N122" s="71" t="b">
        <f aca="false">IF(IFERROR(INDEX(tsk_Name,GanttView[[#This Row],[_Row]])="",TRUE()),FALSE(),AND(INDEX(tsk_IsLeaf,GanttView[[#This Row],[_Row]])=1,N(INDEX(tsk_Duration,GanttView[[#This Row],[_Row]]))=0))</f>
        <v>0</v>
      </c>
      <c r="O12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2" s="72" t="n">
        <f aca="false">IF(GanttView[[#This Row],[_RemFrom]]=0,0,GanttView[[#This Row],[Forecast Finish]])</f>
        <v>0</v>
      </c>
      <c r="S122" s="71" t="b">
        <f aca="false">IF(IFERROR(INDEX(tsk_Name,GanttView[[#This Row],[_Row]])="",TRUE()),FALSE(),N(INDEX(tsk_Variance,GanttView[[#This Row],[_Row]]))&gt;0)</f>
        <v>0</v>
      </c>
      <c r="T122" s="72" t="n">
        <f aca="false">IF(IFERROR(INDEX(tsk_Name,GanttView[[#This Row],[_Row]])="",TRUE()),0,N(INDEX(tsk_Deadline,GanttView[[#This Row],[_Row]])))</f>
        <v>0</v>
      </c>
    </row>
    <row r="123" customFormat="false" ht="15" hidden="false" customHeight="false" outlineLevel="0" collapsed="false">
      <c r="A123" s="65" t="str">
        <f aca="false">IF(IFERROR(INDEX(tsk_Name,GanttView[[#This Row],[_Row]])="",TRUE()),"",INDEX(tsk_ID,GanttView[[#This Row],[_Row]]))</f>
        <v/>
      </c>
      <c r="B123" s="65" t="str">
        <f aca="false">IF(IFERROR(INDEX(tsk_Name,GanttView[[#This Row],[_Row]])="",TRUE()),"",INDEX(tsk_WBS,GanttView[[#This Row],[_Row]]))</f>
        <v/>
      </c>
      <c r="C123" s="66" t="str">
        <f aca="false">IF(IFERROR(INDEX(tsk_Name,GanttView[[#This Row],[_Row]])="",TRUE()),"",REPT("    ",INDEX(tsk_Level,GanttView[[#This Row],[_Row]])-1)&amp;INDEX(tsk_Name,GanttView[[#This Row],[_Row]]))</f>
        <v/>
      </c>
      <c r="D12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3" s="67" t="str">
        <f aca="false">IF(IFERROR(INDEX(tsk_Name,GanttView[[#This Row],[_Row]])="",TRUE()),"",INDEX(tsk_PlanStart,GanttView[[#This Row],[_Row]]))</f>
        <v/>
      </c>
      <c r="F123" s="67" t="str">
        <f aca="false">IF(IFERROR(INDEX(tsk_Name,GanttView[[#This Row],[_Row]])="",TRUE()),"",INDEX(tsk_PlanFinish,GanttView[[#This Row],[_Row]]))</f>
        <v/>
      </c>
      <c r="G123" s="67" t="str">
        <f aca="false">IF(IFERROR(INDEX(tsk_Name,GanttView[[#This Row],[_Row]])="",TRUE()),"",INDEX(tsk_FcStart,GanttView[[#This Row],[_Row]]))</f>
        <v/>
      </c>
      <c r="H123" s="67" t="str">
        <f aca="false">IF(IFERROR(INDEX(tsk_Name,GanttView[[#This Row],[_Row]])="",TRUE()),"",INDEX(tsk_FcFinish,GanttView[[#This Row],[_Row]]))</f>
        <v/>
      </c>
      <c r="I123" s="68" t="str">
        <f aca="false">IF(IFERROR(INDEX(tsk_Name,GanttView[[#This Row],[_Row]])="",TRUE()),"",INDEX(tsk_Progress,GanttView[[#This Row],[_Row]]))</f>
        <v/>
      </c>
      <c r="J123" s="66" t="str">
        <f aca="false">IF(IFERROR(INDEX(tsk_Name,GanttView[[#This Row],[_Row]])="",TRUE()),"",INDEX(tsk_Resource,GanttView[[#This Row],[_Row]])&amp;"")</f>
        <v/>
      </c>
      <c r="K123" s="69" t="str">
        <f aca="false">IF(IFERROR(INDEX(tsk_Name,GanttView[[#This Row],[_Row]])="",TRUE()),"",INDEX(tsk_Status,GanttView[[#This Row],[_Row]]))</f>
        <v/>
      </c>
      <c r="L123" s="70" t="n">
        <f aca="false">ROW()-ROW(GanttView[[#Headers],[ID]])</f>
        <v>118</v>
      </c>
      <c r="M123" s="71" t="b">
        <f aca="false">IF(IFERROR(INDEX(tsk_Name,GanttView[[#This Row],[_Row]])="",TRUE()),FALSE(),INDEX(tsk_IsSummary,GanttView[[#This Row],[_Row]]))</f>
        <v>0</v>
      </c>
      <c r="N123" s="71" t="b">
        <f aca="false">IF(IFERROR(INDEX(tsk_Name,GanttView[[#This Row],[_Row]])="",TRUE()),FALSE(),AND(INDEX(tsk_IsLeaf,GanttView[[#This Row],[_Row]])=1,N(INDEX(tsk_Duration,GanttView[[#This Row],[_Row]]))=0))</f>
        <v>0</v>
      </c>
      <c r="O12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3" s="72" t="n">
        <f aca="false">IF(GanttView[[#This Row],[_RemFrom]]=0,0,GanttView[[#This Row],[Forecast Finish]])</f>
        <v>0</v>
      </c>
      <c r="S123" s="71" t="b">
        <f aca="false">IF(IFERROR(INDEX(tsk_Name,GanttView[[#This Row],[_Row]])="",TRUE()),FALSE(),N(INDEX(tsk_Variance,GanttView[[#This Row],[_Row]]))&gt;0)</f>
        <v>0</v>
      </c>
      <c r="T123" s="72" t="n">
        <f aca="false">IF(IFERROR(INDEX(tsk_Name,GanttView[[#This Row],[_Row]])="",TRUE()),0,N(INDEX(tsk_Deadline,GanttView[[#This Row],[_Row]])))</f>
        <v>0</v>
      </c>
    </row>
    <row r="124" customFormat="false" ht="15" hidden="false" customHeight="false" outlineLevel="0" collapsed="false">
      <c r="A124" s="65" t="str">
        <f aca="false">IF(IFERROR(INDEX(tsk_Name,GanttView[[#This Row],[_Row]])="",TRUE()),"",INDEX(tsk_ID,GanttView[[#This Row],[_Row]]))</f>
        <v/>
      </c>
      <c r="B124" s="65" t="str">
        <f aca="false">IF(IFERROR(INDEX(tsk_Name,GanttView[[#This Row],[_Row]])="",TRUE()),"",INDEX(tsk_WBS,GanttView[[#This Row],[_Row]]))</f>
        <v/>
      </c>
      <c r="C124" s="66" t="str">
        <f aca="false">IF(IFERROR(INDEX(tsk_Name,GanttView[[#This Row],[_Row]])="",TRUE()),"",REPT("    ",INDEX(tsk_Level,GanttView[[#This Row],[_Row]])-1)&amp;INDEX(tsk_Name,GanttView[[#This Row],[_Row]]))</f>
        <v/>
      </c>
      <c r="D12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4" s="67" t="str">
        <f aca="false">IF(IFERROR(INDEX(tsk_Name,GanttView[[#This Row],[_Row]])="",TRUE()),"",INDEX(tsk_PlanStart,GanttView[[#This Row],[_Row]]))</f>
        <v/>
      </c>
      <c r="F124" s="67" t="str">
        <f aca="false">IF(IFERROR(INDEX(tsk_Name,GanttView[[#This Row],[_Row]])="",TRUE()),"",INDEX(tsk_PlanFinish,GanttView[[#This Row],[_Row]]))</f>
        <v/>
      </c>
      <c r="G124" s="67" t="str">
        <f aca="false">IF(IFERROR(INDEX(tsk_Name,GanttView[[#This Row],[_Row]])="",TRUE()),"",INDEX(tsk_FcStart,GanttView[[#This Row],[_Row]]))</f>
        <v/>
      </c>
      <c r="H124" s="67" t="str">
        <f aca="false">IF(IFERROR(INDEX(tsk_Name,GanttView[[#This Row],[_Row]])="",TRUE()),"",INDEX(tsk_FcFinish,GanttView[[#This Row],[_Row]]))</f>
        <v/>
      </c>
      <c r="I124" s="68" t="str">
        <f aca="false">IF(IFERROR(INDEX(tsk_Name,GanttView[[#This Row],[_Row]])="",TRUE()),"",INDEX(tsk_Progress,GanttView[[#This Row],[_Row]]))</f>
        <v/>
      </c>
      <c r="J124" s="66" t="str">
        <f aca="false">IF(IFERROR(INDEX(tsk_Name,GanttView[[#This Row],[_Row]])="",TRUE()),"",INDEX(tsk_Resource,GanttView[[#This Row],[_Row]])&amp;"")</f>
        <v/>
      </c>
      <c r="K124" s="69" t="str">
        <f aca="false">IF(IFERROR(INDEX(tsk_Name,GanttView[[#This Row],[_Row]])="",TRUE()),"",INDEX(tsk_Status,GanttView[[#This Row],[_Row]]))</f>
        <v/>
      </c>
      <c r="L124" s="70" t="n">
        <f aca="false">ROW()-ROW(GanttView[[#Headers],[ID]])</f>
        <v>119</v>
      </c>
      <c r="M124" s="71" t="b">
        <f aca="false">IF(IFERROR(INDEX(tsk_Name,GanttView[[#This Row],[_Row]])="",TRUE()),FALSE(),INDEX(tsk_IsSummary,GanttView[[#This Row],[_Row]]))</f>
        <v>0</v>
      </c>
      <c r="N124" s="71" t="b">
        <f aca="false">IF(IFERROR(INDEX(tsk_Name,GanttView[[#This Row],[_Row]])="",TRUE()),FALSE(),AND(INDEX(tsk_IsLeaf,GanttView[[#This Row],[_Row]])=1,N(INDEX(tsk_Duration,GanttView[[#This Row],[_Row]]))=0))</f>
        <v>0</v>
      </c>
      <c r="O12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4" s="72" t="n">
        <f aca="false">IF(GanttView[[#This Row],[_RemFrom]]=0,0,GanttView[[#This Row],[Forecast Finish]])</f>
        <v>0</v>
      </c>
      <c r="S124" s="71" t="b">
        <f aca="false">IF(IFERROR(INDEX(tsk_Name,GanttView[[#This Row],[_Row]])="",TRUE()),FALSE(),N(INDEX(tsk_Variance,GanttView[[#This Row],[_Row]]))&gt;0)</f>
        <v>0</v>
      </c>
      <c r="T124" s="72" t="n">
        <f aca="false">IF(IFERROR(INDEX(tsk_Name,GanttView[[#This Row],[_Row]])="",TRUE()),0,N(INDEX(tsk_Deadline,GanttView[[#This Row],[_Row]])))</f>
        <v>0</v>
      </c>
    </row>
    <row r="125" customFormat="false" ht="15" hidden="false" customHeight="false" outlineLevel="0" collapsed="false">
      <c r="A125" s="65" t="str">
        <f aca="false">IF(IFERROR(INDEX(tsk_Name,GanttView[[#This Row],[_Row]])="",TRUE()),"",INDEX(tsk_ID,GanttView[[#This Row],[_Row]]))</f>
        <v/>
      </c>
      <c r="B125" s="65" t="str">
        <f aca="false">IF(IFERROR(INDEX(tsk_Name,GanttView[[#This Row],[_Row]])="",TRUE()),"",INDEX(tsk_WBS,GanttView[[#This Row],[_Row]]))</f>
        <v/>
      </c>
      <c r="C125" s="66" t="str">
        <f aca="false">IF(IFERROR(INDEX(tsk_Name,GanttView[[#This Row],[_Row]])="",TRUE()),"",REPT("    ",INDEX(tsk_Level,GanttView[[#This Row],[_Row]])-1)&amp;INDEX(tsk_Name,GanttView[[#This Row],[_Row]]))</f>
        <v/>
      </c>
      <c r="D12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5" s="67" t="str">
        <f aca="false">IF(IFERROR(INDEX(tsk_Name,GanttView[[#This Row],[_Row]])="",TRUE()),"",INDEX(tsk_PlanStart,GanttView[[#This Row],[_Row]]))</f>
        <v/>
      </c>
      <c r="F125" s="67" t="str">
        <f aca="false">IF(IFERROR(INDEX(tsk_Name,GanttView[[#This Row],[_Row]])="",TRUE()),"",INDEX(tsk_PlanFinish,GanttView[[#This Row],[_Row]]))</f>
        <v/>
      </c>
      <c r="G125" s="67" t="str">
        <f aca="false">IF(IFERROR(INDEX(tsk_Name,GanttView[[#This Row],[_Row]])="",TRUE()),"",INDEX(tsk_FcStart,GanttView[[#This Row],[_Row]]))</f>
        <v/>
      </c>
      <c r="H125" s="67" t="str">
        <f aca="false">IF(IFERROR(INDEX(tsk_Name,GanttView[[#This Row],[_Row]])="",TRUE()),"",INDEX(tsk_FcFinish,GanttView[[#This Row],[_Row]]))</f>
        <v/>
      </c>
      <c r="I125" s="68" t="str">
        <f aca="false">IF(IFERROR(INDEX(tsk_Name,GanttView[[#This Row],[_Row]])="",TRUE()),"",INDEX(tsk_Progress,GanttView[[#This Row],[_Row]]))</f>
        <v/>
      </c>
      <c r="J125" s="66" t="str">
        <f aca="false">IF(IFERROR(INDEX(tsk_Name,GanttView[[#This Row],[_Row]])="",TRUE()),"",INDEX(tsk_Resource,GanttView[[#This Row],[_Row]])&amp;"")</f>
        <v/>
      </c>
      <c r="K125" s="69" t="str">
        <f aca="false">IF(IFERROR(INDEX(tsk_Name,GanttView[[#This Row],[_Row]])="",TRUE()),"",INDEX(tsk_Status,GanttView[[#This Row],[_Row]]))</f>
        <v/>
      </c>
      <c r="L125" s="70" t="n">
        <f aca="false">ROW()-ROW(GanttView[[#Headers],[ID]])</f>
        <v>120</v>
      </c>
      <c r="M125" s="71" t="b">
        <f aca="false">IF(IFERROR(INDEX(tsk_Name,GanttView[[#This Row],[_Row]])="",TRUE()),FALSE(),INDEX(tsk_IsSummary,GanttView[[#This Row],[_Row]]))</f>
        <v>0</v>
      </c>
      <c r="N125" s="71" t="b">
        <f aca="false">IF(IFERROR(INDEX(tsk_Name,GanttView[[#This Row],[_Row]])="",TRUE()),FALSE(),AND(INDEX(tsk_IsLeaf,GanttView[[#This Row],[_Row]])=1,N(INDEX(tsk_Duration,GanttView[[#This Row],[_Row]]))=0))</f>
        <v>0</v>
      </c>
      <c r="O12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5" s="72" t="n">
        <f aca="false">IF(GanttView[[#This Row],[_RemFrom]]=0,0,GanttView[[#This Row],[Forecast Finish]])</f>
        <v>0</v>
      </c>
      <c r="S125" s="71" t="b">
        <f aca="false">IF(IFERROR(INDEX(tsk_Name,GanttView[[#This Row],[_Row]])="",TRUE()),FALSE(),N(INDEX(tsk_Variance,GanttView[[#This Row],[_Row]]))&gt;0)</f>
        <v>0</v>
      </c>
      <c r="T125" s="72" t="n">
        <f aca="false">IF(IFERROR(INDEX(tsk_Name,GanttView[[#This Row],[_Row]])="",TRUE()),0,N(INDEX(tsk_Deadline,GanttView[[#This Row],[_Row]])))</f>
        <v>0</v>
      </c>
    </row>
    <row r="126" customFormat="false" ht="15" hidden="false" customHeight="false" outlineLevel="0" collapsed="false">
      <c r="A126" s="65" t="str">
        <f aca="false">IF(IFERROR(INDEX(tsk_Name,GanttView[[#This Row],[_Row]])="",TRUE()),"",INDEX(tsk_ID,GanttView[[#This Row],[_Row]]))</f>
        <v/>
      </c>
      <c r="B126" s="65" t="str">
        <f aca="false">IF(IFERROR(INDEX(tsk_Name,GanttView[[#This Row],[_Row]])="",TRUE()),"",INDEX(tsk_WBS,GanttView[[#This Row],[_Row]]))</f>
        <v/>
      </c>
      <c r="C126" s="66" t="str">
        <f aca="false">IF(IFERROR(INDEX(tsk_Name,GanttView[[#This Row],[_Row]])="",TRUE()),"",REPT("    ",INDEX(tsk_Level,GanttView[[#This Row],[_Row]])-1)&amp;INDEX(tsk_Name,GanttView[[#This Row],[_Row]]))</f>
        <v/>
      </c>
      <c r="D12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6" s="67" t="str">
        <f aca="false">IF(IFERROR(INDEX(tsk_Name,GanttView[[#This Row],[_Row]])="",TRUE()),"",INDEX(tsk_PlanStart,GanttView[[#This Row],[_Row]]))</f>
        <v/>
      </c>
      <c r="F126" s="67" t="str">
        <f aca="false">IF(IFERROR(INDEX(tsk_Name,GanttView[[#This Row],[_Row]])="",TRUE()),"",INDEX(tsk_PlanFinish,GanttView[[#This Row],[_Row]]))</f>
        <v/>
      </c>
      <c r="G126" s="67" t="str">
        <f aca="false">IF(IFERROR(INDEX(tsk_Name,GanttView[[#This Row],[_Row]])="",TRUE()),"",INDEX(tsk_FcStart,GanttView[[#This Row],[_Row]]))</f>
        <v/>
      </c>
      <c r="H126" s="67" t="str">
        <f aca="false">IF(IFERROR(INDEX(tsk_Name,GanttView[[#This Row],[_Row]])="",TRUE()),"",INDEX(tsk_FcFinish,GanttView[[#This Row],[_Row]]))</f>
        <v/>
      </c>
      <c r="I126" s="68" t="str">
        <f aca="false">IF(IFERROR(INDEX(tsk_Name,GanttView[[#This Row],[_Row]])="",TRUE()),"",INDEX(tsk_Progress,GanttView[[#This Row],[_Row]]))</f>
        <v/>
      </c>
      <c r="J126" s="66" t="str">
        <f aca="false">IF(IFERROR(INDEX(tsk_Name,GanttView[[#This Row],[_Row]])="",TRUE()),"",INDEX(tsk_Resource,GanttView[[#This Row],[_Row]])&amp;"")</f>
        <v/>
      </c>
      <c r="K126" s="69" t="str">
        <f aca="false">IF(IFERROR(INDEX(tsk_Name,GanttView[[#This Row],[_Row]])="",TRUE()),"",INDEX(tsk_Status,GanttView[[#This Row],[_Row]]))</f>
        <v/>
      </c>
      <c r="L126" s="70" t="n">
        <f aca="false">ROW()-ROW(GanttView[[#Headers],[ID]])</f>
        <v>121</v>
      </c>
      <c r="M126" s="71" t="b">
        <f aca="false">IF(IFERROR(INDEX(tsk_Name,GanttView[[#This Row],[_Row]])="",TRUE()),FALSE(),INDEX(tsk_IsSummary,GanttView[[#This Row],[_Row]]))</f>
        <v>0</v>
      </c>
      <c r="N126" s="71" t="b">
        <f aca="false">IF(IFERROR(INDEX(tsk_Name,GanttView[[#This Row],[_Row]])="",TRUE()),FALSE(),AND(INDEX(tsk_IsLeaf,GanttView[[#This Row],[_Row]])=1,N(INDEX(tsk_Duration,GanttView[[#This Row],[_Row]]))=0))</f>
        <v>0</v>
      </c>
      <c r="O12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6" s="72" t="n">
        <f aca="false">IF(GanttView[[#This Row],[_RemFrom]]=0,0,GanttView[[#This Row],[Forecast Finish]])</f>
        <v>0</v>
      </c>
      <c r="S126" s="71" t="b">
        <f aca="false">IF(IFERROR(INDEX(tsk_Name,GanttView[[#This Row],[_Row]])="",TRUE()),FALSE(),N(INDEX(tsk_Variance,GanttView[[#This Row],[_Row]]))&gt;0)</f>
        <v>0</v>
      </c>
      <c r="T126" s="72" t="n">
        <f aca="false">IF(IFERROR(INDEX(tsk_Name,GanttView[[#This Row],[_Row]])="",TRUE()),0,N(INDEX(tsk_Deadline,GanttView[[#This Row],[_Row]])))</f>
        <v>0</v>
      </c>
    </row>
    <row r="127" customFormat="false" ht="15" hidden="false" customHeight="false" outlineLevel="0" collapsed="false">
      <c r="A127" s="65" t="str">
        <f aca="false">IF(IFERROR(INDEX(tsk_Name,GanttView[[#This Row],[_Row]])="",TRUE()),"",INDEX(tsk_ID,GanttView[[#This Row],[_Row]]))</f>
        <v/>
      </c>
      <c r="B127" s="65" t="str">
        <f aca="false">IF(IFERROR(INDEX(tsk_Name,GanttView[[#This Row],[_Row]])="",TRUE()),"",INDEX(tsk_WBS,GanttView[[#This Row],[_Row]]))</f>
        <v/>
      </c>
      <c r="C127" s="66" t="str">
        <f aca="false">IF(IFERROR(INDEX(tsk_Name,GanttView[[#This Row],[_Row]])="",TRUE()),"",REPT("    ",INDEX(tsk_Level,GanttView[[#This Row],[_Row]])-1)&amp;INDEX(tsk_Name,GanttView[[#This Row],[_Row]]))</f>
        <v/>
      </c>
      <c r="D12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7" s="67" t="str">
        <f aca="false">IF(IFERROR(INDEX(tsk_Name,GanttView[[#This Row],[_Row]])="",TRUE()),"",INDEX(tsk_PlanStart,GanttView[[#This Row],[_Row]]))</f>
        <v/>
      </c>
      <c r="F127" s="67" t="str">
        <f aca="false">IF(IFERROR(INDEX(tsk_Name,GanttView[[#This Row],[_Row]])="",TRUE()),"",INDEX(tsk_PlanFinish,GanttView[[#This Row],[_Row]]))</f>
        <v/>
      </c>
      <c r="G127" s="67" t="str">
        <f aca="false">IF(IFERROR(INDEX(tsk_Name,GanttView[[#This Row],[_Row]])="",TRUE()),"",INDEX(tsk_FcStart,GanttView[[#This Row],[_Row]]))</f>
        <v/>
      </c>
      <c r="H127" s="67" t="str">
        <f aca="false">IF(IFERROR(INDEX(tsk_Name,GanttView[[#This Row],[_Row]])="",TRUE()),"",INDEX(tsk_FcFinish,GanttView[[#This Row],[_Row]]))</f>
        <v/>
      </c>
      <c r="I127" s="68" t="str">
        <f aca="false">IF(IFERROR(INDEX(tsk_Name,GanttView[[#This Row],[_Row]])="",TRUE()),"",INDEX(tsk_Progress,GanttView[[#This Row],[_Row]]))</f>
        <v/>
      </c>
      <c r="J127" s="66" t="str">
        <f aca="false">IF(IFERROR(INDEX(tsk_Name,GanttView[[#This Row],[_Row]])="",TRUE()),"",INDEX(tsk_Resource,GanttView[[#This Row],[_Row]])&amp;"")</f>
        <v/>
      </c>
      <c r="K127" s="69" t="str">
        <f aca="false">IF(IFERROR(INDEX(tsk_Name,GanttView[[#This Row],[_Row]])="",TRUE()),"",INDEX(tsk_Status,GanttView[[#This Row],[_Row]]))</f>
        <v/>
      </c>
      <c r="L127" s="70" t="n">
        <f aca="false">ROW()-ROW(GanttView[[#Headers],[ID]])</f>
        <v>122</v>
      </c>
      <c r="M127" s="71" t="b">
        <f aca="false">IF(IFERROR(INDEX(tsk_Name,GanttView[[#This Row],[_Row]])="",TRUE()),FALSE(),INDEX(tsk_IsSummary,GanttView[[#This Row],[_Row]]))</f>
        <v>0</v>
      </c>
      <c r="N127" s="71" t="b">
        <f aca="false">IF(IFERROR(INDEX(tsk_Name,GanttView[[#This Row],[_Row]])="",TRUE()),FALSE(),AND(INDEX(tsk_IsLeaf,GanttView[[#This Row],[_Row]])=1,N(INDEX(tsk_Duration,GanttView[[#This Row],[_Row]]))=0))</f>
        <v>0</v>
      </c>
      <c r="O12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7" s="72" t="n">
        <f aca="false">IF(GanttView[[#This Row],[_RemFrom]]=0,0,GanttView[[#This Row],[Forecast Finish]])</f>
        <v>0</v>
      </c>
      <c r="S127" s="71" t="b">
        <f aca="false">IF(IFERROR(INDEX(tsk_Name,GanttView[[#This Row],[_Row]])="",TRUE()),FALSE(),N(INDEX(tsk_Variance,GanttView[[#This Row],[_Row]]))&gt;0)</f>
        <v>0</v>
      </c>
      <c r="T127" s="72" t="n">
        <f aca="false">IF(IFERROR(INDEX(tsk_Name,GanttView[[#This Row],[_Row]])="",TRUE()),0,N(INDEX(tsk_Deadline,GanttView[[#This Row],[_Row]])))</f>
        <v>0</v>
      </c>
    </row>
    <row r="128" customFormat="false" ht="15" hidden="false" customHeight="false" outlineLevel="0" collapsed="false">
      <c r="A128" s="65" t="str">
        <f aca="false">IF(IFERROR(INDEX(tsk_Name,GanttView[[#This Row],[_Row]])="",TRUE()),"",INDEX(tsk_ID,GanttView[[#This Row],[_Row]]))</f>
        <v/>
      </c>
      <c r="B128" s="65" t="str">
        <f aca="false">IF(IFERROR(INDEX(tsk_Name,GanttView[[#This Row],[_Row]])="",TRUE()),"",INDEX(tsk_WBS,GanttView[[#This Row],[_Row]]))</f>
        <v/>
      </c>
      <c r="C128" s="66" t="str">
        <f aca="false">IF(IFERROR(INDEX(tsk_Name,GanttView[[#This Row],[_Row]])="",TRUE()),"",REPT("    ",INDEX(tsk_Level,GanttView[[#This Row],[_Row]])-1)&amp;INDEX(tsk_Name,GanttView[[#This Row],[_Row]]))</f>
        <v/>
      </c>
      <c r="D12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8" s="67" t="str">
        <f aca="false">IF(IFERROR(INDEX(tsk_Name,GanttView[[#This Row],[_Row]])="",TRUE()),"",INDEX(tsk_PlanStart,GanttView[[#This Row],[_Row]]))</f>
        <v/>
      </c>
      <c r="F128" s="67" t="str">
        <f aca="false">IF(IFERROR(INDEX(tsk_Name,GanttView[[#This Row],[_Row]])="",TRUE()),"",INDEX(tsk_PlanFinish,GanttView[[#This Row],[_Row]]))</f>
        <v/>
      </c>
      <c r="G128" s="67" t="str">
        <f aca="false">IF(IFERROR(INDEX(tsk_Name,GanttView[[#This Row],[_Row]])="",TRUE()),"",INDEX(tsk_FcStart,GanttView[[#This Row],[_Row]]))</f>
        <v/>
      </c>
      <c r="H128" s="67" t="str">
        <f aca="false">IF(IFERROR(INDEX(tsk_Name,GanttView[[#This Row],[_Row]])="",TRUE()),"",INDEX(tsk_FcFinish,GanttView[[#This Row],[_Row]]))</f>
        <v/>
      </c>
      <c r="I128" s="68" t="str">
        <f aca="false">IF(IFERROR(INDEX(tsk_Name,GanttView[[#This Row],[_Row]])="",TRUE()),"",INDEX(tsk_Progress,GanttView[[#This Row],[_Row]]))</f>
        <v/>
      </c>
      <c r="J128" s="66" t="str">
        <f aca="false">IF(IFERROR(INDEX(tsk_Name,GanttView[[#This Row],[_Row]])="",TRUE()),"",INDEX(tsk_Resource,GanttView[[#This Row],[_Row]])&amp;"")</f>
        <v/>
      </c>
      <c r="K128" s="69" t="str">
        <f aca="false">IF(IFERROR(INDEX(tsk_Name,GanttView[[#This Row],[_Row]])="",TRUE()),"",INDEX(tsk_Status,GanttView[[#This Row],[_Row]]))</f>
        <v/>
      </c>
      <c r="L128" s="70" t="n">
        <f aca="false">ROW()-ROW(GanttView[[#Headers],[ID]])</f>
        <v>123</v>
      </c>
      <c r="M128" s="71" t="b">
        <f aca="false">IF(IFERROR(INDEX(tsk_Name,GanttView[[#This Row],[_Row]])="",TRUE()),FALSE(),INDEX(tsk_IsSummary,GanttView[[#This Row],[_Row]]))</f>
        <v>0</v>
      </c>
      <c r="N128" s="71" t="b">
        <f aca="false">IF(IFERROR(INDEX(tsk_Name,GanttView[[#This Row],[_Row]])="",TRUE()),FALSE(),AND(INDEX(tsk_IsLeaf,GanttView[[#This Row],[_Row]])=1,N(INDEX(tsk_Duration,GanttView[[#This Row],[_Row]]))=0))</f>
        <v>0</v>
      </c>
      <c r="O12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8" s="72" t="n">
        <f aca="false">IF(GanttView[[#This Row],[_RemFrom]]=0,0,GanttView[[#This Row],[Forecast Finish]])</f>
        <v>0</v>
      </c>
      <c r="S128" s="71" t="b">
        <f aca="false">IF(IFERROR(INDEX(tsk_Name,GanttView[[#This Row],[_Row]])="",TRUE()),FALSE(),N(INDEX(tsk_Variance,GanttView[[#This Row],[_Row]]))&gt;0)</f>
        <v>0</v>
      </c>
      <c r="T128" s="72" t="n">
        <f aca="false">IF(IFERROR(INDEX(tsk_Name,GanttView[[#This Row],[_Row]])="",TRUE()),0,N(INDEX(tsk_Deadline,GanttView[[#This Row],[_Row]])))</f>
        <v>0</v>
      </c>
    </row>
    <row r="129" customFormat="false" ht="15" hidden="false" customHeight="false" outlineLevel="0" collapsed="false">
      <c r="A129" s="65" t="str">
        <f aca="false">IF(IFERROR(INDEX(tsk_Name,GanttView[[#This Row],[_Row]])="",TRUE()),"",INDEX(tsk_ID,GanttView[[#This Row],[_Row]]))</f>
        <v/>
      </c>
      <c r="B129" s="65" t="str">
        <f aca="false">IF(IFERROR(INDEX(tsk_Name,GanttView[[#This Row],[_Row]])="",TRUE()),"",INDEX(tsk_WBS,GanttView[[#This Row],[_Row]]))</f>
        <v/>
      </c>
      <c r="C129" s="66" t="str">
        <f aca="false">IF(IFERROR(INDEX(tsk_Name,GanttView[[#This Row],[_Row]])="",TRUE()),"",REPT("    ",INDEX(tsk_Level,GanttView[[#This Row],[_Row]])-1)&amp;INDEX(tsk_Name,GanttView[[#This Row],[_Row]]))</f>
        <v/>
      </c>
      <c r="D12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9" s="67" t="str">
        <f aca="false">IF(IFERROR(INDEX(tsk_Name,GanttView[[#This Row],[_Row]])="",TRUE()),"",INDEX(tsk_PlanStart,GanttView[[#This Row],[_Row]]))</f>
        <v/>
      </c>
      <c r="F129" s="67" t="str">
        <f aca="false">IF(IFERROR(INDEX(tsk_Name,GanttView[[#This Row],[_Row]])="",TRUE()),"",INDEX(tsk_PlanFinish,GanttView[[#This Row],[_Row]]))</f>
        <v/>
      </c>
      <c r="G129" s="67" t="str">
        <f aca="false">IF(IFERROR(INDEX(tsk_Name,GanttView[[#This Row],[_Row]])="",TRUE()),"",INDEX(tsk_FcStart,GanttView[[#This Row],[_Row]]))</f>
        <v/>
      </c>
      <c r="H129" s="67" t="str">
        <f aca="false">IF(IFERROR(INDEX(tsk_Name,GanttView[[#This Row],[_Row]])="",TRUE()),"",INDEX(tsk_FcFinish,GanttView[[#This Row],[_Row]]))</f>
        <v/>
      </c>
      <c r="I129" s="68" t="str">
        <f aca="false">IF(IFERROR(INDEX(tsk_Name,GanttView[[#This Row],[_Row]])="",TRUE()),"",INDEX(tsk_Progress,GanttView[[#This Row],[_Row]]))</f>
        <v/>
      </c>
      <c r="J129" s="66" t="str">
        <f aca="false">IF(IFERROR(INDEX(tsk_Name,GanttView[[#This Row],[_Row]])="",TRUE()),"",INDEX(tsk_Resource,GanttView[[#This Row],[_Row]])&amp;"")</f>
        <v/>
      </c>
      <c r="K129" s="69" t="str">
        <f aca="false">IF(IFERROR(INDEX(tsk_Name,GanttView[[#This Row],[_Row]])="",TRUE()),"",INDEX(tsk_Status,GanttView[[#This Row],[_Row]]))</f>
        <v/>
      </c>
      <c r="L129" s="70" t="n">
        <f aca="false">ROW()-ROW(GanttView[[#Headers],[ID]])</f>
        <v>124</v>
      </c>
      <c r="M129" s="71" t="b">
        <f aca="false">IF(IFERROR(INDEX(tsk_Name,GanttView[[#This Row],[_Row]])="",TRUE()),FALSE(),INDEX(tsk_IsSummary,GanttView[[#This Row],[_Row]]))</f>
        <v>0</v>
      </c>
      <c r="N129" s="71" t="b">
        <f aca="false">IF(IFERROR(INDEX(tsk_Name,GanttView[[#This Row],[_Row]])="",TRUE()),FALSE(),AND(INDEX(tsk_IsLeaf,GanttView[[#This Row],[_Row]])=1,N(INDEX(tsk_Duration,GanttView[[#This Row],[_Row]]))=0))</f>
        <v>0</v>
      </c>
      <c r="O12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9" s="72" t="n">
        <f aca="false">IF(GanttView[[#This Row],[_RemFrom]]=0,0,GanttView[[#This Row],[Forecast Finish]])</f>
        <v>0</v>
      </c>
      <c r="S129" s="71" t="b">
        <f aca="false">IF(IFERROR(INDEX(tsk_Name,GanttView[[#This Row],[_Row]])="",TRUE()),FALSE(),N(INDEX(tsk_Variance,GanttView[[#This Row],[_Row]]))&gt;0)</f>
        <v>0</v>
      </c>
      <c r="T129" s="72" t="n">
        <f aca="false">IF(IFERROR(INDEX(tsk_Name,GanttView[[#This Row],[_Row]])="",TRUE()),0,N(INDEX(tsk_Deadline,GanttView[[#This Row],[_Row]])))</f>
        <v>0</v>
      </c>
    </row>
    <row r="130" customFormat="false" ht="15" hidden="false" customHeight="false" outlineLevel="0" collapsed="false">
      <c r="A130" s="65" t="str">
        <f aca="false">IF(IFERROR(INDEX(tsk_Name,GanttView[[#This Row],[_Row]])="",TRUE()),"",INDEX(tsk_ID,GanttView[[#This Row],[_Row]]))</f>
        <v/>
      </c>
      <c r="B130" s="65" t="str">
        <f aca="false">IF(IFERROR(INDEX(tsk_Name,GanttView[[#This Row],[_Row]])="",TRUE()),"",INDEX(tsk_WBS,GanttView[[#This Row],[_Row]]))</f>
        <v/>
      </c>
      <c r="C130" s="66" t="str">
        <f aca="false">IF(IFERROR(INDEX(tsk_Name,GanttView[[#This Row],[_Row]])="",TRUE()),"",REPT("    ",INDEX(tsk_Level,GanttView[[#This Row],[_Row]])-1)&amp;INDEX(tsk_Name,GanttView[[#This Row],[_Row]]))</f>
        <v/>
      </c>
      <c r="D13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0" s="67" t="str">
        <f aca="false">IF(IFERROR(INDEX(tsk_Name,GanttView[[#This Row],[_Row]])="",TRUE()),"",INDEX(tsk_PlanStart,GanttView[[#This Row],[_Row]]))</f>
        <v/>
      </c>
      <c r="F130" s="67" t="str">
        <f aca="false">IF(IFERROR(INDEX(tsk_Name,GanttView[[#This Row],[_Row]])="",TRUE()),"",INDEX(tsk_PlanFinish,GanttView[[#This Row],[_Row]]))</f>
        <v/>
      </c>
      <c r="G130" s="67" t="str">
        <f aca="false">IF(IFERROR(INDEX(tsk_Name,GanttView[[#This Row],[_Row]])="",TRUE()),"",INDEX(tsk_FcStart,GanttView[[#This Row],[_Row]]))</f>
        <v/>
      </c>
      <c r="H130" s="67" t="str">
        <f aca="false">IF(IFERROR(INDEX(tsk_Name,GanttView[[#This Row],[_Row]])="",TRUE()),"",INDEX(tsk_FcFinish,GanttView[[#This Row],[_Row]]))</f>
        <v/>
      </c>
      <c r="I130" s="68" t="str">
        <f aca="false">IF(IFERROR(INDEX(tsk_Name,GanttView[[#This Row],[_Row]])="",TRUE()),"",INDEX(tsk_Progress,GanttView[[#This Row],[_Row]]))</f>
        <v/>
      </c>
      <c r="J130" s="66" t="str">
        <f aca="false">IF(IFERROR(INDEX(tsk_Name,GanttView[[#This Row],[_Row]])="",TRUE()),"",INDEX(tsk_Resource,GanttView[[#This Row],[_Row]])&amp;"")</f>
        <v/>
      </c>
      <c r="K130" s="69" t="str">
        <f aca="false">IF(IFERROR(INDEX(tsk_Name,GanttView[[#This Row],[_Row]])="",TRUE()),"",INDEX(tsk_Status,GanttView[[#This Row],[_Row]]))</f>
        <v/>
      </c>
      <c r="L130" s="70" t="n">
        <f aca="false">ROW()-ROW(GanttView[[#Headers],[ID]])</f>
        <v>125</v>
      </c>
      <c r="M130" s="71" t="b">
        <f aca="false">IF(IFERROR(INDEX(tsk_Name,GanttView[[#This Row],[_Row]])="",TRUE()),FALSE(),INDEX(tsk_IsSummary,GanttView[[#This Row],[_Row]]))</f>
        <v>0</v>
      </c>
      <c r="N130" s="71" t="b">
        <f aca="false">IF(IFERROR(INDEX(tsk_Name,GanttView[[#This Row],[_Row]])="",TRUE()),FALSE(),AND(INDEX(tsk_IsLeaf,GanttView[[#This Row],[_Row]])=1,N(INDEX(tsk_Duration,GanttView[[#This Row],[_Row]]))=0))</f>
        <v>0</v>
      </c>
      <c r="O13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0" s="72" t="n">
        <f aca="false">IF(GanttView[[#This Row],[_RemFrom]]=0,0,GanttView[[#This Row],[Forecast Finish]])</f>
        <v>0</v>
      </c>
      <c r="S130" s="71" t="b">
        <f aca="false">IF(IFERROR(INDEX(tsk_Name,GanttView[[#This Row],[_Row]])="",TRUE()),FALSE(),N(INDEX(tsk_Variance,GanttView[[#This Row],[_Row]]))&gt;0)</f>
        <v>0</v>
      </c>
      <c r="T130" s="72" t="n">
        <f aca="false">IF(IFERROR(INDEX(tsk_Name,GanttView[[#This Row],[_Row]])="",TRUE()),0,N(INDEX(tsk_Deadline,GanttView[[#This Row],[_Row]])))</f>
        <v>0</v>
      </c>
    </row>
    <row r="131" customFormat="false" ht="15" hidden="false" customHeight="false" outlineLevel="0" collapsed="false">
      <c r="A131" s="65" t="str">
        <f aca="false">IF(IFERROR(INDEX(tsk_Name,GanttView[[#This Row],[_Row]])="",TRUE()),"",INDEX(tsk_ID,GanttView[[#This Row],[_Row]]))</f>
        <v/>
      </c>
      <c r="B131" s="65" t="str">
        <f aca="false">IF(IFERROR(INDEX(tsk_Name,GanttView[[#This Row],[_Row]])="",TRUE()),"",INDEX(tsk_WBS,GanttView[[#This Row],[_Row]]))</f>
        <v/>
      </c>
      <c r="C131" s="66" t="str">
        <f aca="false">IF(IFERROR(INDEX(tsk_Name,GanttView[[#This Row],[_Row]])="",TRUE()),"",REPT("    ",INDEX(tsk_Level,GanttView[[#This Row],[_Row]])-1)&amp;INDEX(tsk_Name,GanttView[[#This Row],[_Row]]))</f>
        <v/>
      </c>
      <c r="D13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1" s="67" t="str">
        <f aca="false">IF(IFERROR(INDEX(tsk_Name,GanttView[[#This Row],[_Row]])="",TRUE()),"",INDEX(tsk_PlanStart,GanttView[[#This Row],[_Row]]))</f>
        <v/>
      </c>
      <c r="F131" s="67" t="str">
        <f aca="false">IF(IFERROR(INDEX(tsk_Name,GanttView[[#This Row],[_Row]])="",TRUE()),"",INDEX(tsk_PlanFinish,GanttView[[#This Row],[_Row]]))</f>
        <v/>
      </c>
      <c r="G131" s="67" t="str">
        <f aca="false">IF(IFERROR(INDEX(tsk_Name,GanttView[[#This Row],[_Row]])="",TRUE()),"",INDEX(tsk_FcStart,GanttView[[#This Row],[_Row]]))</f>
        <v/>
      </c>
      <c r="H131" s="67" t="str">
        <f aca="false">IF(IFERROR(INDEX(tsk_Name,GanttView[[#This Row],[_Row]])="",TRUE()),"",INDEX(tsk_FcFinish,GanttView[[#This Row],[_Row]]))</f>
        <v/>
      </c>
      <c r="I131" s="68" t="str">
        <f aca="false">IF(IFERROR(INDEX(tsk_Name,GanttView[[#This Row],[_Row]])="",TRUE()),"",INDEX(tsk_Progress,GanttView[[#This Row],[_Row]]))</f>
        <v/>
      </c>
      <c r="J131" s="66" t="str">
        <f aca="false">IF(IFERROR(INDEX(tsk_Name,GanttView[[#This Row],[_Row]])="",TRUE()),"",INDEX(tsk_Resource,GanttView[[#This Row],[_Row]])&amp;"")</f>
        <v/>
      </c>
      <c r="K131" s="69" t="str">
        <f aca="false">IF(IFERROR(INDEX(tsk_Name,GanttView[[#This Row],[_Row]])="",TRUE()),"",INDEX(tsk_Status,GanttView[[#This Row],[_Row]]))</f>
        <v/>
      </c>
      <c r="L131" s="70" t="n">
        <f aca="false">ROW()-ROW(GanttView[[#Headers],[ID]])</f>
        <v>126</v>
      </c>
      <c r="M131" s="71" t="b">
        <f aca="false">IF(IFERROR(INDEX(tsk_Name,GanttView[[#This Row],[_Row]])="",TRUE()),FALSE(),INDEX(tsk_IsSummary,GanttView[[#This Row],[_Row]]))</f>
        <v>0</v>
      </c>
      <c r="N131" s="71" t="b">
        <f aca="false">IF(IFERROR(INDEX(tsk_Name,GanttView[[#This Row],[_Row]])="",TRUE()),FALSE(),AND(INDEX(tsk_IsLeaf,GanttView[[#This Row],[_Row]])=1,N(INDEX(tsk_Duration,GanttView[[#This Row],[_Row]]))=0))</f>
        <v>0</v>
      </c>
      <c r="O13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1" s="72" t="n">
        <f aca="false">IF(GanttView[[#This Row],[_RemFrom]]=0,0,GanttView[[#This Row],[Forecast Finish]])</f>
        <v>0</v>
      </c>
      <c r="S131" s="71" t="b">
        <f aca="false">IF(IFERROR(INDEX(tsk_Name,GanttView[[#This Row],[_Row]])="",TRUE()),FALSE(),N(INDEX(tsk_Variance,GanttView[[#This Row],[_Row]]))&gt;0)</f>
        <v>0</v>
      </c>
      <c r="T131" s="72" t="n">
        <f aca="false">IF(IFERROR(INDEX(tsk_Name,GanttView[[#This Row],[_Row]])="",TRUE()),0,N(INDEX(tsk_Deadline,GanttView[[#This Row],[_Row]])))</f>
        <v>0</v>
      </c>
    </row>
    <row r="132" customFormat="false" ht="15" hidden="false" customHeight="false" outlineLevel="0" collapsed="false">
      <c r="A132" s="65" t="str">
        <f aca="false">IF(IFERROR(INDEX(tsk_Name,GanttView[[#This Row],[_Row]])="",TRUE()),"",INDEX(tsk_ID,GanttView[[#This Row],[_Row]]))</f>
        <v/>
      </c>
      <c r="B132" s="65" t="str">
        <f aca="false">IF(IFERROR(INDEX(tsk_Name,GanttView[[#This Row],[_Row]])="",TRUE()),"",INDEX(tsk_WBS,GanttView[[#This Row],[_Row]]))</f>
        <v/>
      </c>
      <c r="C132" s="66" t="str">
        <f aca="false">IF(IFERROR(INDEX(tsk_Name,GanttView[[#This Row],[_Row]])="",TRUE()),"",REPT("    ",INDEX(tsk_Level,GanttView[[#This Row],[_Row]])-1)&amp;INDEX(tsk_Name,GanttView[[#This Row],[_Row]]))</f>
        <v/>
      </c>
      <c r="D13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2" s="67" t="str">
        <f aca="false">IF(IFERROR(INDEX(tsk_Name,GanttView[[#This Row],[_Row]])="",TRUE()),"",INDEX(tsk_PlanStart,GanttView[[#This Row],[_Row]]))</f>
        <v/>
      </c>
      <c r="F132" s="67" t="str">
        <f aca="false">IF(IFERROR(INDEX(tsk_Name,GanttView[[#This Row],[_Row]])="",TRUE()),"",INDEX(tsk_PlanFinish,GanttView[[#This Row],[_Row]]))</f>
        <v/>
      </c>
      <c r="G132" s="67" t="str">
        <f aca="false">IF(IFERROR(INDEX(tsk_Name,GanttView[[#This Row],[_Row]])="",TRUE()),"",INDEX(tsk_FcStart,GanttView[[#This Row],[_Row]]))</f>
        <v/>
      </c>
      <c r="H132" s="67" t="str">
        <f aca="false">IF(IFERROR(INDEX(tsk_Name,GanttView[[#This Row],[_Row]])="",TRUE()),"",INDEX(tsk_FcFinish,GanttView[[#This Row],[_Row]]))</f>
        <v/>
      </c>
      <c r="I132" s="68" t="str">
        <f aca="false">IF(IFERROR(INDEX(tsk_Name,GanttView[[#This Row],[_Row]])="",TRUE()),"",INDEX(tsk_Progress,GanttView[[#This Row],[_Row]]))</f>
        <v/>
      </c>
      <c r="J132" s="66" t="str">
        <f aca="false">IF(IFERROR(INDEX(tsk_Name,GanttView[[#This Row],[_Row]])="",TRUE()),"",INDEX(tsk_Resource,GanttView[[#This Row],[_Row]])&amp;"")</f>
        <v/>
      </c>
      <c r="K132" s="69" t="str">
        <f aca="false">IF(IFERROR(INDEX(tsk_Name,GanttView[[#This Row],[_Row]])="",TRUE()),"",INDEX(tsk_Status,GanttView[[#This Row],[_Row]]))</f>
        <v/>
      </c>
      <c r="L132" s="70" t="n">
        <f aca="false">ROW()-ROW(GanttView[[#Headers],[ID]])</f>
        <v>127</v>
      </c>
      <c r="M132" s="71" t="b">
        <f aca="false">IF(IFERROR(INDEX(tsk_Name,GanttView[[#This Row],[_Row]])="",TRUE()),FALSE(),INDEX(tsk_IsSummary,GanttView[[#This Row],[_Row]]))</f>
        <v>0</v>
      </c>
      <c r="N132" s="71" t="b">
        <f aca="false">IF(IFERROR(INDEX(tsk_Name,GanttView[[#This Row],[_Row]])="",TRUE()),FALSE(),AND(INDEX(tsk_IsLeaf,GanttView[[#This Row],[_Row]])=1,N(INDEX(tsk_Duration,GanttView[[#This Row],[_Row]]))=0))</f>
        <v>0</v>
      </c>
      <c r="O13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2" s="72" t="n">
        <f aca="false">IF(GanttView[[#This Row],[_RemFrom]]=0,0,GanttView[[#This Row],[Forecast Finish]])</f>
        <v>0</v>
      </c>
      <c r="S132" s="71" t="b">
        <f aca="false">IF(IFERROR(INDEX(tsk_Name,GanttView[[#This Row],[_Row]])="",TRUE()),FALSE(),N(INDEX(tsk_Variance,GanttView[[#This Row],[_Row]]))&gt;0)</f>
        <v>0</v>
      </c>
      <c r="T132" s="72" t="n">
        <f aca="false">IF(IFERROR(INDEX(tsk_Name,GanttView[[#This Row],[_Row]])="",TRUE()),0,N(INDEX(tsk_Deadline,GanttView[[#This Row],[_Row]])))</f>
        <v>0</v>
      </c>
    </row>
    <row r="133" customFormat="false" ht="15" hidden="false" customHeight="false" outlineLevel="0" collapsed="false">
      <c r="A133" s="65" t="str">
        <f aca="false">IF(IFERROR(INDEX(tsk_Name,GanttView[[#This Row],[_Row]])="",TRUE()),"",INDEX(tsk_ID,GanttView[[#This Row],[_Row]]))</f>
        <v/>
      </c>
      <c r="B133" s="65" t="str">
        <f aca="false">IF(IFERROR(INDEX(tsk_Name,GanttView[[#This Row],[_Row]])="",TRUE()),"",INDEX(tsk_WBS,GanttView[[#This Row],[_Row]]))</f>
        <v/>
      </c>
      <c r="C133" s="66" t="str">
        <f aca="false">IF(IFERROR(INDEX(tsk_Name,GanttView[[#This Row],[_Row]])="",TRUE()),"",REPT("    ",INDEX(tsk_Level,GanttView[[#This Row],[_Row]])-1)&amp;INDEX(tsk_Name,GanttView[[#This Row],[_Row]]))</f>
        <v/>
      </c>
      <c r="D13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3" s="67" t="str">
        <f aca="false">IF(IFERROR(INDEX(tsk_Name,GanttView[[#This Row],[_Row]])="",TRUE()),"",INDEX(tsk_PlanStart,GanttView[[#This Row],[_Row]]))</f>
        <v/>
      </c>
      <c r="F133" s="67" t="str">
        <f aca="false">IF(IFERROR(INDEX(tsk_Name,GanttView[[#This Row],[_Row]])="",TRUE()),"",INDEX(tsk_PlanFinish,GanttView[[#This Row],[_Row]]))</f>
        <v/>
      </c>
      <c r="G133" s="67" t="str">
        <f aca="false">IF(IFERROR(INDEX(tsk_Name,GanttView[[#This Row],[_Row]])="",TRUE()),"",INDEX(tsk_FcStart,GanttView[[#This Row],[_Row]]))</f>
        <v/>
      </c>
      <c r="H133" s="67" t="str">
        <f aca="false">IF(IFERROR(INDEX(tsk_Name,GanttView[[#This Row],[_Row]])="",TRUE()),"",INDEX(tsk_FcFinish,GanttView[[#This Row],[_Row]]))</f>
        <v/>
      </c>
      <c r="I133" s="68" t="str">
        <f aca="false">IF(IFERROR(INDEX(tsk_Name,GanttView[[#This Row],[_Row]])="",TRUE()),"",INDEX(tsk_Progress,GanttView[[#This Row],[_Row]]))</f>
        <v/>
      </c>
      <c r="J133" s="66" t="str">
        <f aca="false">IF(IFERROR(INDEX(tsk_Name,GanttView[[#This Row],[_Row]])="",TRUE()),"",INDEX(tsk_Resource,GanttView[[#This Row],[_Row]])&amp;"")</f>
        <v/>
      </c>
      <c r="K133" s="69" t="str">
        <f aca="false">IF(IFERROR(INDEX(tsk_Name,GanttView[[#This Row],[_Row]])="",TRUE()),"",INDEX(tsk_Status,GanttView[[#This Row],[_Row]]))</f>
        <v/>
      </c>
      <c r="L133" s="70" t="n">
        <f aca="false">ROW()-ROW(GanttView[[#Headers],[ID]])</f>
        <v>128</v>
      </c>
      <c r="M133" s="71" t="b">
        <f aca="false">IF(IFERROR(INDEX(tsk_Name,GanttView[[#This Row],[_Row]])="",TRUE()),FALSE(),INDEX(tsk_IsSummary,GanttView[[#This Row],[_Row]]))</f>
        <v>0</v>
      </c>
      <c r="N133" s="71" t="b">
        <f aca="false">IF(IFERROR(INDEX(tsk_Name,GanttView[[#This Row],[_Row]])="",TRUE()),FALSE(),AND(INDEX(tsk_IsLeaf,GanttView[[#This Row],[_Row]])=1,N(INDEX(tsk_Duration,GanttView[[#This Row],[_Row]]))=0))</f>
        <v>0</v>
      </c>
      <c r="O13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3" s="72" t="n">
        <f aca="false">IF(GanttView[[#This Row],[_RemFrom]]=0,0,GanttView[[#This Row],[Forecast Finish]])</f>
        <v>0</v>
      </c>
      <c r="S133" s="71" t="b">
        <f aca="false">IF(IFERROR(INDEX(tsk_Name,GanttView[[#This Row],[_Row]])="",TRUE()),FALSE(),N(INDEX(tsk_Variance,GanttView[[#This Row],[_Row]]))&gt;0)</f>
        <v>0</v>
      </c>
      <c r="T133" s="72" t="n">
        <f aca="false">IF(IFERROR(INDEX(tsk_Name,GanttView[[#This Row],[_Row]])="",TRUE()),0,N(INDEX(tsk_Deadline,GanttView[[#This Row],[_Row]])))</f>
        <v>0</v>
      </c>
    </row>
    <row r="134" customFormat="false" ht="15" hidden="false" customHeight="false" outlineLevel="0" collapsed="false">
      <c r="A134" s="65" t="str">
        <f aca="false">IF(IFERROR(INDEX(tsk_Name,GanttView[[#This Row],[_Row]])="",TRUE()),"",INDEX(tsk_ID,GanttView[[#This Row],[_Row]]))</f>
        <v/>
      </c>
      <c r="B134" s="65" t="str">
        <f aca="false">IF(IFERROR(INDEX(tsk_Name,GanttView[[#This Row],[_Row]])="",TRUE()),"",INDEX(tsk_WBS,GanttView[[#This Row],[_Row]]))</f>
        <v/>
      </c>
      <c r="C134" s="66" t="str">
        <f aca="false">IF(IFERROR(INDEX(tsk_Name,GanttView[[#This Row],[_Row]])="",TRUE()),"",REPT("    ",INDEX(tsk_Level,GanttView[[#This Row],[_Row]])-1)&amp;INDEX(tsk_Name,GanttView[[#This Row],[_Row]]))</f>
        <v/>
      </c>
      <c r="D13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4" s="67" t="str">
        <f aca="false">IF(IFERROR(INDEX(tsk_Name,GanttView[[#This Row],[_Row]])="",TRUE()),"",INDEX(tsk_PlanStart,GanttView[[#This Row],[_Row]]))</f>
        <v/>
      </c>
      <c r="F134" s="67" t="str">
        <f aca="false">IF(IFERROR(INDEX(tsk_Name,GanttView[[#This Row],[_Row]])="",TRUE()),"",INDEX(tsk_PlanFinish,GanttView[[#This Row],[_Row]]))</f>
        <v/>
      </c>
      <c r="G134" s="67" t="str">
        <f aca="false">IF(IFERROR(INDEX(tsk_Name,GanttView[[#This Row],[_Row]])="",TRUE()),"",INDEX(tsk_FcStart,GanttView[[#This Row],[_Row]]))</f>
        <v/>
      </c>
      <c r="H134" s="67" t="str">
        <f aca="false">IF(IFERROR(INDEX(tsk_Name,GanttView[[#This Row],[_Row]])="",TRUE()),"",INDEX(tsk_FcFinish,GanttView[[#This Row],[_Row]]))</f>
        <v/>
      </c>
      <c r="I134" s="68" t="str">
        <f aca="false">IF(IFERROR(INDEX(tsk_Name,GanttView[[#This Row],[_Row]])="",TRUE()),"",INDEX(tsk_Progress,GanttView[[#This Row],[_Row]]))</f>
        <v/>
      </c>
      <c r="J134" s="66" t="str">
        <f aca="false">IF(IFERROR(INDEX(tsk_Name,GanttView[[#This Row],[_Row]])="",TRUE()),"",INDEX(tsk_Resource,GanttView[[#This Row],[_Row]])&amp;"")</f>
        <v/>
      </c>
      <c r="K134" s="69" t="str">
        <f aca="false">IF(IFERROR(INDEX(tsk_Name,GanttView[[#This Row],[_Row]])="",TRUE()),"",INDEX(tsk_Status,GanttView[[#This Row],[_Row]]))</f>
        <v/>
      </c>
      <c r="L134" s="70" t="n">
        <f aca="false">ROW()-ROW(GanttView[[#Headers],[ID]])</f>
        <v>129</v>
      </c>
      <c r="M134" s="71" t="b">
        <f aca="false">IF(IFERROR(INDEX(tsk_Name,GanttView[[#This Row],[_Row]])="",TRUE()),FALSE(),INDEX(tsk_IsSummary,GanttView[[#This Row],[_Row]]))</f>
        <v>0</v>
      </c>
      <c r="N134" s="71" t="b">
        <f aca="false">IF(IFERROR(INDEX(tsk_Name,GanttView[[#This Row],[_Row]])="",TRUE()),FALSE(),AND(INDEX(tsk_IsLeaf,GanttView[[#This Row],[_Row]])=1,N(INDEX(tsk_Duration,GanttView[[#This Row],[_Row]]))=0))</f>
        <v>0</v>
      </c>
      <c r="O13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4" s="72" t="n">
        <f aca="false">IF(GanttView[[#This Row],[_RemFrom]]=0,0,GanttView[[#This Row],[Forecast Finish]])</f>
        <v>0</v>
      </c>
      <c r="S134" s="71" t="b">
        <f aca="false">IF(IFERROR(INDEX(tsk_Name,GanttView[[#This Row],[_Row]])="",TRUE()),FALSE(),N(INDEX(tsk_Variance,GanttView[[#This Row],[_Row]]))&gt;0)</f>
        <v>0</v>
      </c>
      <c r="T134" s="72" t="n">
        <f aca="false">IF(IFERROR(INDEX(tsk_Name,GanttView[[#This Row],[_Row]])="",TRUE()),0,N(INDEX(tsk_Deadline,GanttView[[#This Row],[_Row]])))</f>
        <v>0</v>
      </c>
    </row>
    <row r="135" customFormat="false" ht="15" hidden="false" customHeight="false" outlineLevel="0" collapsed="false">
      <c r="A135" s="65" t="str">
        <f aca="false">IF(IFERROR(INDEX(tsk_Name,GanttView[[#This Row],[_Row]])="",TRUE()),"",INDEX(tsk_ID,GanttView[[#This Row],[_Row]]))</f>
        <v/>
      </c>
      <c r="B135" s="65" t="str">
        <f aca="false">IF(IFERROR(INDEX(tsk_Name,GanttView[[#This Row],[_Row]])="",TRUE()),"",INDEX(tsk_WBS,GanttView[[#This Row],[_Row]]))</f>
        <v/>
      </c>
      <c r="C135" s="66" t="str">
        <f aca="false">IF(IFERROR(INDEX(tsk_Name,GanttView[[#This Row],[_Row]])="",TRUE()),"",REPT("    ",INDEX(tsk_Level,GanttView[[#This Row],[_Row]])-1)&amp;INDEX(tsk_Name,GanttView[[#This Row],[_Row]]))</f>
        <v/>
      </c>
      <c r="D13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5" s="67" t="str">
        <f aca="false">IF(IFERROR(INDEX(tsk_Name,GanttView[[#This Row],[_Row]])="",TRUE()),"",INDEX(tsk_PlanStart,GanttView[[#This Row],[_Row]]))</f>
        <v/>
      </c>
      <c r="F135" s="67" t="str">
        <f aca="false">IF(IFERROR(INDEX(tsk_Name,GanttView[[#This Row],[_Row]])="",TRUE()),"",INDEX(tsk_PlanFinish,GanttView[[#This Row],[_Row]]))</f>
        <v/>
      </c>
      <c r="G135" s="67" t="str">
        <f aca="false">IF(IFERROR(INDEX(tsk_Name,GanttView[[#This Row],[_Row]])="",TRUE()),"",INDEX(tsk_FcStart,GanttView[[#This Row],[_Row]]))</f>
        <v/>
      </c>
      <c r="H135" s="67" t="str">
        <f aca="false">IF(IFERROR(INDEX(tsk_Name,GanttView[[#This Row],[_Row]])="",TRUE()),"",INDEX(tsk_FcFinish,GanttView[[#This Row],[_Row]]))</f>
        <v/>
      </c>
      <c r="I135" s="68" t="str">
        <f aca="false">IF(IFERROR(INDEX(tsk_Name,GanttView[[#This Row],[_Row]])="",TRUE()),"",INDEX(tsk_Progress,GanttView[[#This Row],[_Row]]))</f>
        <v/>
      </c>
      <c r="J135" s="66" t="str">
        <f aca="false">IF(IFERROR(INDEX(tsk_Name,GanttView[[#This Row],[_Row]])="",TRUE()),"",INDEX(tsk_Resource,GanttView[[#This Row],[_Row]])&amp;"")</f>
        <v/>
      </c>
      <c r="K135" s="69" t="str">
        <f aca="false">IF(IFERROR(INDEX(tsk_Name,GanttView[[#This Row],[_Row]])="",TRUE()),"",INDEX(tsk_Status,GanttView[[#This Row],[_Row]]))</f>
        <v/>
      </c>
      <c r="L135" s="70" t="n">
        <f aca="false">ROW()-ROW(GanttView[[#Headers],[ID]])</f>
        <v>130</v>
      </c>
      <c r="M135" s="71" t="b">
        <f aca="false">IF(IFERROR(INDEX(tsk_Name,GanttView[[#This Row],[_Row]])="",TRUE()),FALSE(),INDEX(tsk_IsSummary,GanttView[[#This Row],[_Row]]))</f>
        <v>0</v>
      </c>
      <c r="N135" s="71" t="b">
        <f aca="false">IF(IFERROR(INDEX(tsk_Name,GanttView[[#This Row],[_Row]])="",TRUE()),FALSE(),AND(INDEX(tsk_IsLeaf,GanttView[[#This Row],[_Row]])=1,N(INDEX(tsk_Duration,GanttView[[#This Row],[_Row]]))=0))</f>
        <v>0</v>
      </c>
      <c r="O13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5" s="72" t="n">
        <f aca="false">IF(GanttView[[#This Row],[_RemFrom]]=0,0,GanttView[[#This Row],[Forecast Finish]])</f>
        <v>0</v>
      </c>
      <c r="S135" s="71" t="b">
        <f aca="false">IF(IFERROR(INDEX(tsk_Name,GanttView[[#This Row],[_Row]])="",TRUE()),FALSE(),N(INDEX(tsk_Variance,GanttView[[#This Row],[_Row]]))&gt;0)</f>
        <v>0</v>
      </c>
      <c r="T135" s="72" t="n">
        <f aca="false">IF(IFERROR(INDEX(tsk_Name,GanttView[[#This Row],[_Row]])="",TRUE()),0,N(INDEX(tsk_Deadline,GanttView[[#This Row],[_Row]])))</f>
        <v>0</v>
      </c>
    </row>
    <row r="136" customFormat="false" ht="15" hidden="false" customHeight="false" outlineLevel="0" collapsed="false">
      <c r="A136" s="65" t="str">
        <f aca="false">IF(IFERROR(INDEX(tsk_Name,GanttView[[#This Row],[_Row]])="",TRUE()),"",INDEX(tsk_ID,GanttView[[#This Row],[_Row]]))</f>
        <v/>
      </c>
      <c r="B136" s="65" t="str">
        <f aca="false">IF(IFERROR(INDEX(tsk_Name,GanttView[[#This Row],[_Row]])="",TRUE()),"",INDEX(tsk_WBS,GanttView[[#This Row],[_Row]]))</f>
        <v/>
      </c>
      <c r="C136" s="66" t="str">
        <f aca="false">IF(IFERROR(INDEX(tsk_Name,GanttView[[#This Row],[_Row]])="",TRUE()),"",REPT("    ",INDEX(tsk_Level,GanttView[[#This Row],[_Row]])-1)&amp;INDEX(tsk_Name,GanttView[[#This Row],[_Row]]))</f>
        <v/>
      </c>
      <c r="D13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6" s="67" t="str">
        <f aca="false">IF(IFERROR(INDEX(tsk_Name,GanttView[[#This Row],[_Row]])="",TRUE()),"",INDEX(tsk_PlanStart,GanttView[[#This Row],[_Row]]))</f>
        <v/>
      </c>
      <c r="F136" s="67" t="str">
        <f aca="false">IF(IFERROR(INDEX(tsk_Name,GanttView[[#This Row],[_Row]])="",TRUE()),"",INDEX(tsk_PlanFinish,GanttView[[#This Row],[_Row]]))</f>
        <v/>
      </c>
      <c r="G136" s="67" t="str">
        <f aca="false">IF(IFERROR(INDEX(tsk_Name,GanttView[[#This Row],[_Row]])="",TRUE()),"",INDEX(tsk_FcStart,GanttView[[#This Row],[_Row]]))</f>
        <v/>
      </c>
      <c r="H136" s="67" t="str">
        <f aca="false">IF(IFERROR(INDEX(tsk_Name,GanttView[[#This Row],[_Row]])="",TRUE()),"",INDEX(tsk_FcFinish,GanttView[[#This Row],[_Row]]))</f>
        <v/>
      </c>
      <c r="I136" s="68" t="str">
        <f aca="false">IF(IFERROR(INDEX(tsk_Name,GanttView[[#This Row],[_Row]])="",TRUE()),"",INDEX(tsk_Progress,GanttView[[#This Row],[_Row]]))</f>
        <v/>
      </c>
      <c r="J136" s="66" t="str">
        <f aca="false">IF(IFERROR(INDEX(tsk_Name,GanttView[[#This Row],[_Row]])="",TRUE()),"",INDEX(tsk_Resource,GanttView[[#This Row],[_Row]])&amp;"")</f>
        <v/>
      </c>
      <c r="K136" s="69" t="str">
        <f aca="false">IF(IFERROR(INDEX(tsk_Name,GanttView[[#This Row],[_Row]])="",TRUE()),"",INDEX(tsk_Status,GanttView[[#This Row],[_Row]]))</f>
        <v/>
      </c>
      <c r="L136" s="70" t="n">
        <f aca="false">ROW()-ROW(GanttView[[#Headers],[ID]])</f>
        <v>131</v>
      </c>
      <c r="M136" s="71" t="b">
        <f aca="false">IF(IFERROR(INDEX(tsk_Name,GanttView[[#This Row],[_Row]])="",TRUE()),FALSE(),INDEX(tsk_IsSummary,GanttView[[#This Row],[_Row]]))</f>
        <v>0</v>
      </c>
      <c r="N136" s="71" t="b">
        <f aca="false">IF(IFERROR(INDEX(tsk_Name,GanttView[[#This Row],[_Row]])="",TRUE()),FALSE(),AND(INDEX(tsk_IsLeaf,GanttView[[#This Row],[_Row]])=1,N(INDEX(tsk_Duration,GanttView[[#This Row],[_Row]]))=0))</f>
        <v>0</v>
      </c>
      <c r="O13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6" s="72" t="n">
        <f aca="false">IF(GanttView[[#This Row],[_RemFrom]]=0,0,GanttView[[#This Row],[Forecast Finish]])</f>
        <v>0</v>
      </c>
      <c r="S136" s="71" t="b">
        <f aca="false">IF(IFERROR(INDEX(tsk_Name,GanttView[[#This Row],[_Row]])="",TRUE()),FALSE(),N(INDEX(tsk_Variance,GanttView[[#This Row],[_Row]]))&gt;0)</f>
        <v>0</v>
      </c>
      <c r="T136" s="72" t="n">
        <f aca="false">IF(IFERROR(INDEX(tsk_Name,GanttView[[#This Row],[_Row]])="",TRUE()),0,N(INDEX(tsk_Deadline,GanttView[[#This Row],[_Row]])))</f>
        <v>0</v>
      </c>
    </row>
    <row r="137" customFormat="false" ht="15" hidden="false" customHeight="false" outlineLevel="0" collapsed="false">
      <c r="A137" s="65" t="str">
        <f aca="false">IF(IFERROR(INDEX(tsk_Name,GanttView[[#This Row],[_Row]])="",TRUE()),"",INDEX(tsk_ID,GanttView[[#This Row],[_Row]]))</f>
        <v/>
      </c>
      <c r="B137" s="65" t="str">
        <f aca="false">IF(IFERROR(INDEX(tsk_Name,GanttView[[#This Row],[_Row]])="",TRUE()),"",INDEX(tsk_WBS,GanttView[[#This Row],[_Row]]))</f>
        <v/>
      </c>
      <c r="C137" s="66" t="str">
        <f aca="false">IF(IFERROR(INDEX(tsk_Name,GanttView[[#This Row],[_Row]])="",TRUE()),"",REPT("    ",INDEX(tsk_Level,GanttView[[#This Row],[_Row]])-1)&amp;INDEX(tsk_Name,GanttView[[#This Row],[_Row]]))</f>
        <v/>
      </c>
      <c r="D13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7" s="67" t="str">
        <f aca="false">IF(IFERROR(INDEX(tsk_Name,GanttView[[#This Row],[_Row]])="",TRUE()),"",INDEX(tsk_PlanStart,GanttView[[#This Row],[_Row]]))</f>
        <v/>
      </c>
      <c r="F137" s="67" t="str">
        <f aca="false">IF(IFERROR(INDEX(tsk_Name,GanttView[[#This Row],[_Row]])="",TRUE()),"",INDEX(tsk_PlanFinish,GanttView[[#This Row],[_Row]]))</f>
        <v/>
      </c>
      <c r="G137" s="67" t="str">
        <f aca="false">IF(IFERROR(INDEX(tsk_Name,GanttView[[#This Row],[_Row]])="",TRUE()),"",INDEX(tsk_FcStart,GanttView[[#This Row],[_Row]]))</f>
        <v/>
      </c>
      <c r="H137" s="67" t="str">
        <f aca="false">IF(IFERROR(INDEX(tsk_Name,GanttView[[#This Row],[_Row]])="",TRUE()),"",INDEX(tsk_FcFinish,GanttView[[#This Row],[_Row]]))</f>
        <v/>
      </c>
      <c r="I137" s="68" t="str">
        <f aca="false">IF(IFERROR(INDEX(tsk_Name,GanttView[[#This Row],[_Row]])="",TRUE()),"",INDEX(tsk_Progress,GanttView[[#This Row],[_Row]]))</f>
        <v/>
      </c>
      <c r="J137" s="66" t="str">
        <f aca="false">IF(IFERROR(INDEX(tsk_Name,GanttView[[#This Row],[_Row]])="",TRUE()),"",INDEX(tsk_Resource,GanttView[[#This Row],[_Row]])&amp;"")</f>
        <v/>
      </c>
      <c r="K137" s="69" t="str">
        <f aca="false">IF(IFERROR(INDEX(tsk_Name,GanttView[[#This Row],[_Row]])="",TRUE()),"",INDEX(tsk_Status,GanttView[[#This Row],[_Row]]))</f>
        <v/>
      </c>
      <c r="L137" s="70" t="n">
        <f aca="false">ROW()-ROW(GanttView[[#Headers],[ID]])</f>
        <v>132</v>
      </c>
      <c r="M137" s="71" t="b">
        <f aca="false">IF(IFERROR(INDEX(tsk_Name,GanttView[[#This Row],[_Row]])="",TRUE()),FALSE(),INDEX(tsk_IsSummary,GanttView[[#This Row],[_Row]]))</f>
        <v>0</v>
      </c>
      <c r="N137" s="71" t="b">
        <f aca="false">IF(IFERROR(INDEX(tsk_Name,GanttView[[#This Row],[_Row]])="",TRUE()),FALSE(),AND(INDEX(tsk_IsLeaf,GanttView[[#This Row],[_Row]])=1,N(INDEX(tsk_Duration,GanttView[[#This Row],[_Row]]))=0))</f>
        <v>0</v>
      </c>
      <c r="O13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7" s="72" t="n">
        <f aca="false">IF(GanttView[[#This Row],[_RemFrom]]=0,0,GanttView[[#This Row],[Forecast Finish]])</f>
        <v>0</v>
      </c>
      <c r="S137" s="71" t="b">
        <f aca="false">IF(IFERROR(INDEX(tsk_Name,GanttView[[#This Row],[_Row]])="",TRUE()),FALSE(),N(INDEX(tsk_Variance,GanttView[[#This Row],[_Row]]))&gt;0)</f>
        <v>0</v>
      </c>
      <c r="T137" s="72" t="n">
        <f aca="false">IF(IFERROR(INDEX(tsk_Name,GanttView[[#This Row],[_Row]])="",TRUE()),0,N(INDEX(tsk_Deadline,GanttView[[#This Row],[_Row]])))</f>
        <v>0</v>
      </c>
    </row>
    <row r="138" customFormat="false" ht="15" hidden="false" customHeight="false" outlineLevel="0" collapsed="false">
      <c r="A138" s="65" t="str">
        <f aca="false">IF(IFERROR(INDEX(tsk_Name,GanttView[[#This Row],[_Row]])="",TRUE()),"",INDEX(tsk_ID,GanttView[[#This Row],[_Row]]))</f>
        <v/>
      </c>
      <c r="B138" s="65" t="str">
        <f aca="false">IF(IFERROR(INDEX(tsk_Name,GanttView[[#This Row],[_Row]])="",TRUE()),"",INDEX(tsk_WBS,GanttView[[#This Row],[_Row]]))</f>
        <v/>
      </c>
      <c r="C138" s="66" t="str">
        <f aca="false">IF(IFERROR(INDEX(tsk_Name,GanttView[[#This Row],[_Row]])="",TRUE()),"",REPT("    ",INDEX(tsk_Level,GanttView[[#This Row],[_Row]])-1)&amp;INDEX(tsk_Name,GanttView[[#This Row],[_Row]]))</f>
        <v/>
      </c>
      <c r="D13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8" s="67" t="str">
        <f aca="false">IF(IFERROR(INDEX(tsk_Name,GanttView[[#This Row],[_Row]])="",TRUE()),"",INDEX(tsk_PlanStart,GanttView[[#This Row],[_Row]]))</f>
        <v/>
      </c>
      <c r="F138" s="67" t="str">
        <f aca="false">IF(IFERROR(INDEX(tsk_Name,GanttView[[#This Row],[_Row]])="",TRUE()),"",INDEX(tsk_PlanFinish,GanttView[[#This Row],[_Row]]))</f>
        <v/>
      </c>
      <c r="G138" s="67" t="str">
        <f aca="false">IF(IFERROR(INDEX(tsk_Name,GanttView[[#This Row],[_Row]])="",TRUE()),"",INDEX(tsk_FcStart,GanttView[[#This Row],[_Row]]))</f>
        <v/>
      </c>
      <c r="H138" s="67" t="str">
        <f aca="false">IF(IFERROR(INDEX(tsk_Name,GanttView[[#This Row],[_Row]])="",TRUE()),"",INDEX(tsk_FcFinish,GanttView[[#This Row],[_Row]]))</f>
        <v/>
      </c>
      <c r="I138" s="68" t="str">
        <f aca="false">IF(IFERROR(INDEX(tsk_Name,GanttView[[#This Row],[_Row]])="",TRUE()),"",INDEX(tsk_Progress,GanttView[[#This Row],[_Row]]))</f>
        <v/>
      </c>
      <c r="J138" s="66" t="str">
        <f aca="false">IF(IFERROR(INDEX(tsk_Name,GanttView[[#This Row],[_Row]])="",TRUE()),"",INDEX(tsk_Resource,GanttView[[#This Row],[_Row]])&amp;"")</f>
        <v/>
      </c>
      <c r="K138" s="69" t="str">
        <f aca="false">IF(IFERROR(INDEX(tsk_Name,GanttView[[#This Row],[_Row]])="",TRUE()),"",INDEX(tsk_Status,GanttView[[#This Row],[_Row]]))</f>
        <v/>
      </c>
      <c r="L138" s="70" t="n">
        <f aca="false">ROW()-ROW(GanttView[[#Headers],[ID]])</f>
        <v>133</v>
      </c>
      <c r="M138" s="71" t="b">
        <f aca="false">IF(IFERROR(INDEX(tsk_Name,GanttView[[#This Row],[_Row]])="",TRUE()),FALSE(),INDEX(tsk_IsSummary,GanttView[[#This Row],[_Row]]))</f>
        <v>0</v>
      </c>
      <c r="N138" s="71" t="b">
        <f aca="false">IF(IFERROR(INDEX(tsk_Name,GanttView[[#This Row],[_Row]])="",TRUE()),FALSE(),AND(INDEX(tsk_IsLeaf,GanttView[[#This Row],[_Row]])=1,N(INDEX(tsk_Duration,GanttView[[#This Row],[_Row]]))=0))</f>
        <v>0</v>
      </c>
      <c r="O13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8" s="72" t="n">
        <f aca="false">IF(GanttView[[#This Row],[_RemFrom]]=0,0,GanttView[[#This Row],[Forecast Finish]])</f>
        <v>0</v>
      </c>
      <c r="S138" s="71" t="b">
        <f aca="false">IF(IFERROR(INDEX(tsk_Name,GanttView[[#This Row],[_Row]])="",TRUE()),FALSE(),N(INDEX(tsk_Variance,GanttView[[#This Row],[_Row]]))&gt;0)</f>
        <v>0</v>
      </c>
      <c r="T138" s="72" t="n">
        <f aca="false">IF(IFERROR(INDEX(tsk_Name,GanttView[[#This Row],[_Row]])="",TRUE()),0,N(INDEX(tsk_Deadline,GanttView[[#This Row],[_Row]])))</f>
        <v>0</v>
      </c>
    </row>
    <row r="139" customFormat="false" ht="15" hidden="false" customHeight="false" outlineLevel="0" collapsed="false">
      <c r="A139" s="65" t="str">
        <f aca="false">IF(IFERROR(INDEX(tsk_Name,GanttView[[#This Row],[_Row]])="",TRUE()),"",INDEX(tsk_ID,GanttView[[#This Row],[_Row]]))</f>
        <v/>
      </c>
      <c r="B139" s="65" t="str">
        <f aca="false">IF(IFERROR(INDEX(tsk_Name,GanttView[[#This Row],[_Row]])="",TRUE()),"",INDEX(tsk_WBS,GanttView[[#This Row],[_Row]]))</f>
        <v/>
      </c>
      <c r="C139" s="66" t="str">
        <f aca="false">IF(IFERROR(INDEX(tsk_Name,GanttView[[#This Row],[_Row]])="",TRUE()),"",REPT("    ",INDEX(tsk_Level,GanttView[[#This Row],[_Row]])-1)&amp;INDEX(tsk_Name,GanttView[[#This Row],[_Row]]))</f>
        <v/>
      </c>
      <c r="D13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9" s="67" t="str">
        <f aca="false">IF(IFERROR(INDEX(tsk_Name,GanttView[[#This Row],[_Row]])="",TRUE()),"",INDEX(tsk_PlanStart,GanttView[[#This Row],[_Row]]))</f>
        <v/>
      </c>
      <c r="F139" s="67" t="str">
        <f aca="false">IF(IFERROR(INDEX(tsk_Name,GanttView[[#This Row],[_Row]])="",TRUE()),"",INDEX(tsk_PlanFinish,GanttView[[#This Row],[_Row]]))</f>
        <v/>
      </c>
      <c r="G139" s="67" t="str">
        <f aca="false">IF(IFERROR(INDEX(tsk_Name,GanttView[[#This Row],[_Row]])="",TRUE()),"",INDEX(tsk_FcStart,GanttView[[#This Row],[_Row]]))</f>
        <v/>
      </c>
      <c r="H139" s="67" t="str">
        <f aca="false">IF(IFERROR(INDEX(tsk_Name,GanttView[[#This Row],[_Row]])="",TRUE()),"",INDEX(tsk_FcFinish,GanttView[[#This Row],[_Row]]))</f>
        <v/>
      </c>
      <c r="I139" s="68" t="str">
        <f aca="false">IF(IFERROR(INDEX(tsk_Name,GanttView[[#This Row],[_Row]])="",TRUE()),"",INDEX(tsk_Progress,GanttView[[#This Row],[_Row]]))</f>
        <v/>
      </c>
      <c r="J139" s="66" t="str">
        <f aca="false">IF(IFERROR(INDEX(tsk_Name,GanttView[[#This Row],[_Row]])="",TRUE()),"",INDEX(tsk_Resource,GanttView[[#This Row],[_Row]])&amp;"")</f>
        <v/>
      </c>
      <c r="K139" s="69" t="str">
        <f aca="false">IF(IFERROR(INDEX(tsk_Name,GanttView[[#This Row],[_Row]])="",TRUE()),"",INDEX(tsk_Status,GanttView[[#This Row],[_Row]]))</f>
        <v/>
      </c>
      <c r="L139" s="70" t="n">
        <f aca="false">ROW()-ROW(GanttView[[#Headers],[ID]])</f>
        <v>134</v>
      </c>
      <c r="M139" s="71" t="b">
        <f aca="false">IF(IFERROR(INDEX(tsk_Name,GanttView[[#This Row],[_Row]])="",TRUE()),FALSE(),INDEX(tsk_IsSummary,GanttView[[#This Row],[_Row]]))</f>
        <v>0</v>
      </c>
      <c r="N139" s="71" t="b">
        <f aca="false">IF(IFERROR(INDEX(tsk_Name,GanttView[[#This Row],[_Row]])="",TRUE()),FALSE(),AND(INDEX(tsk_IsLeaf,GanttView[[#This Row],[_Row]])=1,N(INDEX(tsk_Duration,GanttView[[#This Row],[_Row]]))=0))</f>
        <v>0</v>
      </c>
      <c r="O13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9" s="72" t="n">
        <f aca="false">IF(GanttView[[#This Row],[_RemFrom]]=0,0,GanttView[[#This Row],[Forecast Finish]])</f>
        <v>0</v>
      </c>
      <c r="S139" s="71" t="b">
        <f aca="false">IF(IFERROR(INDEX(tsk_Name,GanttView[[#This Row],[_Row]])="",TRUE()),FALSE(),N(INDEX(tsk_Variance,GanttView[[#This Row],[_Row]]))&gt;0)</f>
        <v>0</v>
      </c>
      <c r="T139" s="72" t="n">
        <f aca="false">IF(IFERROR(INDEX(tsk_Name,GanttView[[#This Row],[_Row]])="",TRUE()),0,N(INDEX(tsk_Deadline,GanttView[[#This Row],[_Row]])))</f>
        <v>0</v>
      </c>
    </row>
    <row r="140" customFormat="false" ht="15" hidden="false" customHeight="false" outlineLevel="0" collapsed="false">
      <c r="A140" s="65" t="str">
        <f aca="false">IF(IFERROR(INDEX(tsk_Name,GanttView[[#This Row],[_Row]])="",TRUE()),"",INDEX(tsk_ID,GanttView[[#This Row],[_Row]]))</f>
        <v/>
      </c>
      <c r="B140" s="65" t="str">
        <f aca="false">IF(IFERROR(INDEX(tsk_Name,GanttView[[#This Row],[_Row]])="",TRUE()),"",INDEX(tsk_WBS,GanttView[[#This Row],[_Row]]))</f>
        <v/>
      </c>
      <c r="C140" s="66" t="str">
        <f aca="false">IF(IFERROR(INDEX(tsk_Name,GanttView[[#This Row],[_Row]])="",TRUE()),"",REPT("    ",INDEX(tsk_Level,GanttView[[#This Row],[_Row]])-1)&amp;INDEX(tsk_Name,GanttView[[#This Row],[_Row]]))</f>
        <v/>
      </c>
      <c r="D14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0" s="67" t="str">
        <f aca="false">IF(IFERROR(INDEX(tsk_Name,GanttView[[#This Row],[_Row]])="",TRUE()),"",INDEX(tsk_PlanStart,GanttView[[#This Row],[_Row]]))</f>
        <v/>
      </c>
      <c r="F140" s="67" t="str">
        <f aca="false">IF(IFERROR(INDEX(tsk_Name,GanttView[[#This Row],[_Row]])="",TRUE()),"",INDEX(tsk_PlanFinish,GanttView[[#This Row],[_Row]]))</f>
        <v/>
      </c>
      <c r="G140" s="67" t="str">
        <f aca="false">IF(IFERROR(INDEX(tsk_Name,GanttView[[#This Row],[_Row]])="",TRUE()),"",INDEX(tsk_FcStart,GanttView[[#This Row],[_Row]]))</f>
        <v/>
      </c>
      <c r="H140" s="67" t="str">
        <f aca="false">IF(IFERROR(INDEX(tsk_Name,GanttView[[#This Row],[_Row]])="",TRUE()),"",INDEX(tsk_FcFinish,GanttView[[#This Row],[_Row]]))</f>
        <v/>
      </c>
      <c r="I140" s="68" t="str">
        <f aca="false">IF(IFERROR(INDEX(tsk_Name,GanttView[[#This Row],[_Row]])="",TRUE()),"",INDEX(tsk_Progress,GanttView[[#This Row],[_Row]]))</f>
        <v/>
      </c>
      <c r="J140" s="66" t="str">
        <f aca="false">IF(IFERROR(INDEX(tsk_Name,GanttView[[#This Row],[_Row]])="",TRUE()),"",INDEX(tsk_Resource,GanttView[[#This Row],[_Row]])&amp;"")</f>
        <v/>
      </c>
      <c r="K140" s="69" t="str">
        <f aca="false">IF(IFERROR(INDEX(tsk_Name,GanttView[[#This Row],[_Row]])="",TRUE()),"",INDEX(tsk_Status,GanttView[[#This Row],[_Row]]))</f>
        <v/>
      </c>
      <c r="L140" s="70" t="n">
        <f aca="false">ROW()-ROW(GanttView[[#Headers],[ID]])</f>
        <v>135</v>
      </c>
      <c r="M140" s="71" t="b">
        <f aca="false">IF(IFERROR(INDEX(tsk_Name,GanttView[[#This Row],[_Row]])="",TRUE()),FALSE(),INDEX(tsk_IsSummary,GanttView[[#This Row],[_Row]]))</f>
        <v>0</v>
      </c>
      <c r="N140" s="71" t="b">
        <f aca="false">IF(IFERROR(INDEX(tsk_Name,GanttView[[#This Row],[_Row]])="",TRUE()),FALSE(),AND(INDEX(tsk_IsLeaf,GanttView[[#This Row],[_Row]])=1,N(INDEX(tsk_Duration,GanttView[[#This Row],[_Row]]))=0))</f>
        <v>0</v>
      </c>
      <c r="O14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0" s="72" t="n">
        <f aca="false">IF(GanttView[[#This Row],[_RemFrom]]=0,0,GanttView[[#This Row],[Forecast Finish]])</f>
        <v>0</v>
      </c>
      <c r="S140" s="71" t="b">
        <f aca="false">IF(IFERROR(INDEX(tsk_Name,GanttView[[#This Row],[_Row]])="",TRUE()),FALSE(),N(INDEX(tsk_Variance,GanttView[[#This Row],[_Row]]))&gt;0)</f>
        <v>0</v>
      </c>
      <c r="T140" s="72" t="n">
        <f aca="false">IF(IFERROR(INDEX(tsk_Name,GanttView[[#This Row],[_Row]])="",TRUE()),0,N(INDEX(tsk_Deadline,GanttView[[#This Row],[_Row]])))</f>
        <v>0</v>
      </c>
    </row>
    <row r="141" customFormat="false" ht="15" hidden="false" customHeight="false" outlineLevel="0" collapsed="false">
      <c r="A141" s="65" t="str">
        <f aca="false">IF(IFERROR(INDEX(tsk_Name,GanttView[[#This Row],[_Row]])="",TRUE()),"",INDEX(tsk_ID,GanttView[[#This Row],[_Row]]))</f>
        <v/>
      </c>
      <c r="B141" s="65" t="str">
        <f aca="false">IF(IFERROR(INDEX(tsk_Name,GanttView[[#This Row],[_Row]])="",TRUE()),"",INDEX(tsk_WBS,GanttView[[#This Row],[_Row]]))</f>
        <v/>
      </c>
      <c r="C141" s="66" t="str">
        <f aca="false">IF(IFERROR(INDEX(tsk_Name,GanttView[[#This Row],[_Row]])="",TRUE()),"",REPT("    ",INDEX(tsk_Level,GanttView[[#This Row],[_Row]])-1)&amp;INDEX(tsk_Name,GanttView[[#This Row],[_Row]]))</f>
        <v/>
      </c>
      <c r="D14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1" s="67" t="str">
        <f aca="false">IF(IFERROR(INDEX(tsk_Name,GanttView[[#This Row],[_Row]])="",TRUE()),"",INDEX(tsk_PlanStart,GanttView[[#This Row],[_Row]]))</f>
        <v/>
      </c>
      <c r="F141" s="67" t="str">
        <f aca="false">IF(IFERROR(INDEX(tsk_Name,GanttView[[#This Row],[_Row]])="",TRUE()),"",INDEX(tsk_PlanFinish,GanttView[[#This Row],[_Row]]))</f>
        <v/>
      </c>
      <c r="G141" s="67" t="str">
        <f aca="false">IF(IFERROR(INDEX(tsk_Name,GanttView[[#This Row],[_Row]])="",TRUE()),"",INDEX(tsk_FcStart,GanttView[[#This Row],[_Row]]))</f>
        <v/>
      </c>
      <c r="H141" s="67" t="str">
        <f aca="false">IF(IFERROR(INDEX(tsk_Name,GanttView[[#This Row],[_Row]])="",TRUE()),"",INDEX(tsk_FcFinish,GanttView[[#This Row],[_Row]]))</f>
        <v/>
      </c>
      <c r="I141" s="68" t="str">
        <f aca="false">IF(IFERROR(INDEX(tsk_Name,GanttView[[#This Row],[_Row]])="",TRUE()),"",INDEX(tsk_Progress,GanttView[[#This Row],[_Row]]))</f>
        <v/>
      </c>
      <c r="J141" s="66" t="str">
        <f aca="false">IF(IFERROR(INDEX(tsk_Name,GanttView[[#This Row],[_Row]])="",TRUE()),"",INDEX(tsk_Resource,GanttView[[#This Row],[_Row]])&amp;"")</f>
        <v/>
      </c>
      <c r="K141" s="69" t="str">
        <f aca="false">IF(IFERROR(INDEX(tsk_Name,GanttView[[#This Row],[_Row]])="",TRUE()),"",INDEX(tsk_Status,GanttView[[#This Row],[_Row]]))</f>
        <v/>
      </c>
      <c r="L141" s="70" t="n">
        <f aca="false">ROW()-ROW(GanttView[[#Headers],[ID]])</f>
        <v>136</v>
      </c>
      <c r="M141" s="71" t="b">
        <f aca="false">IF(IFERROR(INDEX(tsk_Name,GanttView[[#This Row],[_Row]])="",TRUE()),FALSE(),INDEX(tsk_IsSummary,GanttView[[#This Row],[_Row]]))</f>
        <v>0</v>
      </c>
      <c r="N141" s="71" t="b">
        <f aca="false">IF(IFERROR(INDEX(tsk_Name,GanttView[[#This Row],[_Row]])="",TRUE()),FALSE(),AND(INDEX(tsk_IsLeaf,GanttView[[#This Row],[_Row]])=1,N(INDEX(tsk_Duration,GanttView[[#This Row],[_Row]]))=0))</f>
        <v>0</v>
      </c>
      <c r="O14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1" s="72" t="n">
        <f aca="false">IF(GanttView[[#This Row],[_RemFrom]]=0,0,GanttView[[#This Row],[Forecast Finish]])</f>
        <v>0</v>
      </c>
      <c r="S141" s="71" t="b">
        <f aca="false">IF(IFERROR(INDEX(tsk_Name,GanttView[[#This Row],[_Row]])="",TRUE()),FALSE(),N(INDEX(tsk_Variance,GanttView[[#This Row],[_Row]]))&gt;0)</f>
        <v>0</v>
      </c>
      <c r="T141" s="72" t="n">
        <f aca="false">IF(IFERROR(INDEX(tsk_Name,GanttView[[#This Row],[_Row]])="",TRUE()),0,N(INDEX(tsk_Deadline,GanttView[[#This Row],[_Row]])))</f>
        <v>0</v>
      </c>
    </row>
    <row r="142" customFormat="false" ht="15" hidden="false" customHeight="false" outlineLevel="0" collapsed="false">
      <c r="A142" s="65" t="str">
        <f aca="false">IF(IFERROR(INDEX(tsk_Name,GanttView[[#This Row],[_Row]])="",TRUE()),"",INDEX(tsk_ID,GanttView[[#This Row],[_Row]]))</f>
        <v/>
      </c>
      <c r="B142" s="65" t="str">
        <f aca="false">IF(IFERROR(INDEX(tsk_Name,GanttView[[#This Row],[_Row]])="",TRUE()),"",INDEX(tsk_WBS,GanttView[[#This Row],[_Row]]))</f>
        <v/>
      </c>
      <c r="C142" s="66" t="str">
        <f aca="false">IF(IFERROR(INDEX(tsk_Name,GanttView[[#This Row],[_Row]])="",TRUE()),"",REPT("    ",INDEX(tsk_Level,GanttView[[#This Row],[_Row]])-1)&amp;INDEX(tsk_Name,GanttView[[#This Row],[_Row]]))</f>
        <v/>
      </c>
      <c r="D14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2" s="67" t="str">
        <f aca="false">IF(IFERROR(INDEX(tsk_Name,GanttView[[#This Row],[_Row]])="",TRUE()),"",INDEX(tsk_PlanStart,GanttView[[#This Row],[_Row]]))</f>
        <v/>
      </c>
      <c r="F142" s="67" t="str">
        <f aca="false">IF(IFERROR(INDEX(tsk_Name,GanttView[[#This Row],[_Row]])="",TRUE()),"",INDEX(tsk_PlanFinish,GanttView[[#This Row],[_Row]]))</f>
        <v/>
      </c>
      <c r="G142" s="67" t="str">
        <f aca="false">IF(IFERROR(INDEX(tsk_Name,GanttView[[#This Row],[_Row]])="",TRUE()),"",INDEX(tsk_FcStart,GanttView[[#This Row],[_Row]]))</f>
        <v/>
      </c>
      <c r="H142" s="67" t="str">
        <f aca="false">IF(IFERROR(INDEX(tsk_Name,GanttView[[#This Row],[_Row]])="",TRUE()),"",INDEX(tsk_FcFinish,GanttView[[#This Row],[_Row]]))</f>
        <v/>
      </c>
      <c r="I142" s="68" t="str">
        <f aca="false">IF(IFERROR(INDEX(tsk_Name,GanttView[[#This Row],[_Row]])="",TRUE()),"",INDEX(tsk_Progress,GanttView[[#This Row],[_Row]]))</f>
        <v/>
      </c>
      <c r="J142" s="66" t="str">
        <f aca="false">IF(IFERROR(INDEX(tsk_Name,GanttView[[#This Row],[_Row]])="",TRUE()),"",INDEX(tsk_Resource,GanttView[[#This Row],[_Row]])&amp;"")</f>
        <v/>
      </c>
      <c r="K142" s="69" t="str">
        <f aca="false">IF(IFERROR(INDEX(tsk_Name,GanttView[[#This Row],[_Row]])="",TRUE()),"",INDEX(tsk_Status,GanttView[[#This Row],[_Row]]))</f>
        <v/>
      </c>
      <c r="L142" s="70" t="n">
        <f aca="false">ROW()-ROW(GanttView[[#Headers],[ID]])</f>
        <v>137</v>
      </c>
      <c r="M142" s="71" t="b">
        <f aca="false">IF(IFERROR(INDEX(tsk_Name,GanttView[[#This Row],[_Row]])="",TRUE()),FALSE(),INDEX(tsk_IsSummary,GanttView[[#This Row],[_Row]]))</f>
        <v>0</v>
      </c>
      <c r="N142" s="71" t="b">
        <f aca="false">IF(IFERROR(INDEX(tsk_Name,GanttView[[#This Row],[_Row]])="",TRUE()),FALSE(),AND(INDEX(tsk_IsLeaf,GanttView[[#This Row],[_Row]])=1,N(INDEX(tsk_Duration,GanttView[[#This Row],[_Row]]))=0))</f>
        <v>0</v>
      </c>
      <c r="O14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2" s="72" t="n">
        <f aca="false">IF(GanttView[[#This Row],[_RemFrom]]=0,0,GanttView[[#This Row],[Forecast Finish]])</f>
        <v>0</v>
      </c>
      <c r="S142" s="71" t="b">
        <f aca="false">IF(IFERROR(INDEX(tsk_Name,GanttView[[#This Row],[_Row]])="",TRUE()),FALSE(),N(INDEX(tsk_Variance,GanttView[[#This Row],[_Row]]))&gt;0)</f>
        <v>0</v>
      </c>
      <c r="T142" s="72" t="n">
        <f aca="false">IF(IFERROR(INDEX(tsk_Name,GanttView[[#This Row],[_Row]])="",TRUE()),0,N(INDEX(tsk_Deadline,GanttView[[#This Row],[_Row]])))</f>
        <v>0</v>
      </c>
    </row>
    <row r="143" customFormat="false" ht="15" hidden="false" customHeight="false" outlineLevel="0" collapsed="false">
      <c r="A143" s="65" t="str">
        <f aca="false">IF(IFERROR(INDEX(tsk_Name,GanttView[[#This Row],[_Row]])="",TRUE()),"",INDEX(tsk_ID,GanttView[[#This Row],[_Row]]))</f>
        <v/>
      </c>
      <c r="B143" s="65" t="str">
        <f aca="false">IF(IFERROR(INDEX(tsk_Name,GanttView[[#This Row],[_Row]])="",TRUE()),"",INDEX(tsk_WBS,GanttView[[#This Row],[_Row]]))</f>
        <v/>
      </c>
      <c r="C143" s="66" t="str">
        <f aca="false">IF(IFERROR(INDEX(tsk_Name,GanttView[[#This Row],[_Row]])="",TRUE()),"",REPT("    ",INDEX(tsk_Level,GanttView[[#This Row],[_Row]])-1)&amp;INDEX(tsk_Name,GanttView[[#This Row],[_Row]]))</f>
        <v/>
      </c>
      <c r="D14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3" s="67" t="str">
        <f aca="false">IF(IFERROR(INDEX(tsk_Name,GanttView[[#This Row],[_Row]])="",TRUE()),"",INDEX(tsk_PlanStart,GanttView[[#This Row],[_Row]]))</f>
        <v/>
      </c>
      <c r="F143" s="67" t="str">
        <f aca="false">IF(IFERROR(INDEX(tsk_Name,GanttView[[#This Row],[_Row]])="",TRUE()),"",INDEX(tsk_PlanFinish,GanttView[[#This Row],[_Row]]))</f>
        <v/>
      </c>
      <c r="G143" s="67" t="str">
        <f aca="false">IF(IFERROR(INDEX(tsk_Name,GanttView[[#This Row],[_Row]])="",TRUE()),"",INDEX(tsk_FcStart,GanttView[[#This Row],[_Row]]))</f>
        <v/>
      </c>
      <c r="H143" s="67" t="str">
        <f aca="false">IF(IFERROR(INDEX(tsk_Name,GanttView[[#This Row],[_Row]])="",TRUE()),"",INDEX(tsk_FcFinish,GanttView[[#This Row],[_Row]]))</f>
        <v/>
      </c>
      <c r="I143" s="68" t="str">
        <f aca="false">IF(IFERROR(INDEX(tsk_Name,GanttView[[#This Row],[_Row]])="",TRUE()),"",INDEX(tsk_Progress,GanttView[[#This Row],[_Row]]))</f>
        <v/>
      </c>
      <c r="J143" s="66" t="str">
        <f aca="false">IF(IFERROR(INDEX(tsk_Name,GanttView[[#This Row],[_Row]])="",TRUE()),"",INDEX(tsk_Resource,GanttView[[#This Row],[_Row]])&amp;"")</f>
        <v/>
      </c>
      <c r="K143" s="69" t="str">
        <f aca="false">IF(IFERROR(INDEX(tsk_Name,GanttView[[#This Row],[_Row]])="",TRUE()),"",INDEX(tsk_Status,GanttView[[#This Row],[_Row]]))</f>
        <v/>
      </c>
      <c r="L143" s="70" t="n">
        <f aca="false">ROW()-ROW(GanttView[[#Headers],[ID]])</f>
        <v>138</v>
      </c>
      <c r="M143" s="71" t="b">
        <f aca="false">IF(IFERROR(INDEX(tsk_Name,GanttView[[#This Row],[_Row]])="",TRUE()),FALSE(),INDEX(tsk_IsSummary,GanttView[[#This Row],[_Row]]))</f>
        <v>0</v>
      </c>
      <c r="N143" s="71" t="b">
        <f aca="false">IF(IFERROR(INDEX(tsk_Name,GanttView[[#This Row],[_Row]])="",TRUE()),FALSE(),AND(INDEX(tsk_IsLeaf,GanttView[[#This Row],[_Row]])=1,N(INDEX(tsk_Duration,GanttView[[#This Row],[_Row]]))=0))</f>
        <v>0</v>
      </c>
      <c r="O14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3" s="72" t="n">
        <f aca="false">IF(GanttView[[#This Row],[_RemFrom]]=0,0,GanttView[[#This Row],[Forecast Finish]])</f>
        <v>0</v>
      </c>
      <c r="S143" s="71" t="b">
        <f aca="false">IF(IFERROR(INDEX(tsk_Name,GanttView[[#This Row],[_Row]])="",TRUE()),FALSE(),N(INDEX(tsk_Variance,GanttView[[#This Row],[_Row]]))&gt;0)</f>
        <v>0</v>
      </c>
      <c r="T143" s="72" t="n">
        <f aca="false">IF(IFERROR(INDEX(tsk_Name,GanttView[[#This Row],[_Row]])="",TRUE()),0,N(INDEX(tsk_Deadline,GanttView[[#This Row],[_Row]])))</f>
        <v>0</v>
      </c>
    </row>
    <row r="144" customFormat="false" ht="15" hidden="false" customHeight="false" outlineLevel="0" collapsed="false">
      <c r="A144" s="65" t="str">
        <f aca="false">IF(IFERROR(INDEX(tsk_Name,GanttView[[#This Row],[_Row]])="",TRUE()),"",INDEX(tsk_ID,GanttView[[#This Row],[_Row]]))</f>
        <v/>
      </c>
      <c r="B144" s="65" t="str">
        <f aca="false">IF(IFERROR(INDEX(tsk_Name,GanttView[[#This Row],[_Row]])="",TRUE()),"",INDEX(tsk_WBS,GanttView[[#This Row],[_Row]]))</f>
        <v/>
      </c>
      <c r="C144" s="66" t="str">
        <f aca="false">IF(IFERROR(INDEX(tsk_Name,GanttView[[#This Row],[_Row]])="",TRUE()),"",REPT("    ",INDEX(tsk_Level,GanttView[[#This Row],[_Row]])-1)&amp;INDEX(tsk_Name,GanttView[[#This Row],[_Row]]))</f>
        <v/>
      </c>
      <c r="D14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4" s="67" t="str">
        <f aca="false">IF(IFERROR(INDEX(tsk_Name,GanttView[[#This Row],[_Row]])="",TRUE()),"",INDEX(tsk_PlanStart,GanttView[[#This Row],[_Row]]))</f>
        <v/>
      </c>
      <c r="F144" s="67" t="str">
        <f aca="false">IF(IFERROR(INDEX(tsk_Name,GanttView[[#This Row],[_Row]])="",TRUE()),"",INDEX(tsk_PlanFinish,GanttView[[#This Row],[_Row]]))</f>
        <v/>
      </c>
      <c r="G144" s="67" t="str">
        <f aca="false">IF(IFERROR(INDEX(tsk_Name,GanttView[[#This Row],[_Row]])="",TRUE()),"",INDEX(tsk_FcStart,GanttView[[#This Row],[_Row]]))</f>
        <v/>
      </c>
      <c r="H144" s="67" t="str">
        <f aca="false">IF(IFERROR(INDEX(tsk_Name,GanttView[[#This Row],[_Row]])="",TRUE()),"",INDEX(tsk_FcFinish,GanttView[[#This Row],[_Row]]))</f>
        <v/>
      </c>
      <c r="I144" s="68" t="str">
        <f aca="false">IF(IFERROR(INDEX(tsk_Name,GanttView[[#This Row],[_Row]])="",TRUE()),"",INDEX(tsk_Progress,GanttView[[#This Row],[_Row]]))</f>
        <v/>
      </c>
      <c r="J144" s="66" t="str">
        <f aca="false">IF(IFERROR(INDEX(tsk_Name,GanttView[[#This Row],[_Row]])="",TRUE()),"",INDEX(tsk_Resource,GanttView[[#This Row],[_Row]])&amp;"")</f>
        <v/>
      </c>
      <c r="K144" s="69" t="str">
        <f aca="false">IF(IFERROR(INDEX(tsk_Name,GanttView[[#This Row],[_Row]])="",TRUE()),"",INDEX(tsk_Status,GanttView[[#This Row],[_Row]]))</f>
        <v/>
      </c>
      <c r="L144" s="70" t="n">
        <f aca="false">ROW()-ROW(GanttView[[#Headers],[ID]])</f>
        <v>139</v>
      </c>
      <c r="M144" s="71" t="b">
        <f aca="false">IF(IFERROR(INDEX(tsk_Name,GanttView[[#This Row],[_Row]])="",TRUE()),FALSE(),INDEX(tsk_IsSummary,GanttView[[#This Row],[_Row]]))</f>
        <v>0</v>
      </c>
      <c r="N144" s="71" t="b">
        <f aca="false">IF(IFERROR(INDEX(tsk_Name,GanttView[[#This Row],[_Row]])="",TRUE()),FALSE(),AND(INDEX(tsk_IsLeaf,GanttView[[#This Row],[_Row]])=1,N(INDEX(tsk_Duration,GanttView[[#This Row],[_Row]]))=0))</f>
        <v>0</v>
      </c>
      <c r="O14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4" s="72" t="n">
        <f aca="false">IF(GanttView[[#This Row],[_RemFrom]]=0,0,GanttView[[#This Row],[Forecast Finish]])</f>
        <v>0</v>
      </c>
      <c r="S144" s="71" t="b">
        <f aca="false">IF(IFERROR(INDEX(tsk_Name,GanttView[[#This Row],[_Row]])="",TRUE()),FALSE(),N(INDEX(tsk_Variance,GanttView[[#This Row],[_Row]]))&gt;0)</f>
        <v>0</v>
      </c>
      <c r="T144" s="72" t="n">
        <f aca="false">IF(IFERROR(INDEX(tsk_Name,GanttView[[#This Row],[_Row]])="",TRUE()),0,N(INDEX(tsk_Deadline,GanttView[[#This Row],[_Row]])))</f>
        <v>0</v>
      </c>
    </row>
    <row r="145" customFormat="false" ht="15" hidden="false" customHeight="false" outlineLevel="0" collapsed="false">
      <c r="A145" s="65" t="str">
        <f aca="false">IF(IFERROR(INDEX(tsk_Name,GanttView[[#This Row],[_Row]])="",TRUE()),"",INDEX(tsk_ID,GanttView[[#This Row],[_Row]]))</f>
        <v/>
      </c>
      <c r="B145" s="65" t="str">
        <f aca="false">IF(IFERROR(INDEX(tsk_Name,GanttView[[#This Row],[_Row]])="",TRUE()),"",INDEX(tsk_WBS,GanttView[[#This Row],[_Row]]))</f>
        <v/>
      </c>
      <c r="C145" s="66" t="str">
        <f aca="false">IF(IFERROR(INDEX(tsk_Name,GanttView[[#This Row],[_Row]])="",TRUE()),"",REPT("    ",INDEX(tsk_Level,GanttView[[#This Row],[_Row]])-1)&amp;INDEX(tsk_Name,GanttView[[#This Row],[_Row]]))</f>
        <v/>
      </c>
      <c r="D14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5" s="67" t="str">
        <f aca="false">IF(IFERROR(INDEX(tsk_Name,GanttView[[#This Row],[_Row]])="",TRUE()),"",INDEX(tsk_PlanStart,GanttView[[#This Row],[_Row]]))</f>
        <v/>
      </c>
      <c r="F145" s="67" t="str">
        <f aca="false">IF(IFERROR(INDEX(tsk_Name,GanttView[[#This Row],[_Row]])="",TRUE()),"",INDEX(tsk_PlanFinish,GanttView[[#This Row],[_Row]]))</f>
        <v/>
      </c>
      <c r="G145" s="67" t="str">
        <f aca="false">IF(IFERROR(INDEX(tsk_Name,GanttView[[#This Row],[_Row]])="",TRUE()),"",INDEX(tsk_FcStart,GanttView[[#This Row],[_Row]]))</f>
        <v/>
      </c>
      <c r="H145" s="67" t="str">
        <f aca="false">IF(IFERROR(INDEX(tsk_Name,GanttView[[#This Row],[_Row]])="",TRUE()),"",INDEX(tsk_FcFinish,GanttView[[#This Row],[_Row]]))</f>
        <v/>
      </c>
      <c r="I145" s="68" t="str">
        <f aca="false">IF(IFERROR(INDEX(tsk_Name,GanttView[[#This Row],[_Row]])="",TRUE()),"",INDEX(tsk_Progress,GanttView[[#This Row],[_Row]]))</f>
        <v/>
      </c>
      <c r="J145" s="66" t="str">
        <f aca="false">IF(IFERROR(INDEX(tsk_Name,GanttView[[#This Row],[_Row]])="",TRUE()),"",INDEX(tsk_Resource,GanttView[[#This Row],[_Row]])&amp;"")</f>
        <v/>
      </c>
      <c r="K145" s="69" t="str">
        <f aca="false">IF(IFERROR(INDEX(tsk_Name,GanttView[[#This Row],[_Row]])="",TRUE()),"",INDEX(tsk_Status,GanttView[[#This Row],[_Row]]))</f>
        <v/>
      </c>
      <c r="L145" s="70" t="n">
        <f aca="false">ROW()-ROW(GanttView[[#Headers],[ID]])</f>
        <v>140</v>
      </c>
      <c r="M145" s="71" t="b">
        <f aca="false">IF(IFERROR(INDEX(tsk_Name,GanttView[[#This Row],[_Row]])="",TRUE()),FALSE(),INDEX(tsk_IsSummary,GanttView[[#This Row],[_Row]]))</f>
        <v>0</v>
      </c>
      <c r="N145" s="71" t="b">
        <f aca="false">IF(IFERROR(INDEX(tsk_Name,GanttView[[#This Row],[_Row]])="",TRUE()),FALSE(),AND(INDEX(tsk_IsLeaf,GanttView[[#This Row],[_Row]])=1,N(INDEX(tsk_Duration,GanttView[[#This Row],[_Row]]))=0))</f>
        <v>0</v>
      </c>
      <c r="O14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5" s="72" t="n">
        <f aca="false">IF(GanttView[[#This Row],[_RemFrom]]=0,0,GanttView[[#This Row],[Forecast Finish]])</f>
        <v>0</v>
      </c>
      <c r="S145" s="71" t="b">
        <f aca="false">IF(IFERROR(INDEX(tsk_Name,GanttView[[#This Row],[_Row]])="",TRUE()),FALSE(),N(INDEX(tsk_Variance,GanttView[[#This Row],[_Row]]))&gt;0)</f>
        <v>0</v>
      </c>
      <c r="T145" s="72" t="n">
        <f aca="false">IF(IFERROR(INDEX(tsk_Name,GanttView[[#This Row],[_Row]])="",TRUE()),0,N(INDEX(tsk_Deadline,GanttView[[#This Row],[_Row]])))</f>
        <v>0</v>
      </c>
    </row>
    <row r="146" customFormat="false" ht="15" hidden="false" customHeight="false" outlineLevel="0" collapsed="false">
      <c r="A146" s="65" t="str">
        <f aca="false">IF(IFERROR(INDEX(tsk_Name,GanttView[[#This Row],[_Row]])="",TRUE()),"",INDEX(tsk_ID,GanttView[[#This Row],[_Row]]))</f>
        <v/>
      </c>
      <c r="B146" s="65" t="str">
        <f aca="false">IF(IFERROR(INDEX(tsk_Name,GanttView[[#This Row],[_Row]])="",TRUE()),"",INDEX(tsk_WBS,GanttView[[#This Row],[_Row]]))</f>
        <v/>
      </c>
      <c r="C146" s="66" t="str">
        <f aca="false">IF(IFERROR(INDEX(tsk_Name,GanttView[[#This Row],[_Row]])="",TRUE()),"",REPT("    ",INDEX(tsk_Level,GanttView[[#This Row],[_Row]])-1)&amp;INDEX(tsk_Name,GanttView[[#This Row],[_Row]]))</f>
        <v/>
      </c>
      <c r="D14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6" s="67" t="str">
        <f aca="false">IF(IFERROR(INDEX(tsk_Name,GanttView[[#This Row],[_Row]])="",TRUE()),"",INDEX(tsk_PlanStart,GanttView[[#This Row],[_Row]]))</f>
        <v/>
      </c>
      <c r="F146" s="67" t="str">
        <f aca="false">IF(IFERROR(INDEX(tsk_Name,GanttView[[#This Row],[_Row]])="",TRUE()),"",INDEX(tsk_PlanFinish,GanttView[[#This Row],[_Row]]))</f>
        <v/>
      </c>
      <c r="G146" s="67" t="str">
        <f aca="false">IF(IFERROR(INDEX(tsk_Name,GanttView[[#This Row],[_Row]])="",TRUE()),"",INDEX(tsk_FcStart,GanttView[[#This Row],[_Row]]))</f>
        <v/>
      </c>
      <c r="H146" s="67" t="str">
        <f aca="false">IF(IFERROR(INDEX(tsk_Name,GanttView[[#This Row],[_Row]])="",TRUE()),"",INDEX(tsk_FcFinish,GanttView[[#This Row],[_Row]]))</f>
        <v/>
      </c>
      <c r="I146" s="68" t="str">
        <f aca="false">IF(IFERROR(INDEX(tsk_Name,GanttView[[#This Row],[_Row]])="",TRUE()),"",INDEX(tsk_Progress,GanttView[[#This Row],[_Row]]))</f>
        <v/>
      </c>
      <c r="J146" s="66" t="str">
        <f aca="false">IF(IFERROR(INDEX(tsk_Name,GanttView[[#This Row],[_Row]])="",TRUE()),"",INDEX(tsk_Resource,GanttView[[#This Row],[_Row]])&amp;"")</f>
        <v/>
      </c>
      <c r="K146" s="69" t="str">
        <f aca="false">IF(IFERROR(INDEX(tsk_Name,GanttView[[#This Row],[_Row]])="",TRUE()),"",INDEX(tsk_Status,GanttView[[#This Row],[_Row]]))</f>
        <v/>
      </c>
      <c r="L146" s="70" t="n">
        <f aca="false">ROW()-ROW(GanttView[[#Headers],[ID]])</f>
        <v>141</v>
      </c>
      <c r="M146" s="71" t="b">
        <f aca="false">IF(IFERROR(INDEX(tsk_Name,GanttView[[#This Row],[_Row]])="",TRUE()),FALSE(),INDEX(tsk_IsSummary,GanttView[[#This Row],[_Row]]))</f>
        <v>0</v>
      </c>
      <c r="N146" s="71" t="b">
        <f aca="false">IF(IFERROR(INDEX(tsk_Name,GanttView[[#This Row],[_Row]])="",TRUE()),FALSE(),AND(INDEX(tsk_IsLeaf,GanttView[[#This Row],[_Row]])=1,N(INDEX(tsk_Duration,GanttView[[#This Row],[_Row]]))=0))</f>
        <v>0</v>
      </c>
      <c r="O14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6" s="72" t="n">
        <f aca="false">IF(GanttView[[#This Row],[_RemFrom]]=0,0,GanttView[[#This Row],[Forecast Finish]])</f>
        <v>0</v>
      </c>
      <c r="S146" s="71" t="b">
        <f aca="false">IF(IFERROR(INDEX(tsk_Name,GanttView[[#This Row],[_Row]])="",TRUE()),FALSE(),N(INDEX(tsk_Variance,GanttView[[#This Row],[_Row]]))&gt;0)</f>
        <v>0</v>
      </c>
      <c r="T146" s="72" t="n">
        <f aca="false">IF(IFERROR(INDEX(tsk_Name,GanttView[[#This Row],[_Row]])="",TRUE()),0,N(INDEX(tsk_Deadline,GanttView[[#This Row],[_Row]])))</f>
        <v>0</v>
      </c>
    </row>
    <row r="147" customFormat="false" ht="15" hidden="false" customHeight="false" outlineLevel="0" collapsed="false">
      <c r="A147" s="65" t="str">
        <f aca="false">IF(IFERROR(INDEX(tsk_Name,GanttView[[#This Row],[_Row]])="",TRUE()),"",INDEX(tsk_ID,GanttView[[#This Row],[_Row]]))</f>
        <v/>
      </c>
      <c r="B147" s="65" t="str">
        <f aca="false">IF(IFERROR(INDEX(tsk_Name,GanttView[[#This Row],[_Row]])="",TRUE()),"",INDEX(tsk_WBS,GanttView[[#This Row],[_Row]]))</f>
        <v/>
      </c>
      <c r="C147" s="66" t="str">
        <f aca="false">IF(IFERROR(INDEX(tsk_Name,GanttView[[#This Row],[_Row]])="",TRUE()),"",REPT("    ",INDEX(tsk_Level,GanttView[[#This Row],[_Row]])-1)&amp;INDEX(tsk_Name,GanttView[[#This Row],[_Row]]))</f>
        <v/>
      </c>
      <c r="D14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7" s="67" t="str">
        <f aca="false">IF(IFERROR(INDEX(tsk_Name,GanttView[[#This Row],[_Row]])="",TRUE()),"",INDEX(tsk_PlanStart,GanttView[[#This Row],[_Row]]))</f>
        <v/>
      </c>
      <c r="F147" s="67" t="str">
        <f aca="false">IF(IFERROR(INDEX(tsk_Name,GanttView[[#This Row],[_Row]])="",TRUE()),"",INDEX(tsk_PlanFinish,GanttView[[#This Row],[_Row]]))</f>
        <v/>
      </c>
      <c r="G147" s="67" t="str">
        <f aca="false">IF(IFERROR(INDEX(tsk_Name,GanttView[[#This Row],[_Row]])="",TRUE()),"",INDEX(tsk_FcStart,GanttView[[#This Row],[_Row]]))</f>
        <v/>
      </c>
      <c r="H147" s="67" t="str">
        <f aca="false">IF(IFERROR(INDEX(tsk_Name,GanttView[[#This Row],[_Row]])="",TRUE()),"",INDEX(tsk_FcFinish,GanttView[[#This Row],[_Row]]))</f>
        <v/>
      </c>
      <c r="I147" s="68" t="str">
        <f aca="false">IF(IFERROR(INDEX(tsk_Name,GanttView[[#This Row],[_Row]])="",TRUE()),"",INDEX(tsk_Progress,GanttView[[#This Row],[_Row]]))</f>
        <v/>
      </c>
      <c r="J147" s="66" t="str">
        <f aca="false">IF(IFERROR(INDEX(tsk_Name,GanttView[[#This Row],[_Row]])="",TRUE()),"",INDEX(tsk_Resource,GanttView[[#This Row],[_Row]])&amp;"")</f>
        <v/>
      </c>
      <c r="K147" s="69" t="str">
        <f aca="false">IF(IFERROR(INDEX(tsk_Name,GanttView[[#This Row],[_Row]])="",TRUE()),"",INDEX(tsk_Status,GanttView[[#This Row],[_Row]]))</f>
        <v/>
      </c>
      <c r="L147" s="70" t="n">
        <f aca="false">ROW()-ROW(GanttView[[#Headers],[ID]])</f>
        <v>142</v>
      </c>
      <c r="M147" s="71" t="b">
        <f aca="false">IF(IFERROR(INDEX(tsk_Name,GanttView[[#This Row],[_Row]])="",TRUE()),FALSE(),INDEX(tsk_IsSummary,GanttView[[#This Row],[_Row]]))</f>
        <v>0</v>
      </c>
      <c r="N147" s="71" t="b">
        <f aca="false">IF(IFERROR(INDEX(tsk_Name,GanttView[[#This Row],[_Row]])="",TRUE()),FALSE(),AND(INDEX(tsk_IsLeaf,GanttView[[#This Row],[_Row]])=1,N(INDEX(tsk_Duration,GanttView[[#This Row],[_Row]]))=0))</f>
        <v>0</v>
      </c>
      <c r="O14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7" s="72" t="n">
        <f aca="false">IF(GanttView[[#This Row],[_RemFrom]]=0,0,GanttView[[#This Row],[Forecast Finish]])</f>
        <v>0</v>
      </c>
      <c r="S147" s="71" t="b">
        <f aca="false">IF(IFERROR(INDEX(tsk_Name,GanttView[[#This Row],[_Row]])="",TRUE()),FALSE(),N(INDEX(tsk_Variance,GanttView[[#This Row],[_Row]]))&gt;0)</f>
        <v>0</v>
      </c>
      <c r="T147" s="72" t="n">
        <f aca="false">IF(IFERROR(INDEX(tsk_Name,GanttView[[#This Row],[_Row]])="",TRUE()),0,N(INDEX(tsk_Deadline,GanttView[[#This Row],[_Row]])))</f>
        <v>0</v>
      </c>
    </row>
    <row r="148" customFormat="false" ht="15" hidden="false" customHeight="false" outlineLevel="0" collapsed="false">
      <c r="A148" s="65" t="str">
        <f aca="false">IF(IFERROR(INDEX(tsk_Name,GanttView[[#This Row],[_Row]])="",TRUE()),"",INDEX(tsk_ID,GanttView[[#This Row],[_Row]]))</f>
        <v/>
      </c>
      <c r="B148" s="65" t="str">
        <f aca="false">IF(IFERROR(INDEX(tsk_Name,GanttView[[#This Row],[_Row]])="",TRUE()),"",INDEX(tsk_WBS,GanttView[[#This Row],[_Row]]))</f>
        <v/>
      </c>
      <c r="C148" s="66" t="str">
        <f aca="false">IF(IFERROR(INDEX(tsk_Name,GanttView[[#This Row],[_Row]])="",TRUE()),"",REPT("    ",INDEX(tsk_Level,GanttView[[#This Row],[_Row]])-1)&amp;INDEX(tsk_Name,GanttView[[#This Row],[_Row]]))</f>
        <v/>
      </c>
      <c r="D14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8" s="67" t="str">
        <f aca="false">IF(IFERROR(INDEX(tsk_Name,GanttView[[#This Row],[_Row]])="",TRUE()),"",INDEX(tsk_PlanStart,GanttView[[#This Row],[_Row]]))</f>
        <v/>
      </c>
      <c r="F148" s="67" t="str">
        <f aca="false">IF(IFERROR(INDEX(tsk_Name,GanttView[[#This Row],[_Row]])="",TRUE()),"",INDEX(tsk_PlanFinish,GanttView[[#This Row],[_Row]]))</f>
        <v/>
      </c>
      <c r="G148" s="67" t="str">
        <f aca="false">IF(IFERROR(INDEX(tsk_Name,GanttView[[#This Row],[_Row]])="",TRUE()),"",INDEX(tsk_FcStart,GanttView[[#This Row],[_Row]]))</f>
        <v/>
      </c>
      <c r="H148" s="67" t="str">
        <f aca="false">IF(IFERROR(INDEX(tsk_Name,GanttView[[#This Row],[_Row]])="",TRUE()),"",INDEX(tsk_FcFinish,GanttView[[#This Row],[_Row]]))</f>
        <v/>
      </c>
      <c r="I148" s="68" t="str">
        <f aca="false">IF(IFERROR(INDEX(tsk_Name,GanttView[[#This Row],[_Row]])="",TRUE()),"",INDEX(tsk_Progress,GanttView[[#This Row],[_Row]]))</f>
        <v/>
      </c>
      <c r="J148" s="66" t="str">
        <f aca="false">IF(IFERROR(INDEX(tsk_Name,GanttView[[#This Row],[_Row]])="",TRUE()),"",INDEX(tsk_Resource,GanttView[[#This Row],[_Row]])&amp;"")</f>
        <v/>
      </c>
      <c r="K148" s="69" t="str">
        <f aca="false">IF(IFERROR(INDEX(tsk_Name,GanttView[[#This Row],[_Row]])="",TRUE()),"",INDEX(tsk_Status,GanttView[[#This Row],[_Row]]))</f>
        <v/>
      </c>
      <c r="L148" s="70" t="n">
        <f aca="false">ROW()-ROW(GanttView[[#Headers],[ID]])</f>
        <v>143</v>
      </c>
      <c r="M148" s="71" t="b">
        <f aca="false">IF(IFERROR(INDEX(tsk_Name,GanttView[[#This Row],[_Row]])="",TRUE()),FALSE(),INDEX(tsk_IsSummary,GanttView[[#This Row],[_Row]]))</f>
        <v>0</v>
      </c>
      <c r="N148" s="71" t="b">
        <f aca="false">IF(IFERROR(INDEX(tsk_Name,GanttView[[#This Row],[_Row]])="",TRUE()),FALSE(),AND(INDEX(tsk_IsLeaf,GanttView[[#This Row],[_Row]])=1,N(INDEX(tsk_Duration,GanttView[[#This Row],[_Row]]))=0))</f>
        <v>0</v>
      </c>
      <c r="O14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8" s="72" t="n">
        <f aca="false">IF(GanttView[[#This Row],[_RemFrom]]=0,0,GanttView[[#This Row],[Forecast Finish]])</f>
        <v>0</v>
      </c>
      <c r="S148" s="71" t="b">
        <f aca="false">IF(IFERROR(INDEX(tsk_Name,GanttView[[#This Row],[_Row]])="",TRUE()),FALSE(),N(INDEX(tsk_Variance,GanttView[[#This Row],[_Row]]))&gt;0)</f>
        <v>0</v>
      </c>
      <c r="T148" s="72" t="n">
        <f aca="false">IF(IFERROR(INDEX(tsk_Name,GanttView[[#This Row],[_Row]])="",TRUE()),0,N(INDEX(tsk_Deadline,GanttView[[#This Row],[_Row]])))</f>
        <v>0</v>
      </c>
    </row>
    <row r="149" customFormat="false" ht="15" hidden="false" customHeight="false" outlineLevel="0" collapsed="false">
      <c r="A149" s="65" t="str">
        <f aca="false">IF(IFERROR(INDEX(tsk_Name,GanttView[[#This Row],[_Row]])="",TRUE()),"",INDEX(tsk_ID,GanttView[[#This Row],[_Row]]))</f>
        <v/>
      </c>
      <c r="B149" s="65" t="str">
        <f aca="false">IF(IFERROR(INDEX(tsk_Name,GanttView[[#This Row],[_Row]])="",TRUE()),"",INDEX(tsk_WBS,GanttView[[#This Row],[_Row]]))</f>
        <v/>
      </c>
      <c r="C149" s="66" t="str">
        <f aca="false">IF(IFERROR(INDEX(tsk_Name,GanttView[[#This Row],[_Row]])="",TRUE()),"",REPT("    ",INDEX(tsk_Level,GanttView[[#This Row],[_Row]])-1)&amp;INDEX(tsk_Name,GanttView[[#This Row],[_Row]]))</f>
        <v/>
      </c>
      <c r="D14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9" s="67" t="str">
        <f aca="false">IF(IFERROR(INDEX(tsk_Name,GanttView[[#This Row],[_Row]])="",TRUE()),"",INDEX(tsk_PlanStart,GanttView[[#This Row],[_Row]]))</f>
        <v/>
      </c>
      <c r="F149" s="67" t="str">
        <f aca="false">IF(IFERROR(INDEX(tsk_Name,GanttView[[#This Row],[_Row]])="",TRUE()),"",INDEX(tsk_PlanFinish,GanttView[[#This Row],[_Row]]))</f>
        <v/>
      </c>
      <c r="G149" s="67" t="str">
        <f aca="false">IF(IFERROR(INDEX(tsk_Name,GanttView[[#This Row],[_Row]])="",TRUE()),"",INDEX(tsk_FcStart,GanttView[[#This Row],[_Row]]))</f>
        <v/>
      </c>
      <c r="H149" s="67" t="str">
        <f aca="false">IF(IFERROR(INDEX(tsk_Name,GanttView[[#This Row],[_Row]])="",TRUE()),"",INDEX(tsk_FcFinish,GanttView[[#This Row],[_Row]]))</f>
        <v/>
      </c>
      <c r="I149" s="68" t="str">
        <f aca="false">IF(IFERROR(INDEX(tsk_Name,GanttView[[#This Row],[_Row]])="",TRUE()),"",INDEX(tsk_Progress,GanttView[[#This Row],[_Row]]))</f>
        <v/>
      </c>
      <c r="J149" s="66" t="str">
        <f aca="false">IF(IFERROR(INDEX(tsk_Name,GanttView[[#This Row],[_Row]])="",TRUE()),"",INDEX(tsk_Resource,GanttView[[#This Row],[_Row]])&amp;"")</f>
        <v/>
      </c>
      <c r="K149" s="69" t="str">
        <f aca="false">IF(IFERROR(INDEX(tsk_Name,GanttView[[#This Row],[_Row]])="",TRUE()),"",INDEX(tsk_Status,GanttView[[#This Row],[_Row]]))</f>
        <v/>
      </c>
      <c r="L149" s="70" t="n">
        <f aca="false">ROW()-ROW(GanttView[[#Headers],[ID]])</f>
        <v>144</v>
      </c>
      <c r="M149" s="71" t="b">
        <f aca="false">IF(IFERROR(INDEX(tsk_Name,GanttView[[#This Row],[_Row]])="",TRUE()),FALSE(),INDEX(tsk_IsSummary,GanttView[[#This Row],[_Row]]))</f>
        <v>0</v>
      </c>
      <c r="N149" s="71" t="b">
        <f aca="false">IF(IFERROR(INDEX(tsk_Name,GanttView[[#This Row],[_Row]])="",TRUE()),FALSE(),AND(INDEX(tsk_IsLeaf,GanttView[[#This Row],[_Row]])=1,N(INDEX(tsk_Duration,GanttView[[#This Row],[_Row]]))=0))</f>
        <v>0</v>
      </c>
      <c r="O14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9" s="72" t="n">
        <f aca="false">IF(GanttView[[#This Row],[_RemFrom]]=0,0,GanttView[[#This Row],[Forecast Finish]])</f>
        <v>0</v>
      </c>
      <c r="S149" s="71" t="b">
        <f aca="false">IF(IFERROR(INDEX(tsk_Name,GanttView[[#This Row],[_Row]])="",TRUE()),FALSE(),N(INDEX(tsk_Variance,GanttView[[#This Row],[_Row]]))&gt;0)</f>
        <v>0</v>
      </c>
      <c r="T149" s="72" t="n">
        <f aca="false">IF(IFERROR(INDEX(tsk_Name,GanttView[[#This Row],[_Row]])="",TRUE()),0,N(INDEX(tsk_Deadline,GanttView[[#This Row],[_Row]])))</f>
        <v>0</v>
      </c>
    </row>
    <row r="150" customFormat="false" ht="15" hidden="false" customHeight="false" outlineLevel="0" collapsed="false">
      <c r="A150" s="65" t="str">
        <f aca="false">IF(IFERROR(INDEX(tsk_Name,GanttView[[#This Row],[_Row]])="",TRUE()),"",INDEX(tsk_ID,GanttView[[#This Row],[_Row]]))</f>
        <v/>
      </c>
      <c r="B150" s="65" t="str">
        <f aca="false">IF(IFERROR(INDEX(tsk_Name,GanttView[[#This Row],[_Row]])="",TRUE()),"",INDEX(tsk_WBS,GanttView[[#This Row],[_Row]]))</f>
        <v/>
      </c>
      <c r="C150" s="66" t="str">
        <f aca="false">IF(IFERROR(INDEX(tsk_Name,GanttView[[#This Row],[_Row]])="",TRUE()),"",REPT("    ",INDEX(tsk_Level,GanttView[[#This Row],[_Row]])-1)&amp;INDEX(tsk_Name,GanttView[[#This Row],[_Row]]))</f>
        <v/>
      </c>
      <c r="D15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0" s="67" t="str">
        <f aca="false">IF(IFERROR(INDEX(tsk_Name,GanttView[[#This Row],[_Row]])="",TRUE()),"",INDEX(tsk_PlanStart,GanttView[[#This Row],[_Row]]))</f>
        <v/>
      </c>
      <c r="F150" s="67" t="str">
        <f aca="false">IF(IFERROR(INDEX(tsk_Name,GanttView[[#This Row],[_Row]])="",TRUE()),"",INDEX(tsk_PlanFinish,GanttView[[#This Row],[_Row]]))</f>
        <v/>
      </c>
      <c r="G150" s="67" t="str">
        <f aca="false">IF(IFERROR(INDEX(tsk_Name,GanttView[[#This Row],[_Row]])="",TRUE()),"",INDEX(tsk_FcStart,GanttView[[#This Row],[_Row]]))</f>
        <v/>
      </c>
      <c r="H150" s="67" t="str">
        <f aca="false">IF(IFERROR(INDEX(tsk_Name,GanttView[[#This Row],[_Row]])="",TRUE()),"",INDEX(tsk_FcFinish,GanttView[[#This Row],[_Row]]))</f>
        <v/>
      </c>
      <c r="I150" s="68" t="str">
        <f aca="false">IF(IFERROR(INDEX(tsk_Name,GanttView[[#This Row],[_Row]])="",TRUE()),"",INDEX(tsk_Progress,GanttView[[#This Row],[_Row]]))</f>
        <v/>
      </c>
      <c r="J150" s="66" t="str">
        <f aca="false">IF(IFERROR(INDEX(tsk_Name,GanttView[[#This Row],[_Row]])="",TRUE()),"",INDEX(tsk_Resource,GanttView[[#This Row],[_Row]])&amp;"")</f>
        <v/>
      </c>
      <c r="K150" s="69" t="str">
        <f aca="false">IF(IFERROR(INDEX(tsk_Name,GanttView[[#This Row],[_Row]])="",TRUE()),"",INDEX(tsk_Status,GanttView[[#This Row],[_Row]]))</f>
        <v/>
      </c>
      <c r="L150" s="70" t="n">
        <f aca="false">ROW()-ROW(GanttView[[#Headers],[ID]])</f>
        <v>145</v>
      </c>
      <c r="M150" s="71" t="b">
        <f aca="false">IF(IFERROR(INDEX(tsk_Name,GanttView[[#This Row],[_Row]])="",TRUE()),FALSE(),INDEX(tsk_IsSummary,GanttView[[#This Row],[_Row]]))</f>
        <v>0</v>
      </c>
      <c r="N150" s="71" t="b">
        <f aca="false">IF(IFERROR(INDEX(tsk_Name,GanttView[[#This Row],[_Row]])="",TRUE()),FALSE(),AND(INDEX(tsk_IsLeaf,GanttView[[#This Row],[_Row]])=1,N(INDEX(tsk_Duration,GanttView[[#This Row],[_Row]]))=0))</f>
        <v>0</v>
      </c>
      <c r="O15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0" s="72" t="n">
        <f aca="false">IF(GanttView[[#This Row],[_RemFrom]]=0,0,GanttView[[#This Row],[Forecast Finish]])</f>
        <v>0</v>
      </c>
      <c r="S150" s="71" t="b">
        <f aca="false">IF(IFERROR(INDEX(tsk_Name,GanttView[[#This Row],[_Row]])="",TRUE()),FALSE(),N(INDEX(tsk_Variance,GanttView[[#This Row],[_Row]]))&gt;0)</f>
        <v>0</v>
      </c>
      <c r="T150" s="72" t="n">
        <f aca="false">IF(IFERROR(INDEX(tsk_Name,GanttView[[#This Row],[_Row]])="",TRUE()),0,N(INDEX(tsk_Deadline,GanttView[[#This Row],[_Row]])))</f>
        <v>0</v>
      </c>
    </row>
    <row r="151" customFormat="false" ht="15" hidden="false" customHeight="false" outlineLevel="0" collapsed="false">
      <c r="A151" s="65" t="str">
        <f aca="false">IF(IFERROR(INDEX(tsk_Name,GanttView[[#This Row],[_Row]])="",TRUE()),"",INDEX(tsk_ID,GanttView[[#This Row],[_Row]]))</f>
        <v/>
      </c>
      <c r="B151" s="65" t="str">
        <f aca="false">IF(IFERROR(INDEX(tsk_Name,GanttView[[#This Row],[_Row]])="",TRUE()),"",INDEX(tsk_WBS,GanttView[[#This Row],[_Row]]))</f>
        <v/>
      </c>
      <c r="C151" s="66" t="str">
        <f aca="false">IF(IFERROR(INDEX(tsk_Name,GanttView[[#This Row],[_Row]])="",TRUE()),"",REPT("    ",INDEX(tsk_Level,GanttView[[#This Row],[_Row]])-1)&amp;INDEX(tsk_Name,GanttView[[#This Row],[_Row]]))</f>
        <v/>
      </c>
      <c r="D15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1" s="67" t="str">
        <f aca="false">IF(IFERROR(INDEX(tsk_Name,GanttView[[#This Row],[_Row]])="",TRUE()),"",INDEX(tsk_PlanStart,GanttView[[#This Row],[_Row]]))</f>
        <v/>
      </c>
      <c r="F151" s="67" t="str">
        <f aca="false">IF(IFERROR(INDEX(tsk_Name,GanttView[[#This Row],[_Row]])="",TRUE()),"",INDEX(tsk_PlanFinish,GanttView[[#This Row],[_Row]]))</f>
        <v/>
      </c>
      <c r="G151" s="67" t="str">
        <f aca="false">IF(IFERROR(INDEX(tsk_Name,GanttView[[#This Row],[_Row]])="",TRUE()),"",INDEX(tsk_FcStart,GanttView[[#This Row],[_Row]]))</f>
        <v/>
      </c>
      <c r="H151" s="67" t="str">
        <f aca="false">IF(IFERROR(INDEX(tsk_Name,GanttView[[#This Row],[_Row]])="",TRUE()),"",INDEX(tsk_FcFinish,GanttView[[#This Row],[_Row]]))</f>
        <v/>
      </c>
      <c r="I151" s="68" t="str">
        <f aca="false">IF(IFERROR(INDEX(tsk_Name,GanttView[[#This Row],[_Row]])="",TRUE()),"",INDEX(tsk_Progress,GanttView[[#This Row],[_Row]]))</f>
        <v/>
      </c>
      <c r="J151" s="66" t="str">
        <f aca="false">IF(IFERROR(INDEX(tsk_Name,GanttView[[#This Row],[_Row]])="",TRUE()),"",INDEX(tsk_Resource,GanttView[[#This Row],[_Row]])&amp;"")</f>
        <v/>
      </c>
      <c r="K151" s="69" t="str">
        <f aca="false">IF(IFERROR(INDEX(tsk_Name,GanttView[[#This Row],[_Row]])="",TRUE()),"",INDEX(tsk_Status,GanttView[[#This Row],[_Row]]))</f>
        <v/>
      </c>
      <c r="L151" s="70" t="n">
        <f aca="false">ROW()-ROW(GanttView[[#Headers],[ID]])</f>
        <v>146</v>
      </c>
      <c r="M151" s="71" t="b">
        <f aca="false">IF(IFERROR(INDEX(tsk_Name,GanttView[[#This Row],[_Row]])="",TRUE()),FALSE(),INDEX(tsk_IsSummary,GanttView[[#This Row],[_Row]]))</f>
        <v>0</v>
      </c>
      <c r="N151" s="71" t="b">
        <f aca="false">IF(IFERROR(INDEX(tsk_Name,GanttView[[#This Row],[_Row]])="",TRUE()),FALSE(),AND(INDEX(tsk_IsLeaf,GanttView[[#This Row],[_Row]])=1,N(INDEX(tsk_Duration,GanttView[[#This Row],[_Row]]))=0))</f>
        <v>0</v>
      </c>
      <c r="O15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1" s="72" t="n">
        <f aca="false">IF(GanttView[[#This Row],[_RemFrom]]=0,0,GanttView[[#This Row],[Forecast Finish]])</f>
        <v>0</v>
      </c>
      <c r="S151" s="71" t="b">
        <f aca="false">IF(IFERROR(INDEX(tsk_Name,GanttView[[#This Row],[_Row]])="",TRUE()),FALSE(),N(INDEX(tsk_Variance,GanttView[[#This Row],[_Row]]))&gt;0)</f>
        <v>0</v>
      </c>
      <c r="T151" s="72" t="n">
        <f aca="false">IF(IFERROR(INDEX(tsk_Name,GanttView[[#This Row],[_Row]])="",TRUE()),0,N(INDEX(tsk_Deadline,GanttView[[#This Row],[_Row]])))</f>
        <v>0</v>
      </c>
    </row>
    <row r="152" customFormat="false" ht="15" hidden="false" customHeight="false" outlineLevel="0" collapsed="false">
      <c r="A152" s="65" t="str">
        <f aca="false">IF(IFERROR(INDEX(tsk_Name,GanttView[[#This Row],[_Row]])="",TRUE()),"",INDEX(tsk_ID,GanttView[[#This Row],[_Row]]))</f>
        <v/>
      </c>
      <c r="B152" s="65" t="str">
        <f aca="false">IF(IFERROR(INDEX(tsk_Name,GanttView[[#This Row],[_Row]])="",TRUE()),"",INDEX(tsk_WBS,GanttView[[#This Row],[_Row]]))</f>
        <v/>
      </c>
      <c r="C152" s="66" t="str">
        <f aca="false">IF(IFERROR(INDEX(tsk_Name,GanttView[[#This Row],[_Row]])="",TRUE()),"",REPT("    ",INDEX(tsk_Level,GanttView[[#This Row],[_Row]])-1)&amp;INDEX(tsk_Name,GanttView[[#This Row],[_Row]]))</f>
        <v/>
      </c>
      <c r="D15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2" s="67" t="str">
        <f aca="false">IF(IFERROR(INDEX(tsk_Name,GanttView[[#This Row],[_Row]])="",TRUE()),"",INDEX(tsk_PlanStart,GanttView[[#This Row],[_Row]]))</f>
        <v/>
      </c>
      <c r="F152" s="67" t="str">
        <f aca="false">IF(IFERROR(INDEX(tsk_Name,GanttView[[#This Row],[_Row]])="",TRUE()),"",INDEX(tsk_PlanFinish,GanttView[[#This Row],[_Row]]))</f>
        <v/>
      </c>
      <c r="G152" s="67" t="str">
        <f aca="false">IF(IFERROR(INDEX(tsk_Name,GanttView[[#This Row],[_Row]])="",TRUE()),"",INDEX(tsk_FcStart,GanttView[[#This Row],[_Row]]))</f>
        <v/>
      </c>
      <c r="H152" s="67" t="str">
        <f aca="false">IF(IFERROR(INDEX(tsk_Name,GanttView[[#This Row],[_Row]])="",TRUE()),"",INDEX(tsk_FcFinish,GanttView[[#This Row],[_Row]]))</f>
        <v/>
      </c>
      <c r="I152" s="68" t="str">
        <f aca="false">IF(IFERROR(INDEX(tsk_Name,GanttView[[#This Row],[_Row]])="",TRUE()),"",INDEX(tsk_Progress,GanttView[[#This Row],[_Row]]))</f>
        <v/>
      </c>
      <c r="J152" s="66" t="str">
        <f aca="false">IF(IFERROR(INDEX(tsk_Name,GanttView[[#This Row],[_Row]])="",TRUE()),"",INDEX(tsk_Resource,GanttView[[#This Row],[_Row]])&amp;"")</f>
        <v/>
      </c>
      <c r="K152" s="69" t="str">
        <f aca="false">IF(IFERROR(INDEX(tsk_Name,GanttView[[#This Row],[_Row]])="",TRUE()),"",INDEX(tsk_Status,GanttView[[#This Row],[_Row]]))</f>
        <v/>
      </c>
      <c r="L152" s="70" t="n">
        <f aca="false">ROW()-ROW(GanttView[[#Headers],[ID]])</f>
        <v>147</v>
      </c>
      <c r="M152" s="71" t="b">
        <f aca="false">IF(IFERROR(INDEX(tsk_Name,GanttView[[#This Row],[_Row]])="",TRUE()),FALSE(),INDEX(tsk_IsSummary,GanttView[[#This Row],[_Row]]))</f>
        <v>0</v>
      </c>
      <c r="N152" s="71" t="b">
        <f aca="false">IF(IFERROR(INDEX(tsk_Name,GanttView[[#This Row],[_Row]])="",TRUE()),FALSE(),AND(INDEX(tsk_IsLeaf,GanttView[[#This Row],[_Row]])=1,N(INDEX(tsk_Duration,GanttView[[#This Row],[_Row]]))=0))</f>
        <v>0</v>
      </c>
      <c r="O15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2" s="72" t="n">
        <f aca="false">IF(GanttView[[#This Row],[_RemFrom]]=0,0,GanttView[[#This Row],[Forecast Finish]])</f>
        <v>0</v>
      </c>
      <c r="S152" s="71" t="b">
        <f aca="false">IF(IFERROR(INDEX(tsk_Name,GanttView[[#This Row],[_Row]])="",TRUE()),FALSE(),N(INDEX(tsk_Variance,GanttView[[#This Row],[_Row]]))&gt;0)</f>
        <v>0</v>
      </c>
      <c r="T152" s="72" t="n">
        <f aca="false">IF(IFERROR(INDEX(tsk_Name,GanttView[[#This Row],[_Row]])="",TRUE()),0,N(INDEX(tsk_Deadline,GanttView[[#This Row],[_Row]])))</f>
        <v>0</v>
      </c>
    </row>
    <row r="153" customFormat="false" ht="15" hidden="false" customHeight="false" outlineLevel="0" collapsed="false">
      <c r="A153" s="65" t="str">
        <f aca="false">IF(IFERROR(INDEX(tsk_Name,GanttView[[#This Row],[_Row]])="",TRUE()),"",INDEX(tsk_ID,GanttView[[#This Row],[_Row]]))</f>
        <v/>
      </c>
      <c r="B153" s="65" t="str">
        <f aca="false">IF(IFERROR(INDEX(tsk_Name,GanttView[[#This Row],[_Row]])="",TRUE()),"",INDEX(tsk_WBS,GanttView[[#This Row],[_Row]]))</f>
        <v/>
      </c>
      <c r="C153" s="66" t="str">
        <f aca="false">IF(IFERROR(INDEX(tsk_Name,GanttView[[#This Row],[_Row]])="",TRUE()),"",REPT("    ",INDEX(tsk_Level,GanttView[[#This Row],[_Row]])-1)&amp;INDEX(tsk_Name,GanttView[[#This Row],[_Row]]))</f>
        <v/>
      </c>
      <c r="D15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3" s="67" t="str">
        <f aca="false">IF(IFERROR(INDEX(tsk_Name,GanttView[[#This Row],[_Row]])="",TRUE()),"",INDEX(tsk_PlanStart,GanttView[[#This Row],[_Row]]))</f>
        <v/>
      </c>
      <c r="F153" s="67" t="str">
        <f aca="false">IF(IFERROR(INDEX(tsk_Name,GanttView[[#This Row],[_Row]])="",TRUE()),"",INDEX(tsk_PlanFinish,GanttView[[#This Row],[_Row]]))</f>
        <v/>
      </c>
      <c r="G153" s="67" t="str">
        <f aca="false">IF(IFERROR(INDEX(tsk_Name,GanttView[[#This Row],[_Row]])="",TRUE()),"",INDEX(tsk_FcStart,GanttView[[#This Row],[_Row]]))</f>
        <v/>
      </c>
      <c r="H153" s="67" t="str">
        <f aca="false">IF(IFERROR(INDEX(tsk_Name,GanttView[[#This Row],[_Row]])="",TRUE()),"",INDEX(tsk_FcFinish,GanttView[[#This Row],[_Row]]))</f>
        <v/>
      </c>
      <c r="I153" s="68" t="str">
        <f aca="false">IF(IFERROR(INDEX(tsk_Name,GanttView[[#This Row],[_Row]])="",TRUE()),"",INDEX(tsk_Progress,GanttView[[#This Row],[_Row]]))</f>
        <v/>
      </c>
      <c r="J153" s="66" t="str">
        <f aca="false">IF(IFERROR(INDEX(tsk_Name,GanttView[[#This Row],[_Row]])="",TRUE()),"",INDEX(tsk_Resource,GanttView[[#This Row],[_Row]])&amp;"")</f>
        <v/>
      </c>
      <c r="K153" s="69" t="str">
        <f aca="false">IF(IFERROR(INDEX(tsk_Name,GanttView[[#This Row],[_Row]])="",TRUE()),"",INDEX(tsk_Status,GanttView[[#This Row],[_Row]]))</f>
        <v/>
      </c>
      <c r="L153" s="70" t="n">
        <f aca="false">ROW()-ROW(GanttView[[#Headers],[ID]])</f>
        <v>148</v>
      </c>
      <c r="M153" s="71" t="b">
        <f aca="false">IF(IFERROR(INDEX(tsk_Name,GanttView[[#This Row],[_Row]])="",TRUE()),FALSE(),INDEX(tsk_IsSummary,GanttView[[#This Row],[_Row]]))</f>
        <v>0</v>
      </c>
      <c r="N153" s="71" t="b">
        <f aca="false">IF(IFERROR(INDEX(tsk_Name,GanttView[[#This Row],[_Row]])="",TRUE()),FALSE(),AND(INDEX(tsk_IsLeaf,GanttView[[#This Row],[_Row]])=1,N(INDEX(tsk_Duration,GanttView[[#This Row],[_Row]]))=0))</f>
        <v>0</v>
      </c>
      <c r="O15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3" s="72" t="n">
        <f aca="false">IF(GanttView[[#This Row],[_RemFrom]]=0,0,GanttView[[#This Row],[Forecast Finish]])</f>
        <v>0</v>
      </c>
      <c r="S153" s="71" t="b">
        <f aca="false">IF(IFERROR(INDEX(tsk_Name,GanttView[[#This Row],[_Row]])="",TRUE()),FALSE(),N(INDEX(tsk_Variance,GanttView[[#This Row],[_Row]]))&gt;0)</f>
        <v>0</v>
      </c>
      <c r="T153" s="72" t="n">
        <f aca="false">IF(IFERROR(INDEX(tsk_Name,GanttView[[#This Row],[_Row]])="",TRUE()),0,N(INDEX(tsk_Deadline,GanttView[[#This Row],[_Row]])))</f>
        <v>0</v>
      </c>
    </row>
    <row r="154" customFormat="false" ht="15" hidden="false" customHeight="false" outlineLevel="0" collapsed="false">
      <c r="A154" s="65" t="str">
        <f aca="false">IF(IFERROR(INDEX(tsk_Name,GanttView[[#This Row],[_Row]])="",TRUE()),"",INDEX(tsk_ID,GanttView[[#This Row],[_Row]]))</f>
        <v/>
      </c>
      <c r="B154" s="65" t="str">
        <f aca="false">IF(IFERROR(INDEX(tsk_Name,GanttView[[#This Row],[_Row]])="",TRUE()),"",INDEX(tsk_WBS,GanttView[[#This Row],[_Row]]))</f>
        <v/>
      </c>
      <c r="C154" s="66" t="str">
        <f aca="false">IF(IFERROR(INDEX(tsk_Name,GanttView[[#This Row],[_Row]])="",TRUE()),"",REPT("    ",INDEX(tsk_Level,GanttView[[#This Row],[_Row]])-1)&amp;INDEX(tsk_Name,GanttView[[#This Row],[_Row]]))</f>
        <v/>
      </c>
      <c r="D15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4" s="67" t="str">
        <f aca="false">IF(IFERROR(INDEX(tsk_Name,GanttView[[#This Row],[_Row]])="",TRUE()),"",INDEX(tsk_PlanStart,GanttView[[#This Row],[_Row]]))</f>
        <v/>
      </c>
      <c r="F154" s="67" t="str">
        <f aca="false">IF(IFERROR(INDEX(tsk_Name,GanttView[[#This Row],[_Row]])="",TRUE()),"",INDEX(tsk_PlanFinish,GanttView[[#This Row],[_Row]]))</f>
        <v/>
      </c>
      <c r="G154" s="67" t="str">
        <f aca="false">IF(IFERROR(INDEX(tsk_Name,GanttView[[#This Row],[_Row]])="",TRUE()),"",INDEX(tsk_FcStart,GanttView[[#This Row],[_Row]]))</f>
        <v/>
      </c>
      <c r="H154" s="67" t="str">
        <f aca="false">IF(IFERROR(INDEX(tsk_Name,GanttView[[#This Row],[_Row]])="",TRUE()),"",INDEX(tsk_FcFinish,GanttView[[#This Row],[_Row]]))</f>
        <v/>
      </c>
      <c r="I154" s="68" t="str">
        <f aca="false">IF(IFERROR(INDEX(tsk_Name,GanttView[[#This Row],[_Row]])="",TRUE()),"",INDEX(tsk_Progress,GanttView[[#This Row],[_Row]]))</f>
        <v/>
      </c>
      <c r="J154" s="66" t="str">
        <f aca="false">IF(IFERROR(INDEX(tsk_Name,GanttView[[#This Row],[_Row]])="",TRUE()),"",INDEX(tsk_Resource,GanttView[[#This Row],[_Row]])&amp;"")</f>
        <v/>
      </c>
      <c r="K154" s="69" t="str">
        <f aca="false">IF(IFERROR(INDEX(tsk_Name,GanttView[[#This Row],[_Row]])="",TRUE()),"",INDEX(tsk_Status,GanttView[[#This Row],[_Row]]))</f>
        <v/>
      </c>
      <c r="L154" s="70" t="n">
        <f aca="false">ROW()-ROW(GanttView[[#Headers],[ID]])</f>
        <v>149</v>
      </c>
      <c r="M154" s="71" t="b">
        <f aca="false">IF(IFERROR(INDEX(tsk_Name,GanttView[[#This Row],[_Row]])="",TRUE()),FALSE(),INDEX(tsk_IsSummary,GanttView[[#This Row],[_Row]]))</f>
        <v>0</v>
      </c>
      <c r="N154" s="71" t="b">
        <f aca="false">IF(IFERROR(INDEX(tsk_Name,GanttView[[#This Row],[_Row]])="",TRUE()),FALSE(),AND(INDEX(tsk_IsLeaf,GanttView[[#This Row],[_Row]])=1,N(INDEX(tsk_Duration,GanttView[[#This Row],[_Row]]))=0))</f>
        <v>0</v>
      </c>
      <c r="O15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4" s="72" t="n">
        <f aca="false">IF(GanttView[[#This Row],[_RemFrom]]=0,0,GanttView[[#This Row],[Forecast Finish]])</f>
        <v>0</v>
      </c>
      <c r="S154" s="71" t="b">
        <f aca="false">IF(IFERROR(INDEX(tsk_Name,GanttView[[#This Row],[_Row]])="",TRUE()),FALSE(),N(INDEX(tsk_Variance,GanttView[[#This Row],[_Row]]))&gt;0)</f>
        <v>0</v>
      </c>
      <c r="T154" s="72" t="n">
        <f aca="false">IF(IFERROR(INDEX(tsk_Name,GanttView[[#This Row],[_Row]])="",TRUE()),0,N(INDEX(tsk_Deadline,GanttView[[#This Row],[_Row]])))</f>
        <v>0</v>
      </c>
    </row>
    <row r="155" customFormat="false" ht="15" hidden="false" customHeight="false" outlineLevel="0" collapsed="false">
      <c r="A155" s="65" t="str">
        <f aca="false">IF(IFERROR(INDEX(tsk_Name,GanttView[[#This Row],[_Row]])="",TRUE()),"",INDEX(tsk_ID,GanttView[[#This Row],[_Row]]))</f>
        <v/>
      </c>
      <c r="B155" s="65" t="str">
        <f aca="false">IF(IFERROR(INDEX(tsk_Name,GanttView[[#This Row],[_Row]])="",TRUE()),"",INDEX(tsk_WBS,GanttView[[#This Row],[_Row]]))</f>
        <v/>
      </c>
      <c r="C155" s="66" t="str">
        <f aca="false">IF(IFERROR(INDEX(tsk_Name,GanttView[[#This Row],[_Row]])="",TRUE()),"",REPT("    ",INDEX(tsk_Level,GanttView[[#This Row],[_Row]])-1)&amp;INDEX(tsk_Name,GanttView[[#This Row],[_Row]]))</f>
        <v/>
      </c>
      <c r="D15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5" s="67" t="str">
        <f aca="false">IF(IFERROR(INDEX(tsk_Name,GanttView[[#This Row],[_Row]])="",TRUE()),"",INDEX(tsk_PlanStart,GanttView[[#This Row],[_Row]]))</f>
        <v/>
      </c>
      <c r="F155" s="67" t="str">
        <f aca="false">IF(IFERROR(INDEX(tsk_Name,GanttView[[#This Row],[_Row]])="",TRUE()),"",INDEX(tsk_PlanFinish,GanttView[[#This Row],[_Row]]))</f>
        <v/>
      </c>
      <c r="G155" s="67" t="str">
        <f aca="false">IF(IFERROR(INDEX(tsk_Name,GanttView[[#This Row],[_Row]])="",TRUE()),"",INDEX(tsk_FcStart,GanttView[[#This Row],[_Row]]))</f>
        <v/>
      </c>
      <c r="H155" s="67" t="str">
        <f aca="false">IF(IFERROR(INDEX(tsk_Name,GanttView[[#This Row],[_Row]])="",TRUE()),"",INDEX(tsk_FcFinish,GanttView[[#This Row],[_Row]]))</f>
        <v/>
      </c>
      <c r="I155" s="68" t="str">
        <f aca="false">IF(IFERROR(INDEX(tsk_Name,GanttView[[#This Row],[_Row]])="",TRUE()),"",INDEX(tsk_Progress,GanttView[[#This Row],[_Row]]))</f>
        <v/>
      </c>
      <c r="J155" s="66" t="str">
        <f aca="false">IF(IFERROR(INDEX(tsk_Name,GanttView[[#This Row],[_Row]])="",TRUE()),"",INDEX(tsk_Resource,GanttView[[#This Row],[_Row]])&amp;"")</f>
        <v/>
      </c>
      <c r="K155" s="69" t="str">
        <f aca="false">IF(IFERROR(INDEX(tsk_Name,GanttView[[#This Row],[_Row]])="",TRUE()),"",INDEX(tsk_Status,GanttView[[#This Row],[_Row]]))</f>
        <v/>
      </c>
      <c r="L155" s="70" t="n">
        <f aca="false">ROW()-ROW(GanttView[[#Headers],[ID]])</f>
        <v>150</v>
      </c>
      <c r="M155" s="71" t="b">
        <f aca="false">IF(IFERROR(INDEX(tsk_Name,GanttView[[#This Row],[_Row]])="",TRUE()),FALSE(),INDEX(tsk_IsSummary,GanttView[[#This Row],[_Row]]))</f>
        <v>0</v>
      </c>
      <c r="N155" s="71" t="b">
        <f aca="false">IF(IFERROR(INDEX(tsk_Name,GanttView[[#This Row],[_Row]])="",TRUE()),FALSE(),AND(INDEX(tsk_IsLeaf,GanttView[[#This Row],[_Row]])=1,N(INDEX(tsk_Duration,GanttView[[#This Row],[_Row]]))=0))</f>
        <v>0</v>
      </c>
      <c r="O15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5" s="72" t="n">
        <f aca="false">IF(GanttView[[#This Row],[_RemFrom]]=0,0,GanttView[[#This Row],[Forecast Finish]])</f>
        <v>0</v>
      </c>
      <c r="S155" s="71" t="b">
        <f aca="false">IF(IFERROR(INDEX(tsk_Name,GanttView[[#This Row],[_Row]])="",TRUE()),FALSE(),N(INDEX(tsk_Variance,GanttView[[#This Row],[_Row]]))&gt;0)</f>
        <v>0</v>
      </c>
      <c r="T155" s="72" t="n">
        <f aca="false">IF(IFERROR(INDEX(tsk_Name,GanttView[[#This Row],[_Row]])="",TRUE()),0,N(INDEX(tsk_Deadline,GanttView[[#This Row],[_Row]])))</f>
        <v>0</v>
      </c>
    </row>
    <row r="156" customFormat="false" ht="15" hidden="false" customHeight="false" outlineLevel="0" collapsed="false">
      <c r="A156" s="65" t="str">
        <f aca="false">IF(IFERROR(INDEX(tsk_Name,GanttView[[#This Row],[_Row]])="",TRUE()),"",INDEX(tsk_ID,GanttView[[#This Row],[_Row]]))</f>
        <v/>
      </c>
      <c r="B156" s="65" t="str">
        <f aca="false">IF(IFERROR(INDEX(tsk_Name,GanttView[[#This Row],[_Row]])="",TRUE()),"",INDEX(tsk_WBS,GanttView[[#This Row],[_Row]]))</f>
        <v/>
      </c>
      <c r="C156" s="66" t="str">
        <f aca="false">IF(IFERROR(INDEX(tsk_Name,GanttView[[#This Row],[_Row]])="",TRUE()),"",REPT("    ",INDEX(tsk_Level,GanttView[[#This Row],[_Row]])-1)&amp;INDEX(tsk_Name,GanttView[[#This Row],[_Row]]))</f>
        <v/>
      </c>
      <c r="D15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6" s="67" t="str">
        <f aca="false">IF(IFERROR(INDEX(tsk_Name,GanttView[[#This Row],[_Row]])="",TRUE()),"",INDEX(tsk_PlanStart,GanttView[[#This Row],[_Row]]))</f>
        <v/>
      </c>
      <c r="F156" s="67" t="str">
        <f aca="false">IF(IFERROR(INDEX(tsk_Name,GanttView[[#This Row],[_Row]])="",TRUE()),"",INDEX(tsk_PlanFinish,GanttView[[#This Row],[_Row]]))</f>
        <v/>
      </c>
      <c r="G156" s="67" t="str">
        <f aca="false">IF(IFERROR(INDEX(tsk_Name,GanttView[[#This Row],[_Row]])="",TRUE()),"",INDEX(tsk_FcStart,GanttView[[#This Row],[_Row]]))</f>
        <v/>
      </c>
      <c r="H156" s="67" t="str">
        <f aca="false">IF(IFERROR(INDEX(tsk_Name,GanttView[[#This Row],[_Row]])="",TRUE()),"",INDEX(tsk_FcFinish,GanttView[[#This Row],[_Row]]))</f>
        <v/>
      </c>
      <c r="I156" s="68" t="str">
        <f aca="false">IF(IFERROR(INDEX(tsk_Name,GanttView[[#This Row],[_Row]])="",TRUE()),"",INDEX(tsk_Progress,GanttView[[#This Row],[_Row]]))</f>
        <v/>
      </c>
      <c r="J156" s="66" t="str">
        <f aca="false">IF(IFERROR(INDEX(tsk_Name,GanttView[[#This Row],[_Row]])="",TRUE()),"",INDEX(tsk_Resource,GanttView[[#This Row],[_Row]])&amp;"")</f>
        <v/>
      </c>
      <c r="K156" s="69" t="str">
        <f aca="false">IF(IFERROR(INDEX(tsk_Name,GanttView[[#This Row],[_Row]])="",TRUE()),"",INDEX(tsk_Status,GanttView[[#This Row],[_Row]]))</f>
        <v/>
      </c>
      <c r="L156" s="70" t="n">
        <f aca="false">ROW()-ROW(GanttView[[#Headers],[ID]])</f>
        <v>151</v>
      </c>
      <c r="M156" s="71" t="b">
        <f aca="false">IF(IFERROR(INDEX(tsk_Name,GanttView[[#This Row],[_Row]])="",TRUE()),FALSE(),INDEX(tsk_IsSummary,GanttView[[#This Row],[_Row]]))</f>
        <v>0</v>
      </c>
      <c r="N156" s="71" t="b">
        <f aca="false">IF(IFERROR(INDEX(tsk_Name,GanttView[[#This Row],[_Row]])="",TRUE()),FALSE(),AND(INDEX(tsk_IsLeaf,GanttView[[#This Row],[_Row]])=1,N(INDEX(tsk_Duration,GanttView[[#This Row],[_Row]]))=0))</f>
        <v>0</v>
      </c>
      <c r="O15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6" s="72" t="n">
        <f aca="false">IF(GanttView[[#This Row],[_RemFrom]]=0,0,GanttView[[#This Row],[Forecast Finish]])</f>
        <v>0</v>
      </c>
      <c r="S156" s="71" t="b">
        <f aca="false">IF(IFERROR(INDEX(tsk_Name,GanttView[[#This Row],[_Row]])="",TRUE()),FALSE(),N(INDEX(tsk_Variance,GanttView[[#This Row],[_Row]]))&gt;0)</f>
        <v>0</v>
      </c>
      <c r="T156" s="72" t="n">
        <f aca="false">IF(IFERROR(INDEX(tsk_Name,GanttView[[#This Row],[_Row]])="",TRUE()),0,N(INDEX(tsk_Deadline,GanttView[[#This Row],[_Row]])))</f>
        <v>0</v>
      </c>
    </row>
    <row r="157" customFormat="false" ht="15" hidden="false" customHeight="false" outlineLevel="0" collapsed="false">
      <c r="A157" s="65" t="str">
        <f aca="false">IF(IFERROR(INDEX(tsk_Name,GanttView[[#This Row],[_Row]])="",TRUE()),"",INDEX(tsk_ID,GanttView[[#This Row],[_Row]]))</f>
        <v/>
      </c>
      <c r="B157" s="65" t="str">
        <f aca="false">IF(IFERROR(INDEX(tsk_Name,GanttView[[#This Row],[_Row]])="",TRUE()),"",INDEX(tsk_WBS,GanttView[[#This Row],[_Row]]))</f>
        <v/>
      </c>
      <c r="C157" s="66" t="str">
        <f aca="false">IF(IFERROR(INDEX(tsk_Name,GanttView[[#This Row],[_Row]])="",TRUE()),"",REPT("    ",INDEX(tsk_Level,GanttView[[#This Row],[_Row]])-1)&amp;INDEX(tsk_Name,GanttView[[#This Row],[_Row]]))</f>
        <v/>
      </c>
      <c r="D15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7" s="67" t="str">
        <f aca="false">IF(IFERROR(INDEX(tsk_Name,GanttView[[#This Row],[_Row]])="",TRUE()),"",INDEX(tsk_PlanStart,GanttView[[#This Row],[_Row]]))</f>
        <v/>
      </c>
      <c r="F157" s="67" t="str">
        <f aca="false">IF(IFERROR(INDEX(tsk_Name,GanttView[[#This Row],[_Row]])="",TRUE()),"",INDEX(tsk_PlanFinish,GanttView[[#This Row],[_Row]]))</f>
        <v/>
      </c>
      <c r="G157" s="67" t="str">
        <f aca="false">IF(IFERROR(INDEX(tsk_Name,GanttView[[#This Row],[_Row]])="",TRUE()),"",INDEX(tsk_FcStart,GanttView[[#This Row],[_Row]]))</f>
        <v/>
      </c>
      <c r="H157" s="67" t="str">
        <f aca="false">IF(IFERROR(INDEX(tsk_Name,GanttView[[#This Row],[_Row]])="",TRUE()),"",INDEX(tsk_FcFinish,GanttView[[#This Row],[_Row]]))</f>
        <v/>
      </c>
      <c r="I157" s="68" t="str">
        <f aca="false">IF(IFERROR(INDEX(tsk_Name,GanttView[[#This Row],[_Row]])="",TRUE()),"",INDEX(tsk_Progress,GanttView[[#This Row],[_Row]]))</f>
        <v/>
      </c>
      <c r="J157" s="66" t="str">
        <f aca="false">IF(IFERROR(INDEX(tsk_Name,GanttView[[#This Row],[_Row]])="",TRUE()),"",INDEX(tsk_Resource,GanttView[[#This Row],[_Row]])&amp;"")</f>
        <v/>
      </c>
      <c r="K157" s="69" t="str">
        <f aca="false">IF(IFERROR(INDEX(tsk_Name,GanttView[[#This Row],[_Row]])="",TRUE()),"",INDEX(tsk_Status,GanttView[[#This Row],[_Row]]))</f>
        <v/>
      </c>
      <c r="L157" s="70" t="n">
        <f aca="false">ROW()-ROW(GanttView[[#Headers],[ID]])</f>
        <v>152</v>
      </c>
      <c r="M157" s="71" t="b">
        <f aca="false">IF(IFERROR(INDEX(tsk_Name,GanttView[[#This Row],[_Row]])="",TRUE()),FALSE(),INDEX(tsk_IsSummary,GanttView[[#This Row],[_Row]]))</f>
        <v>0</v>
      </c>
      <c r="N157" s="71" t="b">
        <f aca="false">IF(IFERROR(INDEX(tsk_Name,GanttView[[#This Row],[_Row]])="",TRUE()),FALSE(),AND(INDEX(tsk_IsLeaf,GanttView[[#This Row],[_Row]])=1,N(INDEX(tsk_Duration,GanttView[[#This Row],[_Row]]))=0))</f>
        <v>0</v>
      </c>
      <c r="O15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7" s="72" t="n">
        <f aca="false">IF(GanttView[[#This Row],[_RemFrom]]=0,0,GanttView[[#This Row],[Forecast Finish]])</f>
        <v>0</v>
      </c>
      <c r="S157" s="71" t="b">
        <f aca="false">IF(IFERROR(INDEX(tsk_Name,GanttView[[#This Row],[_Row]])="",TRUE()),FALSE(),N(INDEX(tsk_Variance,GanttView[[#This Row],[_Row]]))&gt;0)</f>
        <v>0</v>
      </c>
      <c r="T157" s="72" t="n">
        <f aca="false">IF(IFERROR(INDEX(tsk_Name,GanttView[[#This Row],[_Row]])="",TRUE()),0,N(INDEX(tsk_Deadline,GanttView[[#This Row],[_Row]])))</f>
        <v>0</v>
      </c>
    </row>
    <row r="158" customFormat="false" ht="15" hidden="false" customHeight="false" outlineLevel="0" collapsed="false">
      <c r="A158" s="65" t="str">
        <f aca="false">IF(IFERROR(INDEX(tsk_Name,GanttView[[#This Row],[_Row]])="",TRUE()),"",INDEX(tsk_ID,GanttView[[#This Row],[_Row]]))</f>
        <v/>
      </c>
      <c r="B158" s="65" t="str">
        <f aca="false">IF(IFERROR(INDEX(tsk_Name,GanttView[[#This Row],[_Row]])="",TRUE()),"",INDEX(tsk_WBS,GanttView[[#This Row],[_Row]]))</f>
        <v/>
      </c>
      <c r="C158" s="66" t="str">
        <f aca="false">IF(IFERROR(INDEX(tsk_Name,GanttView[[#This Row],[_Row]])="",TRUE()),"",REPT("    ",INDEX(tsk_Level,GanttView[[#This Row],[_Row]])-1)&amp;INDEX(tsk_Name,GanttView[[#This Row],[_Row]]))</f>
        <v/>
      </c>
      <c r="D15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8" s="67" t="str">
        <f aca="false">IF(IFERROR(INDEX(tsk_Name,GanttView[[#This Row],[_Row]])="",TRUE()),"",INDEX(tsk_PlanStart,GanttView[[#This Row],[_Row]]))</f>
        <v/>
      </c>
      <c r="F158" s="67" t="str">
        <f aca="false">IF(IFERROR(INDEX(tsk_Name,GanttView[[#This Row],[_Row]])="",TRUE()),"",INDEX(tsk_PlanFinish,GanttView[[#This Row],[_Row]]))</f>
        <v/>
      </c>
      <c r="G158" s="67" t="str">
        <f aca="false">IF(IFERROR(INDEX(tsk_Name,GanttView[[#This Row],[_Row]])="",TRUE()),"",INDEX(tsk_FcStart,GanttView[[#This Row],[_Row]]))</f>
        <v/>
      </c>
      <c r="H158" s="67" t="str">
        <f aca="false">IF(IFERROR(INDEX(tsk_Name,GanttView[[#This Row],[_Row]])="",TRUE()),"",INDEX(tsk_FcFinish,GanttView[[#This Row],[_Row]]))</f>
        <v/>
      </c>
      <c r="I158" s="68" t="str">
        <f aca="false">IF(IFERROR(INDEX(tsk_Name,GanttView[[#This Row],[_Row]])="",TRUE()),"",INDEX(tsk_Progress,GanttView[[#This Row],[_Row]]))</f>
        <v/>
      </c>
      <c r="J158" s="66" t="str">
        <f aca="false">IF(IFERROR(INDEX(tsk_Name,GanttView[[#This Row],[_Row]])="",TRUE()),"",INDEX(tsk_Resource,GanttView[[#This Row],[_Row]])&amp;"")</f>
        <v/>
      </c>
      <c r="K158" s="69" t="str">
        <f aca="false">IF(IFERROR(INDEX(tsk_Name,GanttView[[#This Row],[_Row]])="",TRUE()),"",INDEX(tsk_Status,GanttView[[#This Row],[_Row]]))</f>
        <v/>
      </c>
      <c r="L158" s="70" t="n">
        <f aca="false">ROW()-ROW(GanttView[[#Headers],[ID]])</f>
        <v>153</v>
      </c>
      <c r="M158" s="71" t="b">
        <f aca="false">IF(IFERROR(INDEX(tsk_Name,GanttView[[#This Row],[_Row]])="",TRUE()),FALSE(),INDEX(tsk_IsSummary,GanttView[[#This Row],[_Row]]))</f>
        <v>0</v>
      </c>
      <c r="N158" s="71" t="b">
        <f aca="false">IF(IFERROR(INDEX(tsk_Name,GanttView[[#This Row],[_Row]])="",TRUE()),FALSE(),AND(INDEX(tsk_IsLeaf,GanttView[[#This Row],[_Row]])=1,N(INDEX(tsk_Duration,GanttView[[#This Row],[_Row]]))=0))</f>
        <v>0</v>
      </c>
      <c r="O15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8" s="72" t="n">
        <f aca="false">IF(GanttView[[#This Row],[_RemFrom]]=0,0,GanttView[[#This Row],[Forecast Finish]])</f>
        <v>0</v>
      </c>
      <c r="S158" s="71" t="b">
        <f aca="false">IF(IFERROR(INDEX(tsk_Name,GanttView[[#This Row],[_Row]])="",TRUE()),FALSE(),N(INDEX(tsk_Variance,GanttView[[#This Row],[_Row]]))&gt;0)</f>
        <v>0</v>
      </c>
      <c r="T158" s="72" t="n">
        <f aca="false">IF(IFERROR(INDEX(tsk_Name,GanttView[[#This Row],[_Row]])="",TRUE()),0,N(INDEX(tsk_Deadline,GanttView[[#This Row],[_Row]])))</f>
        <v>0</v>
      </c>
    </row>
    <row r="159" customFormat="false" ht="15" hidden="false" customHeight="false" outlineLevel="0" collapsed="false">
      <c r="A159" s="65" t="str">
        <f aca="false">IF(IFERROR(INDEX(tsk_Name,GanttView[[#This Row],[_Row]])="",TRUE()),"",INDEX(tsk_ID,GanttView[[#This Row],[_Row]]))</f>
        <v/>
      </c>
      <c r="B159" s="65" t="str">
        <f aca="false">IF(IFERROR(INDEX(tsk_Name,GanttView[[#This Row],[_Row]])="",TRUE()),"",INDEX(tsk_WBS,GanttView[[#This Row],[_Row]]))</f>
        <v/>
      </c>
      <c r="C159" s="66" t="str">
        <f aca="false">IF(IFERROR(INDEX(tsk_Name,GanttView[[#This Row],[_Row]])="",TRUE()),"",REPT("    ",INDEX(tsk_Level,GanttView[[#This Row],[_Row]])-1)&amp;INDEX(tsk_Name,GanttView[[#This Row],[_Row]]))</f>
        <v/>
      </c>
      <c r="D15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9" s="67" t="str">
        <f aca="false">IF(IFERROR(INDEX(tsk_Name,GanttView[[#This Row],[_Row]])="",TRUE()),"",INDEX(tsk_PlanStart,GanttView[[#This Row],[_Row]]))</f>
        <v/>
      </c>
      <c r="F159" s="67" t="str">
        <f aca="false">IF(IFERROR(INDEX(tsk_Name,GanttView[[#This Row],[_Row]])="",TRUE()),"",INDEX(tsk_PlanFinish,GanttView[[#This Row],[_Row]]))</f>
        <v/>
      </c>
      <c r="G159" s="67" t="str">
        <f aca="false">IF(IFERROR(INDEX(tsk_Name,GanttView[[#This Row],[_Row]])="",TRUE()),"",INDEX(tsk_FcStart,GanttView[[#This Row],[_Row]]))</f>
        <v/>
      </c>
      <c r="H159" s="67" t="str">
        <f aca="false">IF(IFERROR(INDEX(tsk_Name,GanttView[[#This Row],[_Row]])="",TRUE()),"",INDEX(tsk_FcFinish,GanttView[[#This Row],[_Row]]))</f>
        <v/>
      </c>
      <c r="I159" s="68" t="str">
        <f aca="false">IF(IFERROR(INDEX(tsk_Name,GanttView[[#This Row],[_Row]])="",TRUE()),"",INDEX(tsk_Progress,GanttView[[#This Row],[_Row]]))</f>
        <v/>
      </c>
      <c r="J159" s="66" t="str">
        <f aca="false">IF(IFERROR(INDEX(tsk_Name,GanttView[[#This Row],[_Row]])="",TRUE()),"",INDEX(tsk_Resource,GanttView[[#This Row],[_Row]])&amp;"")</f>
        <v/>
      </c>
      <c r="K159" s="69" t="str">
        <f aca="false">IF(IFERROR(INDEX(tsk_Name,GanttView[[#This Row],[_Row]])="",TRUE()),"",INDEX(tsk_Status,GanttView[[#This Row],[_Row]]))</f>
        <v/>
      </c>
      <c r="L159" s="70" t="n">
        <f aca="false">ROW()-ROW(GanttView[[#Headers],[ID]])</f>
        <v>154</v>
      </c>
      <c r="M159" s="71" t="b">
        <f aca="false">IF(IFERROR(INDEX(tsk_Name,GanttView[[#This Row],[_Row]])="",TRUE()),FALSE(),INDEX(tsk_IsSummary,GanttView[[#This Row],[_Row]]))</f>
        <v>0</v>
      </c>
      <c r="N159" s="71" t="b">
        <f aca="false">IF(IFERROR(INDEX(tsk_Name,GanttView[[#This Row],[_Row]])="",TRUE()),FALSE(),AND(INDEX(tsk_IsLeaf,GanttView[[#This Row],[_Row]])=1,N(INDEX(tsk_Duration,GanttView[[#This Row],[_Row]]))=0))</f>
        <v>0</v>
      </c>
      <c r="O15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9" s="72" t="n">
        <f aca="false">IF(GanttView[[#This Row],[_RemFrom]]=0,0,GanttView[[#This Row],[Forecast Finish]])</f>
        <v>0</v>
      </c>
      <c r="S159" s="71" t="b">
        <f aca="false">IF(IFERROR(INDEX(tsk_Name,GanttView[[#This Row],[_Row]])="",TRUE()),FALSE(),N(INDEX(tsk_Variance,GanttView[[#This Row],[_Row]]))&gt;0)</f>
        <v>0</v>
      </c>
      <c r="T159" s="72" t="n">
        <f aca="false">IF(IFERROR(INDEX(tsk_Name,GanttView[[#This Row],[_Row]])="",TRUE()),0,N(INDEX(tsk_Deadline,GanttView[[#This Row],[_Row]])))</f>
        <v>0</v>
      </c>
    </row>
    <row r="160" customFormat="false" ht="15" hidden="false" customHeight="false" outlineLevel="0" collapsed="false">
      <c r="A160" s="65" t="str">
        <f aca="false">IF(IFERROR(INDEX(tsk_Name,GanttView[[#This Row],[_Row]])="",TRUE()),"",INDEX(tsk_ID,GanttView[[#This Row],[_Row]]))</f>
        <v/>
      </c>
      <c r="B160" s="65" t="str">
        <f aca="false">IF(IFERROR(INDEX(tsk_Name,GanttView[[#This Row],[_Row]])="",TRUE()),"",INDEX(tsk_WBS,GanttView[[#This Row],[_Row]]))</f>
        <v/>
      </c>
      <c r="C160" s="66" t="str">
        <f aca="false">IF(IFERROR(INDEX(tsk_Name,GanttView[[#This Row],[_Row]])="",TRUE()),"",REPT("    ",INDEX(tsk_Level,GanttView[[#This Row],[_Row]])-1)&amp;INDEX(tsk_Name,GanttView[[#This Row],[_Row]]))</f>
        <v/>
      </c>
      <c r="D16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0" s="67" t="str">
        <f aca="false">IF(IFERROR(INDEX(tsk_Name,GanttView[[#This Row],[_Row]])="",TRUE()),"",INDEX(tsk_PlanStart,GanttView[[#This Row],[_Row]]))</f>
        <v/>
      </c>
      <c r="F160" s="67" t="str">
        <f aca="false">IF(IFERROR(INDEX(tsk_Name,GanttView[[#This Row],[_Row]])="",TRUE()),"",INDEX(tsk_PlanFinish,GanttView[[#This Row],[_Row]]))</f>
        <v/>
      </c>
      <c r="G160" s="67" t="str">
        <f aca="false">IF(IFERROR(INDEX(tsk_Name,GanttView[[#This Row],[_Row]])="",TRUE()),"",INDEX(tsk_FcStart,GanttView[[#This Row],[_Row]]))</f>
        <v/>
      </c>
      <c r="H160" s="67" t="str">
        <f aca="false">IF(IFERROR(INDEX(tsk_Name,GanttView[[#This Row],[_Row]])="",TRUE()),"",INDEX(tsk_FcFinish,GanttView[[#This Row],[_Row]]))</f>
        <v/>
      </c>
      <c r="I160" s="68" t="str">
        <f aca="false">IF(IFERROR(INDEX(tsk_Name,GanttView[[#This Row],[_Row]])="",TRUE()),"",INDEX(tsk_Progress,GanttView[[#This Row],[_Row]]))</f>
        <v/>
      </c>
      <c r="J160" s="66" t="str">
        <f aca="false">IF(IFERROR(INDEX(tsk_Name,GanttView[[#This Row],[_Row]])="",TRUE()),"",INDEX(tsk_Resource,GanttView[[#This Row],[_Row]])&amp;"")</f>
        <v/>
      </c>
      <c r="K160" s="69" t="str">
        <f aca="false">IF(IFERROR(INDEX(tsk_Name,GanttView[[#This Row],[_Row]])="",TRUE()),"",INDEX(tsk_Status,GanttView[[#This Row],[_Row]]))</f>
        <v/>
      </c>
      <c r="L160" s="70" t="n">
        <f aca="false">ROW()-ROW(GanttView[[#Headers],[ID]])</f>
        <v>155</v>
      </c>
      <c r="M160" s="71" t="b">
        <f aca="false">IF(IFERROR(INDEX(tsk_Name,GanttView[[#This Row],[_Row]])="",TRUE()),FALSE(),INDEX(tsk_IsSummary,GanttView[[#This Row],[_Row]]))</f>
        <v>0</v>
      </c>
      <c r="N160" s="71" t="b">
        <f aca="false">IF(IFERROR(INDEX(tsk_Name,GanttView[[#This Row],[_Row]])="",TRUE()),FALSE(),AND(INDEX(tsk_IsLeaf,GanttView[[#This Row],[_Row]])=1,N(INDEX(tsk_Duration,GanttView[[#This Row],[_Row]]))=0))</f>
        <v>0</v>
      </c>
      <c r="O16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0" s="72" t="n">
        <f aca="false">IF(GanttView[[#This Row],[_RemFrom]]=0,0,GanttView[[#This Row],[Forecast Finish]])</f>
        <v>0</v>
      </c>
      <c r="S160" s="71" t="b">
        <f aca="false">IF(IFERROR(INDEX(tsk_Name,GanttView[[#This Row],[_Row]])="",TRUE()),FALSE(),N(INDEX(tsk_Variance,GanttView[[#This Row],[_Row]]))&gt;0)</f>
        <v>0</v>
      </c>
      <c r="T160" s="72" t="n">
        <f aca="false">IF(IFERROR(INDEX(tsk_Name,GanttView[[#This Row],[_Row]])="",TRUE()),0,N(INDEX(tsk_Deadline,GanttView[[#This Row],[_Row]])))</f>
        <v>0</v>
      </c>
    </row>
    <row r="161" customFormat="false" ht="15" hidden="false" customHeight="false" outlineLevel="0" collapsed="false">
      <c r="A161" s="65" t="str">
        <f aca="false">IF(IFERROR(INDEX(tsk_Name,GanttView[[#This Row],[_Row]])="",TRUE()),"",INDEX(tsk_ID,GanttView[[#This Row],[_Row]]))</f>
        <v/>
      </c>
      <c r="B161" s="65" t="str">
        <f aca="false">IF(IFERROR(INDEX(tsk_Name,GanttView[[#This Row],[_Row]])="",TRUE()),"",INDEX(tsk_WBS,GanttView[[#This Row],[_Row]]))</f>
        <v/>
      </c>
      <c r="C161" s="66" t="str">
        <f aca="false">IF(IFERROR(INDEX(tsk_Name,GanttView[[#This Row],[_Row]])="",TRUE()),"",REPT("    ",INDEX(tsk_Level,GanttView[[#This Row],[_Row]])-1)&amp;INDEX(tsk_Name,GanttView[[#This Row],[_Row]]))</f>
        <v/>
      </c>
      <c r="D16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1" s="67" t="str">
        <f aca="false">IF(IFERROR(INDEX(tsk_Name,GanttView[[#This Row],[_Row]])="",TRUE()),"",INDEX(tsk_PlanStart,GanttView[[#This Row],[_Row]]))</f>
        <v/>
      </c>
      <c r="F161" s="67" t="str">
        <f aca="false">IF(IFERROR(INDEX(tsk_Name,GanttView[[#This Row],[_Row]])="",TRUE()),"",INDEX(tsk_PlanFinish,GanttView[[#This Row],[_Row]]))</f>
        <v/>
      </c>
      <c r="G161" s="67" t="str">
        <f aca="false">IF(IFERROR(INDEX(tsk_Name,GanttView[[#This Row],[_Row]])="",TRUE()),"",INDEX(tsk_FcStart,GanttView[[#This Row],[_Row]]))</f>
        <v/>
      </c>
      <c r="H161" s="67" t="str">
        <f aca="false">IF(IFERROR(INDEX(tsk_Name,GanttView[[#This Row],[_Row]])="",TRUE()),"",INDEX(tsk_FcFinish,GanttView[[#This Row],[_Row]]))</f>
        <v/>
      </c>
      <c r="I161" s="68" t="str">
        <f aca="false">IF(IFERROR(INDEX(tsk_Name,GanttView[[#This Row],[_Row]])="",TRUE()),"",INDEX(tsk_Progress,GanttView[[#This Row],[_Row]]))</f>
        <v/>
      </c>
      <c r="J161" s="66" t="str">
        <f aca="false">IF(IFERROR(INDEX(tsk_Name,GanttView[[#This Row],[_Row]])="",TRUE()),"",INDEX(tsk_Resource,GanttView[[#This Row],[_Row]])&amp;"")</f>
        <v/>
      </c>
      <c r="K161" s="69" t="str">
        <f aca="false">IF(IFERROR(INDEX(tsk_Name,GanttView[[#This Row],[_Row]])="",TRUE()),"",INDEX(tsk_Status,GanttView[[#This Row],[_Row]]))</f>
        <v/>
      </c>
      <c r="L161" s="70" t="n">
        <f aca="false">ROW()-ROW(GanttView[[#Headers],[ID]])</f>
        <v>156</v>
      </c>
      <c r="M161" s="71" t="b">
        <f aca="false">IF(IFERROR(INDEX(tsk_Name,GanttView[[#This Row],[_Row]])="",TRUE()),FALSE(),INDEX(tsk_IsSummary,GanttView[[#This Row],[_Row]]))</f>
        <v>0</v>
      </c>
      <c r="N161" s="71" t="b">
        <f aca="false">IF(IFERROR(INDEX(tsk_Name,GanttView[[#This Row],[_Row]])="",TRUE()),FALSE(),AND(INDEX(tsk_IsLeaf,GanttView[[#This Row],[_Row]])=1,N(INDEX(tsk_Duration,GanttView[[#This Row],[_Row]]))=0))</f>
        <v>0</v>
      </c>
      <c r="O16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1" s="72" t="n">
        <f aca="false">IF(GanttView[[#This Row],[_RemFrom]]=0,0,GanttView[[#This Row],[Forecast Finish]])</f>
        <v>0</v>
      </c>
      <c r="S161" s="71" t="b">
        <f aca="false">IF(IFERROR(INDEX(tsk_Name,GanttView[[#This Row],[_Row]])="",TRUE()),FALSE(),N(INDEX(tsk_Variance,GanttView[[#This Row],[_Row]]))&gt;0)</f>
        <v>0</v>
      </c>
      <c r="T161" s="72" t="n">
        <f aca="false">IF(IFERROR(INDEX(tsk_Name,GanttView[[#This Row],[_Row]])="",TRUE()),0,N(INDEX(tsk_Deadline,GanttView[[#This Row],[_Row]])))</f>
        <v>0</v>
      </c>
    </row>
    <row r="162" customFormat="false" ht="15" hidden="false" customHeight="false" outlineLevel="0" collapsed="false">
      <c r="A162" s="65" t="str">
        <f aca="false">IF(IFERROR(INDEX(tsk_Name,GanttView[[#This Row],[_Row]])="",TRUE()),"",INDEX(tsk_ID,GanttView[[#This Row],[_Row]]))</f>
        <v/>
      </c>
      <c r="B162" s="65" t="str">
        <f aca="false">IF(IFERROR(INDEX(tsk_Name,GanttView[[#This Row],[_Row]])="",TRUE()),"",INDEX(tsk_WBS,GanttView[[#This Row],[_Row]]))</f>
        <v/>
      </c>
      <c r="C162" s="66" t="str">
        <f aca="false">IF(IFERROR(INDEX(tsk_Name,GanttView[[#This Row],[_Row]])="",TRUE()),"",REPT("    ",INDEX(tsk_Level,GanttView[[#This Row],[_Row]])-1)&amp;INDEX(tsk_Name,GanttView[[#This Row],[_Row]]))</f>
        <v/>
      </c>
      <c r="D16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2" s="67" t="str">
        <f aca="false">IF(IFERROR(INDEX(tsk_Name,GanttView[[#This Row],[_Row]])="",TRUE()),"",INDEX(tsk_PlanStart,GanttView[[#This Row],[_Row]]))</f>
        <v/>
      </c>
      <c r="F162" s="67" t="str">
        <f aca="false">IF(IFERROR(INDEX(tsk_Name,GanttView[[#This Row],[_Row]])="",TRUE()),"",INDEX(tsk_PlanFinish,GanttView[[#This Row],[_Row]]))</f>
        <v/>
      </c>
      <c r="G162" s="67" t="str">
        <f aca="false">IF(IFERROR(INDEX(tsk_Name,GanttView[[#This Row],[_Row]])="",TRUE()),"",INDEX(tsk_FcStart,GanttView[[#This Row],[_Row]]))</f>
        <v/>
      </c>
      <c r="H162" s="67" t="str">
        <f aca="false">IF(IFERROR(INDEX(tsk_Name,GanttView[[#This Row],[_Row]])="",TRUE()),"",INDEX(tsk_FcFinish,GanttView[[#This Row],[_Row]]))</f>
        <v/>
      </c>
      <c r="I162" s="68" t="str">
        <f aca="false">IF(IFERROR(INDEX(tsk_Name,GanttView[[#This Row],[_Row]])="",TRUE()),"",INDEX(tsk_Progress,GanttView[[#This Row],[_Row]]))</f>
        <v/>
      </c>
      <c r="J162" s="66" t="str">
        <f aca="false">IF(IFERROR(INDEX(tsk_Name,GanttView[[#This Row],[_Row]])="",TRUE()),"",INDEX(tsk_Resource,GanttView[[#This Row],[_Row]])&amp;"")</f>
        <v/>
      </c>
      <c r="K162" s="69" t="str">
        <f aca="false">IF(IFERROR(INDEX(tsk_Name,GanttView[[#This Row],[_Row]])="",TRUE()),"",INDEX(tsk_Status,GanttView[[#This Row],[_Row]]))</f>
        <v/>
      </c>
      <c r="L162" s="70" t="n">
        <f aca="false">ROW()-ROW(GanttView[[#Headers],[ID]])</f>
        <v>157</v>
      </c>
      <c r="M162" s="71" t="b">
        <f aca="false">IF(IFERROR(INDEX(tsk_Name,GanttView[[#This Row],[_Row]])="",TRUE()),FALSE(),INDEX(tsk_IsSummary,GanttView[[#This Row],[_Row]]))</f>
        <v>0</v>
      </c>
      <c r="N162" s="71" t="b">
        <f aca="false">IF(IFERROR(INDEX(tsk_Name,GanttView[[#This Row],[_Row]])="",TRUE()),FALSE(),AND(INDEX(tsk_IsLeaf,GanttView[[#This Row],[_Row]])=1,N(INDEX(tsk_Duration,GanttView[[#This Row],[_Row]]))=0))</f>
        <v>0</v>
      </c>
      <c r="O16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2" s="72" t="n">
        <f aca="false">IF(GanttView[[#This Row],[_RemFrom]]=0,0,GanttView[[#This Row],[Forecast Finish]])</f>
        <v>0</v>
      </c>
      <c r="S162" s="71" t="b">
        <f aca="false">IF(IFERROR(INDEX(tsk_Name,GanttView[[#This Row],[_Row]])="",TRUE()),FALSE(),N(INDEX(tsk_Variance,GanttView[[#This Row],[_Row]]))&gt;0)</f>
        <v>0</v>
      </c>
      <c r="T162" s="72" t="n">
        <f aca="false">IF(IFERROR(INDEX(tsk_Name,GanttView[[#This Row],[_Row]])="",TRUE()),0,N(INDEX(tsk_Deadline,GanttView[[#This Row],[_Row]])))</f>
        <v>0</v>
      </c>
    </row>
    <row r="163" customFormat="false" ht="15" hidden="false" customHeight="false" outlineLevel="0" collapsed="false">
      <c r="A163" s="65" t="str">
        <f aca="false">IF(IFERROR(INDEX(tsk_Name,GanttView[[#This Row],[_Row]])="",TRUE()),"",INDEX(tsk_ID,GanttView[[#This Row],[_Row]]))</f>
        <v/>
      </c>
      <c r="B163" s="65" t="str">
        <f aca="false">IF(IFERROR(INDEX(tsk_Name,GanttView[[#This Row],[_Row]])="",TRUE()),"",INDEX(tsk_WBS,GanttView[[#This Row],[_Row]]))</f>
        <v/>
      </c>
      <c r="C163" s="66" t="str">
        <f aca="false">IF(IFERROR(INDEX(tsk_Name,GanttView[[#This Row],[_Row]])="",TRUE()),"",REPT("    ",INDEX(tsk_Level,GanttView[[#This Row],[_Row]])-1)&amp;INDEX(tsk_Name,GanttView[[#This Row],[_Row]]))</f>
        <v/>
      </c>
      <c r="D16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3" s="67" t="str">
        <f aca="false">IF(IFERROR(INDEX(tsk_Name,GanttView[[#This Row],[_Row]])="",TRUE()),"",INDEX(tsk_PlanStart,GanttView[[#This Row],[_Row]]))</f>
        <v/>
      </c>
      <c r="F163" s="67" t="str">
        <f aca="false">IF(IFERROR(INDEX(tsk_Name,GanttView[[#This Row],[_Row]])="",TRUE()),"",INDEX(tsk_PlanFinish,GanttView[[#This Row],[_Row]]))</f>
        <v/>
      </c>
      <c r="G163" s="67" t="str">
        <f aca="false">IF(IFERROR(INDEX(tsk_Name,GanttView[[#This Row],[_Row]])="",TRUE()),"",INDEX(tsk_FcStart,GanttView[[#This Row],[_Row]]))</f>
        <v/>
      </c>
      <c r="H163" s="67" t="str">
        <f aca="false">IF(IFERROR(INDEX(tsk_Name,GanttView[[#This Row],[_Row]])="",TRUE()),"",INDEX(tsk_FcFinish,GanttView[[#This Row],[_Row]]))</f>
        <v/>
      </c>
      <c r="I163" s="68" t="str">
        <f aca="false">IF(IFERROR(INDEX(tsk_Name,GanttView[[#This Row],[_Row]])="",TRUE()),"",INDEX(tsk_Progress,GanttView[[#This Row],[_Row]]))</f>
        <v/>
      </c>
      <c r="J163" s="66" t="str">
        <f aca="false">IF(IFERROR(INDEX(tsk_Name,GanttView[[#This Row],[_Row]])="",TRUE()),"",INDEX(tsk_Resource,GanttView[[#This Row],[_Row]])&amp;"")</f>
        <v/>
      </c>
      <c r="K163" s="69" t="str">
        <f aca="false">IF(IFERROR(INDEX(tsk_Name,GanttView[[#This Row],[_Row]])="",TRUE()),"",INDEX(tsk_Status,GanttView[[#This Row],[_Row]]))</f>
        <v/>
      </c>
      <c r="L163" s="70" t="n">
        <f aca="false">ROW()-ROW(GanttView[[#Headers],[ID]])</f>
        <v>158</v>
      </c>
      <c r="M163" s="71" t="b">
        <f aca="false">IF(IFERROR(INDEX(tsk_Name,GanttView[[#This Row],[_Row]])="",TRUE()),FALSE(),INDEX(tsk_IsSummary,GanttView[[#This Row],[_Row]]))</f>
        <v>0</v>
      </c>
      <c r="N163" s="71" t="b">
        <f aca="false">IF(IFERROR(INDEX(tsk_Name,GanttView[[#This Row],[_Row]])="",TRUE()),FALSE(),AND(INDEX(tsk_IsLeaf,GanttView[[#This Row],[_Row]])=1,N(INDEX(tsk_Duration,GanttView[[#This Row],[_Row]]))=0))</f>
        <v>0</v>
      </c>
      <c r="O16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3" s="72" t="n">
        <f aca="false">IF(GanttView[[#This Row],[_RemFrom]]=0,0,GanttView[[#This Row],[Forecast Finish]])</f>
        <v>0</v>
      </c>
      <c r="S163" s="71" t="b">
        <f aca="false">IF(IFERROR(INDEX(tsk_Name,GanttView[[#This Row],[_Row]])="",TRUE()),FALSE(),N(INDEX(tsk_Variance,GanttView[[#This Row],[_Row]]))&gt;0)</f>
        <v>0</v>
      </c>
      <c r="T163" s="72" t="n">
        <f aca="false">IF(IFERROR(INDEX(tsk_Name,GanttView[[#This Row],[_Row]])="",TRUE()),0,N(INDEX(tsk_Deadline,GanttView[[#This Row],[_Row]])))</f>
        <v>0</v>
      </c>
    </row>
    <row r="164" customFormat="false" ht="15" hidden="false" customHeight="false" outlineLevel="0" collapsed="false">
      <c r="A164" s="65" t="str">
        <f aca="false">IF(IFERROR(INDEX(tsk_Name,GanttView[[#This Row],[_Row]])="",TRUE()),"",INDEX(tsk_ID,GanttView[[#This Row],[_Row]]))</f>
        <v/>
      </c>
      <c r="B164" s="65" t="str">
        <f aca="false">IF(IFERROR(INDEX(tsk_Name,GanttView[[#This Row],[_Row]])="",TRUE()),"",INDEX(tsk_WBS,GanttView[[#This Row],[_Row]]))</f>
        <v/>
      </c>
      <c r="C164" s="66" t="str">
        <f aca="false">IF(IFERROR(INDEX(tsk_Name,GanttView[[#This Row],[_Row]])="",TRUE()),"",REPT("    ",INDEX(tsk_Level,GanttView[[#This Row],[_Row]])-1)&amp;INDEX(tsk_Name,GanttView[[#This Row],[_Row]]))</f>
        <v/>
      </c>
      <c r="D16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4" s="67" t="str">
        <f aca="false">IF(IFERROR(INDEX(tsk_Name,GanttView[[#This Row],[_Row]])="",TRUE()),"",INDEX(tsk_PlanStart,GanttView[[#This Row],[_Row]]))</f>
        <v/>
      </c>
      <c r="F164" s="67" t="str">
        <f aca="false">IF(IFERROR(INDEX(tsk_Name,GanttView[[#This Row],[_Row]])="",TRUE()),"",INDEX(tsk_PlanFinish,GanttView[[#This Row],[_Row]]))</f>
        <v/>
      </c>
      <c r="G164" s="67" t="str">
        <f aca="false">IF(IFERROR(INDEX(tsk_Name,GanttView[[#This Row],[_Row]])="",TRUE()),"",INDEX(tsk_FcStart,GanttView[[#This Row],[_Row]]))</f>
        <v/>
      </c>
      <c r="H164" s="67" t="str">
        <f aca="false">IF(IFERROR(INDEX(tsk_Name,GanttView[[#This Row],[_Row]])="",TRUE()),"",INDEX(tsk_FcFinish,GanttView[[#This Row],[_Row]]))</f>
        <v/>
      </c>
      <c r="I164" s="68" t="str">
        <f aca="false">IF(IFERROR(INDEX(tsk_Name,GanttView[[#This Row],[_Row]])="",TRUE()),"",INDEX(tsk_Progress,GanttView[[#This Row],[_Row]]))</f>
        <v/>
      </c>
      <c r="J164" s="66" t="str">
        <f aca="false">IF(IFERROR(INDEX(tsk_Name,GanttView[[#This Row],[_Row]])="",TRUE()),"",INDEX(tsk_Resource,GanttView[[#This Row],[_Row]])&amp;"")</f>
        <v/>
      </c>
      <c r="K164" s="69" t="str">
        <f aca="false">IF(IFERROR(INDEX(tsk_Name,GanttView[[#This Row],[_Row]])="",TRUE()),"",INDEX(tsk_Status,GanttView[[#This Row],[_Row]]))</f>
        <v/>
      </c>
      <c r="L164" s="70" t="n">
        <f aca="false">ROW()-ROW(GanttView[[#Headers],[ID]])</f>
        <v>159</v>
      </c>
      <c r="M164" s="71" t="b">
        <f aca="false">IF(IFERROR(INDEX(tsk_Name,GanttView[[#This Row],[_Row]])="",TRUE()),FALSE(),INDEX(tsk_IsSummary,GanttView[[#This Row],[_Row]]))</f>
        <v>0</v>
      </c>
      <c r="N164" s="71" t="b">
        <f aca="false">IF(IFERROR(INDEX(tsk_Name,GanttView[[#This Row],[_Row]])="",TRUE()),FALSE(),AND(INDEX(tsk_IsLeaf,GanttView[[#This Row],[_Row]])=1,N(INDEX(tsk_Duration,GanttView[[#This Row],[_Row]]))=0))</f>
        <v>0</v>
      </c>
      <c r="O16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4" s="72" t="n">
        <f aca="false">IF(GanttView[[#This Row],[_RemFrom]]=0,0,GanttView[[#This Row],[Forecast Finish]])</f>
        <v>0</v>
      </c>
      <c r="S164" s="71" t="b">
        <f aca="false">IF(IFERROR(INDEX(tsk_Name,GanttView[[#This Row],[_Row]])="",TRUE()),FALSE(),N(INDEX(tsk_Variance,GanttView[[#This Row],[_Row]]))&gt;0)</f>
        <v>0</v>
      </c>
      <c r="T164" s="72" t="n">
        <f aca="false">IF(IFERROR(INDEX(tsk_Name,GanttView[[#This Row],[_Row]])="",TRUE()),0,N(INDEX(tsk_Deadline,GanttView[[#This Row],[_Row]])))</f>
        <v>0</v>
      </c>
    </row>
    <row r="165" customFormat="false" ht="15" hidden="false" customHeight="false" outlineLevel="0" collapsed="false">
      <c r="A165" s="65" t="str">
        <f aca="false">IF(IFERROR(INDEX(tsk_Name,GanttView[[#This Row],[_Row]])="",TRUE()),"",INDEX(tsk_ID,GanttView[[#This Row],[_Row]]))</f>
        <v/>
      </c>
      <c r="B165" s="65" t="str">
        <f aca="false">IF(IFERROR(INDEX(tsk_Name,GanttView[[#This Row],[_Row]])="",TRUE()),"",INDEX(tsk_WBS,GanttView[[#This Row],[_Row]]))</f>
        <v/>
      </c>
      <c r="C165" s="66" t="str">
        <f aca="false">IF(IFERROR(INDEX(tsk_Name,GanttView[[#This Row],[_Row]])="",TRUE()),"",REPT("    ",INDEX(tsk_Level,GanttView[[#This Row],[_Row]])-1)&amp;INDEX(tsk_Name,GanttView[[#This Row],[_Row]]))</f>
        <v/>
      </c>
      <c r="D16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5" s="67" t="str">
        <f aca="false">IF(IFERROR(INDEX(tsk_Name,GanttView[[#This Row],[_Row]])="",TRUE()),"",INDEX(tsk_PlanStart,GanttView[[#This Row],[_Row]]))</f>
        <v/>
      </c>
      <c r="F165" s="67" t="str">
        <f aca="false">IF(IFERROR(INDEX(tsk_Name,GanttView[[#This Row],[_Row]])="",TRUE()),"",INDEX(tsk_PlanFinish,GanttView[[#This Row],[_Row]]))</f>
        <v/>
      </c>
      <c r="G165" s="67" t="str">
        <f aca="false">IF(IFERROR(INDEX(tsk_Name,GanttView[[#This Row],[_Row]])="",TRUE()),"",INDEX(tsk_FcStart,GanttView[[#This Row],[_Row]]))</f>
        <v/>
      </c>
      <c r="H165" s="67" t="str">
        <f aca="false">IF(IFERROR(INDEX(tsk_Name,GanttView[[#This Row],[_Row]])="",TRUE()),"",INDEX(tsk_FcFinish,GanttView[[#This Row],[_Row]]))</f>
        <v/>
      </c>
      <c r="I165" s="68" t="str">
        <f aca="false">IF(IFERROR(INDEX(tsk_Name,GanttView[[#This Row],[_Row]])="",TRUE()),"",INDEX(tsk_Progress,GanttView[[#This Row],[_Row]]))</f>
        <v/>
      </c>
      <c r="J165" s="66" t="str">
        <f aca="false">IF(IFERROR(INDEX(tsk_Name,GanttView[[#This Row],[_Row]])="",TRUE()),"",INDEX(tsk_Resource,GanttView[[#This Row],[_Row]])&amp;"")</f>
        <v/>
      </c>
      <c r="K165" s="69" t="str">
        <f aca="false">IF(IFERROR(INDEX(tsk_Name,GanttView[[#This Row],[_Row]])="",TRUE()),"",INDEX(tsk_Status,GanttView[[#This Row],[_Row]]))</f>
        <v/>
      </c>
      <c r="L165" s="70" t="n">
        <f aca="false">ROW()-ROW(GanttView[[#Headers],[ID]])</f>
        <v>160</v>
      </c>
      <c r="M165" s="71" t="b">
        <f aca="false">IF(IFERROR(INDEX(tsk_Name,GanttView[[#This Row],[_Row]])="",TRUE()),FALSE(),INDEX(tsk_IsSummary,GanttView[[#This Row],[_Row]]))</f>
        <v>0</v>
      </c>
      <c r="N165" s="71" t="b">
        <f aca="false">IF(IFERROR(INDEX(tsk_Name,GanttView[[#This Row],[_Row]])="",TRUE()),FALSE(),AND(INDEX(tsk_IsLeaf,GanttView[[#This Row],[_Row]])=1,N(INDEX(tsk_Duration,GanttView[[#This Row],[_Row]]))=0))</f>
        <v>0</v>
      </c>
      <c r="O16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5" s="72" t="n">
        <f aca="false">IF(GanttView[[#This Row],[_RemFrom]]=0,0,GanttView[[#This Row],[Forecast Finish]])</f>
        <v>0</v>
      </c>
      <c r="S165" s="71" t="b">
        <f aca="false">IF(IFERROR(INDEX(tsk_Name,GanttView[[#This Row],[_Row]])="",TRUE()),FALSE(),N(INDEX(tsk_Variance,GanttView[[#This Row],[_Row]]))&gt;0)</f>
        <v>0</v>
      </c>
      <c r="T165" s="72" t="n">
        <f aca="false">IF(IFERROR(INDEX(tsk_Name,GanttView[[#This Row],[_Row]])="",TRUE()),0,N(INDEX(tsk_Deadline,GanttView[[#This Row],[_Row]])))</f>
        <v>0</v>
      </c>
    </row>
    <row r="166" customFormat="false" ht="15" hidden="false" customHeight="false" outlineLevel="0" collapsed="false">
      <c r="A166" s="65" t="str">
        <f aca="false">IF(IFERROR(INDEX(tsk_Name,GanttView[[#This Row],[_Row]])="",TRUE()),"",INDEX(tsk_ID,GanttView[[#This Row],[_Row]]))</f>
        <v/>
      </c>
      <c r="B166" s="65" t="str">
        <f aca="false">IF(IFERROR(INDEX(tsk_Name,GanttView[[#This Row],[_Row]])="",TRUE()),"",INDEX(tsk_WBS,GanttView[[#This Row],[_Row]]))</f>
        <v/>
      </c>
      <c r="C166" s="66" t="str">
        <f aca="false">IF(IFERROR(INDEX(tsk_Name,GanttView[[#This Row],[_Row]])="",TRUE()),"",REPT("    ",INDEX(tsk_Level,GanttView[[#This Row],[_Row]])-1)&amp;INDEX(tsk_Name,GanttView[[#This Row],[_Row]]))</f>
        <v/>
      </c>
      <c r="D16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6" s="67" t="str">
        <f aca="false">IF(IFERROR(INDEX(tsk_Name,GanttView[[#This Row],[_Row]])="",TRUE()),"",INDEX(tsk_PlanStart,GanttView[[#This Row],[_Row]]))</f>
        <v/>
      </c>
      <c r="F166" s="67" t="str">
        <f aca="false">IF(IFERROR(INDEX(tsk_Name,GanttView[[#This Row],[_Row]])="",TRUE()),"",INDEX(tsk_PlanFinish,GanttView[[#This Row],[_Row]]))</f>
        <v/>
      </c>
      <c r="G166" s="67" t="str">
        <f aca="false">IF(IFERROR(INDEX(tsk_Name,GanttView[[#This Row],[_Row]])="",TRUE()),"",INDEX(tsk_FcStart,GanttView[[#This Row],[_Row]]))</f>
        <v/>
      </c>
      <c r="H166" s="67" t="str">
        <f aca="false">IF(IFERROR(INDEX(tsk_Name,GanttView[[#This Row],[_Row]])="",TRUE()),"",INDEX(tsk_FcFinish,GanttView[[#This Row],[_Row]]))</f>
        <v/>
      </c>
      <c r="I166" s="68" t="str">
        <f aca="false">IF(IFERROR(INDEX(tsk_Name,GanttView[[#This Row],[_Row]])="",TRUE()),"",INDEX(tsk_Progress,GanttView[[#This Row],[_Row]]))</f>
        <v/>
      </c>
      <c r="J166" s="66" t="str">
        <f aca="false">IF(IFERROR(INDEX(tsk_Name,GanttView[[#This Row],[_Row]])="",TRUE()),"",INDEX(tsk_Resource,GanttView[[#This Row],[_Row]])&amp;"")</f>
        <v/>
      </c>
      <c r="K166" s="69" t="str">
        <f aca="false">IF(IFERROR(INDEX(tsk_Name,GanttView[[#This Row],[_Row]])="",TRUE()),"",INDEX(tsk_Status,GanttView[[#This Row],[_Row]]))</f>
        <v/>
      </c>
      <c r="L166" s="70" t="n">
        <f aca="false">ROW()-ROW(GanttView[[#Headers],[ID]])</f>
        <v>161</v>
      </c>
      <c r="M166" s="71" t="b">
        <f aca="false">IF(IFERROR(INDEX(tsk_Name,GanttView[[#This Row],[_Row]])="",TRUE()),FALSE(),INDEX(tsk_IsSummary,GanttView[[#This Row],[_Row]]))</f>
        <v>0</v>
      </c>
      <c r="N166" s="71" t="b">
        <f aca="false">IF(IFERROR(INDEX(tsk_Name,GanttView[[#This Row],[_Row]])="",TRUE()),FALSE(),AND(INDEX(tsk_IsLeaf,GanttView[[#This Row],[_Row]])=1,N(INDEX(tsk_Duration,GanttView[[#This Row],[_Row]]))=0))</f>
        <v>0</v>
      </c>
      <c r="O16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6" s="72" t="n">
        <f aca="false">IF(GanttView[[#This Row],[_RemFrom]]=0,0,GanttView[[#This Row],[Forecast Finish]])</f>
        <v>0</v>
      </c>
      <c r="S166" s="71" t="b">
        <f aca="false">IF(IFERROR(INDEX(tsk_Name,GanttView[[#This Row],[_Row]])="",TRUE()),FALSE(),N(INDEX(tsk_Variance,GanttView[[#This Row],[_Row]]))&gt;0)</f>
        <v>0</v>
      </c>
      <c r="T166" s="72" t="n">
        <f aca="false">IF(IFERROR(INDEX(tsk_Name,GanttView[[#This Row],[_Row]])="",TRUE()),0,N(INDEX(tsk_Deadline,GanttView[[#This Row],[_Row]])))</f>
        <v>0</v>
      </c>
    </row>
    <row r="167" customFormat="false" ht="15" hidden="false" customHeight="false" outlineLevel="0" collapsed="false">
      <c r="A167" s="65" t="str">
        <f aca="false">IF(IFERROR(INDEX(tsk_Name,GanttView[[#This Row],[_Row]])="",TRUE()),"",INDEX(tsk_ID,GanttView[[#This Row],[_Row]]))</f>
        <v/>
      </c>
      <c r="B167" s="65" t="str">
        <f aca="false">IF(IFERROR(INDEX(tsk_Name,GanttView[[#This Row],[_Row]])="",TRUE()),"",INDEX(tsk_WBS,GanttView[[#This Row],[_Row]]))</f>
        <v/>
      </c>
      <c r="C167" s="66" t="str">
        <f aca="false">IF(IFERROR(INDEX(tsk_Name,GanttView[[#This Row],[_Row]])="",TRUE()),"",REPT("    ",INDEX(tsk_Level,GanttView[[#This Row],[_Row]])-1)&amp;INDEX(tsk_Name,GanttView[[#This Row],[_Row]]))</f>
        <v/>
      </c>
      <c r="D16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7" s="67" t="str">
        <f aca="false">IF(IFERROR(INDEX(tsk_Name,GanttView[[#This Row],[_Row]])="",TRUE()),"",INDEX(tsk_PlanStart,GanttView[[#This Row],[_Row]]))</f>
        <v/>
      </c>
      <c r="F167" s="67" t="str">
        <f aca="false">IF(IFERROR(INDEX(tsk_Name,GanttView[[#This Row],[_Row]])="",TRUE()),"",INDEX(tsk_PlanFinish,GanttView[[#This Row],[_Row]]))</f>
        <v/>
      </c>
      <c r="G167" s="67" t="str">
        <f aca="false">IF(IFERROR(INDEX(tsk_Name,GanttView[[#This Row],[_Row]])="",TRUE()),"",INDEX(tsk_FcStart,GanttView[[#This Row],[_Row]]))</f>
        <v/>
      </c>
      <c r="H167" s="67" t="str">
        <f aca="false">IF(IFERROR(INDEX(tsk_Name,GanttView[[#This Row],[_Row]])="",TRUE()),"",INDEX(tsk_FcFinish,GanttView[[#This Row],[_Row]]))</f>
        <v/>
      </c>
      <c r="I167" s="68" t="str">
        <f aca="false">IF(IFERROR(INDEX(tsk_Name,GanttView[[#This Row],[_Row]])="",TRUE()),"",INDEX(tsk_Progress,GanttView[[#This Row],[_Row]]))</f>
        <v/>
      </c>
      <c r="J167" s="66" t="str">
        <f aca="false">IF(IFERROR(INDEX(tsk_Name,GanttView[[#This Row],[_Row]])="",TRUE()),"",INDEX(tsk_Resource,GanttView[[#This Row],[_Row]])&amp;"")</f>
        <v/>
      </c>
      <c r="K167" s="69" t="str">
        <f aca="false">IF(IFERROR(INDEX(tsk_Name,GanttView[[#This Row],[_Row]])="",TRUE()),"",INDEX(tsk_Status,GanttView[[#This Row],[_Row]]))</f>
        <v/>
      </c>
      <c r="L167" s="70" t="n">
        <f aca="false">ROW()-ROW(GanttView[[#Headers],[ID]])</f>
        <v>162</v>
      </c>
      <c r="M167" s="71" t="b">
        <f aca="false">IF(IFERROR(INDEX(tsk_Name,GanttView[[#This Row],[_Row]])="",TRUE()),FALSE(),INDEX(tsk_IsSummary,GanttView[[#This Row],[_Row]]))</f>
        <v>0</v>
      </c>
      <c r="N167" s="71" t="b">
        <f aca="false">IF(IFERROR(INDEX(tsk_Name,GanttView[[#This Row],[_Row]])="",TRUE()),FALSE(),AND(INDEX(tsk_IsLeaf,GanttView[[#This Row],[_Row]])=1,N(INDEX(tsk_Duration,GanttView[[#This Row],[_Row]]))=0))</f>
        <v>0</v>
      </c>
      <c r="O16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7" s="72" t="n">
        <f aca="false">IF(GanttView[[#This Row],[_RemFrom]]=0,0,GanttView[[#This Row],[Forecast Finish]])</f>
        <v>0</v>
      </c>
      <c r="S167" s="71" t="b">
        <f aca="false">IF(IFERROR(INDEX(tsk_Name,GanttView[[#This Row],[_Row]])="",TRUE()),FALSE(),N(INDEX(tsk_Variance,GanttView[[#This Row],[_Row]]))&gt;0)</f>
        <v>0</v>
      </c>
      <c r="T167" s="72" t="n">
        <f aca="false">IF(IFERROR(INDEX(tsk_Name,GanttView[[#This Row],[_Row]])="",TRUE()),0,N(INDEX(tsk_Deadline,GanttView[[#This Row],[_Row]])))</f>
        <v>0</v>
      </c>
    </row>
    <row r="168" customFormat="false" ht="15" hidden="false" customHeight="false" outlineLevel="0" collapsed="false">
      <c r="A168" s="65" t="str">
        <f aca="false">IF(IFERROR(INDEX(tsk_Name,GanttView[[#This Row],[_Row]])="",TRUE()),"",INDEX(tsk_ID,GanttView[[#This Row],[_Row]]))</f>
        <v/>
      </c>
      <c r="B168" s="65" t="str">
        <f aca="false">IF(IFERROR(INDEX(tsk_Name,GanttView[[#This Row],[_Row]])="",TRUE()),"",INDEX(tsk_WBS,GanttView[[#This Row],[_Row]]))</f>
        <v/>
      </c>
      <c r="C168" s="66" t="str">
        <f aca="false">IF(IFERROR(INDEX(tsk_Name,GanttView[[#This Row],[_Row]])="",TRUE()),"",REPT("    ",INDEX(tsk_Level,GanttView[[#This Row],[_Row]])-1)&amp;INDEX(tsk_Name,GanttView[[#This Row],[_Row]]))</f>
        <v/>
      </c>
      <c r="D16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8" s="67" t="str">
        <f aca="false">IF(IFERROR(INDEX(tsk_Name,GanttView[[#This Row],[_Row]])="",TRUE()),"",INDEX(tsk_PlanStart,GanttView[[#This Row],[_Row]]))</f>
        <v/>
      </c>
      <c r="F168" s="67" t="str">
        <f aca="false">IF(IFERROR(INDEX(tsk_Name,GanttView[[#This Row],[_Row]])="",TRUE()),"",INDEX(tsk_PlanFinish,GanttView[[#This Row],[_Row]]))</f>
        <v/>
      </c>
      <c r="G168" s="67" t="str">
        <f aca="false">IF(IFERROR(INDEX(tsk_Name,GanttView[[#This Row],[_Row]])="",TRUE()),"",INDEX(tsk_FcStart,GanttView[[#This Row],[_Row]]))</f>
        <v/>
      </c>
      <c r="H168" s="67" t="str">
        <f aca="false">IF(IFERROR(INDEX(tsk_Name,GanttView[[#This Row],[_Row]])="",TRUE()),"",INDEX(tsk_FcFinish,GanttView[[#This Row],[_Row]]))</f>
        <v/>
      </c>
      <c r="I168" s="68" t="str">
        <f aca="false">IF(IFERROR(INDEX(tsk_Name,GanttView[[#This Row],[_Row]])="",TRUE()),"",INDEX(tsk_Progress,GanttView[[#This Row],[_Row]]))</f>
        <v/>
      </c>
      <c r="J168" s="66" t="str">
        <f aca="false">IF(IFERROR(INDEX(tsk_Name,GanttView[[#This Row],[_Row]])="",TRUE()),"",INDEX(tsk_Resource,GanttView[[#This Row],[_Row]])&amp;"")</f>
        <v/>
      </c>
      <c r="K168" s="69" t="str">
        <f aca="false">IF(IFERROR(INDEX(tsk_Name,GanttView[[#This Row],[_Row]])="",TRUE()),"",INDEX(tsk_Status,GanttView[[#This Row],[_Row]]))</f>
        <v/>
      </c>
      <c r="L168" s="70" t="n">
        <f aca="false">ROW()-ROW(GanttView[[#Headers],[ID]])</f>
        <v>163</v>
      </c>
      <c r="M168" s="71" t="b">
        <f aca="false">IF(IFERROR(INDEX(tsk_Name,GanttView[[#This Row],[_Row]])="",TRUE()),FALSE(),INDEX(tsk_IsSummary,GanttView[[#This Row],[_Row]]))</f>
        <v>0</v>
      </c>
      <c r="N168" s="71" t="b">
        <f aca="false">IF(IFERROR(INDEX(tsk_Name,GanttView[[#This Row],[_Row]])="",TRUE()),FALSE(),AND(INDEX(tsk_IsLeaf,GanttView[[#This Row],[_Row]])=1,N(INDEX(tsk_Duration,GanttView[[#This Row],[_Row]]))=0))</f>
        <v>0</v>
      </c>
      <c r="O16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8" s="72" t="n">
        <f aca="false">IF(GanttView[[#This Row],[_RemFrom]]=0,0,GanttView[[#This Row],[Forecast Finish]])</f>
        <v>0</v>
      </c>
      <c r="S168" s="71" t="b">
        <f aca="false">IF(IFERROR(INDEX(tsk_Name,GanttView[[#This Row],[_Row]])="",TRUE()),FALSE(),N(INDEX(tsk_Variance,GanttView[[#This Row],[_Row]]))&gt;0)</f>
        <v>0</v>
      </c>
      <c r="T168" s="72" t="n">
        <f aca="false">IF(IFERROR(INDEX(tsk_Name,GanttView[[#This Row],[_Row]])="",TRUE()),0,N(INDEX(tsk_Deadline,GanttView[[#This Row],[_Row]])))</f>
        <v>0</v>
      </c>
    </row>
    <row r="169" customFormat="false" ht="15" hidden="false" customHeight="false" outlineLevel="0" collapsed="false">
      <c r="A169" s="65" t="str">
        <f aca="false">IF(IFERROR(INDEX(tsk_Name,GanttView[[#This Row],[_Row]])="",TRUE()),"",INDEX(tsk_ID,GanttView[[#This Row],[_Row]]))</f>
        <v/>
      </c>
      <c r="B169" s="65" t="str">
        <f aca="false">IF(IFERROR(INDEX(tsk_Name,GanttView[[#This Row],[_Row]])="",TRUE()),"",INDEX(tsk_WBS,GanttView[[#This Row],[_Row]]))</f>
        <v/>
      </c>
      <c r="C169" s="66" t="str">
        <f aca="false">IF(IFERROR(INDEX(tsk_Name,GanttView[[#This Row],[_Row]])="",TRUE()),"",REPT("    ",INDEX(tsk_Level,GanttView[[#This Row],[_Row]])-1)&amp;INDEX(tsk_Name,GanttView[[#This Row],[_Row]]))</f>
        <v/>
      </c>
      <c r="D16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9" s="67" t="str">
        <f aca="false">IF(IFERROR(INDEX(tsk_Name,GanttView[[#This Row],[_Row]])="",TRUE()),"",INDEX(tsk_PlanStart,GanttView[[#This Row],[_Row]]))</f>
        <v/>
      </c>
      <c r="F169" s="67" t="str">
        <f aca="false">IF(IFERROR(INDEX(tsk_Name,GanttView[[#This Row],[_Row]])="",TRUE()),"",INDEX(tsk_PlanFinish,GanttView[[#This Row],[_Row]]))</f>
        <v/>
      </c>
      <c r="G169" s="67" t="str">
        <f aca="false">IF(IFERROR(INDEX(tsk_Name,GanttView[[#This Row],[_Row]])="",TRUE()),"",INDEX(tsk_FcStart,GanttView[[#This Row],[_Row]]))</f>
        <v/>
      </c>
      <c r="H169" s="67" t="str">
        <f aca="false">IF(IFERROR(INDEX(tsk_Name,GanttView[[#This Row],[_Row]])="",TRUE()),"",INDEX(tsk_FcFinish,GanttView[[#This Row],[_Row]]))</f>
        <v/>
      </c>
      <c r="I169" s="68" t="str">
        <f aca="false">IF(IFERROR(INDEX(tsk_Name,GanttView[[#This Row],[_Row]])="",TRUE()),"",INDEX(tsk_Progress,GanttView[[#This Row],[_Row]]))</f>
        <v/>
      </c>
      <c r="J169" s="66" t="str">
        <f aca="false">IF(IFERROR(INDEX(tsk_Name,GanttView[[#This Row],[_Row]])="",TRUE()),"",INDEX(tsk_Resource,GanttView[[#This Row],[_Row]])&amp;"")</f>
        <v/>
      </c>
      <c r="K169" s="69" t="str">
        <f aca="false">IF(IFERROR(INDEX(tsk_Name,GanttView[[#This Row],[_Row]])="",TRUE()),"",INDEX(tsk_Status,GanttView[[#This Row],[_Row]]))</f>
        <v/>
      </c>
      <c r="L169" s="70" t="n">
        <f aca="false">ROW()-ROW(GanttView[[#Headers],[ID]])</f>
        <v>164</v>
      </c>
      <c r="M169" s="71" t="b">
        <f aca="false">IF(IFERROR(INDEX(tsk_Name,GanttView[[#This Row],[_Row]])="",TRUE()),FALSE(),INDEX(tsk_IsSummary,GanttView[[#This Row],[_Row]]))</f>
        <v>0</v>
      </c>
      <c r="N169" s="71" t="b">
        <f aca="false">IF(IFERROR(INDEX(tsk_Name,GanttView[[#This Row],[_Row]])="",TRUE()),FALSE(),AND(INDEX(tsk_IsLeaf,GanttView[[#This Row],[_Row]])=1,N(INDEX(tsk_Duration,GanttView[[#This Row],[_Row]]))=0))</f>
        <v>0</v>
      </c>
      <c r="O16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9" s="72" t="n">
        <f aca="false">IF(GanttView[[#This Row],[_RemFrom]]=0,0,GanttView[[#This Row],[Forecast Finish]])</f>
        <v>0</v>
      </c>
      <c r="S169" s="71" t="b">
        <f aca="false">IF(IFERROR(INDEX(tsk_Name,GanttView[[#This Row],[_Row]])="",TRUE()),FALSE(),N(INDEX(tsk_Variance,GanttView[[#This Row],[_Row]]))&gt;0)</f>
        <v>0</v>
      </c>
      <c r="T169" s="72" t="n">
        <f aca="false">IF(IFERROR(INDEX(tsk_Name,GanttView[[#This Row],[_Row]])="",TRUE()),0,N(INDEX(tsk_Deadline,GanttView[[#This Row],[_Row]])))</f>
        <v>0</v>
      </c>
    </row>
    <row r="170" customFormat="false" ht="15" hidden="false" customHeight="false" outlineLevel="0" collapsed="false">
      <c r="A170" s="65" t="str">
        <f aca="false">IF(IFERROR(INDEX(tsk_Name,GanttView[[#This Row],[_Row]])="",TRUE()),"",INDEX(tsk_ID,GanttView[[#This Row],[_Row]]))</f>
        <v/>
      </c>
      <c r="B170" s="65" t="str">
        <f aca="false">IF(IFERROR(INDEX(tsk_Name,GanttView[[#This Row],[_Row]])="",TRUE()),"",INDEX(tsk_WBS,GanttView[[#This Row],[_Row]]))</f>
        <v/>
      </c>
      <c r="C170" s="66" t="str">
        <f aca="false">IF(IFERROR(INDEX(tsk_Name,GanttView[[#This Row],[_Row]])="",TRUE()),"",REPT("    ",INDEX(tsk_Level,GanttView[[#This Row],[_Row]])-1)&amp;INDEX(tsk_Name,GanttView[[#This Row],[_Row]]))</f>
        <v/>
      </c>
      <c r="D17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0" s="67" t="str">
        <f aca="false">IF(IFERROR(INDEX(tsk_Name,GanttView[[#This Row],[_Row]])="",TRUE()),"",INDEX(tsk_PlanStart,GanttView[[#This Row],[_Row]]))</f>
        <v/>
      </c>
      <c r="F170" s="67" t="str">
        <f aca="false">IF(IFERROR(INDEX(tsk_Name,GanttView[[#This Row],[_Row]])="",TRUE()),"",INDEX(tsk_PlanFinish,GanttView[[#This Row],[_Row]]))</f>
        <v/>
      </c>
      <c r="G170" s="67" t="str">
        <f aca="false">IF(IFERROR(INDEX(tsk_Name,GanttView[[#This Row],[_Row]])="",TRUE()),"",INDEX(tsk_FcStart,GanttView[[#This Row],[_Row]]))</f>
        <v/>
      </c>
      <c r="H170" s="67" t="str">
        <f aca="false">IF(IFERROR(INDEX(tsk_Name,GanttView[[#This Row],[_Row]])="",TRUE()),"",INDEX(tsk_FcFinish,GanttView[[#This Row],[_Row]]))</f>
        <v/>
      </c>
      <c r="I170" s="68" t="str">
        <f aca="false">IF(IFERROR(INDEX(tsk_Name,GanttView[[#This Row],[_Row]])="",TRUE()),"",INDEX(tsk_Progress,GanttView[[#This Row],[_Row]]))</f>
        <v/>
      </c>
      <c r="J170" s="66" t="str">
        <f aca="false">IF(IFERROR(INDEX(tsk_Name,GanttView[[#This Row],[_Row]])="",TRUE()),"",INDEX(tsk_Resource,GanttView[[#This Row],[_Row]])&amp;"")</f>
        <v/>
      </c>
      <c r="K170" s="69" t="str">
        <f aca="false">IF(IFERROR(INDEX(tsk_Name,GanttView[[#This Row],[_Row]])="",TRUE()),"",INDEX(tsk_Status,GanttView[[#This Row],[_Row]]))</f>
        <v/>
      </c>
      <c r="L170" s="70" t="n">
        <f aca="false">ROW()-ROW(GanttView[[#Headers],[ID]])</f>
        <v>165</v>
      </c>
      <c r="M170" s="71" t="b">
        <f aca="false">IF(IFERROR(INDEX(tsk_Name,GanttView[[#This Row],[_Row]])="",TRUE()),FALSE(),INDEX(tsk_IsSummary,GanttView[[#This Row],[_Row]]))</f>
        <v>0</v>
      </c>
      <c r="N170" s="71" t="b">
        <f aca="false">IF(IFERROR(INDEX(tsk_Name,GanttView[[#This Row],[_Row]])="",TRUE()),FALSE(),AND(INDEX(tsk_IsLeaf,GanttView[[#This Row],[_Row]])=1,N(INDEX(tsk_Duration,GanttView[[#This Row],[_Row]]))=0))</f>
        <v>0</v>
      </c>
      <c r="O17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0" s="72" t="n">
        <f aca="false">IF(GanttView[[#This Row],[_RemFrom]]=0,0,GanttView[[#This Row],[Forecast Finish]])</f>
        <v>0</v>
      </c>
      <c r="S170" s="71" t="b">
        <f aca="false">IF(IFERROR(INDEX(tsk_Name,GanttView[[#This Row],[_Row]])="",TRUE()),FALSE(),N(INDEX(tsk_Variance,GanttView[[#This Row],[_Row]]))&gt;0)</f>
        <v>0</v>
      </c>
      <c r="T170" s="72" t="n">
        <f aca="false">IF(IFERROR(INDEX(tsk_Name,GanttView[[#This Row],[_Row]])="",TRUE()),0,N(INDEX(tsk_Deadline,GanttView[[#This Row],[_Row]])))</f>
        <v>0</v>
      </c>
    </row>
    <row r="171" customFormat="false" ht="15" hidden="false" customHeight="false" outlineLevel="0" collapsed="false">
      <c r="A171" s="65" t="str">
        <f aca="false">IF(IFERROR(INDEX(tsk_Name,GanttView[[#This Row],[_Row]])="",TRUE()),"",INDEX(tsk_ID,GanttView[[#This Row],[_Row]]))</f>
        <v/>
      </c>
      <c r="B171" s="65" t="str">
        <f aca="false">IF(IFERROR(INDEX(tsk_Name,GanttView[[#This Row],[_Row]])="",TRUE()),"",INDEX(tsk_WBS,GanttView[[#This Row],[_Row]]))</f>
        <v/>
      </c>
      <c r="C171" s="66" t="str">
        <f aca="false">IF(IFERROR(INDEX(tsk_Name,GanttView[[#This Row],[_Row]])="",TRUE()),"",REPT("    ",INDEX(tsk_Level,GanttView[[#This Row],[_Row]])-1)&amp;INDEX(tsk_Name,GanttView[[#This Row],[_Row]]))</f>
        <v/>
      </c>
      <c r="D17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1" s="67" t="str">
        <f aca="false">IF(IFERROR(INDEX(tsk_Name,GanttView[[#This Row],[_Row]])="",TRUE()),"",INDEX(tsk_PlanStart,GanttView[[#This Row],[_Row]]))</f>
        <v/>
      </c>
      <c r="F171" s="67" t="str">
        <f aca="false">IF(IFERROR(INDEX(tsk_Name,GanttView[[#This Row],[_Row]])="",TRUE()),"",INDEX(tsk_PlanFinish,GanttView[[#This Row],[_Row]]))</f>
        <v/>
      </c>
      <c r="G171" s="67" t="str">
        <f aca="false">IF(IFERROR(INDEX(tsk_Name,GanttView[[#This Row],[_Row]])="",TRUE()),"",INDEX(tsk_FcStart,GanttView[[#This Row],[_Row]]))</f>
        <v/>
      </c>
      <c r="H171" s="67" t="str">
        <f aca="false">IF(IFERROR(INDEX(tsk_Name,GanttView[[#This Row],[_Row]])="",TRUE()),"",INDEX(tsk_FcFinish,GanttView[[#This Row],[_Row]]))</f>
        <v/>
      </c>
      <c r="I171" s="68" t="str">
        <f aca="false">IF(IFERROR(INDEX(tsk_Name,GanttView[[#This Row],[_Row]])="",TRUE()),"",INDEX(tsk_Progress,GanttView[[#This Row],[_Row]]))</f>
        <v/>
      </c>
      <c r="J171" s="66" t="str">
        <f aca="false">IF(IFERROR(INDEX(tsk_Name,GanttView[[#This Row],[_Row]])="",TRUE()),"",INDEX(tsk_Resource,GanttView[[#This Row],[_Row]])&amp;"")</f>
        <v/>
      </c>
      <c r="K171" s="69" t="str">
        <f aca="false">IF(IFERROR(INDEX(tsk_Name,GanttView[[#This Row],[_Row]])="",TRUE()),"",INDEX(tsk_Status,GanttView[[#This Row],[_Row]]))</f>
        <v/>
      </c>
      <c r="L171" s="70" t="n">
        <f aca="false">ROW()-ROW(GanttView[[#Headers],[ID]])</f>
        <v>166</v>
      </c>
      <c r="M171" s="71" t="b">
        <f aca="false">IF(IFERROR(INDEX(tsk_Name,GanttView[[#This Row],[_Row]])="",TRUE()),FALSE(),INDEX(tsk_IsSummary,GanttView[[#This Row],[_Row]]))</f>
        <v>0</v>
      </c>
      <c r="N171" s="71" t="b">
        <f aca="false">IF(IFERROR(INDEX(tsk_Name,GanttView[[#This Row],[_Row]])="",TRUE()),FALSE(),AND(INDEX(tsk_IsLeaf,GanttView[[#This Row],[_Row]])=1,N(INDEX(tsk_Duration,GanttView[[#This Row],[_Row]]))=0))</f>
        <v>0</v>
      </c>
      <c r="O17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1" s="72" t="n">
        <f aca="false">IF(GanttView[[#This Row],[_RemFrom]]=0,0,GanttView[[#This Row],[Forecast Finish]])</f>
        <v>0</v>
      </c>
      <c r="S171" s="71" t="b">
        <f aca="false">IF(IFERROR(INDEX(tsk_Name,GanttView[[#This Row],[_Row]])="",TRUE()),FALSE(),N(INDEX(tsk_Variance,GanttView[[#This Row],[_Row]]))&gt;0)</f>
        <v>0</v>
      </c>
      <c r="T171" s="72" t="n">
        <f aca="false">IF(IFERROR(INDEX(tsk_Name,GanttView[[#This Row],[_Row]])="",TRUE()),0,N(INDEX(tsk_Deadline,GanttView[[#This Row],[_Row]])))</f>
        <v>0</v>
      </c>
    </row>
    <row r="172" customFormat="false" ht="15" hidden="false" customHeight="false" outlineLevel="0" collapsed="false">
      <c r="A172" s="65" t="str">
        <f aca="false">IF(IFERROR(INDEX(tsk_Name,GanttView[[#This Row],[_Row]])="",TRUE()),"",INDEX(tsk_ID,GanttView[[#This Row],[_Row]]))</f>
        <v/>
      </c>
      <c r="B172" s="65" t="str">
        <f aca="false">IF(IFERROR(INDEX(tsk_Name,GanttView[[#This Row],[_Row]])="",TRUE()),"",INDEX(tsk_WBS,GanttView[[#This Row],[_Row]]))</f>
        <v/>
      </c>
      <c r="C172" s="66" t="str">
        <f aca="false">IF(IFERROR(INDEX(tsk_Name,GanttView[[#This Row],[_Row]])="",TRUE()),"",REPT("    ",INDEX(tsk_Level,GanttView[[#This Row],[_Row]])-1)&amp;INDEX(tsk_Name,GanttView[[#This Row],[_Row]]))</f>
        <v/>
      </c>
      <c r="D17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2" s="67" t="str">
        <f aca="false">IF(IFERROR(INDEX(tsk_Name,GanttView[[#This Row],[_Row]])="",TRUE()),"",INDEX(tsk_PlanStart,GanttView[[#This Row],[_Row]]))</f>
        <v/>
      </c>
      <c r="F172" s="67" t="str">
        <f aca="false">IF(IFERROR(INDEX(tsk_Name,GanttView[[#This Row],[_Row]])="",TRUE()),"",INDEX(tsk_PlanFinish,GanttView[[#This Row],[_Row]]))</f>
        <v/>
      </c>
      <c r="G172" s="67" t="str">
        <f aca="false">IF(IFERROR(INDEX(tsk_Name,GanttView[[#This Row],[_Row]])="",TRUE()),"",INDEX(tsk_FcStart,GanttView[[#This Row],[_Row]]))</f>
        <v/>
      </c>
      <c r="H172" s="67" t="str">
        <f aca="false">IF(IFERROR(INDEX(tsk_Name,GanttView[[#This Row],[_Row]])="",TRUE()),"",INDEX(tsk_FcFinish,GanttView[[#This Row],[_Row]]))</f>
        <v/>
      </c>
      <c r="I172" s="68" t="str">
        <f aca="false">IF(IFERROR(INDEX(tsk_Name,GanttView[[#This Row],[_Row]])="",TRUE()),"",INDEX(tsk_Progress,GanttView[[#This Row],[_Row]]))</f>
        <v/>
      </c>
      <c r="J172" s="66" t="str">
        <f aca="false">IF(IFERROR(INDEX(tsk_Name,GanttView[[#This Row],[_Row]])="",TRUE()),"",INDEX(tsk_Resource,GanttView[[#This Row],[_Row]])&amp;"")</f>
        <v/>
      </c>
      <c r="K172" s="69" t="str">
        <f aca="false">IF(IFERROR(INDEX(tsk_Name,GanttView[[#This Row],[_Row]])="",TRUE()),"",INDEX(tsk_Status,GanttView[[#This Row],[_Row]]))</f>
        <v/>
      </c>
      <c r="L172" s="70" t="n">
        <f aca="false">ROW()-ROW(GanttView[[#Headers],[ID]])</f>
        <v>167</v>
      </c>
      <c r="M172" s="71" t="b">
        <f aca="false">IF(IFERROR(INDEX(tsk_Name,GanttView[[#This Row],[_Row]])="",TRUE()),FALSE(),INDEX(tsk_IsSummary,GanttView[[#This Row],[_Row]]))</f>
        <v>0</v>
      </c>
      <c r="N172" s="71" t="b">
        <f aca="false">IF(IFERROR(INDEX(tsk_Name,GanttView[[#This Row],[_Row]])="",TRUE()),FALSE(),AND(INDEX(tsk_IsLeaf,GanttView[[#This Row],[_Row]])=1,N(INDEX(tsk_Duration,GanttView[[#This Row],[_Row]]))=0))</f>
        <v>0</v>
      </c>
      <c r="O17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2" s="72" t="n">
        <f aca="false">IF(GanttView[[#This Row],[_RemFrom]]=0,0,GanttView[[#This Row],[Forecast Finish]])</f>
        <v>0</v>
      </c>
      <c r="S172" s="71" t="b">
        <f aca="false">IF(IFERROR(INDEX(tsk_Name,GanttView[[#This Row],[_Row]])="",TRUE()),FALSE(),N(INDEX(tsk_Variance,GanttView[[#This Row],[_Row]]))&gt;0)</f>
        <v>0</v>
      </c>
      <c r="T172" s="72" t="n">
        <f aca="false">IF(IFERROR(INDEX(tsk_Name,GanttView[[#This Row],[_Row]])="",TRUE()),0,N(INDEX(tsk_Deadline,GanttView[[#This Row],[_Row]])))</f>
        <v>0</v>
      </c>
    </row>
    <row r="173" customFormat="false" ht="15" hidden="false" customHeight="false" outlineLevel="0" collapsed="false">
      <c r="A173" s="65" t="str">
        <f aca="false">IF(IFERROR(INDEX(tsk_Name,GanttView[[#This Row],[_Row]])="",TRUE()),"",INDEX(tsk_ID,GanttView[[#This Row],[_Row]]))</f>
        <v/>
      </c>
      <c r="B173" s="65" t="str">
        <f aca="false">IF(IFERROR(INDEX(tsk_Name,GanttView[[#This Row],[_Row]])="",TRUE()),"",INDEX(tsk_WBS,GanttView[[#This Row],[_Row]]))</f>
        <v/>
      </c>
      <c r="C173" s="66" t="str">
        <f aca="false">IF(IFERROR(INDEX(tsk_Name,GanttView[[#This Row],[_Row]])="",TRUE()),"",REPT("    ",INDEX(tsk_Level,GanttView[[#This Row],[_Row]])-1)&amp;INDEX(tsk_Name,GanttView[[#This Row],[_Row]]))</f>
        <v/>
      </c>
      <c r="D17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3" s="67" t="str">
        <f aca="false">IF(IFERROR(INDEX(tsk_Name,GanttView[[#This Row],[_Row]])="",TRUE()),"",INDEX(tsk_PlanStart,GanttView[[#This Row],[_Row]]))</f>
        <v/>
      </c>
      <c r="F173" s="67" t="str">
        <f aca="false">IF(IFERROR(INDEX(tsk_Name,GanttView[[#This Row],[_Row]])="",TRUE()),"",INDEX(tsk_PlanFinish,GanttView[[#This Row],[_Row]]))</f>
        <v/>
      </c>
      <c r="G173" s="67" t="str">
        <f aca="false">IF(IFERROR(INDEX(tsk_Name,GanttView[[#This Row],[_Row]])="",TRUE()),"",INDEX(tsk_FcStart,GanttView[[#This Row],[_Row]]))</f>
        <v/>
      </c>
      <c r="H173" s="67" t="str">
        <f aca="false">IF(IFERROR(INDEX(tsk_Name,GanttView[[#This Row],[_Row]])="",TRUE()),"",INDEX(tsk_FcFinish,GanttView[[#This Row],[_Row]]))</f>
        <v/>
      </c>
      <c r="I173" s="68" t="str">
        <f aca="false">IF(IFERROR(INDEX(tsk_Name,GanttView[[#This Row],[_Row]])="",TRUE()),"",INDEX(tsk_Progress,GanttView[[#This Row],[_Row]]))</f>
        <v/>
      </c>
      <c r="J173" s="66" t="str">
        <f aca="false">IF(IFERROR(INDEX(tsk_Name,GanttView[[#This Row],[_Row]])="",TRUE()),"",INDEX(tsk_Resource,GanttView[[#This Row],[_Row]])&amp;"")</f>
        <v/>
      </c>
      <c r="K173" s="69" t="str">
        <f aca="false">IF(IFERROR(INDEX(tsk_Name,GanttView[[#This Row],[_Row]])="",TRUE()),"",INDEX(tsk_Status,GanttView[[#This Row],[_Row]]))</f>
        <v/>
      </c>
      <c r="L173" s="70" t="n">
        <f aca="false">ROW()-ROW(GanttView[[#Headers],[ID]])</f>
        <v>168</v>
      </c>
      <c r="M173" s="71" t="b">
        <f aca="false">IF(IFERROR(INDEX(tsk_Name,GanttView[[#This Row],[_Row]])="",TRUE()),FALSE(),INDEX(tsk_IsSummary,GanttView[[#This Row],[_Row]]))</f>
        <v>0</v>
      </c>
      <c r="N173" s="71" t="b">
        <f aca="false">IF(IFERROR(INDEX(tsk_Name,GanttView[[#This Row],[_Row]])="",TRUE()),FALSE(),AND(INDEX(tsk_IsLeaf,GanttView[[#This Row],[_Row]])=1,N(INDEX(tsk_Duration,GanttView[[#This Row],[_Row]]))=0))</f>
        <v>0</v>
      </c>
      <c r="O17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3" s="72" t="n">
        <f aca="false">IF(GanttView[[#This Row],[_RemFrom]]=0,0,GanttView[[#This Row],[Forecast Finish]])</f>
        <v>0</v>
      </c>
      <c r="S173" s="71" t="b">
        <f aca="false">IF(IFERROR(INDEX(tsk_Name,GanttView[[#This Row],[_Row]])="",TRUE()),FALSE(),N(INDEX(tsk_Variance,GanttView[[#This Row],[_Row]]))&gt;0)</f>
        <v>0</v>
      </c>
      <c r="T173" s="72" t="n">
        <f aca="false">IF(IFERROR(INDEX(tsk_Name,GanttView[[#This Row],[_Row]])="",TRUE()),0,N(INDEX(tsk_Deadline,GanttView[[#This Row],[_Row]])))</f>
        <v>0</v>
      </c>
    </row>
    <row r="174" customFormat="false" ht="15" hidden="false" customHeight="false" outlineLevel="0" collapsed="false">
      <c r="A174" s="65" t="str">
        <f aca="false">IF(IFERROR(INDEX(tsk_Name,GanttView[[#This Row],[_Row]])="",TRUE()),"",INDEX(tsk_ID,GanttView[[#This Row],[_Row]]))</f>
        <v/>
      </c>
      <c r="B174" s="65" t="str">
        <f aca="false">IF(IFERROR(INDEX(tsk_Name,GanttView[[#This Row],[_Row]])="",TRUE()),"",INDEX(tsk_WBS,GanttView[[#This Row],[_Row]]))</f>
        <v/>
      </c>
      <c r="C174" s="66" t="str">
        <f aca="false">IF(IFERROR(INDEX(tsk_Name,GanttView[[#This Row],[_Row]])="",TRUE()),"",REPT("    ",INDEX(tsk_Level,GanttView[[#This Row],[_Row]])-1)&amp;INDEX(tsk_Name,GanttView[[#This Row],[_Row]]))</f>
        <v/>
      </c>
      <c r="D17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4" s="67" t="str">
        <f aca="false">IF(IFERROR(INDEX(tsk_Name,GanttView[[#This Row],[_Row]])="",TRUE()),"",INDEX(tsk_PlanStart,GanttView[[#This Row],[_Row]]))</f>
        <v/>
      </c>
      <c r="F174" s="67" t="str">
        <f aca="false">IF(IFERROR(INDEX(tsk_Name,GanttView[[#This Row],[_Row]])="",TRUE()),"",INDEX(tsk_PlanFinish,GanttView[[#This Row],[_Row]]))</f>
        <v/>
      </c>
      <c r="G174" s="67" t="str">
        <f aca="false">IF(IFERROR(INDEX(tsk_Name,GanttView[[#This Row],[_Row]])="",TRUE()),"",INDEX(tsk_FcStart,GanttView[[#This Row],[_Row]]))</f>
        <v/>
      </c>
      <c r="H174" s="67" t="str">
        <f aca="false">IF(IFERROR(INDEX(tsk_Name,GanttView[[#This Row],[_Row]])="",TRUE()),"",INDEX(tsk_FcFinish,GanttView[[#This Row],[_Row]]))</f>
        <v/>
      </c>
      <c r="I174" s="68" t="str">
        <f aca="false">IF(IFERROR(INDEX(tsk_Name,GanttView[[#This Row],[_Row]])="",TRUE()),"",INDEX(tsk_Progress,GanttView[[#This Row],[_Row]]))</f>
        <v/>
      </c>
      <c r="J174" s="66" t="str">
        <f aca="false">IF(IFERROR(INDEX(tsk_Name,GanttView[[#This Row],[_Row]])="",TRUE()),"",INDEX(tsk_Resource,GanttView[[#This Row],[_Row]])&amp;"")</f>
        <v/>
      </c>
      <c r="K174" s="69" t="str">
        <f aca="false">IF(IFERROR(INDEX(tsk_Name,GanttView[[#This Row],[_Row]])="",TRUE()),"",INDEX(tsk_Status,GanttView[[#This Row],[_Row]]))</f>
        <v/>
      </c>
      <c r="L174" s="70" t="n">
        <f aca="false">ROW()-ROW(GanttView[[#Headers],[ID]])</f>
        <v>169</v>
      </c>
      <c r="M174" s="71" t="b">
        <f aca="false">IF(IFERROR(INDEX(tsk_Name,GanttView[[#This Row],[_Row]])="",TRUE()),FALSE(),INDEX(tsk_IsSummary,GanttView[[#This Row],[_Row]]))</f>
        <v>0</v>
      </c>
      <c r="N174" s="71" t="b">
        <f aca="false">IF(IFERROR(INDEX(tsk_Name,GanttView[[#This Row],[_Row]])="",TRUE()),FALSE(),AND(INDEX(tsk_IsLeaf,GanttView[[#This Row],[_Row]])=1,N(INDEX(tsk_Duration,GanttView[[#This Row],[_Row]]))=0))</f>
        <v>0</v>
      </c>
      <c r="O17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4" s="72" t="n">
        <f aca="false">IF(GanttView[[#This Row],[_RemFrom]]=0,0,GanttView[[#This Row],[Forecast Finish]])</f>
        <v>0</v>
      </c>
      <c r="S174" s="71" t="b">
        <f aca="false">IF(IFERROR(INDEX(tsk_Name,GanttView[[#This Row],[_Row]])="",TRUE()),FALSE(),N(INDEX(tsk_Variance,GanttView[[#This Row],[_Row]]))&gt;0)</f>
        <v>0</v>
      </c>
      <c r="T174" s="72" t="n">
        <f aca="false">IF(IFERROR(INDEX(tsk_Name,GanttView[[#This Row],[_Row]])="",TRUE()),0,N(INDEX(tsk_Deadline,GanttView[[#This Row],[_Row]])))</f>
        <v>0</v>
      </c>
    </row>
    <row r="175" customFormat="false" ht="15" hidden="false" customHeight="false" outlineLevel="0" collapsed="false">
      <c r="A175" s="65" t="str">
        <f aca="false">IF(IFERROR(INDEX(tsk_Name,GanttView[[#This Row],[_Row]])="",TRUE()),"",INDEX(tsk_ID,GanttView[[#This Row],[_Row]]))</f>
        <v/>
      </c>
      <c r="B175" s="65" t="str">
        <f aca="false">IF(IFERROR(INDEX(tsk_Name,GanttView[[#This Row],[_Row]])="",TRUE()),"",INDEX(tsk_WBS,GanttView[[#This Row],[_Row]]))</f>
        <v/>
      </c>
      <c r="C175" s="66" t="str">
        <f aca="false">IF(IFERROR(INDEX(tsk_Name,GanttView[[#This Row],[_Row]])="",TRUE()),"",REPT("    ",INDEX(tsk_Level,GanttView[[#This Row],[_Row]])-1)&amp;INDEX(tsk_Name,GanttView[[#This Row],[_Row]]))</f>
        <v/>
      </c>
      <c r="D17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5" s="67" t="str">
        <f aca="false">IF(IFERROR(INDEX(tsk_Name,GanttView[[#This Row],[_Row]])="",TRUE()),"",INDEX(tsk_PlanStart,GanttView[[#This Row],[_Row]]))</f>
        <v/>
      </c>
      <c r="F175" s="67" t="str">
        <f aca="false">IF(IFERROR(INDEX(tsk_Name,GanttView[[#This Row],[_Row]])="",TRUE()),"",INDEX(tsk_PlanFinish,GanttView[[#This Row],[_Row]]))</f>
        <v/>
      </c>
      <c r="G175" s="67" t="str">
        <f aca="false">IF(IFERROR(INDEX(tsk_Name,GanttView[[#This Row],[_Row]])="",TRUE()),"",INDEX(tsk_FcStart,GanttView[[#This Row],[_Row]]))</f>
        <v/>
      </c>
      <c r="H175" s="67" t="str">
        <f aca="false">IF(IFERROR(INDEX(tsk_Name,GanttView[[#This Row],[_Row]])="",TRUE()),"",INDEX(tsk_FcFinish,GanttView[[#This Row],[_Row]]))</f>
        <v/>
      </c>
      <c r="I175" s="68" t="str">
        <f aca="false">IF(IFERROR(INDEX(tsk_Name,GanttView[[#This Row],[_Row]])="",TRUE()),"",INDEX(tsk_Progress,GanttView[[#This Row],[_Row]]))</f>
        <v/>
      </c>
      <c r="J175" s="66" t="str">
        <f aca="false">IF(IFERROR(INDEX(tsk_Name,GanttView[[#This Row],[_Row]])="",TRUE()),"",INDEX(tsk_Resource,GanttView[[#This Row],[_Row]])&amp;"")</f>
        <v/>
      </c>
      <c r="K175" s="69" t="str">
        <f aca="false">IF(IFERROR(INDEX(tsk_Name,GanttView[[#This Row],[_Row]])="",TRUE()),"",INDEX(tsk_Status,GanttView[[#This Row],[_Row]]))</f>
        <v/>
      </c>
      <c r="L175" s="70" t="n">
        <f aca="false">ROW()-ROW(GanttView[[#Headers],[ID]])</f>
        <v>170</v>
      </c>
      <c r="M175" s="71" t="b">
        <f aca="false">IF(IFERROR(INDEX(tsk_Name,GanttView[[#This Row],[_Row]])="",TRUE()),FALSE(),INDEX(tsk_IsSummary,GanttView[[#This Row],[_Row]]))</f>
        <v>0</v>
      </c>
      <c r="N175" s="71" t="b">
        <f aca="false">IF(IFERROR(INDEX(tsk_Name,GanttView[[#This Row],[_Row]])="",TRUE()),FALSE(),AND(INDEX(tsk_IsLeaf,GanttView[[#This Row],[_Row]])=1,N(INDEX(tsk_Duration,GanttView[[#This Row],[_Row]]))=0))</f>
        <v>0</v>
      </c>
      <c r="O17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5" s="72" t="n">
        <f aca="false">IF(GanttView[[#This Row],[_RemFrom]]=0,0,GanttView[[#This Row],[Forecast Finish]])</f>
        <v>0</v>
      </c>
      <c r="S175" s="71" t="b">
        <f aca="false">IF(IFERROR(INDEX(tsk_Name,GanttView[[#This Row],[_Row]])="",TRUE()),FALSE(),N(INDEX(tsk_Variance,GanttView[[#This Row],[_Row]]))&gt;0)</f>
        <v>0</v>
      </c>
      <c r="T175" s="72" t="n">
        <f aca="false">IF(IFERROR(INDEX(tsk_Name,GanttView[[#This Row],[_Row]])="",TRUE()),0,N(INDEX(tsk_Deadline,GanttView[[#This Row],[_Row]])))</f>
        <v>0</v>
      </c>
    </row>
    <row r="176" customFormat="false" ht="15" hidden="false" customHeight="false" outlineLevel="0" collapsed="false">
      <c r="A176" s="65" t="str">
        <f aca="false">IF(IFERROR(INDEX(tsk_Name,GanttView[[#This Row],[_Row]])="",TRUE()),"",INDEX(tsk_ID,GanttView[[#This Row],[_Row]]))</f>
        <v/>
      </c>
      <c r="B176" s="65" t="str">
        <f aca="false">IF(IFERROR(INDEX(tsk_Name,GanttView[[#This Row],[_Row]])="",TRUE()),"",INDEX(tsk_WBS,GanttView[[#This Row],[_Row]]))</f>
        <v/>
      </c>
      <c r="C176" s="66" t="str">
        <f aca="false">IF(IFERROR(INDEX(tsk_Name,GanttView[[#This Row],[_Row]])="",TRUE()),"",REPT("    ",INDEX(tsk_Level,GanttView[[#This Row],[_Row]])-1)&amp;INDEX(tsk_Name,GanttView[[#This Row],[_Row]]))</f>
        <v/>
      </c>
      <c r="D17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6" s="67" t="str">
        <f aca="false">IF(IFERROR(INDEX(tsk_Name,GanttView[[#This Row],[_Row]])="",TRUE()),"",INDEX(tsk_PlanStart,GanttView[[#This Row],[_Row]]))</f>
        <v/>
      </c>
      <c r="F176" s="67" t="str">
        <f aca="false">IF(IFERROR(INDEX(tsk_Name,GanttView[[#This Row],[_Row]])="",TRUE()),"",INDEX(tsk_PlanFinish,GanttView[[#This Row],[_Row]]))</f>
        <v/>
      </c>
      <c r="G176" s="67" t="str">
        <f aca="false">IF(IFERROR(INDEX(tsk_Name,GanttView[[#This Row],[_Row]])="",TRUE()),"",INDEX(tsk_FcStart,GanttView[[#This Row],[_Row]]))</f>
        <v/>
      </c>
      <c r="H176" s="67" t="str">
        <f aca="false">IF(IFERROR(INDEX(tsk_Name,GanttView[[#This Row],[_Row]])="",TRUE()),"",INDEX(tsk_FcFinish,GanttView[[#This Row],[_Row]]))</f>
        <v/>
      </c>
      <c r="I176" s="68" t="str">
        <f aca="false">IF(IFERROR(INDEX(tsk_Name,GanttView[[#This Row],[_Row]])="",TRUE()),"",INDEX(tsk_Progress,GanttView[[#This Row],[_Row]]))</f>
        <v/>
      </c>
      <c r="J176" s="66" t="str">
        <f aca="false">IF(IFERROR(INDEX(tsk_Name,GanttView[[#This Row],[_Row]])="",TRUE()),"",INDEX(tsk_Resource,GanttView[[#This Row],[_Row]])&amp;"")</f>
        <v/>
      </c>
      <c r="K176" s="69" t="str">
        <f aca="false">IF(IFERROR(INDEX(tsk_Name,GanttView[[#This Row],[_Row]])="",TRUE()),"",INDEX(tsk_Status,GanttView[[#This Row],[_Row]]))</f>
        <v/>
      </c>
      <c r="L176" s="70" t="n">
        <f aca="false">ROW()-ROW(GanttView[[#Headers],[ID]])</f>
        <v>171</v>
      </c>
      <c r="M176" s="71" t="b">
        <f aca="false">IF(IFERROR(INDEX(tsk_Name,GanttView[[#This Row],[_Row]])="",TRUE()),FALSE(),INDEX(tsk_IsSummary,GanttView[[#This Row],[_Row]]))</f>
        <v>0</v>
      </c>
      <c r="N176" s="71" t="b">
        <f aca="false">IF(IFERROR(INDEX(tsk_Name,GanttView[[#This Row],[_Row]])="",TRUE()),FALSE(),AND(INDEX(tsk_IsLeaf,GanttView[[#This Row],[_Row]])=1,N(INDEX(tsk_Duration,GanttView[[#This Row],[_Row]]))=0))</f>
        <v>0</v>
      </c>
      <c r="O17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6" s="72" t="n">
        <f aca="false">IF(GanttView[[#This Row],[_RemFrom]]=0,0,GanttView[[#This Row],[Forecast Finish]])</f>
        <v>0</v>
      </c>
      <c r="S176" s="71" t="b">
        <f aca="false">IF(IFERROR(INDEX(tsk_Name,GanttView[[#This Row],[_Row]])="",TRUE()),FALSE(),N(INDEX(tsk_Variance,GanttView[[#This Row],[_Row]]))&gt;0)</f>
        <v>0</v>
      </c>
      <c r="T176" s="72" t="n">
        <f aca="false">IF(IFERROR(INDEX(tsk_Name,GanttView[[#This Row],[_Row]])="",TRUE()),0,N(INDEX(tsk_Deadline,GanttView[[#This Row],[_Row]])))</f>
        <v>0</v>
      </c>
    </row>
    <row r="177" customFormat="false" ht="15" hidden="false" customHeight="false" outlineLevel="0" collapsed="false">
      <c r="A177" s="65" t="str">
        <f aca="false">IF(IFERROR(INDEX(tsk_Name,GanttView[[#This Row],[_Row]])="",TRUE()),"",INDEX(tsk_ID,GanttView[[#This Row],[_Row]]))</f>
        <v/>
      </c>
      <c r="B177" s="65" t="str">
        <f aca="false">IF(IFERROR(INDEX(tsk_Name,GanttView[[#This Row],[_Row]])="",TRUE()),"",INDEX(tsk_WBS,GanttView[[#This Row],[_Row]]))</f>
        <v/>
      </c>
      <c r="C177" s="66" t="str">
        <f aca="false">IF(IFERROR(INDEX(tsk_Name,GanttView[[#This Row],[_Row]])="",TRUE()),"",REPT("    ",INDEX(tsk_Level,GanttView[[#This Row],[_Row]])-1)&amp;INDEX(tsk_Name,GanttView[[#This Row],[_Row]]))</f>
        <v/>
      </c>
      <c r="D17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7" s="67" t="str">
        <f aca="false">IF(IFERROR(INDEX(tsk_Name,GanttView[[#This Row],[_Row]])="",TRUE()),"",INDEX(tsk_PlanStart,GanttView[[#This Row],[_Row]]))</f>
        <v/>
      </c>
      <c r="F177" s="67" t="str">
        <f aca="false">IF(IFERROR(INDEX(tsk_Name,GanttView[[#This Row],[_Row]])="",TRUE()),"",INDEX(tsk_PlanFinish,GanttView[[#This Row],[_Row]]))</f>
        <v/>
      </c>
      <c r="G177" s="67" t="str">
        <f aca="false">IF(IFERROR(INDEX(tsk_Name,GanttView[[#This Row],[_Row]])="",TRUE()),"",INDEX(tsk_FcStart,GanttView[[#This Row],[_Row]]))</f>
        <v/>
      </c>
      <c r="H177" s="67" t="str">
        <f aca="false">IF(IFERROR(INDEX(tsk_Name,GanttView[[#This Row],[_Row]])="",TRUE()),"",INDEX(tsk_FcFinish,GanttView[[#This Row],[_Row]]))</f>
        <v/>
      </c>
      <c r="I177" s="68" t="str">
        <f aca="false">IF(IFERROR(INDEX(tsk_Name,GanttView[[#This Row],[_Row]])="",TRUE()),"",INDEX(tsk_Progress,GanttView[[#This Row],[_Row]]))</f>
        <v/>
      </c>
      <c r="J177" s="66" t="str">
        <f aca="false">IF(IFERROR(INDEX(tsk_Name,GanttView[[#This Row],[_Row]])="",TRUE()),"",INDEX(tsk_Resource,GanttView[[#This Row],[_Row]])&amp;"")</f>
        <v/>
      </c>
      <c r="K177" s="69" t="str">
        <f aca="false">IF(IFERROR(INDEX(tsk_Name,GanttView[[#This Row],[_Row]])="",TRUE()),"",INDEX(tsk_Status,GanttView[[#This Row],[_Row]]))</f>
        <v/>
      </c>
      <c r="L177" s="70" t="n">
        <f aca="false">ROW()-ROW(GanttView[[#Headers],[ID]])</f>
        <v>172</v>
      </c>
      <c r="M177" s="71" t="b">
        <f aca="false">IF(IFERROR(INDEX(tsk_Name,GanttView[[#This Row],[_Row]])="",TRUE()),FALSE(),INDEX(tsk_IsSummary,GanttView[[#This Row],[_Row]]))</f>
        <v>0</v>
      </c>
      <c r="N177" s="71" t="b">
        <f aca="false">IF(IFERROR(INDEX(tsk_Name,GanttView[[#This Row],[_Row]])="",TRUE()),FALSE(),AND(INDEX(tsk_IsLeaf,GanttView[[#This Row],[_Row]])=1,N(INDEX(tsk_Duration,GanttView[[#This Row],[_Row]]))=0))</f>
        <v>0</v>
      </c>
      <c r="O17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7" s="72" t="n">
        <f aca="false">IF(GanttView[[#This Row],[_RemFrom]]=0,0,GanttView[[#This Row],[Forecast Finish]])</f>
        <v>0</v>
      </c>
      <c r="S177" s="71" t="b">
        <f aca="false">IF(IFERROR(INDEX(tsk_Name,GanttView[[#This Row],[_Row]])="",TRUE()),FALSE(),N(INDEX(tsk_Variance,GanttView[[#This Row],[_Row]]))&gt;0)</f>
        <v>0</v>
      </c>
      <c r="T177" s="72" t="n">
        <f aca="false">IF(IFERROR(INDEX(tsk_Name,GanttView[[#This Row],[_Row]])="",TRUE()),0,N(INDEX(tsk_Deadline,GanttView[[#This Row],[_Row]])))</f>
        <v>0</v>
      </c>
    </row>
    <row r="178" customFormat="false" ht="15" hidden="false" customHeight="false" outlineLevel="0" collapsed="false">
      <c r="A178" s="65" t="str">
        <f aca="false">IF(IFERROR(INDEX(tsk_Name,GanttView[[#This Row],[_Row]])="",TRUE()),"",INDEX(tsk_ID,GanttView[[#This Row],[_Row]]))</f>
        <v/>
      </c>
      <c r="B178" s="65" t="str">
        <f aca="false">IF(IFERROR(INDEX(tsk_Name,GanttView[[#This Row],[_Row]])="",TRUE()),"",INDEX(tsk_WBS,GanttView[[#This Row],[_Row]]))</f>
        <v/>
      </c>
      <c r="C178" s="66" t="str">
        <f aca="false">IF(IFERROR(INDEX(tsk_Name,GanttView[[#This Row],[_Row]])="",TRUE()),"",REPT("    ",INDEX(tsk_Level,GanttView[[#This Row],[_Row]])-1)&amp;INDEX(tsk_Name,GanttView[[#This Row],[_Row]]))</f>
        <v/>
      </c>
      <c r="D17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8" s="67" t="str">
        <f aca="false">IF(IFERROR(INDEX(tsk_Name,GanttView[[#This Row],[_Row]])="",TRUE()),"",INDEX(tsk_PlanStart,GanttView[[#This Row],[_Row]]))</f>
        <v/>
      </c>
      <c r="F178" s="67" t="str">
        <f aca="false">IF(IFERROR(INDEX(tsk_Name,GanttView[[#This Row],[_Row]])="",TRUE()),"",INDEX(tsk_PlanFinish,GanttView[[#This Row],[_Row]]))</f>
        <v/>
      </c>
      <c r="G178" s="67" t="str">
        <f aca="false">IF(IFERROR(INDEX(tsk_Name,GanttView[[#This Row],[_Row]])="",TRUE()),"",INDEX(tsk_FcStart,GanttView[[#This Row],[_Row]]))</f>
        <v/>
      </c>
      <c r="H178" s="67" t="str">
        <f aca="false">IF(IFERROR(INDEX(tsk_Name,GanttView[[#This Row],[_Row]])="",TRUE()),"",INDEX(tsk_FcFinish,GanttView[[#This Row],[_Row]]))</f>
        <v/>
      </c>
      <c r="I178" s="68" t="str">
        <f aca="false">IF(IFERROR(INDEX(tsk_Name,GanttView[[#This Row],[_Row]])="",TRUE()),"",INDEX(tsk_Progress,GanttView[[#This Row],[_Row]]))</f>
        <v/>
      </c>
      <c r="J178" s="66" t="str">
        <f aca="false">IF(IFERROR(INDEX(tsk_Name,GanttView[[#This Row],[_Row]])="",TRUE()),"",INDEX(tsk_Resource,GanttView[[#This Row],[_Row]])&amp;"")</f>
        <v/>
      </c>
      <c r="K178" s="69" t="str">
        <f aca="false">IF(IFERROR(INDEX(tsk_Name,GanttView[[#This Row],[_Row]])="",TRUE()),"",INDEX(tsk_Status,GanttView[[#This Row],[_Row]]))</f>
        <v/>
      </c>
      <c r="L178" s="70" t="n">
        <f aca="false">ROW()-ROW(GanttView[[#Headers],[ID]])</f>
        <v>173</v>
      </c>
      <c r="M178" s="71" t="b">
        <f aca="false">IF(IFERROR(INDEX(tsk_Name,GanttView[[#This Row],[_Row]])="",TRUE()),FALSE(),INDEX(tsk_IsSummary,GanttView[[#This Row],[_Row]]))</f>
        <v>0</v>
      </c>
      <c r="N178" s="71" t="b">
        <f aca="false">IF(IFERROR(INDEX(tsk_Name,GanttView[[#This Row],[_Row]])="",TRUE()),FALSE(),AND(INDEX(tsk_IsLeaf,GanttView[[#This Row],[_Row]])=1,N(INDEX(tsk_Duration,GanttView[[#This Row],[_Row]]))=0))</f>
        <v>0</v>
      </c>
      <c r="O17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8" s="72" t="n">
        <f aca="false">IF(GanttView[[#This Row],[_RemFrom]]=0,0,GanttView[[#This Row],[Forecast Finish]])</f>
        <v>0</v>
      </c>
      <c r="S178" s="71" t="b">
        <f aca="false">IF(IFERROR(INDEX(tsk_Name,GanttView[[#This Row],[_Row]])="",TRUE()),FALSE(),N(INDEX(tsk_Variance,GanttView[[#This Row],[_Row]]))&gt;0)</f>
        <v>0</v>
      </c>
      <c r="T178" s="72" t="n">
        <f aca="false">IF(IFERROR(INDEX(tsk_Name,GanttView[[#This Row],[_Row]])="",TRUE()),0,N(INDEX(tsk_Deadline,GanttView[[#This Row],[_Row]])))</f>
        <v>0</v>
      </c>
    </row>
    <row r="179" customFormat="false" ht="15" hidden="false" customHeight="false" outlineLevel="0" collapsed="false">
      <c r="A179" s="65" t="str">
        <f aca="false">IF(IFERROR(INDEX(tsk_Name,GanttView[[#This Row],[_Row]])="",TRUE()),"",INDEX(tsk_ID,GanttView[[#This Row],[_Row]]))</f>
        <v/>
      </c>
      <c r="B179" s="65" t="str">
        <f aca="false">IF(IFERROR(INDEX(tsk_Name,GanttView[[#This Row],[_Row]])="",TRUE()),"",INDEX(tsk_WBS,GanttView[[#This Row],[_Row]]))</f>
        <v/>
      </c>
      <c r="C179" s="66" t="str">
        <f aca="false">IF(IFERROR(INDEX(tsk_Name,GanttView[[#This Row],[_Row]])="",TRUE()),"",REPT("    ",INDEX(tsk_Level,GanttView[[#This Row],[_Row]])-1)&amp;INDEX(tsk_Name,GanttView[[#This Row],[_Row]]))</f>
        <v/>
      </c>
      <c r="D17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9" s="67" t="str">
        <f aca="false">IF(IFERROR(INDEX(tsk_Name,GanttView[[#This Row],[_Row]])="",TRUE()),"",INDEX(tsk_PlanStart,GanttView[[#This Row],[_Row]]))</f>
        <v/>
      </c>
      <c r="F179" s="67" t="str">
        <f aca="false">IF(IFERROR(INDEX(tsk_Name,GanttView[[#This Row],[_Row]])="",TRUE()),"",INDEX(tsk_PlanFinish,GanttView[[#This Row],[_Row]]))</f>
        <v/>
      </c>
      <c r="G179" s="67" t="str">
        <f aca="false">IF(IFERROR(INDEX(tsk_Name,GanttView[[#This Row],[_Row]])="",TRUE()),"",INDEX(tsk_FcStart,GanttView[[#This Row],[_Row]]))</f>
        <v/>
      </c>
      <c r="H179" s="67" t="str">
        <f aca="false">IF(IFERROR(INDEX(tsk_Name,GanttView[[#This Row],[_Row]])="",TRUE()),"",INDEX(tsk_FcFinish,GanttView[[#This Row],[_Row]]))</f>
        <v/>
      </c>
      <c r="I179" s="68" t="str">
        <f aca="false">IF(IFERROR(INDEX(tsk_Name,GanttView[[#This Row],[_Row]])="",TRUE()),"",INDEX(tsk_Progress,GanttView[[#This Row],[_Row]]))</f>
        <v/>
      </c>
      <c r="J179" s="66" t="str">
        <f aca="false">IF(IFERROR(INDEX(tsk_Name,GanttView[[#This Row],[_Row]])="",TRUE()),"",INDEX(tsk_Resource,GanttView[[#This Row],[_Row]])&amp;"")</f>
        <v/>
      </c>
      <c r="K179" s="69" t="str">
        <f aca="false">IF(IFERROR(INDEX(tsk_Name,GanttView[[#This Row],[_Row]])="",TRUE()),"",INDEX(tsk_Status,GanttView[[#This Row],[_Row]]))</f>
        <v/>
      </c>
      <c r="L179" s="70" t="n">
        <f aca="false">ROW()-ROW(GanttView[[#Headers],[ID]])</f>
        <v>174</v>
      </c>
      <c r="M179" s="71" t="b">
        <f aca="false">IF(IFERROR(INDEX(tsk_Name,GanttView[[#This Row],[_Row]])="",TRUE()),FALSE(),INDEX(tsk_IsSummary,GanttView[[#This Row],[_Row]]))</f>
        <v>0</v>
      </c>
      <c r="N179" s="71" t="b">
        <f aca="false">IF(IFERROR(INDEX(tsk_Name,GanttView[[#This Row],[_Row]])="",TRUE()),FALSE(),AND(INDEX(tsk_IsLeaf,GanttView[[#This Row],[_Row]])=1,N(INDEX(tsk_Duration,GanttView[[#This Row],[_Row]]))=0))</f>
        <v>0</v>
      </c>
      <c r="O17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9" s="72" t="n">
        <f aca="false">IF(GanttView[[#This Row],[_RemFrom]]=0,0,GanttView[[#This Row],[Forecast Finish]])</f>
        <v>0</v>
      </c>
      <c r="S179" s="71" t="b">
        <f aca="false">IF(IFERROR(INDEX(tsk_Name,GanttView[[#This Row],[_Row]])="",TRUE()),FALSE(),N(INDEX(tsk_Variance,GanttView[[#This Row],[_Row]]))&gt;0)</f>
        <v>0</v>
      </c>
      <c r="T179" s="72" t="n">
        <f aca="false">IF(IFERROR(INDEX(tsk_Name,GanttView[[#This Row],[_Row]])="",TRUE()),0,N(INDEX(tsk_Deadline,GanttView[[#This Row],[_Row]])))</f>
        <v>0</v>
      </c>
    </row>
    <row r="180" customFormat="false" ht="15" hidden="false" customHeight="false" outlineLevel="0" collapsed="false">
      <c r="A180" s="65" t="str">
        <f aca="false">IF(IFERROR(INDEX(tsk_Name,GanttView[[#This Row],[_Row]])="",TRUE()),"",INDEX(tsk_ID,GanttView[[#This Row],[_Row]]))</f>
        <v/>
      </c>
      <c r="B180" s="65" t="str">
        <f aca="false">IF(IFERROR(INDEX(tsk_Name,GanttView[[#This Row],[_Row]])="",TRUE()),"",INDEX(tsk_WBS,GanttView[[#This Row],[_Row]]))</f>
        <v/>
      </c>
      <c r="C180" s="66" t="str">
        <f aca="false">IF(IFERROR(INDEX(tsk_Name,GanttView[[#This Row],[_Row]])="",TRUE()),"",REPT("    ",INDEX(tsk_Level,GanttView[[#This Row],[_Row]])-1)&amp;INDEX(tsk_Name,GanttView[[#This Row],[_Row]]))</f>
        <v/>
      </c>
      <c r="D18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0" s="67" t="str">
        <f aca="false">IF(IFERROR(INDEX(tsk_Name,GanttView[[#This Row],[_Row]])="",TRUE()),"",INDEX(tsk_PlanStart,GanttView[[#This Row],[_Row]]))</f>
        <v/>
      </c>
      <c r="F180" s="67" t="str">
        <f aca="false">IF(IFERROR(INDEX(tsk_Name,GanttView[[#This Row],[_Row]])="",TRUE()),"",INDEX(tsk_PlanFinish,GanttView[[#This Row],[_Row]]))</f>
        <v/>
      </c>
      <c r="G180" s="67" t="str">
        <f aca="false">IF(IFERROR(INDEX(tsk_Name,GanttView[[#This Row],[_Row]])="",TRUE()),"",INDEX(tsk_FcStart,GanttView[[#This Row],[_Row]]))</f>
        <v/>
      </c>
      <c r="H180" s="67" t="str">
        <f aca="false">IF(IFERROR(INDEX(tsk_Name,GanttView[[#This Row],[_Row]])="",TRUE()),"",INDEX(tsk_FcFinish,GanttView[[#This Row],[_Row]]))</f>
        <v/>
      </c>
      <c r="I180" s="68" t="str">
        <f aca="false">IF(IFERROR(INDEX(tsk_Name,GanttView[[#This Row],[_Row]])="",TRUE()),"",INDEX(tsk_Progress,GanttView[[#This Row],[_Row]]))</f>
        <v/>
      </c>
      <c r="J180" s="66" t="str">
        <f aca="false">IF(IFERROR(INDEX(tsk_Name,GanttView[[#This Row],[_Row]])="",TRUE()),"",INDEX(tsk_Resource,GanttView[[#This Row],[_Row]])&amp;"")</f>
        <v/>
      </c>
      <c r="K180" s="69" t="str">
        <f aca="false">IF(IFERROR(INDEX(tsk_Name,GanttView[[#This Row],[_Row]])="",TRUE()),"",INDEX(tsk_Status,GanttView[[#This Row],[_Row]]))</f>
        <v/>
      </c>
      <c r="L180" s="70" t="n">
        <f aca="false">ROW()-ROW(GanttView[[#Headers],[ID]])</f>
        <v>175</v>
      </c>
      <c r="M180" s="71" t="b">
        <f aca="false">IF(IFERROR(INDEX(tsk_Name,GanttView[[#This Row],[_Row]])="",TRUE()),FALSE(),INDEX(tsk_IsSummary,GanttView[[#This Row],[_Row]]))</f>
        <v>0</v>
      </c>
      <c r="N180" s="71" t="b">
        <f aca="false">IF(IFERROR(INDEX(tsk_Name,GanttView[[#This Row],[_Row]])="",TRUE()),FALSE(),AND(INDEX(tsk_IsLeaf,GanttView[[#This Row],[_Row]])=1,N(INDEX(tsk_Duration,GanttView[[#This Row],[_Row]]))=0))</f>
        <v>0</v>
      </c>
      <c r="O18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0" s="72" t="n">
        <f aca="false">IF(GanttView[[#This Row],[_RemFrom]]=0,0,GanttView[[#This Row],[Forecast Finish]])</f>
        <v>0</v>
      </c>
      <c r="S180" s="71" t="b">
        <f aca="false">IF(IFERROR(INDEX(tsk_Name,GanttView[[#This Row],[_Row]])="",TRUE()),FALSE(),N(INDEX(tsk_Variance,GanttView[[#This Row],[_Row]]))&gt;0)</f>
        <v>0</v>
      </c>
      <c r="T180" s="72" t="n">
        <f aca="false">IF(IFERROR(INDEX(tsk_Name,GanttView[[#This Row],[_Row]])="",TRUE()),0,N(INDEX(tsk_Deadline,GanttView[[#This Row],[_Row]])))</f>
        <v>0</v>
      </c>
    </row>
    <row r="181" customFormat="false" ht="15" hidden="false" customHeight="false" outlineLevel="0" collapsed="false">
      <c r="A181" s="65" t="str">
        <f aca="false">IF(IFERROR(INDEX(tsk_Name,GanttView[[#This Row],[_Row]])="",TRUE()),"",INDEX(tsk_ID,GanttView[[#This Row],[_Row]]))</f>
        <v/>
      </c>
      <c r="B181" s="65" t="str">
        <f aca="false">IF(IFERROR(INDEX(tsk_Name,GanttView[[#This Row],[_Row]])="",TRUE()),"",INDEX(tsk_WBS,GanttView[[#This Row],[_Row]]))</f>
        <v/>
      </c>
      <c r="C181" s="66" t="str">
        <f aca="false">IF(IFERROR(INDEX(tsk_Name,GanttView[[#This Row],[_Row]])="",TRUE()),"",REPT("    ",INDEX(tsk_Level,GanttView[[#This Row],[_Row]])-1)&amp;INDEX(tsk_Name,GanttView[[#This Row],[_Row]]))</f>
        <v/>
      </c>
      <c r="D18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1" s="67" t="str">
        <f aca="false">IF(IFERROR(INDEX(tsk_Name,GanttView[[#This Row],[_Row]])="",TRUE()),"",INDEX(tsk_PlanStart,GanttView[[#This Row],[_Row]]))</f>
        <v/>
      </c>
      <c r="F181" s="67" t="str">
        <f aca="false">IF(IFERROR(INDEX(tsk_Name,GanttView[[#This Row],[_Row]])="",TRUE()),"",INDEX(tsk_PlanFinish,GanttView[[#This Row],[_Row]]))</f>
        <v/>
      </c>
      <c r="G181" s="67" t="str">
        <f aca="false">IF(IFERROR(INDEX(tsk_Name,GanttView[[#This Row],[_Row]])="",TRUE()),"",INDEX(tsk_FcStart,GanttView[[#This Row],[_Row]]))</f>
        <v/>
      </c>
      <c r="H181" s="67" t="str">
        <f aca="false">IF(IFERROR(INDEX(tsk_Name,GanttView[[#This Row],[_Row]])="",TRUE()),"",INDEX(tsk_FcFinish,GanttView[[#This Row],[_Row]]))</f>
        <v/>
      </c>
      <c r="I181" s="68" t="str">
        <f aca="false">IF(IFERROR(INDEX(tsk_Name,GanttView[[#This Row],[_Row]])="",TRUE()),"",INDEX(tsk_Progress,GanttView[[#This Row],[_Row]]))</f>
        <v/>
      </c>
      <c r="J181" s="66" t="str">
        <f aca="false">IF(IFERROR(INDEX(tsk_Name,GanttView[[#This Row],[_Row]])="",TRUE()),"",INDEX(tsk_Resource,GanttView[[#This Row],[_Row]])&amp;"")</f>
        <v/>
      </c>
      <c r="K181" s="69" t="str">
        <f aca="false">IF(IFERROR(INDEX(tsk_Name,GanttView[[#This Row],[_Row]])="",TRUE()),"",INDEX(tsk_Status,GanttView[[#This Row],[_Row]]))</f>
        <v/>
      </c>
      <c r="L181" s="70" t="n">
        <f aca="false">ROW()-ROW(GanttView[[#Headers],[ID]])</f>
        <v>176</v>
      </c>
      <c r="M181" s="71" t="b">
        <f aca="false">IF(IFERROR(INDEX(tsk_Name,GanttView[[#This Row],[_Row]])="",TRUE()),FALSE(),INDEX(tsk_IsSummary,GanttView[[#This Row],[_Row]]))</f>
        <v>0</v>
      </c>
      <c r="N181" s="71" t="b">
        <f aca="false">IF(IFERROR(INDEX(tsk_Name,GanttView[[#This Row],[_Row]])="",TRUE()),FALSE(),AND(INDEX(tsk_IsLeaf,GanttView[[#This Row],[_Row]])=1,N(INDEX(tsk_Duration,GanttView[[#This Row],[_Row]]))=0))</f>
        <v>0</v>
      </c>
      <c r="O18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1" s="72" t="n">
        <f aca="false">IF(GanttView[[#This Row],[_RemFrom]]=0,0,GanttView[[#This Row],[Forecast Finish]])</f>
        <v>0</v>
      </c>
      <c r="S181" s="71" t="b">
        <f aca="false">IF(IFERROR(INDEX(tsk_Name,GanttView[[#This Row],[_Row]])="",TRUE()),FALSE(),N(INDEX(tsk_Variance,GanttView[[#This Row],[_Row]]))&gt;0)</f>
        <v>0</v>
      </c>
      <c r="T181" s="72" t="n">
        <f aca="false">IF(IFERROR(INDEX(tsk_Name,GanttView[[#This Row],[_Row]])="",TRUE()),0,N(INDEX(tsk_Deadline,GanttView[[#This Row],[_Row]])))</f>
        <v>0</v>
      </c>
    </row>
    <row r="182" customFormat="false" ht="15" hidden="false" customHeight="false" outlineLevel="0" collapsed="false">
      <c r="A182" s="65" t="str">
        <f aca="false">IF(IFERROR(INDEX(tsk_Name,GanttView[[#This Row],[_Row]])="",TRUE()),"",INDEX(tsk_ID,GanttView[[#This Row],[_Row]]))</f>
        <v/>
      </c>
      <c r="B182" s="65" t="str">
        <f aca="false">IF(IFERROR(INDEX(tsk_Name,GanttView[[#This Row],[_Row]])="",TRUE()),"",INDEX(tsk_WBS,GanttView[[#This Row],[_Row]]))</f>
        <v/>
      </c>
      <c r="C182" s="66" t="str">
        <f aca="false">IF(IFERROR(INDEX(tsk_Name,GanttView[[#This Row],[_Row]])="",TRUE()),"",REPT("    ",INDEX(tsk_Level,GanttView[[#This Row],[_Row]])-1)&amp;INDEX(tsk_Name,GanttView[[#This Row],[_Row]]))</f>
        <v/>
      </c>
      <c r="D18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2" s="67" t="str">
        <f aca="false">IF(IFERROR(INDEX(tsk_Name,GanttView[[#This Row],[_Row]])="",TRUE()),"",INDEX(tsk_PlanStart,GanttView[[#This Row],[_Row]]))</f>
        <v/>
      </c>
      <c r="F182" s="67" t="str">
        <f aca="false">IF(IFERROR(INDEX(tsk_Name,GanttView[[#This Row],[_Row]])="",TRUE()),"",INDEX(tsk_PlanFinish,GanttView[[#This Row],[_Row]]))</f>
        <v/>
      </c>
      <c r="G182" s="67" t="str">
        <f aca="false">IF(IFERROR(INDEX(tsk_Name,GanttView[[#This Row],[_Row]])="",TRUE()),"",INDEX(tsk_FcStart,GanttView[[#This Row],[_Row]]))</f>
        <v/>
      </c>
      <c r="H182" s="67" t="str">
        <f aca="false">IF(IFERROR(INDEX(tsk_Name,GanttView[[#This Row],[_Row]])="",TRUE()),"",INDEX(tsk_FcFinish,GanttView[[#This Row],[_Row]]))</f>
        <v/>
      </c>
      <c r="I182" s="68" t="str">
        <f aca="false">IF(IFERROR(INDEX(tsk_Name,GanttView[[#This Row],[_Row]])="",TRUE()),"",INDEX(tsk_Progress,GanttView[[#This Row],[_Row]]))</f>
        <v/>
      </c>
      <c r="J182" s="66" t="str">
        <f aca="false">IF(IFERROR(INDEX(tsk_Name,GanttView[[#This Row],[_Row]])="",TRUE()),"",INDEX(tsk_Resource,GanttView[[#This Row],[_Row]])&amp;"")</f>
        <v/>
      </c>
      <c r="K182" s="69" t="str">
        <f aca="false">IF(IFERROR(INDEX(tsk_Name,GanttView[[#This Row],[_Row]])="",TRUE()),"",INDEX(tsk_Status,GanttView[[#This Row],[_Row]]))</f>
        <v/>
      </c>
      <c r="L182" s="70" t="n">
        <f aca="false">ROW()-ROW(GanttView[[#Headers],[ID]])</f>
        <v>177</v>
      </c>
      <c r="M182" s="71" t="b">
        <f aca="false">IF(IFERROR(INDEX(tsk_Name,GanttView[[#This Row],[_Row]])="",TRUE()),FALSE(),INDEX(tsk_IsSummary,GanttView[[#This Row],[_Row]]))</f>
        <v>0</v>
      </c>
      <c r="N182" s="71" t="b">
        <f aca="false">IF(IFERROR(INDEX(tsk_Name,GanttView[[#This Row],[_Row]])="",TRUE()),FALSE(),AND(INDEX(tsk_IsLeaf,GanttView[[#This Row],[_Row]])=1,N(INDEX(tsk_Duration,GanttView[[#This Row],[_Row]]))=0))</f>
        <v>0</v>
      </c>
      <c r="O18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2" s="72" t="n">
        <f aca="false">IF(GanttView[[#This Row],[_RemFrom]]=0,0,GanttView[[#This Row],[Forecast Finish]])</f>
        <v>0</v>
      </c>
      <c r="S182" s="71" t="b">
        <f aca="false">IF(IFERROR(INDEX(tsk_Name,GanttView[[#This Row],[_Row]])="",TRUE()),FALSE(),N(INDEX(tsk_Variance,GanttView[[#This Row],[_Row]]))&gt;0)</f>
        <v>0</v>
      </c>
      <c r="T182" s="72" t="n">
        <f aca="false">IF(IFERROR(INDEX(tsk_Name,GanttView[[#This Row],[_Row]])="",TRUE()),0,N(INDEX(tsk_Deadline,GanttView[[#This Row],[_Row]])))</f>
        <v>0</v>
      </c>
    </row>
    <row r="183" customFormat="false" ht="15" hidden="false" customHeight="false" outlineLevel="0" collapsed="false">
      <c r="A183" s="65" t="str">
        <f aca="false">IF(IFERROR(INDEX(tsk_Name,GanttView[[#This Row],[_Row]])="",TRUE()),"",INDEX(tsk_ID,GanttView[[#This Row],[_Row]]))</f>
        <v/>
      </c>
      <c r="B183" s="65" t="str">
        <f aca="false">IF(IFERROR(INDEX(tsk_Name,GanttView[[#This Row],[_Row]])="",TRUE()),"",INDEX(tsk_WBS,GanttView[[#This Row],[_Row]]))</f>
        <v/>
      </c>
      <c r="C183" s="66" t="str">
        <f aca="false">IF(IFERROR(INDEX(tsk_Name,GanttView[[#This Row],[_Row]])="",TRUE()),"",REPT("    ",INDEX(tsk_Level,GanttView[[#This Row],[_Row]])-1)&amp;INDEX(tsk_Name,GanttView[[#This Row],[_Row]]))</f>
        <v/>
      </c>
      <c r="D18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3" s="67" t="str">
        <f aca="false">IF(IFERROR(INDEX(tsk_Name,GanttView[[#This Row],[_Row]])="",TRUE()),"",INDEX(tsk_PlanStart,GanttView[[#This Row],[_Row]]))</f>
        <v/>
      </c>
      <c r="F183" s="67" t="str">
        <f aca="false">IF(IFERROR(INDEX(tsk_Name,GanttView[[#This Row],[_Row]])="",TRUE()),"",INDEX(tsk_PlanFinish,GanttView[[#This Row],[_Row]]))</f>
        <v/>
      </c>
      <c r="G183" s="67" t="str">
        <f aca="false">IF(IFERROR(INDEX(tsk_Name,GanttView[[#This Row],[_Row]])="",TRUE()),"",INDEX(tsk_FcStart,GanttView[[#This Row],[_Row]]))</f>
        <v/>
      </c>
      <c r="H183" s="67" t="str">
        <f aca="false">IF(IFERROR(INDEX(tsk_Name,GanttView[[#This Row],[_Row]])="",TRUE()),"",INDEX(tsk_FcFinish,GanttView[[#This Row],[_Row]]))</f>
        <v/>
      </c>
      <c r="I183" s="68" t="str">
        <f aca="false">IF(IFERROR(INDEX(tsk_Name,GanttView[[#This Row],[_Row]])="",TRUE()),"",INDEX(tsk_Progress,GanttView[[#This Row],[_Row]]))</f>
        <v/>
      </c>
      <c r="J183" s="66" t="str">
        <f aca="false">IF(IFERROR(INDEX(tsk_Name,GanttView[[#This Row],[_Row]])="",TRUE()),"",INDEX(tsk_Resource,GanttView[[#This Row],[_Row]])&amp;"")</f>
        <v/>
      </c>
      <c r="K183" s="69" t="str">
        <f aca="false">IF(IFERROR(INDEX(tsk_Name,GanttView[[#This Row],[_Row]])="",TRUE()),"",INDEX(tsk_Status,GanttView[[#This Row],[_Row]]))</f>
        <v/>
      </c>
      <c r="L183" s="70" t="n">
        <f aca="false">ROW()-ROW(GanttView[[#Headers],[ID]])</f>
        <v>178</v>
      </c>
      <c r="M183" s="71" t="b">
        <f aca="false">IF(IFERROR(INDEX(tsk_Name,GanttView[[#This Row],[_Row]])="",TRUE()),FALSE(),INDEX(tsk_IsSummary,GanttView[[#This Row],[_Row]]))</f>
        <v>0</v>
      </c>
      <c r="N183" s="71" t="b">
        <f aca="false">IF(IFERROR(INDEX(tsk_Name,GanttView[[#This Row],[_Row]])="",TRUE()),FALSE(),AND(INDEX(tsk_IsLeaf,GanttView[[#This Row],[_Row]])=1,N(INDEX(tsk_Duration,GanttView[[#This Row],[_Row]]))=0))</f>
        <v>0</v>
      </c>
      <c r="O18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3" s="72" t="n">
        <f aca="false">IF(GanttView[[#This Row],[_RemFrom]]=0,0,GanttView[[#This Row],[Forecast Finish]])</f>
        <v>0</v>
      </c>
      <c r="S183" s="71" t="b">
        <f aca="false">IF(IFERROR(INDEX(tsk_Name,GanttView[[#This Row],[_Row]])="",TRUE()),FALSE(),N(INDEX(tsk_Variance,GanttView[[#This Row],[_Row]]))&gt;0)</f>
        <v>0</v>
      </c>
      <c r="T183" s="72" t="n">
        <f aca="false">IF(IFERROR(INDEX(tsk_Name,GanttView[[#This Row],[_Row]])="",TRUE()),0,N(INDEX(tsk_Deadline,GanttView[[#This Row],[_Row]])))</f>
        <v>0</v>
      </c>
    </row>
    <row r="184" customFormat="false" ht="15" hidden="false" customHeight="false" outlineLevel="0" collapsed="false">
      <c r="A184" s="65" t="str">
        <f aca="false">IF(IFERROR(INDEX(tsk_Name,GanttView[[#This Row],[_Row]])="",TRUE()),"",INDEX(tsk_ID,GanttView[[#This Row],[_Row]]))</f>
        <v/>
      </c>
      <c r="B184" s="65" t="str">
        <f aca="false">IF(IFERROR(INDEX(tsk_Name,GanttView[[#This Row],[_Row]])="",TRUE()),"",INDEX(tsk_WBS,GanttView[[#This Row],[_Row]]))</f>
        <v/>
      </c>
      <c r="C184" s="66" t="str">
        <f aca="false">IF(IFERROR(INDEX(tsk_Name,GanttView[[#This Row],[_Row]])="",TRUE()),"",REPT("    ",INDEX(tsk_Level,GanttView[[#This Row],[_Row]])-1)&amp;INDEX(tsk_Name,GanttView[[#This Row],[_Row]]))</f>
        <v/>
      </c>
      <c r="D18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4" s="67" t="str">
        <f aca="false">IF(IFERROR(INDEX(tsk_Name,GanttView[[#This Row],[_Row]])="",TRUE()),"",INDEX(tsk_PlanStart,GanttView[[#This Row],[_Row]]))</f>
        <v/>
      </c>
      <c r="F184" s="67" t="str">
        <f aca="false">IF(IFERROR(INDEX(tsk_Name,GanttView[[#This Row],[_Row]])="",TRUE()),"",INDEX(tsk_PlanFinish,GanttView[[#This Row],[_Row]]))</f>
        <v/>
      </c>
      <c r="G184" s="67" t="str">
        <f aca="false">IF(IFERROR(INDEX(tsk_Name,GanttView[[#This Row],[_Row]])="",TRUE()),"",INDEX(tsk_FcStart,GanttView[[#This Row],[_Row]]))</f>
        <v/>
      </c>
      <c r="H184" s="67" t="str">
        <f aca="false">IF(IFERROR(INDEX(tsk_Name,GanttView[[#This Row],[_Row]])="",TRUE()),"",INDEX(tsk_FcFinish,GanttView[[#This Row],[_Row]]))</f>
        <v/>
      </c>
      <c r="I184" s="68" t="str">
        <f aca="false">IF(IFERROR(INDEX(tsk_Name,GanttView[[#This Row],[_Row]])="",TRUE()),"",INDEX(tsk_Progress,GanttView[[#This Row],[_Row]]))</f>
        <v/>
      </c>
      <c r="J184" s="66" t="str">
        <f aca="false">IF(IFERROR(INDEX(tsk_Name,GanttView[[#This Row],[_Row]])="",TRUE()),"",INDEX(tsk_Resource,GanttView[[#This Row],[_Row]])&amp;"")</f>
        <v/>
      </c>
      <c r="K184" s="69" t="str">
        <f aca="false">IF(IFERROR(INDEX(tsk_Name,GanttView[[#This Row],[_Row]])="",TRUE()),"",INDEX(tsk_Status,GanttView[[#This Row],[_Row]]))</f>
        <v/>
      </c>
      <c r="L184" s="70" t="n">
        <f aca="false">ROW()-ROW(GanttView[[#Headers],[ID]])</f>
        <v>179</v>
      </c>
      <c r="M184" s="71" t="b">
        <f aca="false">IF(IFERROR(INDEX(tsk_Name,GanttView[[#This Row],[_Row]])="",TRUE()),FALSE(),INDEX(tsk_IsSummary,GanttView[[#This Row],[_Row]]))</f>
        <v>0</v>
      </c>
      <c r="N184" s="71" t="b">
        <f aca="false">IF(IFERROR(INDEX(tsk_Name,GanttView[[#This Row],[_Row]])="",TRUE()),FALSE(),AND(INDEX(tsk_IsLeaf,GanttView[[#This Row],[_Row]])=1,N(INDEX(tsk_Duration,GanttView[[#This Row],[_Row]]))=0))</f>
        <v>0</v>
      </c>
      <c r="O18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4" s="72" t="n">
        <f aca="false">IF(GanttView[[#This Row],[_RemFrom]]=0,0,GanttView[[#This Row],[Forecast Finish]])</f>
        <v>0</v>
      </c>
      <c r="S184" s="71" t="b">
        <f aca="false">IF(IFERROR(INDEX(tsk_Name,GanttView[[#This Row],[_Row]])="",TRUE()),FALSE(),N(INDEX(tsk_Variance,GanttView[[#This Row],[_Row]]))&gt;0)</f>
        <v>0</v>
      </c>
      <c r="T184" s="72" t="n">
        <f aca="false">IF(IFERROR(INDEX(tsk_Name,GanttView[[#This Row],[_Row]])="",TRUE()),0,N(INDEX(tsk_Deadline,GanttView[[#This Row],[_Row]])))</f>
        <v>0</v>
      </c>
    </row>
    <row r="185" customFormat="false" ht="15" hidden="false" customHeight="false" outlineLevel="0" collapsed="false">
      <c r="A185" s="65" t="str">
        <f aca="false">IF(IFERROR(INDEX(tsk_Name,GanttView[[#This Row],[_Row]])="",TRUE()),"",INDEX(tsk_ID,GanttView[[#This Row],[_Row]]))</f>
        <v/>
      </c>
      <c r="B185" s="65" t="str">
        <f aca="false">IF(IFERROR(INDEX(tsk_Name,GanttView[[#This Row],[_Row]])="",TRUE()),"",INDEX(tsk_WBS,GanttView[[#This Row],[_Row]]))</f>
        <v/>
      </c>
      <c r="C185" s="66" t="str">
        <f aca="false">IF(IFERROR(INDEX(tsk_Name,GanttView[[#This Row],[_Row]])="",TRUE()),"",REPT("    ",INDEX(tsk_Level,GanttView[[#This Row],[_Row]])-1)&amp;INDEX(tsk_Name,GanttView[[#This Row],[_Row]]))</f>
        <v/>
      </c>
      <c r="D18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5" s="67" t="str">
        <f aca="false">IF(IFERROR(INDEX(tsk_Name,GanttView[[#This Row],[_Row]])="",TRUE()),"",INDEX(tsk_PlanStart,GanttView[[#This Row],[_Row]]))</f>
        <v/>
      </c>
      <c r="F185" s="67" t="str">
        <f aca="false">IF(IFERROR(INDEX(tsk_Name,GanttView[[#This Row],[_Row]])="",TRUE()),"",INDEX(tsk_PlanFinish,GanttView[[#This Row],[_Row]]))</f>
        <v/>
      </c>
      <c r="G185" s="67" t="str">
        <f aca="false">IF(IFERROR(INDEX(tsk_Name,GanttView[[#This Row],[_Row]])="",TRUE()),"",INDEX(tsk_FcStart,GanttView[[#This Row],[_Row]]))</f>
        <v/>
      </c>
      <c r="H185" s="67" t="str">
        <f aca="false">IF(IFERROR(INDEX(tsk_Name,GanttView[[#This Row],[_Row]])="",TRUE()),"",INDEX(tsk_FcFinish,GanttView[[#This Row],[_Row]]))</f>
        <v/>
      </c>
      <c r="I185" s="68" t="str">
        <f aca="false">IF(IFERROR(INDEX(tsk_Name,GanttView[[#This Row],[_Row]])="",TRUE()),"",INDEX(tsk_Progress,GanttView[[#This Row],[_Row]]))</f>
        <v/>
      </c>
      <c r="J185" s="66" t="str">
        <f aca="false">IF(IFERROR(INDEX(tsk_Name,GanttView[[#This Row],[_Row]])="",TRUE()),"",INDEX(tsk_Resource,GanttView[[#This Row],[_Row]])&amp;"")</f>
        <v/>
      </c>
      <c r="K185" s="69" t="str">
        <f aca="false">IF(IFERROR(INDEX(tsk_Name,GanttView[[#This Row],[_Row]])="",TRUE()),"",INDEX(tsk_Status,GanttView[[#This Row],[_Row]]))</f>
        <v/>
      </c>
      <c r="L185" s="70" t="n">
        <f aca="false">ROW()-ROW(GanttView[[#Headers],[ID]])</f>
        <v>180</v>
      </c>
      <c r="M185" s="71" t="b">
        <f aca="false">IF(IFERROR(INDEX(tsk_Name,GanttView[[#This Row],[_Row]])="",TRUE()),FALSE(),INDEX(tsk_IsSummary,GanttView[[#This Row],[_Row]]))</f>
        <v>0</v>
      </c>
      <c r="N185" s="71" t="b">
        <f aca="false">IF(IFERROR(INDEX(tsk_Name,GanttView[[#This Row],[_Row]])="",TRUE()),FALSE(),AND(INDEX(tsk_IsLeaf,GanttView[[#This Row],[_Row]])=1,N(INDEX(tsk_Duration,GanttView[[#This Row],[_Row]]))=0))</f>
        <v>0</v>
      </c>
      <c r="O18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5" s="72" t="n">
        <f aca="false">IF(GanttView[[#This Row],[_RemFrom]]=0,0,GanttView[[#This Row],[Forecast Finish]])</f>
        <v>0</v>
      </c>
      <c r="S185" s="71" t="b">
        <f aca="false">IF(IFERROR(INDEX(tsk_Name,GanttView[[#This Row],[_Row]])="",TRUE()),FALSE(),N(INDEX(tsk_Variance,GanttView[[#This Row],[_Row]]))&gt;0)</f>
        <v>0</v>
      </c>
      <c r="T185" s="72" t="n">
        <f aca="false">IF(IFERROR(INDEX(tsk_Name,GanttView[[#This Row],[_Row]])="",TRUE()),0,N(INDEX(tsk_Deadline,GanttView[[#This Row],[_Row]])))</f>
        <v>0</v>
      </c>
    </row>
    <row r="186" customFormat="false" ht="15" hidden="false" customHeight="false" outlineLevel="0" collapsed="false">
      <c r="A186" s="65" t="str">
        <f aca="false">IF(IFERROR(INDEX(tsk_Name,GanttView[[#This Row],[_Row]])="",TRUE()),"",INDEX(tsk_ID,GanttView[[#This Row],[_Row]]))</f>
        <v/>
      </c>
      <c r="B186" s="65" t="str">
        <f aca="false">IF(IFERROR(INDEX(tsk_Name,GanttView[[#This Row],[_Row]])="",TRUE()),"",INDEX(tsk_WBS,GanttView[[#This Row],[_Row]]))</f>
        <v/>
      </c>
      <c r="C186" s="66" t="str">
        <f aca="false">IF(IFERROR(INDEX(tsk_Name,GanttView[[#This Row],[_Row]])="",TRUE()),"",REPT("    ",INDEX(tsk_Level,GanttView[[#This Row],[_Row]])-1)&amp;INDEX(tsk_Name,GanttView[[#This Row],[_Row]]))</f>
        <v/>
      </c>
      <c r="D18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6" s="67" t="str">
        <f aca="false">IF(IFERROR(INDEX(tsk_Name,GanttView[[#This Row],[_Row]])="",TRUE()),"",INDEX(tsk_PlanStart,GanttView[[#This Row],[_Row]]))</f>
        <v/>
      </c>
      <c r="F186" s="67" t="str">
        <f aca="false">IF(IFERROR(INDEX(tsk_Name,GanttView[[#This Row],[_Row]])="",TRUE()),"",INDEX(tsk_PlanFinish,GanttView[[#This Row],[_Row]]))</f>
        <v/>
      </c>
      <c r="G186" s="67" t="str">
        <f aca="false">IF(IFERROR(INDEX(tsk_Name,GanttView[[#This Row],[_Row]])="",TRUE()),"",INDEX(tsk_FcStart,GanttView[[#This Row],[_Row]]))</f>
        <v/>
      </c>
      <c r="H186" s="67" t="str">
        <f aca="false">IF(IFERROR(INDEX(tsk_Name,GanttView[[#This Row],[_Row]])="",TRUE()),"",INDEX(tsk_FcFinish,GanttView[[#This Row],[_Row]]))</f>
        <v/>
      </c>
      <c r="I186" s="68" t="str">
        <f aca="false">IF(IFERROR(INDEX(tsk_Name,GanttView[[#This Row],[_Row]])="",TRUE()),"",INDEX(tsk_Progress,GanttView[[#This Row],[_Row]]))</f>
        <v/>
      </c>
      <c r="J186" s="66" t="str">
        <f aca="false">IF(IFERROR(INDEX(tsk_Name,GanttView[[#This Row],[_Row]])="",TRUE()),"",INDEX(tsk_Resource,GanttView[[#This Row],[_Row]])&amp;"")</f>
        <v/>
      </c>
      <c r="K186" s="69" t="str">
        <f aca="false">IF(IFERROR(INDEX(tsk_Name,GanttView[[#This Row],[_Row]])="",TRUE()),"",INDEX(tsk_Status,GanttView[[#This Row],[_Row]]))</f>
        <v/>
      </c>
      <c r="L186" s="70" t="n">
        <f aca="false">ROW()-ROW(GanttView[[#Headers],[ID]])</f>
        <v>181</v>
      </c>
      <c r="M186" s="71" t="b">
        <f aca="false">IF(IFERROR(INDEX(tsk_Name,GanttView[[#This Row],[_Row]])="",TRUE()),FALSE(),INDEX(tsk_IsSummary,GanttView[[#This Row],[_Row]]))</f>
        <v>0</v>
      </c>
      <c r="N186" s="71" t="b">
        <f aca="false">IF(IFERROR(INDEX(tsk_Name,GanttView[[#This Row],[_Row]])="",TRUE()),FALSE(),AND(INDEX(tsk_IsLeaf,GanttView[[#This Row],[_Row]])=1,N(INDEX(tsk_Duration,GanttView[[#This Row],[_Row]]))=0))</f>
        <v>0</v>
      </c>
      <c r="O18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6" s="72" t="n">
        <f aca="false">IF(GanttView[[#This Row],[_RemFrom]]=0,0,GanttView[[#This Row],[Forecast Finish]])</f>
        <v>0</v>
      </c>
      <c r="S186" s="71" t="b">
        <f aca="false">IF(IFERROR(INDEX(tsk_Name,GanttView[[#This Row],[_Row]])="",TRUE()),FALSE(),N(INDEX(tsk_Variance,GanttView[[#This Row],[_Row]]))&gt;0)</f>
        <v>0</v>
      </c>
      <c r="T186" s="72" t="n">
        <f aca="false">IF(IFERROR(INDEX(tsk_Name,GanttView[[#This Row],[_Row]])="",TRUE()),0,N(INDEX(tsk_Deadline,GanttView[[#This Row],[_Row]])))</f>
        <v>0</v>
      </c>
    </row>
    <row r="187" customFormat="false" ht="15" hidden="false" customHeight="false" outlineLevel="0" collapsed="false">
      <c r="A187" s="65" t="str">
        <f aca="false">IF(IFERROR(INDEX(tsk_Name,GanttView[[#This Row],[_Row]])="",TRUE()),"",INDEX(tsk_ID,GanttView[[#This Row],[_Row]]))</f>
        <v/>
      </c>
      <c r="B187" s="65" t="str">
        <f aca="false">IF(IFERROR(INDEX(tsk_Name,GanttView[[#This Row],[_Row]])="",TRUE()),"",INDEX(tsk_WBS,GanttView[[#This Row],[_Row]]))</f>
        <v/>
      </c>
      <c r="C187" s="66" t="str">
        <f aca="false">IF(IFERROR(INDEX(tsk_Name,GanttView[[#This Row],[_Row]])="",TRUE()),"",REPT("    ",INDEX(tsk_Level,GanttView[[#This Row],[_Row]])-1)&amp;INDEX(tsk_Name,GanttView[[#This Row],[_Row]]))</f>
        <v/>
      </c>
      <c r="D18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7" s="67" t="str">
        <f aca="false">IF(IFERROR(INDEX(tsk_Name,GanttView[[#This Row],[_Row]])="",TRUE()),"",INDEX(tsk_PlanStart,GanttView[[#This Row],[_Row]]))</f>
        <v/>
      </c>
      <c r="F187" s="67" t="str">
        <f aca="false">IF(IFERROR(INDEX(tsk_Name,GanttView[[#This Row],[_Row]])="",TRUE()),"",INDEX(tsk_PlanFinish,GanttView[[#This Row],[_Row]]))</f>
        <v/>
      </c>
      <c r="G187" s="67" t="str">
        <f aca="false">IF(IFERROR(INDEX(tsk_Name,GanttView[[#This Row],[_Row]])="",TRUE()),"",INDEX(tsk_FcStart,GanttView[[#This Row],[_Row]]))</f>
        <v/>
      </c>
      <c r="H187" s="67" t="str">
        <f aca="false">IF(IFERROR(INDEX(tsk_Name,GanttView[[#This Row],[_Row]])="",TRUE()),"",INDEX(tsk_FcFinish,GanttView[[#This Row],[_Row]]))</f>
        <v/>
      </c>
      <c r="I187" s="68" t="str">
        <f aca="false">IF(IFERROR(INDEX(tsk_Name,GanttView[[#This Row],[_Row]])="",TRUE()),"",INDEX(tsk_Progress,GanttView[[#This Row],[_Row]]))</f>
        <v/>
      </c>
      <c r="J187" s="66" t="str">
        <f aca="false">IF(IFERROR(INDEX(tsk_Name,GanttView[[#This Row],[_Row]])="",TRUE()),"",INDEX(tsk_Resource,GanttView[[#This Row],[_Row]])&amp;"")</f>
        <v/>
      </c>
      <c r="K187" s="69" t="str">
        <f aca="false">IF(IFERROR(INDEX(tsk_Name,GanttView[[#This Row],[_Row]])="",TRUE()),"",INDEX(tsk_Status,GanttView[[#This Row],[_Row]]))</f>
        <v/>
      </c>
      <c r="L187" s="70" t="n">
        <f aca="false">ROW()-ROW(GanttView[[#Headers],[ID]])</f>
        <v>182</v>
      </c>
      <c r="M187" s="71" t="b">
        <f aca="false">IF(IFERROR(INDEX(tsk_Name,GanttView[[#This Row],[_Row]])="",TRUE()),FALSE(),INDEX(tsk_IsSummary,GanttView[[#This Row],[_Row]]))</f>
        <v>0</v>
      </c>
      <c r="N187" s="71" t="b">
        <f aca="false">IF(IFERROR(INDEX(tsk_Name,GanttView[[#This Row],[_Row]])="",TRUE()),FALSE(),AND(INDEX(tsk_IsLeaf,GanttView[[#This Row],[_Row]])=1,N(INDEX(tsk_Duration,GanttView[[#This Row],[_Row]]))=0))</f>
        <v>0</v>
      </c>
      <c r="O18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7" s="72" t="n">
        <f aca="false">IF(GanttView[[#This Row],[_RemFrom]]=0,0,GanttView[[#This Row],[Forecast Finish]])</f>
        <v>0</v>
      </c>
      <c r="S187" s="71" t="b">
        <f aca="false">IF(IFERROR(INDEX(tsk_Name,GanttView[[#This Row],[_Row]])="",TRUE()),FALSE(),N(INDEX(tsk_Variance,GanttView[[#This Row],[_Row]]))&gt;0)</f>
        <v>0</v>
      </c>
      <c r="T187" s="72" t="n">
        <f aca="false">IF(IFERROR(INDEX(tsk_Name,GanttView[[#This Row],[_Row]])="",TRUE()),0,N(INDEX(tsk_Deadline,GanttView[[#This Row],[_Row]])))</f>
        <v>0</v>
      </c>
    </row>
    <row r="188" customFormat="false" ht="15" hidden="false" customHeight="false" outlineLevel="0" collapsed="false">
      <c r="A188" s="65" t="str">
        <f aca="false">IF(IFERROR(INDEX(tsk_Name,GanttView[[#This Row],[_Row]])="",TRUE()),"",INDEX(tsk_ID,GanttView[[#This Row],[_Row]]))</f>
        <v/>
      </c>
      <c r="B188" s="65" t="str">
        <f aca="false">IF(IFERROR(INDEX(tsk_Name,GanttView[[#This Row],[_Row]])="",TRUE()),"",INDEX(tsk_WBS,GanttView[[#This Row],[_Row]]))</f>
        <v/>
      </c>
      <c r="C188" s="66" t="str">
        <f aca="false">IF(IFERROR(INDEX(tsk_Name,GanttView[[#This Row],[_Row]])="",TRUE()),"",REPT("    ",INDEX(tsk_Level,GanttView[[#This Row],[_Row]])-1)&amp;INDEX(tsk_Name,GanttView[[#This Row],[_Row]]))</f>
        <v/>
      </c>
      <c r="D18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8" s="67" t="str">
        <f aca="false">IF(IFERROR(INDEX(tsk_Name,GanttView[[#This Row],[_Row]])="",TRUE()),"",INDEX(tsk_PlanStart,GanttView[[#This Row],[_Row]]))</f>
        <v/>
      </c>
      <c r="F188" s="67" t="str">
        <f aca="false">IF(IFERROR(INDEX(tsk_Name,GanttView[[#This Row],[_Row]])="",TRUE()),"",INDEX(tsk_PlanFinish,GanttView[[#This Row],[_Row]]))</f>
        <v/>
      </c>
      <c r="G188" s="67" t="str">
        <f aca="false">IF(IFERROR(INDEX(tsk_Name,GanttView[[#This Row],[_Row]])="",TRUE()),"",INDEX(tsk_FcStart,GanttView[[#This Row],[_Row]]))</f>
        <v/>
      </c>
      <c r="H188" s="67" t="str">
        <f aca="false">IF(IFERROR(INDEX(tsk_Name,GanttView[[#This Row],[_Row]])="",TRUE()),"",INDEX(tsk_FcFinish,GanttView[[#This Row],[_Row]]))</f>
        <v/>
      </c>
      <c r="I188" s="68" t="str">
        <f aca="false">IF(IFERROR(INDEX(tsk_Name,GanttView[[#This Row],[_Row]])="",TRUE()),"",INDEX(tsk_Progress,GanttView[[#This Row],[_Row]]))</f>
        <v/>
      </c>
      <c r="J188" s="66" t="str">
        <f aca="false">IF(IFERROR(INDEX(tsk_Name,GanttView[[#This Row],[_Row]])="",TRUE()),"",INDEX(tsk_Resource,GanttView[[#This Row],[_Row]])&amp;"")</f>
        <v/>
      </c>
      <c r="K188" s="69" t="str">
        <f aca="false">IF(IFERROR(INDEX(tsk_Name,GanttView[[#This Row],[_Row]])="",TRUE()),"",INDEX(tsk_Status,GanttView[[#This Row],[_Row]]))</f>
        <v/>
      </c>
      <c r="L188" s="70" t="n">
        <f aca="false">ROW()-ROW(GanttView[[#Headers],[ID]])</f>
        <v>183</v>
      </c>
      <c r="M188" s="71" t="b">
        <f aca="false">IF(IFERROR(INDEX(tsk_Name,GanttView[[#This Row],[_Row]])="",TRUE()),FALSE(),INDEX(tsk_IsSummary,GanttView[[#This Row],[_Row]]))</f>
        <v>0</v>
      </c>
      <c r="N188" s="71" t="b">
        <f aca="false">IF(IFERROR(INDEX(tsk_Name,GanttView[[#This Row],[_Row]])="",TRUE()),FALSE(),AND(INDEX(tsk_IsLeaf,GanttView[[#This Row],[_Row]])=1,N(INDEX(tsk_Duration,GanttView[[#This Row],[_Row]]))=0))</f>
        <v>0</v>
      </c>
      <c r="O18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8" s="72" t="n">
        <f aca="false">IF(GanttView[[#This Row],[_RemFrom]]=0,0,GanttView[[#This Row],[Forecast Finish]])</f>
        <v>0</v>
      </c>
      <c r="S188" s="71" t="b">
        <f aca="false">IF(IFERROR(INDEX(tsk_Name,GanttView[[#This Row],[_Row]])="",TRUE()),FALSE(),N(INDEX(tsk_Variance,GanttView[[#This Row],[_Row]]))&gt;0)</f>
        <v>0</v>
      </c>
      <c r="T188" s="72" t="n">
        <f aca="false">IF(IFERROR(INDEX(tsk_Name,GanttView[[#This Row],[_Row]])="",TRUE()),0,N(INDEX(tsk_Deadline,GanttView[[#This Row],[_Row]])))</f>
        <v>0</v>
      </c>
    </row>
    <row r="189" customFormat="false" ht="15" hidden="false" customHeight="false" outlineLevel="0" collapsed="false">
      <c r="A189" s="65" t="str">
        <f aca="false">IF(IFERROR(INDEX(tsk_Name,GanttView[[#This Row],[_Row]])="",TRUE()),"",INDEX(tsk_ID,GanttView[[#This Row],[_Row]]))</f>
        <v/>
      </c>
      <c r="B189" s="65" t="str">
        <f aca="false">IF(IFERROR(INDEX(tsk_Name,GanttView[[#This Row],[_Row]])="",TRUE()),"",INDEX(tsk_WBS,GanttView[[#This Row],[_Row]]))</f>
        <v/>
      </c>
      <c r="C189" s="66" t="str">
        <f aca="false">IF(IFERROR(INDEX(tsk_Name,GanttView[[#This Row],[_Row]])="",TRUE()),"",REPT("    ",INDEX(tsk_Level,GanttView[[#This Row],[_Row]])-1)&amp;INDEX(tsk_Name,GanttView[[#This Row],[_Row]]))</f>
        <v/>
      </c>
      <c r="D18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9" s="67" t="str">
        <f aca="false">IF(IFERROR(INDEX(tsk_Name,GanttView[[#This Row],[_Row]])="",TRUE()),"",INDEX(tsk_PlanStart,GanttView[[#This Row],[_Row]]))</f>
        <v/>
      </c>
      <c r="F189" s="67" t="str">
        <f aca="false">IF(IFERROR(INDEX(tsk_Name,GanttView[[#This Row],[_Row]])="",TRUE()),"",INDEX(tsk_PlanFinish,GanttView[[#This Row],[_Row]]))</f>
        <v/>
      </c>
      <c r="G189" s="67" t="str">
        <f aca="false">IF(IFERROR(INDEX(tsk_Name,GanttView[[#This Row],[_Row]])="",TRUE()),"",INDEX(tsk_FcStart,GanttView[[#This Row],[_Row]]))</f>
        <v/>
      </c>
      <c r="H189" s="67" t="str">
        <f aca="false">IF(IFERROR(INDEX(tsk_Name,GanttView[[#This Row],[_Row]])="",TRUE()),"",INDEX(tsk_FcFinish,GanttView[[#This Row],[_Row]]))</f>
        <v/>
      </c>
      <c r="I189" s="68" t="str">
        <f aca="false">IF(IFERROR(INDEX(tsk_Name,GanttView[[#This Row],[_Row]])="",TRUE()),"",INDEX(tsk_Progress,GanttView[[#This Row],[_Row]]))</f>
        <v/>
      </c>
      <c r="J189" s="66" t="str">
        <f aca="false">IF(IFERROR(INDEX(tsk_Name,GanttView[[#This Row],[_Row]])="",TRUE()),"",INDEX(tsk_Resource,GanttView[[#This Row],[_Row]])&amp;"")</f>
        <v/>
      </c>
      <c r="K189" s="69" t="str">
        <f aca="false">IF(IFERROR(INDEX(tsk_Name,GanttView[[#This Row],[_Row]])="",TRUE()),"",INDEX(tsk_Status,GanttView[[#This Row],[_Row]]))</f>
        <v/>
      </c>
      <c r="L189" s="70" t="n">
        <f aca="false">ROW()-ROW(GanttView[[#Headers],[ID]])</f>
        <v>184</v>
      </c>
      <c r="M189" s="71" t="b">
        <f aca="false">IF(IFERROR(INDEX(tsk_Name,GanttView[[#This Row],[_Row]])="",TRUE()),FALSE(),INDEX(tsk_IsSummary,GanttView[[#This Row],[_Row]]))</f>
        <v>0</v>
      </c>
      <c r="N189" s="71" t="b">
        <f aca="false">IF(IFERROR(INDEX(tsk_Name,GanttView[[#This Row],[_Row]])="",TRUE()),FALSE(),AND(INDEX(tsk_IsLeaf,GanttView[[#This Row],[_Row]])=1,N(INDEX(tsk_Duration,GanttView[[#This Row],[_Row]]))=0))</f>
        <v>0</v>
      </c>
      <c r="O18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9" s="72" t="n">
        <f aca="false">IF(GanttView[[#This Row],[_RemFrom]]=0,0,GanttView[[#This Row],[Forecast Finish]])</f>
        <v>0</v>
      </c>
      <c r="S189" s="71" t="b">
        <f aca="false">IF(IFERROR(INDEX(tsk_Name,GanttView[[#This Row],[_Row]])="",TRUE()),FALSE(),N(INDEX(tsk_Variance,GanttView[[#This Row],[_Row]]))&gt;0)</f>
        <v>0</v>
      </c>
      <c r="T189" s="72" t="n">
        <f aca="false">IF(IFERROR(INDEX(tsk_Name,GanttView[[#This Row],[_Row]])="",TRUE()),0,N(INDEX(tsk_Deadline,GanttView[[#This Row],[_Row]])))</f>
        <v>0</v>
      </c>
    </row>
    <row r="190" customFormat="false" ht="15" hidden="false" customHeight="false" outlineLevel="0" collapsed="false">
      <c r="A190" s="65" t="str">
        <f aca="false">IF(IFERROR(INDEX(tsk_Name,GanttView[[#This Row],[_Row]])="",TRUE()),"",INDEX(tsk_ID,GanttView[[#This Row],[_Row]]))</f>
        <v/>
      </c>
      <c r="B190" s="65" t="str">
        <f aca="false">IF(IFERROR(INDEX(tsk_Name,GanttView[[#This Row],[_Row]])="",TRUE()),"",INDEX(tsk_WBS,GanttView[[#This Row],[_Row]]))</f>
        <v/>
      </c>
      <c r="C190" s="66" t="str">
        <f aca="false">IF(IFERROR(INDEX(tsk_Name,GanttView[[#This Row],[_Row]])="",TRUE()),"",REPT("    ",INDEX(tsk_Level,GanttView[[#This Row],[_Row]])-1)&amp;INDEX(tsk_Name,GanttView[[#This Row],[_Row]]))</f>
        <v/>
      </c>
      <c r="D19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0" s="67" t="str">
        <f aca="false">IF(IFERROR(INDEX(tsk_Name,GanttView[[#This Row],[_Row]])="",TRUE()),"",INDEX(tsk_PlanStart,GanttView[[#This Row],[_Row]]))</f>
        <v/>
      </c>
      <c r="F190" s="67" t="str">
        <f aca="false">IF(IFERROR(INDEX(tsk_Name,GanttView[[#This Row],[_Row]])="",TRUE()),"",INDEX(tsk_PlanFinish,GanttView[[#This Row],[_Row]]))</f>
        <v/>
      </c>
      <c r="G190" s="67" t="str">
        <f aca="false">IF(IFERROR(INDEX(tsk_Name,GanttView[[#This Row],[_Row]])="",TRUE()),"",INDEX(tsk_FcStart,GanttView[[#This Row],[_Row]]))</f>
        <v/>
      </c>
      <c r="H190" s="67" t="str">
        <f aca="false">IF(IFERROR(INDEX(tsk_Name,GanttView[[#This Row],[_Row]])="",TRUE()),"",INDEX(tsk_FcFinish,GanttView[[#This Row],[_Row]]))</f>
        <v/>
      </c>
      <c r="I190" s="68" t="str">
        <f aca="false">IF(IFERROR(INDEX(tsk_Name,GanttView[[#This Row],[_Row]])="",TRUE()),"",INDEX(tsk_Progress,GanttView[[#This Row],[_Row]]))</f>
        <v/>
      </c>
      <c r="J190" s="66" t="str">
        <f aca="false">IF(IFERROR(INDEX(tsk_Name,GanttView[[#This Row],[_Row]])="",TRUE()),"",INDEX(tsk_Resource,GanttView[[#This Row],[_Row]])&amp;"")</f>
        <v/>
      </c>
      <c r="K190" s="69" t="str">
        <f aca="false">IF(IFERROR(INDEX(tsk_Name,GanttView[[#This Row],[_Row]])="",TRUE()),"",INDEX(tsk_Status,GanttView[[#This Row],[_Row]]))</f>
        <v/>
      </c>
      <c r="L190" s="70" t="n">
        <f aca="false">ROW()-ROW(GanttView[[#Headers],[ID]])</f>
        <v>185</v>
      </c>
      <c r="M190" s="71" t="b">
        <f aca="false">IF(IFERROR(INDEX(tsk_Name,GanttView[[#This Row],[_Row]])="",TRUE()),FALSE(),INDEX(tsk_IsSummary,GanttView[[#This Row],[_Row]]))</f>
        <v>0</v>
      </c>
      <c r="N190" s="71" t="b">
        <f aca="false">IF(IFERROR(INDEX(tsk_Name,GanttView[[#This Row],[_Row]])="",TRUE()),FALSE(),AND(INDEX(tsk_IsLeaf,GanttView[[#This Row],[_Row]])=1,N(INDEX(tsk_Duration,GanttView[[#This Row],[_Row]]))=0))</f>
        <v>0</v>
      </c>
      <c r="O19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0" s="72" t="n">
        <f aca="false">IF(GanttView[[#This Row],[_RemFrom]]=0,0,GanttView[[#This Row],[Forecast Finish]])</f>
        <v>0</v>
      </c>
      <c r="S190" s="71" t="b">
        <f aca="false">IF(IFERROR(INDEX(tsk_Name,GanttView[[#This Row],[_Row]])="",TRUE()),FALSE(),N(INDEX(tsk_Variance,GanttView[[#This Row],[_Row]]))&gt;0)</f>
        <v>0</v>
      </c>
      <c r="T190" s="72" t="n">
        <f aca="false">IF(IFERROR(INDEX(tsk_Name,GanttView[[#This Row],[_Row]])="",TRUE()),0,N(INDEX(tsk_Deadline,GanttView[[#This Row],[_Row]])))</f>
        <v>0</v>
      </c>
    </row>
    <row r="191" customFormat="false" ht="15" hidden="false" customHeight="false" outlineLevel="0" collapsed="false">
      <c r="A191" s="65" t="str">
        <f aca="false">IF(IFERROR(INDEX(tsk_Name,GanttView[[#This Row],[_Row]])="",TRUE()),"",INDEX(tsk_ID,GanttView[[#This Row],[_Row]]))</f>
        <v/>
      </c>
      <c r="B191" s="65" t="str">
        <f aca="false">IF(IFERROR(INDEX(tsk_Name,GanttView[[#This Row],[_Row]])="",TRUE()),"",INDEX(tsk_WBS,GanttView[[#This Row],[_Row]]))</f>
        <v/>
      </c>
      <c r="C191" s="66" t="str">
        <f aca="false">IF(IFERROR(INDEX(tsk_Name,GanttView[[#This Row],[_Row]])="",TRUE()),"",REPT("    ",INDEX(tsk_Level,GanttView[[#This Row],[_Row]])-1)&amp;INDEX(tsk_Name,GanttView[[#This Row],[_Row]]))</f>
        <v/>
      </c>
      <c r="D19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1" s="67" t="str">
        <f aca="false">IF(IFERROR(INDEX(tsk_Name,GanttView[[#This Row],[_Row]])="",TRUE()),"",INDEX(tsk_PlanStart,GanttView[[#This Row],[_Row]]))</f>
        <v/>
      </c>
      <c r="F191" s="67" t="str">
        <f aca="false">IF(IFERROR(INDEX(tsk_Name,GanttView[[#This Row],[_Row]])="",TRUE()),"",INDEX(tsk_PlanFinish,GanttView[[#This Row],[_Row]]))</f>
        <v/>
      </c>
      <c r="G191" s="67" t="str">
        <f aca="false">IF(IFERROR(INDEX(tsk_Name,GanttView[[#This Row],[_Row]])="",TRUE()),"",INDEX(tsk_FcStart,GanttView[[#This Row],[_Row]]))</f>
        <v/>
      </c>
      <c r="H191" s="67" t="str">
        <f aca="false">IF(IFERROR(INDEX(tsk_Name,GanttView[[#This Row],[_Row]])="",TRUE()),"",INDEX(tsk_FcFinish,GanttView[[#This Row],[_Row]]))</f>
        <v/>
      </c>
      <c r="I191" s="68" t="str">
        <f aca="false">IF(IFERROR(INDEX(tsk_Name,GanttView[[#This Row],[_Row]])="",TRUE()),"",INDEX(tsk_Progress,GanttView[[#This Row],[_Row]]))</f>
        <v/>
      </c>
      <c r="J191" s="66" t="str">
        <f aca="false">IF(IFERROR(INDEX(tsk_Name,GanttView[[#This Row],[_Row]])="",TRUE()),"",INDEX(tsk_Resource,GanttView[[#This Row],[_Row]])&amp;"")</f>
        <v/>
      </c>
      <c r="K191" s="69" t="str">
        <f aca="false">IF(IFERROR(INDEX(tsk_Name,GanttView[[#This Row],[_Row]])="",TRUE()),"",INDEX(tsk_Status,GanttView[[#This Row],[_Row]]))</f>
        <v/>
      </c>
      <c r="L191" s="70" t="n">
        <f aca="false">ROW()-ROW(GanttView[[#Headers],[ID]])</f>
        <v>186</v>
      </c>
      <c r="M191" s="71" t="b">
        <f aca="false">IF(IFERROR(INDEX(tsk_Name,GanttView[[#This Row],[_Row]])="",TRUE()),FALSE(),INDEX(tsk_IsSummary,GanttView[[#This Row],[_Row]]))</f>
        <v>0</v>
      </c>
      <c r="N191" s="71" t="b">
        <f aca="false">IF(IFERROR(INDEX(tsk_Name,GanttView[[#This Row],[_Row]])="",TRUE()),FALSE(),AND(INDEX(tsk_IsLeaf,GanttView[[#This Row],[_Row]])=1,N(INDEX(tsk_Duration,GanttView[[#This Row],[_Row]]))=0))</f>
        <v>0</v>
      </c>
      <c r="O19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1" s="72" t="n">
        <f aca="false">IF(GanttView[[#This Row],[_RemFrom]]=0,0,GanttView[[#This Row],[Forecast Finish]])</f>
        <v>0</v>
      </c>
      <c r="S191" s="71" t="b">
        <f aca="false">IF(IFERROR(INDEX(tsk_Name,GanttView[[#This Row],[_Row]])="",TRUE()),FALSE(),N(INDEX(tsk_Variance,GanttView[[#This Row],[_Row]]))&gt;0)</f>
        <v>0</v>
      </c>
      <c r="T191" s="72" t="n">
        <f aca="false">IF(IFERROR(INDEX(tsk_Name,GanttView[[#This Row],[_Row]])="",TRUE()),0,N(INDEX(tsk_Deadline,GanttView[[#This Row],[_Row]])))</f>
        <v>0</v>
      </c>
    </row>
    <row r="192" customFormat="false" ht="15" hidden="false" customHeight="false" outlineLevel="0" collapsed="false">
      <c r="A192" s="65" t="str">
        <f aca="false">IF(IFERROR(INDEX(tsk_Name,GanttView[[#This Row],[_Row]])="",TRUE()),"",INDEX(tsk_ID,GanttView[[#This Row],[_Row]]))</f>
        <v/>
      </c>
      <c r="B192" s="65" t="str">
        <f aca="false">IF(IFERROR(INDEX(tsk_Name,GanttView[[#This Row],[_Row]])="",TRUE()),"",INDEX(tsk_WBS,GanttView[[#This Row],[_Row]]))</f>
        <v/>
      </c>
      <c r="C192" s="66" t="str">
        <f aca="false">IF(IFERROR(INDEX(tsk_Name,GanttView[[#This Row],[_Row]])="",TRUE()),"",REPT("    ",INDEX(tsk_Level,GanttView[[#This Row],[_Row]])-1)&amp;INDEX(tsk_Name,GanttView[[#This Row],[_Row]]))</f>
        <v/>
      </c>
      <c r="D19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2" s="67" t="str">
        <f aca="false">IF(IFERROR(INDEX(tsk_Name,GanttView[[#This Row],[_Row]])="",TRUE()),"",INDEX(tsk_PlanStart,GanttView[[#This Row],[_Row]]))</f>
        <v/>
      </c>
      <c r="F192" s="67" t="str">
        <f aca="false">IF(IFERROR(INDEX(tsk_Name,GanttView[[#This Row],[_Row]])="",TRUE()),"",INDEX(tsk_PlanFinish,GanttView[[#This Row],[_Row]]))</f>
        <v/>
      </c>
      <c r="G192" s="67" t="str">
        <f aca="false">IF(IFERROR(INDEX(tsk_Name,GanttView[[#This Row],[_Row]])="",TRUE()),"",INDEX(tsk_FcStart,GanttView[[#This Row],[_Row]]))</f>
        <v/>
      </c>
      <c r="H192" s="67" t="str">
        <f aca="false">IF(IFERROR(INDEX(tsk_Name,GanttView[[#This Row],[_Row]])="",TRUE()),"",INDEX(tsk_FcFinish,GanttView[[#This Row],[_Row]]))</f>
        <v/>
      </c>
      <c r="I192" s="68" t="str">
        <f aca="false">IF(IFERROR(INDEX(tsk_Name,GanttView[[#This Row],[_Row]])="",TRUE()),"",INDEX(tsk_Progress,GanttView[[#This Row],[_Row]]))</f>
        <v/>
      </c>
      <c r="J192" s="66" t="str">
        <f aca="false">IF(IFERROR(INDEX(tsk_Name,GanttView[[#This Row],[_Row]])="",TRUE()),"",INDEX(tsk_Resource,GanttView[[#This Row],[_Row]])&amp;"")</f>
        <v/>
      </c>
      <c r="K192" s="69" t="str">
        <f aca="false">IF(IFERROR(INDEX(tsk_Name,GanttView[[#This Row],[_Row]])="",TRUE()),"",INDEX(tsk_Status,GanttView[[#This Row],[_Row]]))</f>
        <v/>
      </c>
      <c r="L192" s="70" t="n">
        <f aca="false">ROW()-ROW(GanttView[[#Headers],[ID]])</f>
        <v>187</v>
      </c>
      <c r="M192" s="71" t="b">
        <f aca="false">IF(IFERROR(INDEX(tsk_Name,GanttView[[#This Row],[_Row]])="",TRUE()),FALSE(),INDEX(tsk_IsSummary,GanttView[[#This Row],[_Row]]))</f>
        <v>0</v>
      </c>
      <c r="N192" s="71" t="b">
        <f aca="false">IF(IFERROR(INDEX(tsk_Name,GanttView[[#This Row],[_Row]])="",TRUE()),FALSE(),AND(INDEX(tsk_IsLeaf,GanttView[[#This Row],[_Row]])=1,N(INDEX(tsk_Duration,GanttView[[#This Row],[_Row]]))=0))</f>
        <v>0</v>
      </c>
      <c r="O19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2" s="72" t="n">
        <f aca="false">IF(GanttView[[#This Row],[_RemFrom]]=0,0,GanttView[[#This Row],[Forecast Finish]])</f>
        <v>0</v>
      </c>
      <c r="S192" s="71" t="b">
        <f aca="false">IF(IFERROR(INDEX(tsk_Name,GanttView[[#This Row],[_Row]])="",TRUE()),FALSE(),N(INDEX(tsk_Variance,GanttView[[#This Row],[_Row]]))&gt;0)</f>
        <v>0</v>
      </c>
      <c r="T192" s="72" t="n">
        <f aca="false">IF(IFERROR(INDEX(tsk_Name,GanttView[[#This Row],[_Row]])="",TRUE()),0,N(INDEX(tsk_Deadline,GanttView[[#This Row],[_Row]])))</f>
        <v>0</v>
      </c>
    </row>
    <row r="193" customFormat="false" ht="15" hidden="false" customHeight="false" outlineLevel="0" collapsed="false">
      <c r="A193" s="65" t="str">
        <f aca="false">IF(IFERROR(INDEX(tsk_Name,GanttView[[#This Row],[_Row]])="",TRUE()),"",INDEX(tsk_ID,GanttView[[#This Row],[_Row]]))</f>
        <v/>
      </c>
      <c r="B193" s="65" t="str">
        <f aca="false">IF(IFERROR(INDEX(tsk_Name,GanttView[[#This Row],[_Row]])="",TRUE()),"",INDEX(tsk_WBS,GanttView[[#This Row],[_Row]]))</f>
        <v/>
      </c>
      <c r="C193" s="66" t="str">
        <f aca="false">IF(IFERROR(INDEX(tsk_Name,GanttView[[#This Row],[_Row]])="",TRUE()),"",REPT("    ",INDEX(tsk_Level,GanttView[[#This Row],[_Row]])-1)&amp;INDEX(tsk_Name,GanttView[[#This Row],[_Row]]))</f>
        <v/>
      </c>
      <c r="D19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3" s="67" t="str">
        <f aca="false">IF(IFERROR(INDEX(tsk_Name,GanttView[[#This Row],[_Row]])="",TRUE()),"",INDEX(tsk_PlanStart,GanttView[[#This Row],[_Row]]))</f>
        <v/>
      </c>
      <c r="F193" s="67" t="str">
        <f aca="false">IF(IFERROR(INDEX(tsk_Name,GanttView[[#This Row],[_Row]])="",TRUE()),"",INDEX(tsk_PlanFinish,GanttView[[#This Row],[_Row]]))</f>
        <v/>
      </c>
      <c r="G193" s="67" t="str">
        <f aca="false">IF(IFERROR(INDEX(tsk_Name,GanttView[[#This Row],[_Row]])="",TRUE()),"",INDEX(tsk_FcStart,GanttView[[#This Row],[_Row]]))</f>
        <v/>
      </c>
      <c r="H193" s="67" t="str">
        <f aca="false">IF(IFERROR(INDEX(tsk_Name,GanttView[[#This Row],[_Row]])="",TRUE()),"",INDEX(tsk_FcFinish,GanttView[[#This Row],[_Row]]))</f>
        <v/>
      </c>
      <c r="I193" s="68" t="str">
        <f aca="false">IF(IFERROR(INDEX(tsk_Name,GanttView[[#This Row],[_Row]])="",TRUE()),"",INDEX(tsk_Progress,GanttView[[#This Row],[_Row]]))</f>
        <v/>
      </c>
      <c r="J193" s="66" t="str">
        <f aca="false">IF(IFERROR(INDEX(tsk_Name,GanttView[[#This Row],[_Row]])="",TRUE()),"",INDEX(tsk_Resource,GanttView[[#This Row],[_Row]])&amp;"")</f>
        <v/>
      </c>
      <c r="K193" s="69" t="str">
        <f aca="false">IF(IFERROR(INDEX(tsk_Name,GanttView[[#This Row],[_Row]])="",TRUE()),"",INDEX(tsk_Status,GanttView[[#This Row],[_Row]]))</f>
        <v/>
      </c>
      <c r="L193" s="70" t="n">
        <f aca="false">ROW()-ROW(GanttView[[#Headers],[ID]])</f>
        <v>188</v>
      </c>
      <c r="M193" s="71" t="b">
        <f aca="false">IF(IFERROR(INDEX(tsk_Name,GanttView[[#This Row],[_Row]])="",TRUE()),FALSE(),INDEX(tsk_IsSummary,GanttView[[#This Row],[_Row]]))</f>
        <v>0</v>
      </c>
      <c r="N193" s="71" t="b">
        <f aca="false">IF(IFERROR(INDEX(tsk_Name,GanttView[[#This Row],[_Row]])="",TRUE()),FALSE(),AND(INDEX(tsk_IsLeaf,GanttView[[#This Row],[_Row]])=1,N(INDEX(tsk_Duration,GanttView[[#This Row],[_Row]]))=0))</f>
        <v>0</v>
      </c>
      <c r="O19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3" s="72" t="n">
        <f aca="false">IF(GanttView[[#This Row],[_RemFrom]]=0,0,GanttView[[#This Row],[Forecast Finish]])</f>
        <v>0</v>
      </c>
      <c r="S193" s="71" t="b">
        <f aca="false">IF(IFERROR(INDEX(tsk_Name,GanttView[[#This Row],[_Row]])="",TRUE()),FALSE(),N(INDEX(tsk_Variance,GanttView[[#This Row],[_Row]]))&gt;0)</f>
        <v>0</v>
      </c>
      <c r="T193" s="72" t="n">
        <f aca="false">IF(IFERROR(INDEX(tsk_Name,GanttView[[#This Row],[_Row]])="",TRUE()),0,N(INDEX(tsk_Deadline,GanttView[[#This Row],[_Row]])))</f>
        <v>0</v>
      </c>
    </row>
    <row r="194" customFormat="false" ht="15" hidden="false" customHeight="false" outlineLevel="0" collapsed="false">
      <c r="A194" s="65" t="str">
        <f aca="false">IF(IFERROR(INDEX(tsk_Name,GanttView[[#This Row],[_Row]])="",TRUE()),"",INDEX(tsk_ID,GanttView[[#This Row],[_Row]]))</f>
        <v/>
      </c>
      <c r="B194" s="65" t="str">
        <f aca="false">IF(IFERROR(INDEX(tsk_Name,GanttView[[#This Row],[_Row]])="",TRUE()),"",INDEX(tsk_WBS,GanttView[[#This Row],[_Row]]))</f>
        <v/>
      </c>
      <c r="C194" s="66" t="str">
        <f aca="false">IF(IFERROR(INDEX(tsk_Name,GanttView[[#This Row],[_Row]])="",TRUE()),"",REPT("    ",INDEX(tsk_Level,GanttView[[#This Row],[_Row]])-1)&amp;INDEX(tsk_Name,GanttView[[#This Row],[_Row]]))</f>
        <v/>
      </c>
      <c r="D19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4" s="67" t="str">
        <f aca="false">IF(IFERROR(INDEX(tsk_Name,GanttView[[#This Row],[_Row]])="",TRUE()),"",INDEX(tsk_PlanStart,GanttView[[#This Row],[_Row]]))</f>
        <v/>
      </c>
      <c r="F194" s="67" t="str">
        <f aca="false">IF(IFERROR(INDEX(tsk_Name,GanttView[[#This Row],[_Row]])="",TRUE()),"",INDEX(tsk_PlanFinish,GanttView[[#This Row],[_Row]]))</f>
        <v/>
      </c>
      <c r="G194" s="67" t="str">
        <f aca="false">IF(IFERROR(INDEX(tsk_Name,GanttView[[#This Row],[_Row]])="",TRUE()),"",INDEX(tsk_FcStart,GanttView[[#This Row],[_Row]]))</f>
        <v/>
      </c>
      <c r="H194" s="67" t="str">
        <f aca="false">IF(IFERROR(INDEX(tsk_Name,GanttView[[#This Row],[_Row]])="",TRUE()),"",INDEX(tsk_FcFinish,GanttView[[#This Row],[_Row]]))</f>
        <v/>
      </c>
      <c r="I194" s="68" t="str">
        <f aca="false">IF(IFERROR(INDEX(tsk_Name,GanttView[[#This Row],[_Row]])="",TRUE()),"",INDEX(tsk_Progress,GanttView[[#This Row],[_Row]]))</f>
        <v/>
      </c>
      <c r="J194" s="66" t="str">
        <f aca="false">IF(IFERROR(INDEX(tsk_Name,GanttView[[#This Row],[_Row]])="",TRUE()),"",INDEX(tsk_Resource,GanttView[[#This Row],[_Row]])&amp;"")</f>
        <v/>
      </c>
      <c r="K194" s="69" t="str">
        <f aca="false">IF(IFERROR(INDEX(tsk_Name,GanttView[[#This Row],[_Row]])="",TRUE()),"",INDEX(tsk_Status,GanttView[[#This Row],[_Row]]))</f>
        <v/>
      </c>
      <c r="L194" s="70" t="n">
        <f aca="false">ROW()-ROW(GanttView[[#Headers],[ID]])</f>
        <v>189</v>
      </c>
      <c r="M194" s="71" t="b">
        <f aca="false">IF(IFERROR(INDEX(tsk_Name,GanttView[[#This Row],[_Row]])="",TRUE()),FALSE(),INDEX(tsk_IsSummary,GanttView[[#This Row],[_Row]]))</f>
        <v>0</v>
      </c>
      <c r="N194" s="71" t="b">
        <f aca="false">IF(IFERROR(INDEX(tsk_Name,GanttView[[#This Row],[_Row]])="",TRUE()),FALSE(),AND(INDEX(tsk_IsLeaf,GanttView[[#This Row],[_Row]])=1,N(INDEX(tsk_Duration,GanttView[[#This Row],[_Row]]))=0))</f>
        <v>0</v>
      </c>
      <c r="O19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4" s="72" t="n">
        <f aca="false">IF(GanttView[[#This Row],[_RemFrom]]=0,0,GanttView[[#This Row],[Forecast Finish]])</f>
        <v>0</v>
      </c>
      <c r="S194" s="71" t="b">
        <f aca="false">IF(IFERROR(INDEX(tsk_Name,GanttView[[#This Row],[_Row]])="",TRUE()),FALSE(),N(INDEX(tsk_Variance,GanttView[[#This Row],[_Row]]))&gt;0)</f>
        <v>0</v>
      </c>
      <c r="T194" s="72" t="n">
        <f aca="false">IF(IFERROR(INDEX(tsk_Name,GanttView[[#This Row],[_Row]])="",TRUE()),0,N(INDEX(tsk_Deadline,GanttView[[#This Row],[_Row]])))</f>
        <v>0</v>
      </c>
    </row>
    <row r="195" customFormat="false" ht="15" hidden="false" customHeight="false" outlineLevel="0" collapsed="false">
      <c r="A195" s="65" t="str">
        <f aca="false">IF(IFERROR(INDEX(tsk_Name,GanttView[[#This Row],[_Row]])="",TRUE()),"",INDEX(tsk_ID,GanttView[[#This Row],[_Row]]))</f>
        <v/>
      </c>
      <c r="B195" s="65" t="str">
        <f aca="false">IF(IFERROR(INDEX(tsk_Name,GanttView[[#This Row],[_Row]])="",TRUE()),"",INDEX(tsk_WBS,GanttView[[#This Row],[_Row]]))</f>
        <v/>
      </c>
      <c r="C195" s="66" t="str">
        <f aca="false">IF(IFERROR(INDEX(tsk_Name,GanttView[[#This Row],[_Row]])="",TRUE()),"",REPT("    ",INDEX(tsk_Level,GanttView[[#This Row],[_Row]])-1)&amp;INDEX(tsk_Name,GanttView[[#This Row],[_Row]]))</f>
        <v/>
      </c>
      <c r="D19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5" s="67" t="str">
        <f aca="false">IF(IFERROR(INDEX(tsk_Name,GanttView[[#This Row],[_Row]])="",TRUE()),"",INDEX(tsk_PlanStart,GanttView[[#This Row],[_Row]]))</f>
        <v/>
      </c>
      <c r="F195" s="67" t="str">
        <f aca="false">IF(IFERROR(INDEX(tsk_Name,GanttView[[#This Row],[_Row]])="",TRUE()),"",INDEX(tsk_PlanFinish,GanttView[[#This Row],[_Row]]))</f>
        <v/>
      </c>
      <c r="G195" s="67" t="str">
        <f aca="false">IF(IFERROR(INDEX(tsk_Name,GanttView[[#This Row],[_Row]])="",TRUE()),"",INDEX(tsk_FcStart,GanttView[[#This Row],[_Row]]))</f>
        <v/>
      </c>
      <c r="H195" s="67" t="str">
        <f aca="false">IF(IFERROR(INDEX(tsk_Name,GanttView[[#This Row],[_Row]])="",TRUE()),"",INDEX(tsk_FcFinish,GanttView[[#This Row],[_Row]]))</f>
        <v/>
      </c>
      <c r="I195" s="68" t="str">
        <f aca="false">IF(IFERROR(INDEX(tsk_Name,GanttView[[#This Row],[_Row]])="",TRUE()),"",INDEX(tsk_Progress,GanttView[[#This Row],[_Row]]))</f>
        <v/>
      </c>
      <c r="J195" s="66" t="str">
        <f aca="false">IF(IFERROR(INDEX(tsk_Name,GanttView[[#This Row],[_Row]])="",TRUE()),"",INDEX(tsk_Resource,GanttView[[#This Row],[_Row]])&amp;"")</f>
        <v/>
      </c>
      <c r="K195" s="69" t="str">
        <f aca="false">IF(IFERROR(INDEX(tsk_Name,GanttView[[#This Row],[_Row]])="",TRUE()),"",INDEX(tsk_Status,GanttView[[#This Row],[_Row]]))</f>
        <v/>
      </c>
      <c r="L195" s="70" t="n">
        <f aca="false">ROW()-ROW(GanttView[[#Headers],[ID]])</f>
        <v>190</v>
      </c>
      <c r="M195" s="71" t="b">
        <f aca="false">IF(IFERROR(INDEX(tsk_Name,GanttView[[#This Row],[_Row]])="",TRUE()),FALSE(),INDEX(tsk_IsSummary,GanttView[[#This Row],[_Row]]))</f>
        <v>0</v>
      </c>
      <c r="N195" s="71" t="b">
        <f aca="false">IF(IFERROR(INDEX(tsk_Name,GanttView[[#This Row],[_Row]])="",TRUE()),FALSE(),AND(INDEX(tsk_IsLeaf,GanttView[[#This Row],[_Row]])=1,N(INDEX(tsk_Duration,GanttView[[#This Row],[_Row]]))=0))</f>
        <v>0</v>
      </c>
      <c r="O19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5" s="72" t="n">
        <f aca="false">IF(GanttView[[#This Row],[_RemFrom]]=0,0,GanttView[[#This Row],[Forecast Finish]])</f>
        <v>0</v>
      </c>
      <c r="S195" s="71" t="b">
        <f aca="false">IF(IFERROR(INDEX(tsk_Name,GanttView[[#This Row],[_Row]])="",TRUE()),FALSE(),N(INDEX(tsk_Variance,GanttView[[#This Row],[_Row]]))&gt;0)</f>
        <v>0</v>
      </c>
      <c r="T195" s="72" t="n">
        <f aca="false">IF(IFERROR(INDEX(tsk_Name,GanttView[[#This Row],[_Row]])="",TRUE()),0,N(INDEX(tsk_Deadline,GanttView[[#This Row],[_Row]])))</f>
        <v>0</v>
      </c>
    </row>
    <row r="196" customFormat="false" ht="15" hidden="false" customHeight="false" outlineLevel="0" collapsed="false">
      <c r="A196" s="65" t="str">
        <f aca="false">IF(IFERROR(INDEX(tsk_Name,GanttView[[#This Row],[_Row]])="",TRUE()),"",INDEX(tsk_ID,GanttView[[#This Row],[_Row]]))</f>
        <v/>
      </c>
      <c r="B196" s="65" t="str">
        <f aca="false">IF(IFERROR(INDEX(tsk_Name,GanttView[[#This Row],[_Row]])="",TRUE()),"",INDEX(tsk_WBS,GanttView[[#This Row],[_Row]]))</f>
        <v/>
      </c>
      <c r="C196" s="66" t="str">
        <f aca="false">IF(IFERROR(INDEX(tsk_Name,GanttView[[#This Row],[_Row]])="",TRUE()),"",REPT("    ",INDEX(tsk_Level,GanttView[[#This Row],[_Row]])-1)&amp;INDEX(tsk_Name,GanttView[[#This Row],[_Row]]))</f>
        <v/>
      </c>
      <c r="D19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6" s="67" t="str">
        <f aca="false">IF(IFERROR(INDEX(tsk_Name,GanttView[[#This Row],[_Row]])="",TRUE()),"",INDEX(tsk_PlanStart,GanttView[[#This Row],[_Row]]))</f>
        <v/>
      </c>
      <c r="F196" s="67" t="str">
        <f aca="false">IF(IFERROR(INDEX(tsk_Name,GanttView[[#This Row],[_Row]])="",TRUE()),"",INDEX(tsk_PlanFinish,GanttView[[#This Row],[_Row]]))</f>
        <v/>
      </c>
      <c r="G196" s="67" t="str">
        <f aca="false">IF(IFERROR(INDEX(tsk_Name,GanttView[[#This Row],[_Row]])="",TRUE()),"",INDEX(tsk_FcStart,GanttView[[#This Row],[_Row]]))</f>
        <v/>
      </c>
      <c r="H196" s="67" t="str">
        <f aca="false">IF(IFERROR(INDEX(tsk_Name,GanttView[[#This Row],[_Row]])="",TRUE()),"",INDEX(tsk_FcFinish,GanttView[[#This Row],[_Row]]))</f>
        <v/>
      </c>
      <c r="I196" s="68" t="str">
        <f aca="false">IF(IFERROR(INDEX(tsk_Name,GanttView[[#This Row],[_Row]])="",TRUE()),"",INDEX(tsk_Progress,GanttView[[#This Row],[_Row]]))</f>
        <v/>
      </c>
      <c r="J196" s="66" t="str">
        <f aca="false">IF(IFERROR(INDEX(tsk_Name,GanttView[[#This Row],[_Row]])="",TRUE()),"",INDEX(tsk_Resource,GanttView[[#This Row],[_Row]])&amp;"")</f>
        <v/>
      </c>
      <c r="K196" s="69" t="str">
        <f aca="false">IF(IFERROR(INDEX(tsk_Name,GanttView[[#This Row],[_Row]])="",TRUE()),"",INDEX(tsk_Status,GanttView[[#This Row],[_Row]]))</f>
        <v/>
      </c>
      <c r="L196" s="70" t="n">
        <f aca="false">ROW()-ROW(GanttView[[#Headers],[ID]])</f>
        <v>191</v>
      </c>
      <c r="M196" s="71" t="b">
        <f aca="false">IF(IFERROR(INDEX(tsk_Name,GanttView[[#This Row],[_Row]])="",TRUE()),FALSE(),INDEX(tsk_IsSummary,GanttView[[#This Row],[_Row]]))</f>
        <v>0</v>
      </c>
      <c r="N196" s="71" t="b">
        <f aca="false">IF(IFERROR(INDEX(tsk_Name,GanttView[[#This Row],[_Row]])="",TRUE()),FALSE(),AND(INDEX(tsk_IsLeaf,GanttView[[#This Row],[_Row]])=1,N(INDEX(tsk_Duration,GanttView[[#This Row],[_Row]]))=0))</f>
        <v>0</v>
      </c>
      <c r="O19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6" s="72" t="n">
        <f aca="false">IF(GanttView[[#This Row],[_RemFrom]]=0,0,GanttView[[#This Row],[Forecast Finish]])</f>
        <v>0</v>
      </c>
      <c r="S196" s="71" t="b">
        <f aca="false">IF(IFERROR(INDEX(tsk_Name,GanttView[[#This Row],[_Row]])="",TRUE()),FALSE(),N(INDEX(tsk_Variance,GanttView[[#This Row],[_Row]]))&gt;0)</f>
        <v>0</v>
      </c>
      <c r="T196" s="72" t="n">
        <f aca="false">IF(IFERROR(INDEX(tsk_Name,GanttView[[#This Row],[_Row]])="",TRUE()),0,N(INDEX(tsk_Deadline,GanttView[[#This Row],[_Row]])))</f>
        <v>0</v>
      </c>
    </row>
    <row r="197" customFormat="false" ht="15" hidden="false" customHeight="false" outlineLevel="0" collapsed="false">
      <c r="A197" s="65" t="str">
        <f aca="false">IF(IFERROR(INDEX(tsk_Name,GanttView[[#This Row],[_Row]])="",TRUE()),"",INDEX(tsk_ID,GanttView[[#This Row],[_Row]]))</f>
        <v/>
      </c>
      <c r="B197" s="65" t="str">
        <f aca="false">IF(IFERROR(INDEX(tsk_Name,GanttView[[#This Row],[_Row]])="",TRUE()),"",INDEX(tsk_WBS,GanttView[[#This Row],[_Row]]))</f>
        <v/>
      </c>
      <c r="C197" s="66" t="str">
        <f aca="false">IF(IFERROR(INDEX(tsk_Name,GanttView[[#This Row],[_Row]])="",TRUE()),"",REPT("    ",INDEX(tsk_Level,GanttView[[#This Row],[_Row]])-1)&amp;INDEX(tsk_Name,GanttView[[#This Row],[_Row]]))</f>
        <v/>
      </c>
      <c r="D19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7" s="67" t="str">
        <f aca="false">IF(IFERROR(INDEX(tsk_Name,GanttView[[#This Row],[_Row]])="",TRUE()),"",INDEX(tsk_PlanStart,GanttView[[#This Row],[_Row]]))</f>
        <v/>
      </c>
      <c r="F197" s="67" t="str">
        <f aca="false">IF(IFERROR(INDEX(tsk_Name,GanttView[[#This Row],[_Row]])="",TRUE()),"",INDEX(tsk_PlanFinish,GanttView[[#This Row],[_Row]]))</f>
        <v/>
      </c>
      <c r="G197" s="67" t="str">
        <f aca="false">IF(IFERROR(INDEX(tsk_Name,GanttView[[#This Row],[_Row]])="",TRUE()),"",INDEX(tsk_FcStart,GanttView[[#This Row],[_Row]]))</f>
        <v/>
      </c>
      <c r="H197" s="67" t="str">
        <f aca="false">IF(IFERROR(INDEX(tsk_Name,GanttView[[#This Row],[_Row]])="",TRUE()),"",INDEX(tsk_FcFinish,GanttView[[#This Row],[_Row]]))</f>
        <v/>
      </c>
      <c r="I197" s="68" t="str">
        <f aca="false">IF(IFERROR(INDEX(tsk_Name,GanttView[[#This Row],[_Row]])="",TRUE()),"",INDEX(tsk_Progress,GanttView[[#This Row],[_Row]]))</f>
        <v/>
      </c>
      <c r="J197" s="66" t="str">
        <f aca="false">IF(IFERROR(INDEX(tsk_Name,GanttView[[#This Row],[_Row]])="",TRUE()),"",INDEX(tsk_Resource,GanttView[[#This Row],[_Row]])&amp;"")</f>
        <v/>
      </c>
      <c r="K197" s="69" t="str">
        <f aca="false">IF(IFERROR(INDEX(tsk_Name,GanttView[[#This Row],[_Row]])="",TRUE()),"",INDEX(tsk_Status,GanttView[[#This Row],[_Row]]))</f>
        <v/>
      </c>
      <c r="L197" s="70" t="n">
        <f aca="false">ROW()-ROW(GanttView[[#Headers],[ID]])</f>
        <v>192</v>
      </c>
      <c r="M197" s="71" t="b">
        <f aca="false">IF(IFERROR(INDEX(tsk_Name,GanttView[[#This Row],[_Row]])="",TRUE()),FALSE(),INDEX(tsk_IsSummary,GanttView[[#This Row],[_Row]]))</f>
        <v>0</v>
      </c>
      <c r="N197" s="71" t="b">
        <f aca="false">IF(IFERROR(INDEX(tsk_Name,GanttView[[#This Row],[_Row]])="",TRUE()),FALSE(),AND(INDEX(tsk_IsLeaf,GanttView[[#This Row],[_Row]])=1,N(INDEX(tsk_Duration,GanttView[[#This Row],[_Row]]))=0))</f>
        <v>0</v>
      </c>
      <c r="O19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7" s="72" t="n">
        <f aca="false">IF(GanttView[[#This Row],[_RemFrom]]=0,0,GanttView[[#This Row],[Forecast Finish]])</f>
        <v>0</v>
      </c>
      <c r="S197" s="71" t="b">
        <f aca="false">IF(IFERROR(INDEX(tsk_Name,GanttView[[#This Row],[_Row]])="",TRUE()),FALSE(),N(INDEX(tsk_Variance,GanttView[[#This Row],[_Row]]))&gt;0)</f>
        <v>0</v>
      </c>
      <c r="T197" s="72" t="n">
        <f aca="false">IF(IFERROR(INDEX(tsk_Name,GanttView[[#This Row],[_Row]])="",TRUE()),0,N(INDEX(tsk_Deadline,GanttView[[#This Row],[_Row]])))</f>
        <v>0</v>
      </c>
    </row>
    <row r="198" customFormat="false" ht="15" hidden="false" customHeight="false" outlineLevel="0" collapsed="false">
      <c r="A198" s="65" t="str">
        <f aca="false">IF(IFERROR(INDEX(tsk_Name,GanttView[[#This Row],[_Row]])="",TRUE()),"",INDEX(tsk_ID,GanttView[[#This Row],[_Row]]))</f>
        <v/>
      </c>
      <c r="B198" s="65" t="str">
        <f aca="false">IF(IFERROR(INDEX(tsk_Name,GanttView[[#This Row],[_Row]])="",TRUE()),"",INDEX(tsk_WBS,GanttView[[#This Row],[_Row]]))</f>
        <v/>
      </c>
      <c r="C198" s="66" t="str">
        <f aca="false">IF(IFERROR(INDEX(tsk_Name,GanttView[[#This Row],[_Row]])="",TRUE()),"",REPT("    ",INDEX(tsk_Level,GanttView[[#This Row],[_Row]])-1)&amp;INDEX(tsk_Name,GanttView[[#This Row],[_Row]]))</f>
        <v/>
      </c>
      <c r="D19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8" s="67" t="str">
        <f aca="false">IF(IFERROR(INDEX(tsk_Name,GanttView[[#This Row],[_Row]])="",TRUE()),"",INDEX(tsk_PlanStart,GanttView[[#This Row],[_Row]]))</f>
        <v/>
      </c>
      <c r="F198" s="67" t="str">
        <f aca="false">IF(IFERROR(INDEX(tsk_Name,GanttView[[#This Row],[_Row]])="",TRUE()),"",INDEX(tsk_PlanFinish,GanttView[[#This Row],[_Row]]))</f>
        <v/>
      </c>
      <c r="G198" s="67" t="str">
        <f aca="false">IF(IFERROR(INDEX(tsk_Name,GanttView[[#This Row],[_Row]])="",TRUE()),"",INDEX(tsk_FcStart,GanttView[[#This Row],[_Row]]))</f>
        <v/>
      </c>
      <c r="H198" s="67" t="str">
        <f aca="false">IF(IFERROR(INDEX(tsk_Name,GanttView[[#This Row],[_Row]])="",TRUE()),"",INDEX(tsk_FcFinish,GanttView[[#This Row],[_Row]]))</f>
        <v/>
      </c>
      <c r="I198" s="68" t="str">
        <f aca="false">IF(IFERROR(INDEX(tsk_Name,GanttView[[#This Row],[_Row]])="",TRUE()),"",INDEX(tsk_Progress,GanttView[[#This Row],[_Row]]))</f>
        <v/>
      </c>
      <c r="J198" s="66" t="str">
        <f aca="false">IF(IFERROR(INDEX(tsk_Name,GanttView[[#This Row],[_Row]])="",TRUE()),"",INDEX(tsk_Resource,GanttView[[#This Row],[_Row]])&amp;"")</f>
        <v/>
      </c>
      <c r="K198" s="69" t="str">
        <f aca="false">IF(IFERROR(INDEX(tsk_Name,GanttView[[#This Row],[_Row]])="",TRUE()),"",INDEX(tsk_Status,GanttView[[#This Row],[_Row]]))</f>
        <v/>
      </c>
      <c r="L198" s="70" t="n">
        <f aca="false">ROW()-ROW(GanttView[[#Headers],[ID]])</f>
        <v>193</v>
      </c>
      <c r="M198" s="71" t="b">
        <f aca="false">IF(IFERROR(INDEX(tsk_Name,GanttView[[#This Row],[_Row]])="",TRUE()),FALSE(),INDEX(tsk_IsSummary,GanttView[[#This Row],[_Row]]))</f>
        <v>0</v>
      </c>
      <c r="N198" s="71" t="b">
        <f aca="false">IF(IFERROR(INDEX(tsk_Name,GanttView[[#This Row],[_Row]])="",TRUE()),FALSE(),AND(INDEX(tsk_IsLeaf,GanttView[[#This Row],[_Row]])=1,N(INDEX(tsk_Duration,GanttView[[#This Row],[_Row]]))=0))</f>
        <v>0</v>
      </c>
      <c r="O19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8" s="72" t="n">
        <f aca="false">IF(GanttView[[#This Row],[_RemFrom]]=0,0,GanttView[[#This Row],[Forecast Finish]])</f>
        <v>0</v>
      </c>
      <c r="S198" s="71" t="b">
        <f aca="false">IF(IFERROR(INDEX(tsk_Name,GanttView[[#This Row],[_Row]])="",TRUE()),FALSE(),N(INDEX(tsk_Variance,GanttView[[#This Row],[_Row]]))&gt;0)</f>
        <v>0</v>
      </c>
      <c r="T198" s="72" t="n">
        <f aca="false">IF(IFERROR(INDEX(tsk_Name,GanttView[[#This Row],[_Row]])="",TRUE()),0,N(INDEX(tsk_Deadline,GanttView[[#This Row],[_Row]])))</f>
        <v>0</v>
      </c>
    </row>
    <row r="199" customFormat="false" ht="15" hidden="false" customHeight="false" outlineLevel="0" collapsed="false">
      <c r="A199" s="65" t="str">
        <f aca="false">IF(IFERROR(INDEX(tsk_Name,GanttView[[#This Row],[_Row]])="",TRUE()),"",INDEX(tsk_ID,GanttView[[#This Row],[_Row]]))</f>
        <v/>
      </c>
      <c r="B199" s="65" t="str">
        <f aca="false">IF(IFERROR(INDEX(tsk_Name,GanttView[[#This Row],[_Row]])="",TRUE()),"",INDEX(tsk_WBS,GanttView[[#This Row],[_Row]]))</f>
        <v/>
      </c>
      <c r="C199" s="66" t="str">
        <f aca="false">IF(IFERROR(INDEX(tsk_Name,GanttView[[#This Row],[_Row]])="",TRUE()),"",REPT("    ",INDEX(tsk_Level,GanttView[[#This Row],[_Row]])-1)&amp;INDEX(tsk_Name,GanttView[[#This Row],[_Row]]))</f>
        <v/>
      </c>
      <c r="D19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9" s="67" t="str">
        <f aca="false">IF(IFERROR(INDEX(tsk_Name,GanttView[[#This Row],[_Row]])="",TRUE()),"",INDEX(tsk_PlanStart,GanttView[[#This Row],[_Row]]))</f>
        <v/>
      </c>
      <c r="F199" s="67" t="str">
        <f aca="false">IF(IFERROR(INDEX(tsk_Name,GanttView[[#This Row],[_Row]])="",TRUE()),"",INDEX(tsk_PlanFinish,GanttView[[#This Row],[_Row]]))</f>
        <v/>
      </c>
      <c r="G199" s="67" t="str">
        <f aca="false">IF(IFERROR(INDEX(tsk_Name,GanttView[[#This Row],[_Row]])="",TRUE()),"",INDEX(tsk_FcStart,GanttView[[#This Row],[_Row]]))</f>
        <v/>
      </c>
      <c r="H199" s="67" t="str">
        <f aca="false">IF(IFERROR(INDEX(tsk_Name,GanttView[[#This Row],[_Row]])="",TRUE()),"",INDEX(tsk_FcFinish,GanttView[[#This Row],[_Row]]))</f>
        <v/>
      </c>
      <c r="I199" s="68" t="str">
        <f aca="false">IF(IFERROR(INDEX(tsk_Name,GanttView[[#This Row],[_Row]])="",TRUE()),"",INDEX(tsk_Progress,GanttView[[#This Row],[_Row]]))</f>
        <v/>
      </c>
      <c r="J199" s="66" t="str">
        <f aca="false">IF(IFERROR(INDEX(tsk_Name,GanttView[[#This Row],[_Row]])="",TRUE()),"",INDEX(tsk_Resource,GanttView[[#This Row],[_Row]])&amp;"")</f>
        <v/>
      </c>
      <c r="K199" s="69" t="str">
        <f aca="false">IF(IFERROR(INDEX(tsk_Name,GanttView[[#This Row],[_Row]])="",TRUE()),"",INDEX(tsk_Status,GanttView[[#This Row],[_Row]]))</f>
        <v/>
      </c>
      <c r="L199" s="70" t="n">
        <f aca="false">ROW()-ROW(GanttView[[#Headers],[ID]])</f>
        <v>194</v>
      </c>
      <c r="M199" s="71" t="b">
        <f aca="false">IF(IFERROR(INDEX(tsk_Name,GanttView[[#This Row],[_Row]])="",TRUE()),FALSE(),INDEX(tsk_IsSummary,GanttView[[#This Row],[_Row]]))</f>
        <v>0</v>
      </c>
      <c r="N199" s="71" t="b">
        <f aca="false">IF(IFERROR(INDEX(tsk_Name,GanttView[[#This Row],[_Row]])="",TRUE()),FALSE(),AND(INDEX(tsk_IsLeaf,GanttView[[#This Row],[_Row]])=1,N(INDEX(tsk_Duration,GanttView[[#This Row],[_Row]]))=0))</f>
        <v>0</v>
      </c>
      <c r="O19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9" s="72" t="n">
        <f aca="false">IF(GanttView[[#This Row],[_RemFrom]]=0,0,GanttView[[#This Row],[Forecast Finish]])</f>
        <v>0</v>
      </c>
      <c r="S199" s="71" t="b">
        <f aca="false">IF(IFERROR(INDEX(tsk_Name,GanttView[[#This Row],[_Row]])="",TRUE()),FALSE(),N(INDEX(tsk_Variance,GanttView[[#This Row],[_Row]]))&gt;0)</f>
        <v>0</v>
      </c>
      <c r="T199" s="72" t="n">
        <f aca="false">IF(IFERROR(INDEX(tsk_Name,GanttView[[#This Row],[_Row]])="",TRUE()),0,N(INDEX(tsk_Deadline,GanttView[[#This Row],[_Row]])))</f>
        <v>0</v>
      </c>
    </row>
    <row r="200" customFormat="false" ht="15" hidden="false" customHeight="false" outlineLevel="0" collapsed="false">
      <c r="A200" s="65" t="str">
        <f aca="false">IF(IFERROR(INDEX(tsk_Name,GanttView[[#This Row],[_Row]])="",TRUE()),"",INDEX(tsk_ID,GanttView[[#This Row],[_Row]]))</f>
        <v/>
      </c>
      <c r="B200" s="65" t="str">
        <f aca="false">IF(IFERROR(INDEX(tsk_Name,GanttView[[#This Row],[_Row]])="",TRUE()),"",INDEX(tsk_WBS,GanttView[[#This Row],[_Row]]))</f>
        <v/>
      </c>
      <c r="C200" s="66" t="str">
        <f aca="false">IF(IFERROR(INDEX(tsk_Name,GanttView[[#This Row],[_Row]])="",TRUE()),"",REPT("    ",INDEX(tsk_Level,GanttView[[#This Row],[_Row]])-1)&amp;INDEX(tsk_Name,GanttView[[#This Row],[_Row]]))</f>
        <v/>
      </c>
      <c r="D20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0" s="67" t="str">
        <f aca="false">IF(IFERROR(INDEX(tsk_Name,GanttView[[#This Row],[_Row]])="",TRUE()),"",INDEX(tsk_PlanStart,GanttView[[#This Row],[_Row]]))</f>
        <v/>
      </c>
      <c r="F200" s="67" t="str">
        <f aca="false">IF(IFERROR(INDEX(tsk_Name,GanttView[[#This Row],[_Row]])="",TRUE()),"",INDEX(tsk_PlanFinish,GanttView[[#This Row],[_Row]]))</f>
        <v/>
      </c>
      <c r="G200" s="67" t="str">
        <f aca="false">IF(IFERROR(INDEX(tsk_Name,GanttView[[#This Row],[_Row]])="",TRUE()),"",INDEX(tsk_FcStart,GanttView[[#This Row],[_Row]]))</f>
        <v/>
      </c>
      <c r="H200" s="67" t="str">
        <f aca="false">IF(IFERROR(INDEX(tsk_Name,GanttView[[#This Row],[_Row]])="",TRUE()),"",INDEX(tsk_FcFinish,GanttView[[#This Row],[_Row]]))</f>
        <v/>
      </c>
      <c r="I200" s="68" t="str">
        <f aca="false">IF(IFERROR(INDEX(tsk_Name,GanttView[[#This Row],[_Row]])="",TRUE()),"",INDEX(tsk_Progress,GanttView[[#This Row],[_Row]]))</f>
        <v/>
      </c>
      <c r="J200" s="66" t="str">
        <f aca="false">IF(IFERROR(INDEX(tsk_Name,GanttView[[#This Row],[_Row]])="",TRUE()),"",INDEX(tsk_Resource,GanttView[[#This Row],[_Row]])&amp;"")</f>
        <v/>
      </c>
      <c r="K200" s="69" t="str">
        <f aca="false">IF(IFERROR(INDEX(tsk_Name,GanttView[[#This Row],[_Row]])="",TRUE()),"",INDEX(tsk_Status,GanttView[[#This Row],[_Row]]))</f>
        <v/>
      </c>
      <c r="L200" s="70" t="n">
        <f aca="false">ROW()-ROW(GanttView[[#Headers],[ID]])</f>
        <v>195</v>
      </c>
      <c r="M200" s="71" t="b">
        <f aca="false">IF(IFERROR(INDEX(tsk_Name,GanttView[[#This Row],[_Row]])="",TRUE()),FALSE(),INDEX(tsk_IsSummary,GanttView[[#This Row],[_Row]]))</f>
        <v>0</v>
      </c>
      <c r="N200" s="71" t="b">
        <f aca="false">IF(IFERROR(INDEX(tsk_Name,GanttView[[#This Row],[_Row]])="",TRUE()),FALSE(),AND(INDEX(tsk_IsLeaf,GanttView[[#This Row],[_Row]])=1,N(INDEX(tsk_Duration,GanttView[[#This Row],[_Row]]))=0))</f>
        <v>0</v>
      </c>
      <c r="O20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0" s="72" t="n">
        <f aca="false">IF(GanttView[[#This Row],[_RemFrom]]=0,0,GanttView[[#This Row],[Forecast Finish]])</f>
        <v>0</v>
      </c>
      <c r="S200" s="71" t="b">
        <f aca="false">IF(IFERROR(INDEX(tsk_Name,GanttView[[#This Row],[_Row]])="",TRUE()),FALSE(),N(INDEX(tsk_Variance,GanttView[[#This Row],[_Row]]))&gt;0)</f>
        <v>0</v>
      </c>
      <c r="T200" s="72" t="n">
        <f aca="false">IF(IFERROR(INDEX(tsk_Name,GanttView[[#This Row],[_Row]])="",TRUE()),0,N(INDEX(tsk_Deadline,GanttView[[#This Row],[_Row]])))</f>
        <v>0</v>
      </c>
    </row>
    <row r="201" customFormat="false" ht="15" hidden="false" customHeight="false" outlineLevel="0" collapsed="false">
      <c r="A201" s="65" t="str">
        <f aca="false">IF(IFERROR(INDEX(tsk_Name,GanttView[[#This Row],[_Row]])="",TRUE()),"",INDEX(tsk_ID,GanttView[[#This Row],[_Row]]))</f>
        <v/>
      </c>
      <c r="B201" s="65" t="str">
        <f aca="false">IF(IFERROR(INDEX(tsk_Name,GanttView[[#This Row],[_Row]])="",TRUE()),"",INDEX(tsk_WBS,GanttView[[#This Row],[_Row]]))</f>
        <v/>
      </c>
      <c r="C201" s="66" t="str">
        <f aca="false">IF(IFERROR(INDEX(tsk_Name,GanttView[[#This Row],[_Row]])="",TRUE()),"",REPT("    ",INDEX(tsk_Level,GanttView[[#This Row],[_Row]])-1)&amp;INDEX(tsk_Name,GanttView[[#This Row],[_Row]]))</f>
        <v/>
      </c>
      <c r="D20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1" s="67" t="str">
        <f aca="false">IF(IFERROR(INDEX(tsk_Name,GanttView[[#This Row],[_Row]])="",TRUE()),"",INDEX(tsk_PlanStart,GanttView[[#This Row],[_Row]]))</f>
        <v/>
      </c>
      <c r="F201" s="67" t="str">
        <f aca="false">IF(IFERROR(INDEX(tsk_Name,GanttView[[#This Row],[_Row]])="",TRUE()),"",INDEX(tsk_PlanFinish,GanttView[[#This Row],[_Row]]))</f>
        <v/>
      </c>
      <c r="G201" s="67" t="str">
        <f aca="false">IF(IFERROR(INDEX(tsk_Name,GanttView[[#This Row],[_Row]])="",TRUE()),"",INDEX(tsk_FcStart,GanttView[[#This Row],[_Row]]))</f>
        <v/>
      </c>
      <c r="H201" s="67" t="str">
        <f aca="false">IF(IFERROR(INDEX(tsk_Name,GanttView[[#This Row],[_Row]])="",TRUE()),"",INDEX(tsk_FcFinish,GanttView[[#This Row],[_Row]]))</f>
        <v/>
      </c>
      <c r="I201" s="68" t="str">
        <f aca="false">IF(IFERROR(INDEX(tsk_Name,GanttView[[#This Row],[_Row]])="",TRUE()),"",INDEX(tsk_Progress,GanttView[[#This Row],[_Row]]))</f>
        <v/>
      </c>
      <c r="J201" s="66" t="str">
        <f aca="false">IF(IFERROR(INDEX(tsk_Name,GanttView[[#This Row],[_Row]])="",TRUE()),"",INDEX(tsk_Resource,GanttView[[#This Row],[_Row]])&amp;"")</f>
        <v/>
      </c>
      <c r="K201" s="69" t="str">
        <f aca="false">IF(IFERROR(INDEX(tsk_Name,GanttView[[#This Row],[_Row]])="",TRUE()),"",INDEX(tsk_Status,GanttView[[#This Row],[_Row]]))</f>
        <v/>
      </c>
      <c r="L201" s="70" t="n">
        <f aca="false">ROW()-ROW(GanttView[[#Headers],[ID]])</f>
        <v>196</v>
      </c>
      <c r="M201" s="71" t="b">
        <f aca="false">IF(IFERROR(INDEX(tsk_Name,GanttView[[#This Row],[_Row]])="",TRUE()),FALSE(),INDEX(tsk_IsSummary,GanttView[[#This Row],[_Row]]))</f>
        <v>0</v>
      </c>
      <c r="N201" s="71" t="b">
        <f aca="false">IF(IFERROR(INDEX(tsk_Name,GanttView[[#This Row],[_Row]])="",TRUE()),FALSE(),AND(INDEX(tsk_IsLeaf,GanttView[[#This Row],[_Row]])=1,N(INDEX(tsk_Duration,GanttView[[#This Row],[_Row]]))=0))</f>
        <v>0</v>
      </c>
      <c r="O20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1" s="72" t="n">
        <f aca="false">IF(GanttView[[#This Row],[_RemFrom]]=0,0,GanttView[[#This Row],[Forecast Finish]])</f>
        <v>0</v>
      </c>
      <c r="S201" s="71" t="b">
        <f aca="false">IF(IFERROR(INDEX(tsk_Name,GanttView[[#This Row],[_Row]])="",TRUE()),FALSE(),N(INDEX(tsk_Variance,GanttView[[#This Row],[_Row]]))&gt;0)</f>
        <v>0</v>
      </c>
      <c r="T201" s="72" t="n">
        <f aca="false">IF(IFERROR(INDEX(tsk_Name,GanttView[[#This Row],[_Row]])="",TRUE()),0,N(INDEX(tsk_Deadline,GanttView[[#This Row],[_Row]])))</f>
        <v>0</v>
      </c>
    </row>
    <row r="202" customFormat="false" ht="15" hidden="false" customHeight="false" outlineLevel="0" collapsed="false">
      <c r="A202" s="65" t="str">
        <f aca="false">IF(IFERROR(INDEX(tsk_Name,GanttView[[#This Row],[_Row]])="",TRUE()),"",INDEX(tsk_ID,GanttView[[#This Row],[_Row]]))</f>
        <v/>
      </c>
      <c r="B202" s="65" t="str">
        <f aca="false">IF(IFERROR(INDEX(tsk_Name,GanttView[[#This Row],[_Row]])="",TRUE()),"",INDEX(tsk_WBS,GanttView[[#This Row],[_Row]]))</f>
        <v/>
      </c>
      <c r="C202" s="66" t="str">
        <f aca="false">IF(IFERROR(INDEX(tsk_Name,GanttView[[#This Row],[_Row]])="",TRUE()),"",REPT("    ",INDEX(tsk_Level,GanttView[[#This Row],[_Row]])-1)&amp;INDEX(tsk_Name,GanttView[[#This Row],[_Row]]))</f>
        <v/>
      </c>
      <c r="D20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2" s="67" t="str">
        <f aca="false">IF(IFERROR(INDEX(tsk_Name,GanttView[[#This Row],[_Row]])="",TRUE()),"",INDEX(tsk_PlanStart,GanttView[[#This Row],[_Row]]))</f>
        <v/>
      </c>
      <c r="F202" s="67" t="str">
        <f aca="false">IF(IFERROR(INDEX(tsk_Name,GanttView[[#This Row],[_Row]])="",TRUE()),"",INDEX(tsk_PlanFinish,GanttView[[#This Row],[_Row]]))</f>
        <v/>
      </c>
      <c r="G202" s="67" t="str">
        <f aca="false">IF(IFERROR(INDEX(tsk_Name,GanttView[[#This Row],[_Row]])="",TRUE()),"",INDEX(tsk_FcStart,GanttView[[#This Row],[_Row]]))</f>
        <v/>
      </c>
      <c r="H202" s="67" t="str">
        <f aca="false">IF(IFERROR(INDEX(tsk_Name,GanttView[[#This Row],[_Row]])="",TRUE()),"",INDEX(tsk_FcFinish,GanttView[[#This Row],[_Row]]))</f>
        <v/>
      </c>
      <c r="I202" s="68" t="str">
        <f aca="false">IF(IFERROR(INDEX(tsk_Name,GanttView[[#This Row],[_Row]])="",TRUE()),"",INDEX(tsk_Progress,GanttView[[#This Row],[_Row]]))</f>
        <v/>
      </c>
      <c r="J202" s="66" t="str">
        <f aca="false">IF(IFERROR(INDEX(tsk_Name,GanttView[[#This Row],[_Row]])="",TRUE()),"",INDEX(tsk_Resource,GanttView[[#This Row],[_Row]])&amp;"")</f>
        <v/>
      </c>
      <c r="K202" s="69" t="str">
        <f aca="false">IF(IFERROR(INDEX(tsk_Name,GanttView[[#This Row],[_Row]])="",TRUE()),"",INDEX(tsk_Status,GanttView[[#This Row],[_Row]]))</f>
        <v/>
      </c>
      <c r="L202" s="70" t="n">
        <f aca="false">ROW()-ROW(GanttView[[#Headers],[ID]])</f>
        <v>197</v>
      </c>
      <c r="M202" s="71" t="b">
        <f aca="false">IF(IFERROR(INDEX(tsk_Name,GanttView[[#This Row],[_Row]])="",TRUE()),FALSE(),INDEX(tsk_IsSummary,GanttView[[#This Row],[_Row]]))</f>
        <v>0</v>
      </c>
      <c r="N202" s="71" t="b">
        <f aca="false">IF(IFERROR(INDEX(tsk_Name,GanttView[[#This Row],[_Row]])="",TRUE()),FALSE(),AND(INDEX(tsk_IsLeaf,GanttView[[#This Row],[_Row]])=1,N(INDEX(tsk_Duration,GanttView[[#This Row],[_Row]]))=0))</f>
        <v>0</v>
      </c>
      <c r="O20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2" s="72" t="n">
        <f aca="false">IF(GanttView[[#This Row],[_RemFrom]]=0,0,GanttView[[#This Row],[Forecast Finish]])</f>
        <v>0</v>
      </c>
      <c r="S202" s="71" t="b">
        <f aca="false">IF(IFERROR(INDEX(tsk_Name,GanttView[[#This Row],[_Row]])="",TRUE()),FALSE(),N(INDEX(tsk_Variance,GanttView[[#This Row],[_Row]]))&gt;0)</f>
        <v>0</v>
      </c>
      <c r="T202" s="72" t="n">
        <f aca="false">IF(IFERROR(INDEX(tsk_Name,GanttView[[#This Row],[_Row]])="",TRUE()),0,N(INDEX(tsk_Deadline,GanttView[[#This Row],[_Row]])))</f>
        <v>0</v>
      </c>
    </row>
    <row r="203" customFormat="false" ht="15" hidden="false" customHeight="false" outlineLevel="0" collapsed="false">
      <c r="A203" s="65" t="str">
        <f aca="false">IF(IFERROR(INDEX(tsk_Name,GanttView[[#This Row],[_Row]])="",TRUE()),"",INDEX(tsk_ID,GanttView[[#This Row],[_Row]]))</f>
        <v/>
      </c>
      <c r="B203" s="65" t="str">
        <f aca="false">IF(IFERROR(INDEX(tsk_Name,GanttView[[#This Row],[_Row]])="",TRUE()),"",INDEX(tsk_WBS,GanttView[[#This Row],[_Row]]))</f>
        <v/>
      </c>
      <c r="C203" s="66" t="str">
        <f aca="false">IF(IFERROR(INDEX(tsk_Name,GanttView[[#This Row],[_Row]])="",TRUE()),"",REPT("    ",INDEX(tsk_Level,GanttView[[#This Row],[_Row]])-1)&amp;INDEX(tsk_Name,GanttView[[#This Row],[_Row]]))</f>
        <v/>
      </c>
      <c r="D20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3" s="67" t="str">
        <f aca="false">IF(IFERROR(INDEX(tsk_Name,GanttView[[#This Row],[_Row]])="",TRUE()),"",INDEX(tsk_PlanStart,GanttView[[#This Row],[_Row]]))</f>
        <v/>
      </c>
      <c r="F203" s="67" t="str">
        <f aca="false">IF(IFERROR(INDEX(tsk_Name,GanttView[[#This Row],[_Row]])="",TRUE()),"",INDEX(tsk_PlanFinish,GanttView[[#This Row],[_Row]]))</f>
        <v/>
      </c>
      <c r="G203" s="67" t="str">
        <f aca="false">IF(IFERROR(INDEX(tsk_Name,GanttView[[#This Row],[_Row]])="",TRUE()),"",INDEX(tsk_FcStart,GanttView[[#This Row],[_Row]]))</f>
        <v/>
      </c>
      <c r="H203" s="67" t="str">
        <f aca="false">IF(IFERROR(INDEX(tsk_Name,GanttView[[#This Row],[_Row]])="",TRUE()),"",INDEX(tsk_FcFinish,GanttView[[#This Row],[_Row]]))</f>
        <v/>
      </c>
      <c r="I203" s="68" t="str">
        <f aca="false">IF(IFERROR(INDEX(tsk_Name,GanttView[[#This Row],[_Row]])="",TRUE()),"",INDEX(tsk_Progress,GanttView[[#This Row],[_Row]]))</f>
        <v/>
      </c>
      <c r="J203" s="66" t="str">
        <f aca="false">IF(IFERROR(INDEX(tsk_Name,GanttView[[#This Row],[_Row]])="",TRUE()),"",INDEX(tsk_Resource,GanttView[[#This Row],[_Row]])&amp;"")</f>
        <v/>
      </c>
      <c r="K203" s="69" t="str">
        <f aca="false">IF(IFERROR(INDEX(tsk_Name,GanttView[[#This Row],[_Row]])="",TRUE()),"",INDEX(tsk_Status,GanttView[[#This Row],[_Row]]))</f>
        <v/>
      </c>
      <c r="L203" s="70" t="n">
        <f aca="false">ROW()-ROW(GanttView[[#Headers],[ID]])</f>
        <v>198</v>
      </c>
      <c r="M203" s="71" t="b">
        <f aca="false">IF(IFERROR(INDEX(tsk_Name,GanttView[[#This Row],[_Row]])="",TRUE()),FALSE(),INDEX(tsk_IsSummary,GanttView[[#This Row],[_Row]]))</f>
        <v>0</v>
      </c>
      <c r="N203" s="71" t="b">
        <f aca="false">IF(IFERROR(INDEX(tsk_Name,GanttView[[#This Row],[_Row]])="",TRUE()),FALSE(),AND(INDEX(tsk_IsLeaf,GanttView[[#This Row],[_Row]])=1,N(INDEX(tsk_Duration,GanttView[[#This Row],[_Row]]))=0))</f>
        <v>0</v>
      </c>
      <c r="O20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3" s="72" t="n">
        <f aca="false">IF(GanttView[[#This Row],[_RemFrom]]=0,0,GanttView[[#This Row],[Forecast Finish]])</f>
        <v>0</v>
      </c>
      <c r="S203" s="71" t="b">
        <f aca="false">IF(IFERROR(INDEX(tsk_Name,GanttView[[#This Row],[_Row]])="",TRUE()),FALSE(),N(INDEX(tsk_Variance,GanttView[[#This Row],[_Row]]))&gt;0)</f>
        <v>0</v>
      </c>
      <c r="T203" s="72" t="n">
        <f aca="false">IF(IFERROR(INDEX(tsk_Name,GanttView[[#This Row],[_Row]])="",TRUE()),0,N(INDEX(tsk_Deadline,GanttView[[#This Row],[_Row]])))</f>
        <v>0</v>
      </c>
    </row>
    <row r="204" customFormat="false" ht="15" hidden="false" customHeight="false" outlineLevel="0" collapsed="false">
      <c r="A204" s="65" t="str">
        <f aca="false">IF(IFERROR(INDEX(tsk_Name,GanttView[[#This Row],[_Row]])="",TRUE()),"",INDEX(tsk_ID,GanttView[[#This Row],[_Row]]))</f>
        <v/>
      </c>
      <c r="B204" s="65" t="str">
        <f aca="false">IF(IFERROR(INDEX(tsk_Name,GanttView[[#This Row],[_Row]])="",TRUE()),"",INDEX(tsk_WBS,GanttView[[#This Row],[_Row]]))</f>
        <v/>
      </c>
      <c r="C204" s="66" t="str">
        <f aca="false">IF(IFERROR(INDEX(tsk_Name,GanttView[[#This Row],[_Row]])="",TRUE()),"",REPT("    ",INDEX(tsk_Level,GanttView[[#This Row],[_Row]])-1)&amp;INDEX(tsk_Name,GanttView[[#This Row],[_Row]]))</f>
        <v/>
      </c>
      <c r="D20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4" s="67" t="str">
        <f aca="false">IF(IFERROR(INDEX(tsk_Name,GanttView[[#This Row],[_Row]])="",TRUE()),"",INDEX(tsk_PlanStart,GanttView[[#This Row],[_Row]]))</f>
        <v/>
      </c>
      <c r="F204" s="67" t="str">
        <f aca="false">IF(IFERROR(INDEX(tsk_Name,GanttView[[#This Row],[_Row]])="",TRUE()),"",INDEX(tsk_PlanFinish,GanttView[[#This Row],[_Row]]))</f>
        <v/>
      </c>
      <c r="G204" s="67" t="str">
        <f aca="false">IF(IFERROR(INDEX(tsk_Name,GanttView[[#This Row],[_Row]])="",TRUE()),"",INDEX(tsk_FcStart,GanttView[[#This Row],[_Row]]))</f>
        <v/>
      </c>
      <c r="H204" s="67" t="str">
        <f aca="false">IF(IFERROR(INDEX(tsk_Name,GanttView[[#This Row],[_Row]])="",TRUE()),"",INDEX(tsk_FcFinish,GanttView[[#This Row],[_Row]]))</f>
        <v/>
      </c>
      <c r="I204" s="68" t="str">
        <f aca="false">IF(IFERROR(INDEX(tsk_Name,GanttView[[#This Row],[_Row]])="",TRUE()),"",INDEX(tsk_Progress,GanttView[[#This Row],[_Row]]))</f>
        <v/>
      </c>
      <c r="J204" s="66" t="str">
        <f aca="false">IF(IFERROR(INDEX(tsk_Name,GanttView[[#This Row],[_Row]])="",TRUE()),"",INDEX(tsk_Resource,GanttView[[#This Row],[_Row]])&amp;"")</f>
        <v/>
      </c>
      <c r="K204" s="69" t="str">
        <f aca="false">IF(IFERROR(INDEX(tsk_Name,GanttView[[#This Row],[_Row]])="",TRUE()),"",INDEX(tsk_Status,GanttView[[#This Row],[_Row]]))</f>
        <v/>
      </c>
      <c r="L204" s="70" t="n">
        <f aca="false">ROW()-ROW(GanttView[[#Headers],[ID]])</f>
        <v>199</v>
      </c>
      <c r="M204" s="71" t="b">
        <f aca="false">IF(IFERROR(INDEX(tsk_Name,GanttView[[#This Row],[_Row]])="",TRUE()),FALSE(),INDEX(tsk_IsSummary,GanttView[[#This Row],[_Row]]))</f>
        <v>0</v>
      </c>
      <c r="N204" s="71" t="b">
        <f aca="false">IF(IFERROR(INDEX(tsk_Name,GanttView[[#This Row],[_Row]])="",TRUE()),FALSE(),AND(INDEX(tsk_IsLeaf,GanttView[[#This Row],[_Row]])=1,N(INDEX(tsk_Duration,GanttView[[#This Row],[_Row]]))=0))</f>
        <v>0</v>
      </c>
      <c r="O20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4" s="72" t="n">
        <f aca="false">IF(GanttView[[#This Row],[_RemFrom]]=0,0,GanttView[[#This Row],[Forecast Finish]])</f>
        <v>0</v>
      </c>
      <c r="S204" s="71" t="b">
        <f aca="false">IF(IFERROR(INDEX(tsk_Name,GanttView[[#This Row],[_Row]])="",TRUE()),FALSE(),N(INDEX(tsk_Variance,GanttView[[#This Row],[_Row]]))&gt;0)</f>
        <v>0</v>
      </c>
      <c r="T204" s="72" t="n">
        <f aca="false">IF(IFERROR(INDEX(tsk_Name,GanttView[[#This Row],[_Row]])="",TRUE()),0,N(INDEX(tsk_Deadline,GanttView[[#This Row],[_Row]])))</f>
        <v>0</v>
      </c>
    </row>
    <row r="205" customFormat="false" ht="15" hidden="false" customHeight="false" outlineLevel="0" collapsed="false">
      <c r="A205" s="65" t="str">
        <f aca="false">IF(IFERROR(INDEX(tsk_Name,GanttView[[#This Row],[_Row]])="",TRUE()),"",INDEX(tsk_ID,GanttView[[#This Row],[_Row]]))</f>
        <v/>
      </c>
      <c r="B205" s="65" t="str">
        <f aca="false">IF(IFERROR(INDEX(tsk_Name,GanttView[[#This Row],[_Row]])="",TRUE()),"",INDEX(tsk_WBS,GanttView[[#This Row],[_Row]]))</f>
        <v/>
      </c>
      <c r="C205" s="66" t="str">
        <f aca="false">IF(IFERROR(INDEX(tsk_Name,GanttView[[#This Row],[_Row]])="",TRUE()),"",REPT("    ",INDEX(tsk_Level,GanttView[[#This Row],[_Row]])-1)&amp;INDEX(tsk_Name,GanttView[[#This Row],[_Row]]))</f>
        <v/>
      </c>
      <c r="D20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5" s="67" t="str">
        <f aca="false">IF(IFERROR(INDEX(tsk_Name,GanttView[[#This Row],[_Row]])="",TRUE()),"",INDEX(tsk_PlanStart,GanttView[[#This Row],[_Row]]))</f>
        <v/>
      </c>
      <c r="F205" s="67" t="str">
        <f aca="false">IF(IFERROR(INDEX(tsk_Name,GanttView[[#This Row],[_Row]])="",TRUE()),"",INDEX(tsk_PlanFinish,GanttView[[#This Row],[_Row]]))</f>
        <v/>
      </c>
      <c r="G205" s="67" t="str">
        <f aca="false">IF(IFERROR(INDEX(tsk_Name,GanttView[[#This Row],[_Row]])="",TRUE()),"",INDEX(tsk_FcStart,GanttView[[#This Row],[_Row]]))</f>
        <v/>
      </c>
      <c r="H205" s="67" t="str">
        <f aca="false">IF(IFERROR(INDEX(tsk_Name,GanttView[[#This Row],[_Row]])="",TRUE()),"",INDEX(tsk_FcFinish,GanttView[[#This Row],[_Row]]))</f>
        <v/>
      </c>
      <c r="I205" s="68" t="str">
        <f aca="false">IF(IFERROR(INDEX(tsk_Name,GanttView[[#This Row],[_Row]])="",TRUE()),"",INDEX(tsk_Progress,GanttView[[#This Row],[_Row]]))</f>
        <v/>
      </c>
      <c r="J205" s="66" t="str">
        <f aca="false">IF(IFERROR(INDEX(tsk_Name,GanttView[[#This Row],[_Row]])="",TRUE()),"",INDEX(tsk_Resource,GanttView[[#This Row],[_Row]])&amp;"")</f>
        <v/>
      </c>
      <c r="K205" s="69" t="str">
        <f aca="false">IF(IFERROR(INDEX(tsk_Name,GanttView[[#This Row],[_Row]])="",TRUE()),"",INDEX(tsk_Status,GanttView[[#This Row],[_Row]]))</f>
        <v/>
      </c>
      <c r="L205" s="70" t="n">
        <f aca="false">ROW()-ROW(GanttView[[#Headers],[ID]])</f>
        <v>200</v>
      </c>
      <c r="M205" s="71" t="b">
        <f aca="false">IF(IFERROR(INDEX(tsk_Name,GanttView[[#This Row],[_Row]])="",TRUE()),FALSE(),INDEX(tsk_IsSummary,GanttView[[#This Row],[_Row]]))</f>
        <v>0</v>
      </c>
      <c r="N205" s="71" t="b">
        <f aca="false">IF(IFERROR(INDEX(tsk_Name,GanttView[[#This Row],[_Row]])="",TRUE()),FALSE(),AND(INDEX(tsk_IsLeaf,GanttView[[#This Row],[_Row]])=1,N(INDEX(tsk_Duration,GanttView[[#This Row],[_Row]]))=0))</f>
        <v>0</v>
      </c>
      <c r="O20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5" s="72" t="n">
        <f aca="false">IF(GanttView[[#This Row],[_RemFrom]]=0,0,GanttView[[#This Row],[Forecast Finish]])</f>
        <v>0</v>
      </c>
      <c r="S205" s="71" t="b">
        <f aca="false">IF(IFERROR(INDEX(tsk_Name,GanttView[[#This Row],[_Row]])="",TRUE()),FALSE(),N(INDEX(tsk_Variance,GanttView[[#This Row],[_Row]]))&gt;0)</f>
        <v>0</v>
      </c>
      <c r="T205" s="72" t="n">
        <f aca="false">IF(IFERROR(INDEX(tsk_Name,GanttView[[#This Row],[_Row]])="",TRUE()),0,N(INDEX(tsk_Deadline,GanttView[[#This Row],[_Row]])))</f>
        <v>0</v>
      </c>
    </row>
  </sheetData>
  <conditionalFormatting sqref="V6:FO205">
    <cfRule type="expression" priority="2" aboveAverage="0" equalAverage="0" bottom="0" percent="0" rank="0" text="" dxfId="29">
      <formula>AND($T6&gt;0,$T6&gt;=V$5,$T6&lt;V$5+GanttPeriod)</formula>
    </cfRule>
    <cfRule type="expression" priority="3" aboveAverage="0" equalAverage="0" bottom="0" percent="0" rank="0" text="" dxfId="30">
      <formula>AND($M6,AND($G6&gt;0,V$5&lt;=$H6,V$5+GanttPeriod-1&gt;=$G6))</formula>
    </cfRule>
    <cfRule type="expression" priority="4" aboveAverage="0" equalAverage="0" bottom="0" percent="0" rank="0" text="" dxfId="31">
      <formula>AND($N6,AND($G6&gt;0,$G6&gt;=V$5,$G6&lt;V$5+GanttPeriod))</formula>
    </cfRule>
    <cfRule type="expression" priority="5" aboveAverage="0" equalAverage="0" bottom="0" percent="0" rank="0" text="" dxfId="32">
      <formula>AND($O6&gt;0,V$5&lt;=$P6,V$5+GanttPeriod-1&gt;=$O6)</formula>
    </cfRule>
    <cfRule type="expression" priority="6" aboveAverage="0" equalAverage="0" bottom="0" percent="0" rank="0" text="" dxfId="33">
      <formula>AND($S6,AND($Q6&gt;0,V$5&lt;=$R6,V$5+GanttPeriod-1&gt;=$Q6))</formula>
    </cfRule>
    <cfRule type="expression" priority="7" aboveAverage="0" equalAverage="0" bottom="0" percent="0" rank="0" text="" dxfId="34">
      <formula>AND($Q6&gt;0,V$5&lt;=$R6,V$5+GanttPeriod-1&gt;=$Q6)</formula>
    </cfRule>
    <cfRule type="expression" priority="8" aboveAverage="0" equalAverage="0" bottom="0" percent="0" rank="0" text="" dxfId="35">
      <formula>AND(ISNUMBER($E6),AND($E6&gt;0,V$5&lt;=$F6,V$5+GanttPeriod-1&gt;=$E6))</formula>
    </cfRule>
    <cfRule type="expression" priority="9" aboveAverage="0" equalAverage="0" bottom="0" percent="0" rank="0" text="" dxfId="36">
      <formula>AND(StatusDate&gt;0,StatusDate&gt;=V$5,StatusDate&lt;V$5+GanttPeriod)</formula>
    </cfRule>
    <cfRule type="expression" priority="10" aboveAverage="0" equalAverage="0" bottom="0" percent="0" rank="0" text="" dxfId="37">
      <formula>AND(GanttPeriod=1,NETWORKDAYS.INTL(V$5,V$5,WorkWeek,Holidays)=0)</formula>
    </cfRule>
  </conditionalFormatting>
  <conditionalFormatting sqref="V5:FO5">
    <cfRule type="expression" priority="11" aboveAverage="0" equalAverage="0" bottom="0" percent="0" rank="0" text="" dxfId="29">
      <formula>AND(StatusDate&gt;0,StatusDate&gt;=V$5,StatusDate&lt;V$5+GanttPeriod)</formula>
    </cfRule>
  </conditionalFormatting>
  <conditionalFormatting sqref="A6:K205">
    <cfRule type="expression" priority="12" aboveAverage="0" equalAverage="0" bottom="0" percent="0" rank="0" text="" dxfId="19">
      <formula>$M6</formula>
    </cfRule>
  </conditionalFormatting>
  <conditionalFormatting sqref="K6:K205">
    <cfRule type="expression" priority="13" aboveAverage="0" equalAverage="0" bottom="0" percent="0" rank="0" text="" dxfId="11">
      <formula>$K6="Complete"</formula>
    </cfRule>
    <cfRule type="expression" priority="14" aboveAverage="0" equalAverage="0" bottom="0" percent="0" rank="0" text="" dxfId="21">
      <formula>$K6="In Progress"</formula>
    </cfRule>
    <cfRule type="expression" priority="15" aboveAverage="0" equalAverage="0" bottom="0" percent="0" rank="0" text="" dxfId="22">
      <formula>$K6="Behind"</formula>
    </cfRule>
    <cfRule type="expression" priority="16" aboveAverage="0" equalAverage="0" bottom="0" percent="0" rank="0" text="" dxfId="23">
      <formula>$K6="Late Start"</formula>
    </cfRule>
    <cfRule type="expression" priority="17" aboveAverage="0" equalAverage="0" bottom="0" percent="0" rank="0" text="" dxfId="24">
      <formula>$K6="Not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L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25" t="s">
        <v>330</v>
      </c>
    </row>
    <row r="2" customFormat="false" ht="15" hidden="false" customHeight="false" outlineLevel="0" collapsed="false">
      <c r="A2" s="8" t="s">
        <v>331</v>
      </c>
    </row>
    <row r="5" customFormat="false" ht="15" hidden="false" customHeight="false" outlineLevel="0" collapsed="false">
      <c r="B5" s="36" t="s">
        <v>332</v>
      </c>
      <c r="C5" s="36" t="s">
        <v>333</v>
      </c>
      <c r="D5" s="36" t="s">
        <v>334</v>
      </c>
      <c r="E5" s="36" t="s">
        <v>335</v>
      </c>
      <c r="F5" s="36" t="s">
        <v>336</v>
      </c>
      <c r="G5" s="36" t="s">
        <v>337</v>
      </c>
      <c r="H5" s="36" t="s">
        <v>338</v>
      </c>
      <c r="I5" s="9" t="s">
        <v>339</v>
      </c>
      <c r="J5" s="9" t="s">
        <v>206</v>
      </c>
      <c r="K5" s="9" t="s">
        <v>207</v>
      </c>
      <c r="L5" s="36" t="s">
        <v>93</v>
      </c>
    </row>
    <row r="6" customFormat="false" ht="15" hidden="false" customHeight="false" outlineLevel="0" collapsed="false">
      <c r="B6" s="41" t="s">
        <v>99</v>
      </c>
      <c r="C6" s="41" t="s">
        <v>340</v>
      </c>
      <c r="D6" s="41" t="s">
        <v>341</v>
      </c>
      <c r="E6" s="41" t="s">
        <v>206</v>
      </c>
      <c r="F6" s="31" t="n">
        <v>0.5</v>
      </c>
      <c r="G6" s="46" t="n">
        <v>95</v>
      </c>
      <c r="H6" s="41" t="s">
        <v>342</v>
      </c>
      <c r="I6" s="34" t="n">
        <f aca="false">IF(ResourceTable[[#This Row],[Resource Name]]="","",COUNTIFS(tsk_Resource,ResourceTable[[#This Row],[Resource Name]],tsk_IsLeaf,1))</f>
        <v>4</v>
      </c>
      <c r="J6" s="43" t="n">
        <f aca="false">IF(ResourceTable[[#This Row],[Resource Name]]="","",SUMIFS(tsk_Work,tsk_Resource,ResourceTable[[#This Row],[Resource Name]],tsk_IsLeaf,1))</f>
        <v>56</v>
      </c>
      <c r="K6" s="44" t="n">
        <f aca="false">IF(ResourceTable[[#This Row],[Resource Name]]="","",SUMIFS(tsk_Cost,tsk_Resource,ResourceTable[[#This Row],[Resource Name]],tsk_IsLeaf,1))</f>
        <v>5320</v>
      </c>
      <c r="L6" s="41"/>
    </row>
    <row r="7" customFormat="false" ht="15" hidden="false" customHeight="false" outlineLevel="0" collapsed="false">
      <c r="B7" s="41" t="s">
        <v>265</v>
      </c>
      <c r="C7" s="41" t="s">
        <v>343</v>
      </c>
      <c r="D7" s="41" t="s">
        <v>344</v>
      </c>
      <c r="E7" s="41" t="s">
        <v>206</v>
      </c>
      <c r="F7" s="31" t="n">
        <v>1</v>
      </c>
      <c r="G7" s="46" t="n">
        <v>70</v>
      </c>
      <c r="H7" s="41" t="s">
        <v>345</v>
      </c>
      <c r="I7" s="34" t="n">
        <f aca="false">IF(ResourceTable[[#This Row],[Resource Name]]="","",COUNTIFS(tsk_Resource,ResourceTable[[#This Row],[Resource Name]],tsk_IsLeaf,1))</f>
        <v>3</v>
      </c>
      <c r="J7" s="43" t="n">
        <f aca="false">IF(ResourceTable[[#This Row],[Resource Name]]="","",SUMIFS(tsk_Work,tsk_Resource,ResourceTable[[#This Row],[Resource Name]],tsk_IsLeaf,1))</f>
        <v>128</v>
      </c>
      <c r="K7" s="44" t="n">
        <f aca="false">IF(ResourceTable[[#This Row],[Resource Name]]="","",SUMIFS(tsk_Cost,tsk_Resource,ResourceTable[[#This Row],[Resource Name]],tsk_IsLeaf,1))</f>
        <v>8960</v>
      </c>
      <c r="L7" s="41"/>
    </row>
    <row r="8" customFormat="false" ht="15" hidden="false" customHeight="false" outlineLevel="0" collapsed="false">
      <c r="B8" s="41" t="s">
        <v>272</v>
      </c>
      <c r="C8" s="41" t="s">
        <v>346</v>
      </c>
      <c r="D8" s="41" t="s">
        <v>347</v>
      </c>
      <c r="E8" s="41" t="s">
        <v>206</v>
      </c>
      <c r="F8" s="31" t="n">
        <v>0.5</v>
      </c>
      <c r="G8" s="46" t="n">
        <v>110</v>
      </c>
      <c r="H8" s="41" t="s">
        <v>348</v>
      </c>
      <c r="I8" s="34" t="n">
        <f aca="false">IF(ResourceTable[[#This Row],[Resource Name]]="","",COUNTIFS(tsk_Resource,ResourceTable[[#This Row],[Resource Name]],tsk_IsLeaf,1))</f>
        <v>1</v>
      </c>
      <c r="J8" s="43" t="n">
        <f aca="false">IF(ResourceTable[[#This Row],[Resource Name]]="","",SUMIFS(tsk_Work,tsk_Resource,ResourceTable[[#This Row],[Resource Name]],tsk_IsLeaf,1))</f>
        <v>40</v>
      </c>
      <c r="K8" s="44" t="n">
        <f aca="false">IF(ResourceTable[[#This Row],[Resource Name]]="","",SUMIFS(tsk_Cost,tsk_Resource,ResourceTable[[#This Row],[Resource Name]],tsk_IsLeaf,1))</f>
        <v>4400</v>
      </c>
      <c r="L8" s="41"/>
    </row>
    <row r="9" customFormat="false" ht="15" hidden="false" customHeight="false" outlineLevel="0" collapsed="false">
      <c r="B9" s="41" t="s">
        <v>275</v>
      </c>
      <c r="C9" s="41" t="s">
        <v>349</v>
      </c>
      <c r="D9" s="41" t="s">
        <v>350</v>
      </c>
      <c r="E9" s="41" t="s">
        <v>206</v>
      </c>
      <c r="F9" s="31" t="n">
        <v>1</v>
      </c>
      <c r="G9" s="46" t="n">
        <v>75</v>
      </c>
      <c r="H9" s="41" t="s">
        <v>351</v>
      </c>
      <c r="I9" s="34" t="n">
        <f aca="false">IF(ResourceTable[[#This Row],[Resource Name]]="","",COUNTIFS(tsk_Resource,ResourceTable[[#This Row],[Resource Name]],tsk_IsLeaf,1))</f>
        <v>3</v>
      </c>
      <c r="J9" s="43" t="n">
        <f aca="false">IF(ResourceTable[[#This Row],[Resource Name]]="","",SUMIFS(tsk_Work,tsk_Resource,ResourceTable[[#This Row],[Resource Name]],tsk_IsLeaf,1))</f>
        <v>80</v>
      </c>
      <c r="K9" s="44" t="n">
        <f aca="false">IF(ResourceTable[[#This Row],[Resource Name]]="","",SUMIFS(tsk_Cost,tsk_Resource,ResourceTable[[#This Row],[Resource Name]],tsk_IsLeaf,1))</f>
        <v>6000</v>
      </c>
      <c r="L9" s="41"/>
    </row>
    <row r="10" customFormat="false" ht="15" hidden="false" customHeight="false" outlineLevel="0" collapsed="false">
      <c r="B10" s="41" t="s">
        <v>282</v>
      </c>
      <c r="C10" s="41" t="s">
        <v>352</v>
      </c>
      <c r="D10" s="41" t="s">
        <v>353</v>
      </c>
      <c r="E10" s="41" t="s">
        <v>206</v>
      </c>
      <c r="F10" s="31" t="n">
        <v>1</v>
      </c>
      <c r="G10" s="46" t="n">
        <v>85</v>
      </c>
      <c r="H10" s="41" t="s">
        <v>354</v>
      </c>
      <c r="I10" s="34" t="n">
        <f aca="false">IF(ResourceTable[[#This Row],[Resource Name]]="","",COUNTIFS(tsk_Resource,ResourceTable[[#This Row],[Resource Name]],tsk_IsLeaf,1))</f>
        <v>4</v>
      </c>
      <c r="J10" s="43" t="n">
        <f aca="false">IF(ResourceTable[[#This Row],[Resource Name]]="","",SUMIFS(tsk_Work,tsk_Resource,ResourceTable[[#This Row],[Resource Name]],tsk_IsLeaf,1))</f>
        <v>208</v>
      </c>
      <c r="K10" s="44" t="n">
        <f aca="false">IF(ResourceTable[[#This Row],[Resource Name]]="","",SUMIFS(tsk_Cost,tsk_Resource,ResourceTable[[#This Row],[Resource Name]],tsk_IsLeaf,1))</f>
        <v>17680</v>
      </c>
      <c r="L10" s="41"/>
    </row>
    <row r="11" customFormat="false" ht="15" hidden="false" customHeight="false" outlineLevel="0" collapsed="false">
      <c r="B11" s="41" t="s">
        <v>288</v>
      </c>
      <c r="C11" s="41" t="s">
        <v>355</v>
      </c>
      <c r="D11" s="41" t="s">
        <v>356</v>
      </c>
      <c r="E11" s="41" t="s">
        <v>206</v>
      </c>
      <c r="F11" s="31" t="n">
        <v>1</v>
      </c>
      <c r="G11" s="46" t="n">
        <v>80</v>
      </c>
      <c r="H11" s="41" t="s">
        <v>357</v>
      </c>
      <c r="I11" s="34" t="n">
        <f aca="false">IF(ResourceTable[[#This Row],[Resource Name]]="","",COUNTIFS(tsk_Resource,ResourceTable[[#This Row],[Resource Name]],tsk_IsLeaf,1))</f>
        <v>2</v>
      </c>
      <c r="J11" s="43" t="n">
        <f aca="false">IF(ResourceTable[[#This Row],[Resource Name]]="","",SUMIFS(tsk_Work,tsk_Resource,ResourceTable[[#This Row],[Resource Name]],tsk_IsLeaf,1))</f>
        <v>144</v>
      </c>
      <c r="K11" s="44" t="n">
        <f aca="false">IF(ResourceTable[[#This Row],[Resource Name]]="","",SUMIFS(tsk_Cost,tsk_Resource,ResourceTable[[#This Row],[Resource Name]],tsk_IsLeaf,1))</f>
        <v>11520</v>
      </c>
      <c r="L11" s="41"/>
    </row>
    <row r="12" customFormat="false" ht="15" hidden="false" customHeight="false" outlineLevel="0" collapsed="false">
      <c r="B12" s="41" t="s">
        <v>297</v>
      </c>
      <c r="C12" s="41" t="s">
        <v>358</v>
      </c>
      <c r="D12" s="41" t="s">
        <v>359</v>
      </c>
      <c r="E12" s="41" t="s">
        <v>206</v>
      </c>
      <c r="F12" s="31" t="n">
        <v>1</v>
      </c>
      <c r="G12" s="46" t="n">
        <v>65</v>
      </c>
      <c r="H12" s="41" t="s">
        <v>360</v>
      </c>
      <c r="I12" s="34" t="n">
        <f aca="false">IF(ResourceTable[[#This Row],[Resource Name]]="","",COUNTIFS(tsk_Resource,ResourceTable[[#This Row],[Resource Name]],tsk_IsLeaf,1))</f>
        <v>1</v>
      </c>
      <c r="J12" s="43" t="n">
        <f aca="false">IF(ResourceTable[[#This Row],[Resource Name]]="","",SUMIFS(tsk_Work,tsk_Resource,ResourceTable[[#This Row],[Resource Name]],tsk_IsLeaf,1))</f>
        <v>64</v>
      </c>
      <c r="K12" s="44" t="n">
        <f aca="false">IF(ResourceTable[[#This Row],[Resource Name]]="","",SUMIFS(tsk_Cost,tsk_Resource,ResourceTable[[#This Row],[Resource Name]],tsk_IsLeaf,1))</f>
        <v>4160</v>
      </c>
      <c r="L12" s="41"/>
    </row>
    <row r="13" customFormat="false" ht="15" hidden="false" customHeight="false" outlineLevel="0" collapsed="false">
      <c r="B13" s="41"/>
      <c r="C13" s="41"/>
      <c r="D13" s="41"/>
      <c r="E13" s="41"/>
      <c r="F13" s="31"/>
      <c r="G13" s="46"/>
      <c r="H13" s="41"/>
      <c r="I13" s="34" t="str">
        <f aca="false">IF(ResourceTable[[#This Row],[Resource Name]]="","",COUNTIFS(tsk_Resource,ResourceTable[[#This Row],[Resource Name]],tsk_IsLeaf,1))</f>
        <v/>
      </c>
      <c r="J13" s="43" t="str">
        <f aca="false">IF(ResourceTable[[#This Row],[Resource Name]]="","",SUMIFS(tsk_Work,tsk_Resource,ResourceTable[[#This Row],[Resource Name]],tsk_IsLeaf,1))</f>
        <v/>
      </c>
      <c r="K13" s="44" t="str">
        <f aca="false">IF(ResourceTable[[#This Row],[Resource Name]]="","",SUMIFS(tsk_Cost,tsk_Resource,ResourceTable[[#This Row],[Resource Name]],tsk_IsLeaf,1))</f>
        <v/>
      </c>
      <c r="L13" s="41"/>
    </row>
    <row r="14" customFormat="false" ht="15" hidden="false" customHeight="false" outlineLevel="0" collapsed="false">
      <c r="B14" s="41"/>
      <c r="C14" s="41"/>
      <c r="D14" s="41"/>
      <c r="E14" s="41"/>
      <c r="F14" s="31"/>
      <c r="G14" s="46"/>
      <c r="H14" s="41"/>
      <c r="I14" s="34" t="str">
        <f aca="false">IF(ResourceTable[[#This Row],[Resource Name]]="","",COUNTIFS(tsk_Resource,ResourceTable[[#This Row],[Resource Name]],tsk_IsLeaf,1))</f>
        <v/>
      </c>
      <c r="J14" s="43" t="str">
        <f aca="false">IF(ResourceTable[[#This Row],[Resource Name]]="","",SUMIFS(tsk_Work,tsk_Resource,ResourceTable[[#This Row],[Resource Name]],tsk_IsLeaf,1))</f>
        <v/>
      </c>
      <c r="K14" s="44" t="str">
        <f aca="false">IF(ResourceTable[[#This Row],[Resource Name]]="","",SUMIFS(tsk_Cost,tsk_Resource,ResourceTable[[#This Row],[Resource Name]],tsk_IsLeaf,1))</f>
        <v/>
      </c>
      <c r="L14" s="41"/>
    </row>
    <row r="15" customFormat="false" ht="15" hidden="false" customHeight="false" outlineLevel="0" collapsed="false">
      <c r="B15" s="41"/>
      <c r="C15" s="41"/>
      <c r="D15" s="41"/>
      <c r="E15" s="41"/>
      <c r="F15" s="31"/>
      <c r="G15" s="46"/>
      <c r="H15" s="41"/>
      <c r="I15" s="34" t="str">
        <f aca="false">IF(ResourceTable[[#This Row],[Resource Name]]="","",COUNTIFS(tsk_Resource,ResourceTable[[#This Row],[Resource Name]],tsk_IsLeaf,1))</f>
        <v/>
      </c>
      <c r="J15" s="43" t="str">
        <f aca="false">IF(ResourceTable[[#This Row],[Resource Name]]="","",SUMIFS(tsk_Work,tsk_Resource,ResourceTable[[#This Row],[Resource Name]],tsk_IsLeaf,1))</f>
        <v/>
      </c>
      <c r="K15" s="44" t="str">
        <f aca="false">IF(ResourceTable[[#This Row],[Resource Name]]="","",SUMIFS(tsk_Cost,tsk_Resource,ResourceTable[[#This Row],[Resource Name]],tsk_IsLeaf,1))</f>
        <v/>
      </c>
      <c r="L15" s="41"/>
    </row>
    <row r="16" customFormat="false" ht="15" hidden="false" customHeight="false" outlineLevel="0" collapsed="false">
      <c r="B16" s="41"/>
      <c r="C16" s="41"/>
      <c r="D16" s="41"/>
      <c r="E16" s="41"/>
      <c r="F16" s="31"/>
      <c r="G16" s="46"/>
      <c r="H16" s="41"/>
      <c r="I16" s="34" t="str">
        <f aca="false">IF(ResourceTable[[#This Row],[Resource Name]]="","",COUNTIFS(tsk_Resource,ResourceTable[[#This Row],[Resource Name]],tsk_IsLeaf,1))</f>
        <v/>
      </c>
      <c r="J16" s="43" t="str">
        <f aca="false">IF(ResourceTable[[#This Row],[Resource Name]]="","",SUMIFS(tsk_Work,tsk_Resource,ResourceTable[[#This Row],[Resource Name]],tsk_IsLeaf,1))</f>
        <v/>
      </c>
      <c r="K16" s="44" t="str">
        <f aca="false">IF(ResourceTable[[#This Row],[Resource Name]]="","",SUMIFS(tsk_Cost,tsk_Resource,ResourceTable[[#This Row],[Resource Name]],tsk_IsLeaf,1))</f>
        <v/>
      </c>
      <c r="L16" s="41"/>
    </row>
    <row r="17" customFormat="false" ht="15" hidden="false" customHeight="false" outlineLevel="0" collapsed="false">
      <c r="B17" s="41"/>
      <c r="C17" s="41"/>
      <c r="D17" s="41"/>
      <c r="E17" s="41"/>
      <c r="F17" s="31"/>
      <c r="G17" s="46"/>
      <c r="H17" s="41"/>
      <c r="I17" s="34" t="str">
        <f aca="false">IF(ResourceTable[[#This Row],[Resource Name]]="","",COUNTIFS(tsk_Resource,ResourceTable[[#This Row],[Resource Name]],tsk_IsLeaf,1))</f>
        <v/>
      </c>
      <c r="J17" s="43" t="str">
        <f aca="false">IF(ResourceTable[[#This Row],[Resource Name]]="","",SUMIFS(tsk_Work,tsk_Resource,ResourceTable[[#This Row],[Resource Name]],tsk_IsLeaf,1))</f>
        <v/>
      </c>
      <c r="K17" s="44" t="str">
        <f aca="false">IF(ResourceTable[[#This Row],[Resource Name]]="","",SUMIFS(tsk_Cost,tsk_Resource,ResourceTable[[#This Row],[Resource Name]],tsk_IsLeaf,1))</f>
        <v/>
      </c>
      <c r="L17" s="41"/>
    </row>
    <row r="18" customFormat="false" ht="15" hidden="false" customHeight="false" outlineLevel="0" collapsed="false">
      <c r="B18" s="41"/>
      <c r="C18" s="41"/>
      <c r="D18" s="41"/>
      <c r="E18" s="41"/>
      <c r="F18" s="31"/>
      <c r="G18" s="46"/>
      <c r="H18" s="41"/>
      <c r="I18" s="34" t="str">
        <f aca="false">IF(ResourceTable[[#This Row],[Resource Name]]="","",COUNTIFS(tsk_Resource,ResourceTable[[#This Row],[Resource Name]],tsk_IsLeaf,1))</f>
        <v/>
      </c>
      <c r="J18" s="43" t="str">
        <f aca="false">IF(ResourceTable[[#This Row],[Resource Name]]="","",SUMIFS(tsk_Work,tsk_Resource,ResourceTable[[#This Row],[Resource Name]],tsk_IsLeaf,1))</f>
        <v/>
      </c>
      <c r="K18" s="44" t="str">
        <f aca="false">IF(ResourceTable[[#This Row],[Resource Name]]="","",SUMIFS(tsk_Cost,tsk_Resource,ResourceTable[[#This Row],[Resource Name]],tsk_IsLeaf,1))</f>
        <v/>
      </c>
      <c r="L18" s="41"/>
    </row>
    <row r="19" customFormat="false" ht="15" hidden="false" customHeight="false" outlineLevel="0" collapsed="false">
      <c r="B19" s="41"/>
      <c r="C19" s="41"/>
      <c r="D19" s="41"/>
      <c r="E19" s="41"/>
      <c r="F19" s="31"/>
      <c r="G19" s="46"/>
      <c r="H19" s="41"/>
      <c r="I19" s="34" t="str">
        <f aca="false">IF(ResourceTable[[#This Row],[Resource Name]]="","",COUNTIFS(tsk_Resource,ResourceTable[[#This Row],[Resource Name]],tsk_IsLeaf,1))</f>
        <v/>
      </c>
      <c r="J19" s="43" t="str">
        <f aca="false">IF(ResourceTable[[#This Row],[Resource Name]]="","",SUMIFS(tsk_Work,tsk_Resource,ResourceTable[[#This Row],[Resource Name]],tsk_IsLeaf,1))</f>
        <v/>
      </c>
      <c r="K19" s="44" t="str">
        <f aca="false">IF(ResourceTable[[#This Row],[Resource Name]]="","",SUMIFS(tsk_Cost,tsk_Resource,ResourceTable[[#This Row],[Resource Name]],tsk_IsLeaf,1))</f>
        <v/>
      </c>
      <c r="L19" s="41"/>
    </row>
    <row r="20" customFormat="false" ht="15" hidden="false" customHeight="false" outlineLevel="0" collapsed="false">
      <c r="B20" s="41"/>
      <c r="C20" s="41"/>
      <c r="D20" s="41"/>
      <c r="E20" s="41"/>
      <c r="F20" s="31"/>
      <c r="G20" s="46"/>
      <c r="H20" s="41"/>
      <c r="I20" s="34" t="str">
        <f aca="false">IF(ResourceTable[[#This Row],[Resource Name]]="","",COUNTIFS(tsk_Resource,ResourceTable[[#This Row],[Resource Name]],tsk_IsLeaf,1))</f>
        <v/>
      </c>
      <c r="J20" s="43" t="str">
        <f aca="false">IF(ResourceTable[[#This Row],[Resource Name]]="","",SUMIFS(tsk_Work,tsk_Resource,ResourceTable[[#This Row],[Resource Name]],tsk_IsLeaf,1))</f>
        <v/>
      </c>
      <c r="K20" s="44" t="str">
        <f aca="false">IF(ResourceTable[[#This Row],[Resource Name]]="","",SUMIFS(tsk_Cost,tsk_Resource,ResourceTable[[#This Row],[Resource Name]],tsk_IsLeaf,1))</f>
        <v/>
      </c>
      <c r="L20" s="41"/>
    </row>
    <row r="21" customFormat="false" ht="15" hidden="false" customHeight="false" outlineLevel="0" collapsed="false">
      <c r="B21" s="41"/>
      <c r="C21" s="41"/>
      <c r="D21" s="41"/>
      <c r="E21" s="41"/>
      <c r="F21" s="31"/>
      <c r="G21" s="46"/>
      <c r="H21" s="41"/>
      <c r="I21" s="34" t="str">
        <f aca="false">IF(ResourceTable[[#This Row],[Resource Name]]="","",COUNTIFS(tsk_Resource,ResourceTable[[#This Row],[Resource Name]],tsk_IsLeaf,1))</f>
        <v/>
      </c>
      <c r="J21" s="43" t="str">
        <f aca="false">IF(ResourceTable[[#This Row],[Resource Name]]="","",SUMIFS(tsk_Work,tsk_Resource,ResourceTable[[#This Row],[Resource Name]],tsk_IsLeaf,1))</f>
        <v/>
      </c>
      <c r="K21" s="44" t="str">
        <f aca="false">IF(ResourceTable[[#This Row],[Resource Name]]="","",SUMIFS(tsk_Cost,tsk_Resource,ResourceTable[[#This Row],[Resource Name]],tsk_IsLeaf,1))</f>
        <v/>
      </c>
      <c r="L21" s="41"/>
    </row>
    <row r="22" customFormat="false" ht="15" hidden="false" customHeight="false" outlineLevel="0" collapsed="false">
      <c r="B22" s="41"/>
      <c r="C22" s="41"/>
      <c r="D22" s="41"/>
      <c r="E22" s="41"/>
      <c r="F22" s="31"/>
      <c r="G22" s="46"/>
      <c r="H22" s="41"/>
      <c r="I22" s="34" t="str">
        <f aca="false">IF(ResourceTable[[#This Row],[Resource Name]]="","",COUNTIFS(tsk_Resource,ResourceTable[[#This Row],[Resource Name]],tsk_IsLeaf,1))</f>
        <v/>
      </c>
      <c r="J22" s="43" t="str">
        <f aca="false">IF(ResourceTable[[#This Row],[Resource Name]]="","",SUMIFS(tsk_Work,tsk_Resource,ResourceTable[[#This Row],[Resource Name]],tsk_IsLeaf,1))</f>
        <v/>
      </c>
      <c r="K22" s="44" t="str">
        <f aca="false">IF(ResourceTable[[#This Row],[Resource Name]]="","",SUMIFS(tsk_Cost,tsk_Resource,ResourceTable[[#This Row],[Resource Name]],tsk_IsLeaf,1))</f>
        <v/>
      </c>
      <c r="L22" s="41"/>
    </row>
    <row r="23" customFormat="false" ht="15" hidden="false" customHeight="false" outlineLevel="0" collapsed="false">
      <c r="B23" s="41"/>
      <c r="C23" s="41"/>
      <c r="D23" s="41"/>
      <c r="E23" s="41"/>
      <c r="F23" s="31"/>
      <c r="G23" s="46"/>
      <c r="H23" s="41"/>
      <c r="I23" s="34" t="str">
        <f aca="false">IF(ResourceTable[[#This Row],[Resource Name]]="","",COUNTIFS(tsk_Resource,ResourceTable[[#This Row],[Resource Name]],tsk_IsLeaf,1))</f>
        <v/>
      </c>
      <c r="J23" s="43" t="str">
        <f aca="false">IF(ResourceTable[[#This Row],[Resource Name]]="","",SUMIFS(tsk_Work,tsk_Resource,ResourceTable[[#This Row],[Resource Name]],tsk_IsLeaf,1))</f>
        <v/>
      </c>
      <c r="K23" s="44" t="str">
        <f aca="false">IF(ResourceTable[[#This Row],[Resource Name]]="","",SUMIFS(tsk_Cost,tsk_Resource,ResourceTable[[#This Row],[Resource Name]],tsk_IsLeaf,1))</f>
        <v/>
      </c>
      <c r="L23" s="41"/>
    </row>
    <row r="24" customFormat="false" ht="15" hidden="false" customHeight="false" outlineLevel="0" collapsed="false">
      <c r="B24" s="41"/>
      <c r="C24" s="41"/>
      <c r="D24" s="41"/>
      <c r="E24" s="41"/>
      <c r="F24" s="31"/>
      <c r="G24" s="46"/>
      <c r="H24" s="41"/>
      <c r="I24" s="34" t="str">
        <f aca="false">IF(ResourceTable[[#This Row],[Resource Name]]="","",COUNTIFS(tsk_Resource,ResourceTable[[#This Row],[Resource Name]],tsk_IsLeaf,1))</f>
        <v/>
      </c>
      <c r="J24" s="43" t="str">
        <f aca="false">IF(ResourceTable[[#This Row],[Resource Name]]="","",SUMIFS(tsk_Work,tsk_Resource,ResourceTable[[#This Row],[Resource Name]],tsk_IsLeaf,1))</f>
        <v/>
      </c>
      <c r="K24" s="44" t="str">
        <f aca="false">IF(ResourceTable[[#This Row],[Resource Name]]="","",SUMIFS(tsk_Cost,tsk_Resource,ResourceTable[[#This Row],[Resource Name]],tsk_IsLeaf,1))</f>
        <v/>
      </c>
      <c r="L24" s="41"/>
    </row>
    <row r="25" customFormat="false" ht="15" hidden="false" customHeight="false" outlineLevel="0" collapsed="false">
      <c r="B25" s="41"/>
      <c r="C25" s="41"/>
      <c r="D25" s="41"/>
      <c r="E25" s="41"/>
      <c r="F25" s="31"/>
      <c r="G25" s="46"/>
      <c r="H25" s="41"/>
      <c r="I25" s="34" t="str">
        <f aca="false">IF(ResourceTable[[#This Row],[Resource Name]]="","",COUNTIFS(tsk_Resource,ResourceTable[[#This Row],[Resource Name]],tsk_IsLeaf,1))</f>
        <v/>
      </c>
      <c r="J25" s="43" t="str">
        <f aca="false">IF(ResourceTable[[#This Row],[Resource Name]]="","",SUMIFS(tsk_Work,tsk_Resource,ResourceTable[[#This Row],[Resource Name]],tsk_IsLeaf,1))</f>
        <v/>
      </c>
      <c r="K25" s="44" t="str">
        <f aca="false">IF(ResourceTable[[#This Row],[Resource Name]]="","",SUMIFS(tsk_Cost,tsk_Resource,ResourceTable[[#This Row],[Resource Name]],tsk_IsLeaf,1))</f>
        <v/>
      </c>
      <c r="L25" s="41"/>
    </row>
    <row r="26" customFormat="false" ht="15" hidden="false" customHeight="false" outlineLevel="0" collapsed="false">
      <c r="B26" s="41"/>
      <c r="C26" s="41"/>
      <c r="D26" s="41"/>
      <c r="E26" s="41"/>
      <c r="F26" s="31"/>
      <c r="G26" s="46"/>
      <c r="H26" s="41"/>
      <c r="I26" s="34" t="str">
        <f aca="false">IF(ResourceTable[[#This Row],[Resource Name]]="","",COUNTIFS(tsk_Resource,ResourceTable[[#This Row],[Resource Name]],tsk_IsLeaf,1))</f>
        <v/>
      </c>
      <c r="J26" s="43" t="str">
        <f aca="false">IF(ResourceTable[[#This Row],[Resource Name]]="","",SUMIFS(tsk_Work,tsk_Resource,ResourceTable[[#This Row],[Resource Name]],tsk_IsLeaf,1))</f>
        <v/>
      </c>
      <c r="K26" s="44" t="str">
        <f aca="false">IF(ResourceTable[[#This Row],[Resource Name]]="","",SUMIFS(tsk_Cost,tsk_Resource,ResourceTable[[#This Row],[Resource Name]],tsk_IsLeaf,1))</f>
        <v/>
      </c>
      <c r="L26" s="41"/>
    </row>
    <row r="27" customFormat="false" ht="15" hidden="false" customHeight="false" outlineLevel="0" collapsed="false">
      <c r="B27" s="41"/>
      <c r="C27" s="41"/>
      <c r="D27" s="41"/>
      <c r="E27" s="41"/>
      <c r="F27" s="31"/>
      <c r="G27" s="46"/>
      <c r="H27" s="41"/>
      <c r="I27" s="34" t="str">
        <f aca="false">IF(ResourceTable[[#This Row],[Resource Name]]="","",COUNTIFS(tsk_Resource,ResourceTable[[#This Row],[Resource Name]],tsk_IsLeaf,1))</f>
        <v/>
      </c>
      <c r="J27" s="43" t="str">
        <f aca="false">IF(ResourceTable[[#This Row],[Resource Name]]="","",SUMIFS(tsk_Work,tsk_Resource,ResourceTable[[#This Row],[Resource Name]],tsk_IsLeaf,1))</f>
        <v/>
      </c>
      <c r="K27" s="44" t="str">
        <f aca="false">IF(ResourceTable[[#This Row],[Resource Name]]="","",SUMIFS(tsk_Cost,tsk_Resource,ResourceTable[[#This Row],[Resource Name]],tsk_IsLeaf,1))</f>
        <v/>
      </c>
      <c r="L27" s="41"/>
    </row>
    <row r="28" customFormat="false" ht="15" hidden="false" customHeight="false" outlineLevel="0" collapsed="false">
      <c r="B28" s="41"/>
      <c r="C28" s="41"/>
      <c r="D28" s="41"/>
      <c r="E28" s="41"/>
      <c r="F28" s="31"/>
      <c r="G28" s="46"/>
      <c r="H28" s="41"/>
      <c r="I28" s="34" t="str">
        <f aca="false">IF(ResourceTable[[#This Row],[Resource Name]]="","",COUNTIFS(tsk_Resource,ResourceTable[[#This Row],[Resource Name]],tsk_IsLeaf,1))</f>
        <v/>
      </c>
      <c r="J28" s="43" t="str">
        <f aca="false">IF(ResourceTable[[#This Row],[Resource Name]]="","",SUMIFS(tsk_Work,tsk_Resource,ResourceTable[[#This Row],[Resource Name]],tsk_IsLeaf,1))</f>
        <v/>
      </c>
      <c r="K28" s="44" t="str">
        <f aca="false">IF(ResourceTable[[#This Row],[Resource Name]]="","",SUMIFS(tsk_Cost,tsk_Resource,ResourceTable[[#This Row],[Resource Name]],tsk_IsLeaf,1))</f>
        <v/>
      </c>
      <c r="L28" s="41"/>
    </row>
    <row r="29" customFormat="false" ht="15" hidden="false" customHeight="false" outlineLevel="0" collapsed="false">
      <c r="B29" s="41"/>
      <c r="C29" s="41"/>
      <c r="D29" s="41"/>
      <c r="E29" s="41"/>
      <c r="F29" s="31"/>
      <c r="G29" s="46"/>
      <c r="H29" s="41"/>
      <c r="I29" s="34" t="str">
        <f aca="false">IF(ResourceTable[[#This Row],[Resource Name]]="","",COUNTIFS(tsk_Resource,ResourceTable[[#This Row],[Resource Name]],tsk_IsLeaf,1))</f>
        <v/>
      </c>
      <c r="J29" s="43" t="str">
        <f aca="false">IF(ResourceTable[[#This Row],[Resource Name]]="","",SUMIFS(tsk_Work,tsk_Resource,ResourceTable[[#This Row],[Resource Name]],tsk_IsLeaf,1))</f>
        <v/>
      </c>
      <c r="K29" s="44" t="str">
        <f aca="false">IF(ResourceTable[[#This Row],[Resource Name]]="","",SUMIFS(tsk_Cost,tsk_Resource,ResourceTable[[#This Row],[Resource Name]],tsk_IsLeaf,1))</f>
        <v/>
      </c>
      <c r="L29" s="41"/>
    </row>
    <row r="30" customFormat="false" ht="15" hidden="false" customHeight="false" outlineLevel="0" collapsed="false">
      <c r="B30" s="41"/>
      <c r="C30" s="41"/>
      <c r="D30" s="41"/>
      <c r="E30" s="41"/>
      <c r="F30" s="31"/>
      <c r="G30" s="46"/>
      <c r="H30" s="41"/>
      <c r="I30" s="34" t="str">
        <f aca="false">IF(ResourceTable[[#This Row],[Resource Name]]="","",COUNTIFS(tsk_Resource,ResourceTable[[#This Row],[Resource Name]],tsk_IsLeaf,1))</f>
        <v/>
      </c>
      <c r="J30" s="43" t="str">
        <f aca="false">IF(ResourceTable[[#This Row],[Resource Name]]="","",SUMIFS(tsk_Work,tsk_Resource,ResourceTable[[#This Row],[Resource Name]],tsk_IsLeaf,1))</f>
        <v/>
      </c>
      <c r="K30" s="44" t="str">
        <f aca="false">IF(ResourceTable[[#This Row],[Resource Name]]="","",SUMIFS(tsk_Cost,tsk_Resource,ResourceTable[[#This Row],[Resource Name]],tsk_IsLeaf,1))</f>
        <v/>
      </c>
      <c r="L30" s="41"/>
    </row>
    <row r="31" customFormat="false" ht="15" hidden="false" customHeight="false" outlineLevel="0" collapsed="false">
      <c r="B31" s="41"/>
      <c r="C31" s="41"/>
      <c r="D31" s="41"/>
      <c r="E31" s="41"/>
      <c r="F31" s="31"/>
      <c r="G31" s="46"/>
      <c r="H31" s="41"/>
      <c r="I31" s="34" t="str">
        <f aca="false">IF(ResourceTable[[#This Row],[Resource Name]]="","",COUNTIFS(tsk_Resource,ResourceTable[[#This Row],[Resource Name]],tsk_IsLeaf,1))</f>
        <v/>
      </c>
      <c r="J31" s="43" t="str">
        <f aca="false">IF(ResourceTable[[#This Row],[Resource Name]]="","",SUMIFS(tsk_Work,tsk_Resource,ResourceTable[[#This Row],[Resource Name]],tsk_IsLeaf,1))</f>
        <v/>
      </c>
      <c r="K31" s="44" t="str">
        <f aca="false">IF(ResourceTable[[#This Row],[Resource Name]]="","",SUMIFS(tsk_Cost,tsk_Resource,ResourceTable[[#This Row],[Resource Name]],tsk_IsLeaf,1))</f>
        <v/>
      </c>
      <c r="L31" s="41"/>
    </row>
    <row r="32" customFormat="false" ht="15" hidden="false" customHeight="false" outlineLevel="0" collapsed="false">
      <c r="B32" s="41"/>
      <c r="C32" s="41"/>
      <c r="D32" s="41"/>
      <c r="E32" s="41"/>
      <c r="F32" s="31"/>
      <c r="G32" s="46"/>
      <c r="H32" s="41"/>
      <c r="I32" s="34" t="str">
        <f aca="false">IF(ResourceTable[[#This Row],[Resource Name]]="","",COUNTIFS(tsk_Resource,ResourceTable[[#This Row],[Resource Name]],tsk_IsLeaf,1))</f>
        <v/>
      </c>
      <c r="J32" s="43" t="str">
        <f aca="false">IF(ResourceTable[[#This Row],[Resource Name]]="","",SUMIFS(tsk_Work,tsk_Resource,ResourceTable[[#This Row],[Resource Name]],tsk_IsLeaf,1))</f>
        <v/>
      </c>
      <c r="K32" s="44" t="str">
        <f aca="false">IF(ResourceTable[[#This Row],[Resource Name]]="","",SUMIFS(tsk_Cost,tsk_Resource,ResourceTable[[#This Row],[Resource Name]],tsk_IsLeaf,1))</f>
        <v/>
      </c>
      <c r="L32" s="41"/>
    </row>
    <row r="33" customFormat="false" ht="15" hidden="false" customHeight="false" outlineLevel="0" collapsed="false">
      <c r="B33" s="41"/>
      <c r="C33" s="41"/>
      <c r="D33" s="41"/>
      <c r="E33" s="41"/>
      <c r="F33" s="31"/>
      <c r="G33" s="46"/>
      <c r="H33" s="41"/>
      <c r="I33" s="34" t="str">
        <f aca="false">IF(ResourceTable[[#This Row],[Resource Name]]="","",COUNTIFS(tsk_Resource,ResourceTable[[#This Row],[Resource Name]],tsk_IsLeaf,1))</f>
        <v/>
      </c>
      <c r="J33" s="43" t="str">
        <f aca="false">IF(ResourceTable[[#This Row],[Resource Name]]="","",SUMIFS(tsk_Work,tsk_Resource,ResourceTable[[#This Row],[Resource Name]],tsk_IsLeaf,1))</f>
        <v/>
      </c>
      <c r="K33" s="44" t="str">
        <f aca="false">IF(ResourceTable[[#This Row],[Resource Name]]="","",SUMIFS(tsk_Cost,tsk_Resource,ResourceTable[[#This Row],[Resource Name]],tsk_IsLeaf,1))</f>
        <v/>
      </c>
      <c r="L33" s="41"/>
    </row>
    <row r="34" customFormat="false" ht="15" hidden="false" customHeight="false" outlineLevel="0" collapsed="false">
      <c r="B34" s="41"/>
      <c r="C34" s="41"/>
      <c r="D34" s="41"/>
      <c r="E34" s="41"/>
      <c r="F34" s="31"/>
      <c r="G34" s="46"/>
      <c r="H34" s="41"/>
      <c r="I34" s="34" t="str">
        <f aca="false">IF(ResourceTable[[#This Row],[Resource Name]]="","",COUNTIFS(tsk_Resource,ResourceTable[[#This Row],[Resource Name]],tsk_IsLeaf,1))</f>
        <v/>
      </c>
      <c r="J34" s="43" t="str">
        <f aca="false">IF(ResourceTable[[#This Row],[Resource Name]]="","",SUMIFS(tsk_Work,tsk_Resource,ResourceTable[[#This Row],[Resource Name]],tsk_IsLeaf,1))</f>
        <v/>
      </c>
      <c r="K34" s="44" t="str">
        <f aca="false">IF(ResourceTable[[#This Row],[Resource Name]]="","",SUMIFS(tsk_Cost,tsk_Resource,ResourceTable[[#This Row],[Resource Name]],tsk_IsLeaf,1))</f>
        <v/>
      </c>
      <c r="L34" s="41"/>
    </row>
    <row r="35" customFormat="false" ht="15" hidden="false" customHeight="false" outlineLevel="0" collapsed="false">
      <c r="B35" s="41"/>
      <c r="C35" s="41"/>
      <c r="D35" s="41"/>
      <c r="E35" s="41"/>
      <c r="F35" s="31"/>
      <c r="G35" s="46"/>
      <c r="H35" s="41"/>
      <c r="I35" s="34" t="str">
        <f aca="false">IF(ResourceTable[[#This Row],[Resource Name]]="","",COUNTIFS(tsk_Resource,ResourceTable[[#This Row],[Resource Name]],tsk_IsLeaf,1))</f>
        <v/>
      </c>
      <c r="J35" s="43" t="str">
        <f aca="false">IF(ResourceTable[[#This Row],[Resource Name]]="","",SUMIFS(tsk_Work,tsk_Resource,ResourceTable[[#This Row],[Resource Name]],tsk_IsLeaf,1))</f>
        <v/>
      </c>
      <c r="K35" s="44" t="str">
        <f aca="false">IF(ResourceTable[[#This Row],[Resource Name]]="","",SUMIFS(tsk_Cost,tsk_Resource,ResourceTable[[#This Row],[Resource Name]],tsk_IsLeaf,1))</f>
        <v/>
      </c>
      <c r="L35" s="41"/>
    </row>
    <row r="36" customFormat="false" ht="15" hidden="false" customHeight="false" outlineLevel="0" collapsed="false">
      <c r="B36" s="41"/>
      <c r="C36" s="41"/>
      <c r="D36" s="41"/>
      <c r="E36" s="41"/>
      <c r="F36" s="31"/>
      <c r="G36" s="46"/>
      <c r="H36" s="41"/>
      <c r="I36" s="34" t="str">
        <f aca="false">IF(ResourceTable[[#This Row],[Resource Name]]="","",COUNTIFS(tsk_Resource,ResourceTable[[#This Row],[Resource Name]],tsk_IsLeaf,1))</f>
        <v/>
      </c>
      <c r="J36" s="43" t="str">
        <f aca="false">IF(ResourceTable[[#This Row],[Resource Name]]="","",SUMIFS(tsk_Work,tsk_Resource,ResourceTable[[#This Row],[Resource Name]],tsk_IsLeaf,1))</f>
        <v/>
      </c>
      <c r="K36" s="44" t="str">
        <f aca="false">IF(ResourceTable[[#This Row],[Resource Name]]="","",SUMIFS(tsk_Cost,tsk_Resource,ResourceTable[[#This Row],[Resource Name]],tsk_IsLeaf,1))</f>
        <v/>
      </c>
      <c r="L36" s="41"/>
    </row>
    <row r="37" customFormat="false" ht="15" hidden="false" customHeight="false" outlineLevel="0" collapsed="false">
      <c r="B37" s="41"/>
      <c r="C37" s="41"/>
      <c r="D37" s="41"/>
      <c r="E37" s="41"/>
      <c r="F37" s="31"/>
      <c r="G37" s="46"/>
      <c r="H37" s="41"/>
      <c r="I37" s="34" t="str">
        <f aca="false">IF(ResourceTable[[#This Row],[Resource Name]]="","",COUNTIFS(tsk_Resource,ResourceTable[[#This Row],[Resource Name]],tsk_IsLeaf,1))</f>
        <v/>
      </c>
      <c r="J37" s="43" t="str">
        <f aca="false">IF(ResourceTable[[#This Row],[Resource Name]]="","",SUMIFS(tsk_Work,tsk_Resource,ResourceTable[[#This Row],[Resource Name]],tsk_IsLeaf,1))</f>
        <v/>
      </c>
      <c r="K37" s="44" t="str">
        <f aca="false">IF(ResourceTable[[#This Row],[Resource Name]]="","",SUMIFS(tsk_Cost,tsk_Resource,ResourceTable[[#This Row],[Resource Name]],tsk_IsLeaf,1))</f>
        <v/>
      </c>
      <c r="L37" s="41"/>
    </row>
    <row r="38" customFormat="false" ht="15" hidden="false" customHeight="false" outlineLevel="0" collapsed="false">
      <c r="B38" s="41"/>
      <c r="C38" s="41"/>
      <c r="D38" s="41"/>
      <c r="E38" s="41"/>
      <c r="F38" s="31"/>
      <c r="G38" s="46"/>
      <c r="H38" s="41"/>
      <c r="I38" s="34" t="str">
        <f aca="false">IF(ResourceTable[[#This Row],[Resource Name]]="","",COUNTIFS(tsk_Resource,ResourceTable[[#This Row],[Resource Name]],tsk_IsLeaf,1))</f>
        <v/>
      </c>
      <c r="J38" s="43" t="str">
        <f aca="false">IF(ResourceTable[[#This Row],[Resource Name]]="","",SUMIFS(tsk_Work,tsk_Resource,ResourceTable[[#This Row],[Resource Name]],tsk_IsLeaf,1))</f>
        <v/>
      </c>
      <c r="K38" s="44" t="str">
        <f aca="false">IF(ResourceTable[[#This Row],[Resource Name]]="","",SUMIFS(tsk_Cost,tsk_Resource,ResourceTable[[#This Row],[Resource Name]],tsk_IsLeaf,1))</f>
        <v/>
      </c>
      <c r="L38" s="41"/>
    </row>
    <row r="39" customFormat="false" ht="15" hidden="false" customHeight="false" outlineLevel="0" collapsed="false">
      <c r="B39" s="41"/>
      <c r="C39" s="41"/>
      <c r="D39" s="41"/>
      <c r="E39" s="41"/>
      <c r="F39" s="31"/>
      <c r="G39" s="46"/>
      <c r="H39" s="41"/>
      <c r="I39" s="34" t="str">
        <f aca="false">IF(ResourceTable[[#This Row],[Resource Name]]="","",COUNTIFS(tsk_Resource,ResourceTable[[#This Row],[Resource Name]],tsk_IsLeaf,1))</f>
        <v/>
      </c>
      <c r="J39" s="43" t="str">
        <f aca="false">IF(ResourceTable[[#This Row],[Resource Name]]="","",SUMIFS(tsk_Work,tsk_Resource,ResourceTable[[#This Row],[Resource Name]],tsk_IsLeaf,1))</f>
        <v/>
      </c>
      <c r="K39" s="44" t="str">
        <f aca="false">IF(ResourceTable[[#This Row],[Resource Name]]="","",SUMIFS(tsk_Cost,tsk_Resource,ResourceTable[[#This Row],[Resource Name]],tsk_IsLeaf,1))</f>
        <v/>
      </c>
      <c r="L39" s="41"/>
    </row>
    <row r="40" customFormat="false" ht="15" hidden="false" customHeight="false" outlineLevel="0" collapsed="false">
      <c r="B40" s="41"/>
      <c r="C40" s="41"/>
      <c r="D40" s="41"/>
      <c r="E40" s="41"/>
      <c r="F40" s="31"/>
      <c r="G40" s="46"/>
      <c r="H40" s="41"/>
      <c r="I40" s="34" t="str">
        <f aca="false">IF(ResourceTable[[#This Row],[Resource Name]]="","",COUNTIFS(tsk_Resource,ResourceTable[[#This Row],[Resource Name]],tsk_IsLeaf,1))</f>
        <v/>
      </c>
      <c r="J40" s="43" t="str">
        <f aca="false">IF(ResourceTable[[#This Row],[Resource Name]]="","",SUMIFS(tsk_Work,tsk_Resource,ResourceTable[[#This Row],[Resource Name]],tsk_IsLeaf,1))</f>
        <v/>
      </c>
      <c r="K40" s="44" t="str">
        <f aca="false">IF(ResourceTable[[#This Row],[Resource Name]]="","",SUMIFS(tsk_Cost,tsk_Resource,ResourceTable[[#This Row],[Resource Name]],tsk_IsLeaf,1))</f>
        <v/>
      </c>
      <c r="L40" s="41"/>
    </row>
    <row r="41" customFormat="false" ht="15" hidden="false" customHeight="false" outlineLevel="0" collapsed="false">
      <c r="B41" s="41"/>
      <c r="C41" s="41"/>
      <c r="D41" s="41"/>
      <c r="E41" s="41"/>
      <c r="F41" s="31"/>
      <c r="G41" s="46"/>
      <c r="H41" s="41"/>
      <c r="I41" s="34" t="str">
        <f aca="false">IF(ResourceTable[[#This Row],[Resource Name]]="","",COUNTIFS(tsk_Resource,ResourceTable[[#This Row],[Resource Name]],tsk_IsLeaf,1))</f>
        <v/>
      </c>
      <c r="J41" s="43" t="str">
        <f aca="false">IF(ResourceTable[[#This Row],[Resource Name]]="","",SUMIFS(tsk_Work,tsk_Resource,ResourceTable[[#This Row],[Resource Name]],tsk_IsLeaf,1))</f>
        <v/>
      </c>
      <c r="K41" s="44" t="str">
        <f aca="false">IF(ResourceTable[[#This Row],[Resource Name]]="","",SUMIFS(tsk_Cost,tsk_Resource,ResourceTable[[#This Row],[Resource Name]],tsk_IsLeaf,1))</f>
        <v/>
      </c>
      <c r="L41" s="41"/>
    </row>
    <row r="42" customFormat="false" ht="15" hidden="false" customHeight="false" outlineLevel="0" collapsed="false">
      <c r="B42" s="41"/>
      <c r="C42" s="41"/>
      <c r="D42" s="41"/>
      <c r="E42" s="41"/>
      <c r="F42" s="31"/>
      <c r="G42" s="46"/>
      <c r="H42" s="41"/>
      <c r="I42" s="34" t="str">
        <f aca="false">IF(ResourceTable[[#This Row],[Resource Name]]="","",COUNTIFS(tsk_Resource,ResourceTable[[#This Row],[Resource Name]],tsk_IsLeaf,1))</f>
        <v/>
      </c>
      <c r="J42" s="43" t="str">
        <f aca="false">IF(ResourceTable[[#This Row],[Resource Name]]="","",SUMIFS(tsk_Work,tsk_Resource,ResourceTable[[#This Row],[Resource Name]],tsk_IsLeaf,1))</f>
        <v/>
      </c>
      <c r="K42" s="44" t="str">
        <f aca="false">IF(ResourceTable[[#This Row],[Resource Name]]="","",SUMIFS(tsk_Cost,tsk_Resource,ResourceTable[[#This Row],[Resource Name]],tsk_IsLeaf,1))</f>
        <v/>
      </c>
      <c r="L42" s="41"/>
    </row>
    <row r="43" customFormat="false" ht="15" hidden="false" customHeight="false" outlineLevel="0" collapsed="false">
      <c r="B43" s="41"/>
      <c r="C43" s="41"/>
      <c r="D43" s="41"/>
      <c r="E43" s="41"/>
      <c r="F43" s="31"/>
      <c r="G43" s="46"/>
      <c r="H43" s="41"/>
      <c r="I43" s="34" t="str">
        <f aca="false">IF(ResourceTable[[#This Row],[Resource Name]]="","",COUNTIFS(tsk_Resource,ResourceTable[[#This Row],[Resource Name]],tsk_IsLeaf,1))</f>
        <v/>
      </c>
      <c r="J43" s="43" t="str">
        <f aca="false">IF(ResourceTable[[#This Row],[Resource Name]]="","",SUMIFS(tsk_Work,tsk_Resource,ResourceTable[[#This Row],[Resource Name]],tsk_IsLeaf,1))</f>
        <v/>
      </c>
      <c r="K43" s="44" t="str">
        <f aca="false">IF(ResourceTable[[#This Row],[Resource Name]]="","",SUMIFS(tsk_Cost,tsk_Resource,ResourceTable[[#This Row],[Resource Name]],tsk_IsLeaf,1))</f>
        <v/>
      </c>
      <c r="L43" s="41"/>
    </row>
    <row r="44" customFormat="false" ht="15" hidden="false" customHeight="false" outlineLevel="0" collapsed="false">
      <c r="B44" s="41"/>
      <c r="C44" s="41"/>
      <c r="D44" s="41"/>
      <c r="E44" s="41"/>
      <c r="F44" s="31"/>
      <c r="G44" s="46"/>
      <c r="H44" s="41"/>
      <c r="I44" s="34" t="str">
        <f aca="false">IF(ResourceTable[[#This Row],[Resource Name]]="","",COUNTIFS(tsk_Resource,ResourceTable[[#This Row],[Resource Name]],tsk_IsLeaf,1))</f>
        <v/>
      </c>
      <c r="J44" s="43" t="str">
        <f aca="false">IF(ResourceTable[[#This Row],[Resource Name]]="","",SUMIFS(tsk_Work,tsk_Resource,ResourceTable[[#This Row],[Resource Name]],tsk_IsLeaf,1))</f>
        <v/>
      </c>
      <c r="K44" s="44" t="str">
        <f aca="false">IF(ResourceTable[[#This Row],[Resource Name]]="","",SUMIFS(tsk_Cost,tsk_Resource,ResourceTable[[#This Row],[Resource Name]],tsk_IsLeaf,1))</f>
        <v/>
      </c>
      <c r="L44" s="41"/>
    </row>
    <row r="45" customFormat="false" ht="15" hidden="false" customHeight="false" outlineLevel="0" collapsed="false">
      <c r="B45" s="41"/>
      <c r="C45" s="41"/>
      <c r="D45" s="41"/>
      <c r="E45" s="41"/>
      <c r="F45" s="31"/>
      <c r="G45" s="46"/>
      <c r="H45" s="41"/>
      <c r="I45" s="34" t="str">
        <f aca="false">IF(ResourceTable[[#This Row],[Resource Name]]="","",COUNTIFS(tsk_Resource,ResourceTable[[#This Row],[Resource Name]],tsk_IsLeaf,1))</f>
        <v/>
      </c>
      <c r="J45" s="43" t="str">
        <f aca="false">IF(ResourceTable[[#This Row],[Resource Name]]="","",SUMIFS(tsk_Work,tsk_Resource,ResourceTable[[#This Row],[Resource Name]],tsk_IsLeaf,1))</f>
        <v/>
      </c>
      <c r="K45" s="44" t="str">
        <f aca="false">IF(ResourceTable[[#This Row],[Resource Name]]="","",SUMIFS(tsk_Cost,tsk_Resource,ResourceTable[[#This Row],[Resource Name]],tsk_IsLeaf,1))</f>
        <v/>
      </c>
      <c r="L45" s="41"/>
    </row>
    <row r="46" customFormat="false" ht="15" hidden="false" customHeight="false" outlineLevel="0" collapsed="false">
      <c r="B46" s="41"/>
      <c r="C46" s="41"/>
      <c r="D46" s="41"/>
      <c r="E46" s="41"/>
      <c r="F46" s="31"/>
      <c r="G46" s="46"/>
      <c r="H46" s="41"/>
      <c r="I46" s="34" t="str">
        <f aca="false">IF(ResourceTable[[#This Row],[Resource Name]]="","",COUNTIFS(tsk_Resource,ResourceTable[[#This Row],[Resource Name]],tsk_IsLeaf,1))</f>
        <v/>
      </c>
      <c r="J46" s="43" t="str">
        <f aca="false">IF(ResourceTable[[#This Row],[Resource Name]]="","",SUMIFS(tsk_Work,tsk_Resource,ResourceTable[[#This Row],[Resource Name]],tsk_IsLeaf,1))</f>
        <v/>
      </c>
      <c r="K46" s="44" t="str">
        <f aca="false">IF(ResourceTable[[#This Row],[Resource Name]]="","",SUMIFS(tsk_Cost,tsk_Resource,ResourceTable[[#This Row],[Resource Name]],tsk_IsLeaf,1))</f>
        <v/>
      </c>
      <c r="L46" s="41"/>
    </row>
    <row r="47" customFormat="false" ht="15" hidden="false" customHeight="false" outlineLevel="0" collapsed="false">
      <c r="B47" s="41"/>
      <c r="C47" s="41"/>
      <c r="D47" s="41"/>
      <c r="E47" s="41"/>
      <c r="F47" s="31"/>
      <c r="G47" s="46"/>
      <c r="H47" s="41"/>
      <c r="I47" s="34" t="str">
        <f aca="false">IF(ResourceTable[[#This Row],[Resource Name]]="","",COUNTIFS(tsk_Resource,ResourceTable[[#This Row],[Resource Name]],tsk_IsLeaf,1))</f>
        <v/>
      </c>
      <c r="J47" s="43" t="str">
        <f aca="false">IF(ResourceTable[[#This Row],[Resource Name]]="","",SUMIFS(tsk_Work,tsk_Resource,ResourceTable[[#This Row],[Resource Name]],tsk_IsLeaf,1))</f>
        <v/>
      </c>
      <c r="K47" s="44" t="str">
        <f aca="false">IF(ResourceTable[[#This Row],[Resource Name]]="","",SUMIFS(tsk_Cost,tsk_Resource,ResourceTable[[#This Row],[Resource Name]],tsk_IsLeaf,1))</f>
        <v/>
      </c>
      <c r="L47" s="41"/>
    </row>
    <row r="48" customFormat="false" ht="15" hidden="false" customHeight="false" outlineLevel="0" collapsed="false">
      <c r="B48" s="41"/>
      <c r="C48" s="41"/>
      <c r="D48" s="41"/>
      <c r="E48" s="41"/>
      <c r="F48" s="31"/>
      <c r="G48" s="46"/>
      <c r="H48" s="41"/>
      <c r="I48" s="34" t="str">
        <f aca="false">IF(ResourceTable[[#This Row],[Resource Name]]="","",COUNTIFS(tsk_Resource,ResourceTable[[#This Row],[Resource Name]],tsk_IsLeaf,1))</f>
        <v/>
      </c>
      <c r="J48" s="43" t="str">
        <f aca="false">IF(ResourceTable[[#This Row],[Resource Name]]="","",SUMIFS(tsk_Work,tsk_Resource,ResourceTable[[#This Row],[Resource Name]],tsk_IsLeaf,1))</f>
        <v/>
      </c>
      <c r="K48" s="44" t="str">
        <f aca="false">IF(ResourceTable[[#This Row],[Resource Name]]="","",SUMIFS(tsk_Cost,tsk_Resource,ResourceTable[[#This Row],[Resource Name]],tsk_IsLeaf,1))</f>
        <v/>
      </c>
      <c r="L48" s="41"/>
    </row>
    <row r="49" customFormat="false" ht="15" hidden="false" customHeight="false" outlineLevel="0" collapsed="false">
      <c r="B49" s="41"/>
      <c r="C49" s="41"/>
      <c r="D49" s="41"/>
      <c r="E49" s="41"/>
      <c r="F49" s="31"/>
      <c r="G49" s="46"/>
      <c r="H49" s="41"/>
      <c r="I49" s="34" t="str">
        <f aca="false">IF(ResourceTable[[#This Row],[Resource Name]]="","",COUNTIFS(tsk_Resource,ResourceTable[[#This Row],[Resource Name]],tsk_IsLeaf,1))</f>
        <v/>
      </c>
      <c r="J49" s="43" t="str">
        <f aca="false">IF(ResourceTable[[#This Row],[Resource Name]]="","",SUMIFS(tsk_Work,tsk_Resource,ResourceTable[[#This Row],[Resource Name]],tsk_IsLeaf,1))</f>
        <v/>
      </c>
      <c r="K49" s="44" t="str">
        <f aca="false">IF(ResourceTable[[#This Row],[Resource Name]]="","",SUMIFS(tsk_Cost,tsk_Resource,ResourceTable[[#This Row],[Resource Name]],tsk_IsLeaf,1))</f>
        <v/>
      </c>
      <c r="L49" s="41"/>
    </row>
    <row r="50" customFormat="false" ht="15" hidden="false" customHeight="false" outlineLevel="0" collapsed="false">
      <c r="B50" s="41"/>
      <c r="C50" s="41"/>
      <c r="D50" s="41"/>
      <c r="E50" s="41"/>
      <c r="F50" s="31"/>
      <c r="G50" s="46"/>
      <c r="H50" s="41"/>
      <c r="I50" s="34" t="str">
        <f aca="false">IF(ResourceTable[[#This Row],[Resource Name]]="","",COUNTIFS(tsk_Resource,ResourceTable[[#This Row],[Resource Name]],tsk_IsLeaf,1))</f>
        <v/>
      </c>
      <c r="J50" s="43" t="str">
        <f aca="false">IF(ResourceTable[[#This Row],[Resource Name]]="","",SUMIFS(tsk_Work,tsk_Resource,ResourceTable[[#This Row],[Resource Name]],tsk_IsLeaf,1))</f>
        <v/>
      </c>
      <c r="K50" s="44" t="str">
        <f aca="false">IF(ResourceTable[[#This Row],[Resource Name]]="","",SUMIFS(tsk_Cost,tsk_Resource,ResourceTable[[#This Row],[Resource Name]],tsk_IsLeaf,1))</f>
        <v/>
      </c>
      <c r="L50" s="41"/>
    </row>
    <row r="51" customFormat="false" ht="15" hidden="false" customHeight="false" outlineLevel="0" collapsed="false">
      <c r="B51" s="41"/>
      <c r="C51" s="41"/>
      <c r="D51" s="41"/>
      <c r="E51" s="41"/>
      <c r="F51" s="31"/>
      <c r="G51" s="46"/>
      <c r="H51" s="41"/>
      <c r="I51" s="34" t="str">
        <f aca="false">IF(ResourceTable[[#This Row],[Resource Name]]="","",COUNTIFS(tsk_Resource,ResourceTable[[#This Row],[Resource Name]],tsk_IsLeaf,1))</f>
        <v/>
      </c>
      <c r="J51" s="43" t="str">
        <f aca="false">IF(ResourceTable[[#This Row],[Resource Name]]="","",SUMIFS(tsk_Work,tsk_Resource,ResourceTable[[#This Row],[Resource Name]],tsk_IsLeaf,1))</f>
        <v/>
      </c>
      <c r="K51" s="44" t="str">
        <f aca="false">IF(ResourceTable[[#This Row],[Resource Name]]="","",SUMIFS(tsk_Cost,tsk_Resource,ResourceTable[[#This Row],[Resource Name]],tsk_IsLeaf,1))</f>
        <v/>
      </c>
      <c r="L51" s="41"/>
    </row>
    <row r="52" customFormat="false" ht="15" hidden="false" customHeight="false" outlineLevel="0" collapsed="false">
      <c r="B52" s="41"/>
      <c r="C52" s="41"/>
      <c r="D52" s="41"/>
      <c r="E52" s="41"/>
      <c r="F52" s="31"/>
      <c r="G52" s="46"/>
      <c r="H52" s="41"/>
      <c r="I52" s="34" t="str">
        <f aca="false">IF(ResourceTable[[#This Row],[Resource Name]]="","",COUNTIFS(tsk_Resource,ResourceTable[[#This Row],[Resource Name]],tsk_IsLeaf,1))</f>
        <v/>
      </c>
      <c r="J52" s="43" t="str">
        <f aca="false">IF(ResourceTable[[#This Row],[Resource Name]]="","",SUMIFS(tsk_Work,tsk_Resource,ResourceTable[[#This Row],[Resource Name]],tsk_IsLeaf,1))</f>
        <v/>
      </c>
      <c r="K52" s="44" t="str">
        <f aca="false">IF(ResourceTable[[#This Row],[Resource Name]]="","",SUMIFS(tsk_Cost,tsk_Resource,ResourceTable[[#This Row],[Resource Name]],tsk_IsLeaf,1))</f>
        <v/>
      </c>
      <c r="L52" s="41"/>
    </row>
    <row r="53" customFormat="false" ht="15" hidden="false" customHeight="false" outlineLevel="0" collapsed="false">
      <c r="B53" s="41"/>
      <c r="C53" s="41"/>
      <c r="D53" s="41"/>
      <c r="E53" s="41"/>
      <c r="F53" s="31"/>
      <c r="G53" s="46"/>
      <c r="H53" s="41"/>
      <c r="I53" s="34" t="str">
        <f aca="false">IF(ResourceTable[[#This Row],[Resource Name]]="","",COUNTIFS(tsk_Resource,ResourceTable[[#This Row],[Resource Name]],tsk_IsLeaf,1))</f>
        <v/>
      </c>
      <c r="J53" s="43" t="str">
        <f aca="false">IF(ResourceTable[[#This Row],[Resource Name]]="","",SUMIFS(tsk_Work,tsk_Resource,ResourceTable[[#This Row],[Resource Name]],tsk_IsLeaf,1))</f>
        <v/>
      </c>
      <c r="K53" s="44" t="str">
        <f aca="false">IF(ResourceTable[[#This Row],[Resource Name]]="","",SUMIFS(tsk_Cost,tsk_Resource,ResourceTable[[#This Row],[Resource Name]],tsk_IsLeaf,1))</f>
        <v/>
      </c>
      <c r="L53" s="41"/>
    </row>
    <row r="54" customFormat="false" ht="15" hidden="false" customHeight="false" outlineLevel="0" collapsed="false">
      <c r="B54" s="41"/>
      <c r="C54" s="41"/>
      <c r="D54" s="41"/>
      <c r="E54" s="41"/>
      <c r="F54" s="31"/>
      <c r="G54" s="46"/>
      <c r="H54" s="41"/>
      <c r="I54" s="34" t="str">
        <f aca="false">IF(ResourceTable[[#This Row],[Resource Name]]="","",COUNTIFS(tsk_Resource,ResourceTable[[#This Row],[Resource Name]],tsk_IsLeaf,1))</f>
        <v/>
      </c>
      <c r="J54" s="43" t="str">
        <f aca="false">IF(ResourceTable[[#This Row],[Resource Name]]="","",SUMIFS(tsk_Work,tsk_Resource,ResourceTable[[#This Row],[Resource Name]],tsk_IsLeaf,1))</f>
        <v/>
      </c>
      <c r="K54" s="44" t="str">
        <f aca="false">IF(ResourceTable[[#This Row],[Resource Name]]="","",SUMIFS(tsk_Cost,tsk_Resource,ResourceTable[[#This Row],[Resource Name]],tsk_IsLeaf,1))</f>
        <v/>
      </c>
      <c r="L54" s="41"/>
    </row>
    <row r="55" customFormat="false" ht="15" hidden="false" customHeight="false" outlineLevel="0" collapsed="false">
      <c r="B55" s="41"/>
      <c r="C55" s="41"/>
      <c r="D55" s="41"/>
      <c r="E55" s="41"/>
      <c r="F55" s="31"/>
      <c r="G55" s="46"/>
      <c r="H55" s="41"/>
      <c r="I55" s="34" t="str">
        <f aca="false">IF(ResourceTable[[#This Row],[Resource Name]]="","",COUNTIFS(tsk_Resource,ResourceTable[[#This Row],[Resource Name]],tsk_IsLeaf,1))</f>
        <v/>
      </c>
      <c r="J55" s="43" t="str">
        <f aca="false">IF(ResourceTable[[#This Row],[Resource Name]]="","",SUMIFS(tsk_Work,tsk_Resource,ResourceTable[[#This Row],[Resource Name]],tsk_IsLeaf,1))</f>
        <v/>
      </c>
      <c r="K55" s="44" t="str">
        <f aca="false">IF(ResourceTable[[#This Row],[Resource Name]]="","",SUMIFS(tsk_Cost,tsk_Resource,ResourceTable[[#This Row],[Resource Name]],tsk_IsLeaf,1))</f>
        <v/>
      </c>
      <c r="L55" s="41"/>
    </row>
  </sheetData>
  <dataValidations count="1">
    <dataValidation allowBlank="false" errorStyle="stop" operator="between" showDropDown="false" showErrorMessage="false" showInputMessage="false" sqref="E6:E55" type="list">
      <formula1>L_ResType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C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29" min="4" style="0" width="10"/>
  </cols>
  <sheetData>
    <row r="1" customFormat="false" ht="19.7" hidden="false" customHeight="false" outlineLevel="0" collapsed="false">
      <c r="A1" s="25" t="str">
        <f aca="false">ProjectName&amp;"  -  Sprint &amp; Capacity Planning"</f>
        <v>Customer Portal Implementation  -  Sprint &amp; Capacity Planning</v>
      </c>
    </row>
    <row r="2" customFormat="false" ht="15" hidden="false" customHeight="false" outlineLevel="0" collapsed="false">
      <c r="A2" s="8" t="s">
        <v>361</v>
      </c>
    </row>
    <row r="5" customFormat="false" ht="23.85" hidden="false" customHeight="false" outlineLevel="0" collapsed="false">
      <c r="A5" s="9" t="s">
        <v>137</v>
      </c>
      <c r="B5" s="9" t="s">
        <v>208</v>
      </c>
      <c r="C5" s="9" t="s">
        <v>362</v>
      </c>
      <c r="D5" s="9" t="s">
        <v>363</v>
      </c>
      <c r="E5" s="9" t="s">
        <v>364</v>
      </c>
      <c r="F5" s="36" t="s">
        <v>365</v>
      </c>
      <c r="G5" s="9" t="s">
        <v>366</v>
      </c>
      <c r="H5" s="9" t="s">
        <v>367</v>
      </c>
      <c r="I5" s="9" t="s">
        <v>38</v>
      </c>
      <c r="J5" s="9" t="s">
        <v>368</v>
      </c>
      <c r="K5" s="9" t="s">
        <v>66</v>
      </c>
    </row>
    <row r="6" customFormat="false" ht="15" hidden="false" customHeight="false" outlineLevel="0" collapsed="false">
      <c r="A6" s="38" t="n">
        <f aca="false">ROW()-ROW(SprintTable[[#Headers],[No]])</f>
        <v>1</v>
      </c>
      <c r="B6" s="23" t="str">
        <f aca="false">IF(SprintTable[[#This Row],[No]]&lt;=SprintCount,SprintPrefix&amp;SprintTable[[#This Row],[No]],"")</f>
        <v>Sprint 1</v>
      </c>
      <c r="C6" s="24" t="n">
        <f aca="false">Sprint1Start+(SprintTable[[#This Row],[No]]-1)*SprintLength</f>
        <v>46272</v>
      </c>
      <c r="D6" s="24" t="n">
        <f aca="false">SprintTable[[#This Row],[Start]]+SprintLength-1</f>
        <v>46285</v>
      </c>
      <c r="E6" s="38" t="n">
        <f aca="false">NETWORKDAYS.INTL(SprintTable[[#This Row],[Start]],SprintTable[[#This Row],[End]],WorkWeek,Holidays)</f>
        <v>10</v>
      </c>
      <c r="F6" s="41" t="s">
        <v>369</v>
      </c>
      <c r="G6" s="38" t="n">
        <f aca="false">IF(SprintTable[[#This Row],[Sprint]]="","",COUNTIF(tsk_Sprint,SprintTable[[#This Row],[Sprint]]))</f>
        <v>5</v>
      </c>
      <c r="H6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75.1111111111111</v>
      </c>
      <c r="I6" s="43" t="n">
        <f aca="false">IF(SprintTable[[#This Row],[Sprint]]="","",SUMIFS(res_MaxUnits,res_Type,"Work")*HoursPerDay*SprintTable[[#This Row],[Working Days]])</f>
        <v>480</v>
      </c>
      <c r="J6" s="42" t="n">
        <f aca="false">IF(OR(SprintTable[[#This Row],[Sprint]]="",N(SprintTable[[#This Row],[Capacity]])=0),"",SprintTable[[#This Row],[Planned Work]]/SprintTable[[#This Row],[Capacity]])</f>
        <v>0.156481481481482</v>
      </c>
      <c r="K6" s="38" t="str">
        <f aca="false">IF(SprintTable[[#This Row],[Sprint]]="","",IF(StatusDate&gt;SprintTable[[#This Row],[End]],"Closed",IF(StatusDate&gt;=SprintTable[[#This Row],[Start]],"Active","Future")))</f>
        <v>Closed</v>
      </c>
    </row>
    <row r="7" customFormat="false" ht="15" hidden="false" customHeight="false" outlineLevel="0" collapsed="false">
      <c r="A7" s="38" t="n">
        <f aca="false">ROW()-ROW(SprintTable[[#Headers],[No]])</f>
        <v>2</v>
      </c>
      <c r="B7" s="23" t="str">
        <f aca="false">IF(SprintTable[[#This Row],[No]]&lt;=SprintCount,SprintPrefix&amp;SprintTable[[#This Row],[No]],"")</f>
        <v>Sprint 2</v>
      </c>
      <c r="C7" s="24" t="n">
        <f aca="false">Sprint1Start+(SprintTable[[#This Row],[No]]-1)*SprintLength</f>
        <v>46286</v>
      </c>
      <c r="D7" s="24" t="n">
        <f aca="false">SprintTable[[#This Row],[Start]]+SprintLength-1</f>
        <v>46299</v>
      </c>
      <c r="E7" s="38" t="n">
        <f aca="false">NETWORKDAYS.INTL(SprintTable[[#This Row],[Start]],SprintTable[[#This Row],[End]],WorkWeek,Holidays)</f>
        <v>10</v>
      </c>
      <c r="F7" s="41" t="s">
        <v>370</v>
      </c>
      <c r="G7" s="38" t="n">
        <f aca="false">IF(SprintTable[[#This Row],[Sprint]]="","",COUNTIF(tsk_Sprint,SprintTable[[#This Row],[Sprint]]))</f>
        <v>1</v>
      </c>
      <c r="H7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103.174603174603</v>
      </c>
      <c r="I7" s="43" t="n">
        <f aca="false">IF(SprintTable[[#This Row],[Sprint]]="","",SUMIFS(res_MaxUnits,res_Type,"Work")*HoursPerDay*SprintTable[[#This Row],[Working Days]])</f>
        <v>480</v>
      </c>
      <c r="J7" s="42" t="n">
        <f aca="false">IF(OR(SprintTable[[#This Row],[Sprint]]="",N(SprintTable[[#This Row],[Capacity]])=0),"",SprintTable[[#This Row],[Planned Work]]/SprintTable[[#This Row],[Capacity]])</f>
        <v>0.21494708994709</v>
      </c>
      <c r="K7" s="38" t="str">
        <f aca="false">IF(SprintTable[[#This Row],[Sprint]]="","",IF(StatusDate&gt;SprintTable[[#This Row],[End]],"Closed",IF(StatusDate&gt;=SprintTable[[#This Row],[Start]],"Active","Future")))</f>
        <v>Closed</v>
      </c>
    </row>
    <row r="8" customFormat="false" ht="15" hidden="false" customHeight="false" outlineLevel="0" collapsed="false">
      <c r="A8" s="38" t="n">
        <f aca="false">ROW()-ROW(SprintTable[[#Headers],[No]])</f>
        <v>3</v>
      </c>
      <c r="B8" s="23" t="str">
        <f aca="false">IF(SprintTable[[#This Row],[No]]&lt;=SprintCount,SprintPrefix&amp;SprintTable[[#This Row],[No]],"")</f>
        <v>Sprint 3</v>
      </c>
      <c r="C8" s="24" t="n">
        <f aca="false">Sprint1Start+(SprintTable[[#This Row],[No]]-1)*SprintLength</f>
        <v>46300</v>
      </c>
      <c r="D8" s="24" t="n">
        <f aca="false">SprintTable[[#This Row],[Start]]+SprintLength-1</f>
        <v>46313</v>
      </c>
      <c r="E8" s="38" t="n">
        <f aca="false">NETWORKDAYS.INTL(SprintTable[[#This Row],[Start]],SprintTable[[#This Row],[End]],WorkWeek,Holidays)</f>
        <v>10</v>
      </c>
      <c r="F8" s="41" t="s">
        <v>371</v>
      </c>
      <c r="G8" s="38" t="n">
        <f aca="false">IF(SprintTable[[#This Row],[Sprint]]="","",COUNTIF(tsk_Sprint,SprintTable[[#This Row],[Sprint]]))</f>
        <v>4</v>
      </c>
      <c r="H8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115.047619047619</v>
      </c>
      <c r="I8" s="43" t="n">
        <f aca="false">IF(SprintTable[[#This Row],[Sprint]]="","",SUMIFS(res_MaxUnits,res_Type,"Work")*HoursPerDay*SprintTable[[#This Row],[Working Days]])</f>
        <v>480</v>
      </c>
      <c r="J8" s="42" t="n">
        <f aca="false">IF(OR(SprintTable[[#This Row],[Sprint]]="",N(SprintTable[[#This Row],[Capacity]])=0),"",SprintTable[[#This Row],[Planned Work]]/SprintTable[[#This Row],[Capacity]])</f>
        <v>0.23968253968254</v>
      </c>
      <c r="K8" s="38" t="str">
        <f aca="false">IF(SprintTable[[#This Row],[Sprint]]="","",IF(StatusDate&gt;SprintTable[[#This Row],[End]],"Closed",IF(StatusDate&gt;=SprintTable[[#This Row],[Start]],"Active","Future")))</f>
        <v>Closed</v>
      </c>
    </row>
    <row r="9" customFormat="false" ht="15" hidden="false" customHeight="false" outlineLevel="0" collapsed="false">
      <c r="A9" s="38" t="n">
        <f aca="false">ROW()-ROW(SprintTable[[#Headers],[No]])</f>
        <v>4</v>
      </c>
      <c r="B9" s="23" t="str">
        <f aca="false">IF(SprintTable[[#This Row],[No]]&lt;=SprintCount,SprintPrefix&amp;SprintTable[[#This Row],[No]],"")</f>
        <v>Sprint 4</v>
      </c>
      <c r="C9" s="24" t="n">
        <f aca="false">Sprint1Start+(SprintTable[[#This Row],[No]]-1)*SprintLength</f>
        <v>46314</v>
      </c>
      <c r="D9" s="24" t="n">
        <f aca="false">SprintTable[[#This Row],[Start]]+SprintLength-1</f>
        <v>46327</v>
      </c>
      <c r="E9" s="38" t="n">
        <f aca="false">NETWORKDAYS.INTL(SprintTable[[#This Row],[Start]],SprintTable[[#This Row],[End]],WorkWeek,Holidays)</f>
        <v>10</v>
      </c>
      <c r="F9" s="41" t="s">
        <v>372</v>
      </c>
      <c r="G9" s="38" t="n">
        <f aca="false">IF(SprintTable[[#This Row],[Sprint]]="","",COUNTIF(tsk_Sprint,SprintTable[[#This Row],[Sprint]]))</f>
        <v>1</v>
      </c>
      <c r="H9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135.238095238095</v>
      </c>
      <c r="I9" s="43" t="n">
        <f aca="false">IF(SprintTable[[#This Row],[Sprint]]="","",SUMIFS(res_MaxUnits,res_Type,"Work")*HoursPerDay*SprintTable[[#This Row],[Working Days]])</f>
        <v>480</v>
      </c>
      <c r="J9" s="42" t="n">
        <f aca="false">IF(OR(SprintTable[[#This Row],[Sprint]]="",N(SprintTable[[#This Row],[Capacity]])=0),"",SprintTable[[#This Row],[Planned Work]]/SprintTable[[#This Row],[Capacity]])</f>
        <v>0.281746031746032</v>
      </c>
      <c r="K9" s="38" t="str">
        <f aca="false">IF(SprintTable[[#This Row],[Sprint]]="","",IF(StatusDate&gt;SprintTable[[#This Row],[End]],"Closed",IF(StatusDate&gt;=SprintTable[[#This Row],[Start]],"Active","Future")))</f>
        <v>Active</v>
      </c>
    </row>
    <row r="10" customFormat="false" ht="15" hidden="false" customHeight="false" outlineLevel="0" collapsed="false">
      <c r="A10" s="38" t="n">
        <f aca="false">ROW()-ROW(SprintTable[[#Headers],[No]])</f>
        <v>5</v>
      </c>
      <c r="B10" s="23" t="str">
        <f aca="false">IF(SprintTable[[#This Row],[No]]&lt;=SprintCount,SprintPrefix&amp;SprintTable[[#This Row],[No]],"")</f>
        <v>Sprint 5</v>
      </c>
      <c r="C10" s="24" t="n">
        <f aca="false">Sprint1Start+(SprintTable[[#This Row],[No]]-1)*SprintLength</f>
        <v>46328</v>
      </c>
      <c r="D10" s="24" t="n">
        <f aca="false">SprintTable[[#This Row],[Start]]+SprintLength-1</f>
        <v>46341</v>
      </c>
      <c r="E10" s="38" t="n">
        <f aca="false">NETWORKDAYS.INTL(SprintTable[[#This Row],[Start]],SprintTable[[#This Row],[End]],WorkWeek,Holidays)</f>
        <v>10</v>
      </c>
      <c r="F10" s="41" t="s">
        <v>373</v>
      </c>
      <c r="G10" s="38" t="n">
        <f aca="false">IF(SprintTable[[#This Row],[Sprint]]="","",COUNTIF(tsk_Sprint,SprintTable[[#This Row],[Sprint]]))</f>
        <v>5</v>
      </c>
      <c r="H10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127.428571428571</v>
      </c>
      <c r="I10" s="43" t="n">
        <f aca="false">IF(SprintTable[[#This Row],[Sprint]]="","",SUMIFS(res_MaxUnits,res_Type,"Work")*HoursPerDay*SprintTable[[#This Row],[Working Days]])</f>
        <v>480</v>
      </c>
      <c r="J10" s="42" t="n">
        <f aca="false">IF(OR(SprintTable[[#This Row],[Sprint]]="",N(SprintTable[[#This Row],[Capacity]])=0),"",SprintTable[[#This Row],[Planned Work]]/SprintTable[[#This Row],[Capacity]])</f>
        <v>0.265476190476191</v>
      </c>
      <c r="K10" s="38" t="str">
        <f aca="false">IF(SprintTable[[#This Row],[Sprint]]="","",IF(StatusDate&gt;SprintTable[[#This Row],[End]],"Closed",IF(StatusDate&gt;=SprintTable[[#This Row],[Start]],"Active","Future")))</f>
        <v>Future</v>
      </c>
    </row>
    <row r="11" customFormat="false" ht="15" hidden="false" customHeight="false" outlineLevel="0" collapsed="false">
      <c r="A11" s="38" t="n">
        <f aca="false">ROW()-ROW(SprintTable[[#Headers],[No]])</f>
        <v>6</v>
      </c>
      <c r="B11" s="23" t="str">
        <f aca="false">IF(SprintTable[[#This Row],[No]]&lt;=SprintCount,SprintPrefix&amp;SprintTable[[#This Row],[No]],"")</f>
        <v>Sprint 6</v>
      </c>
      <c r="C11" s="24" t="n">
        <f aca="false">Sprint1Start+(SprintTable[[#This Row],[No]]-1)*SprintLength</f>
        <v>46342</v>
      </c>
      <c r="D11" s="24" t="n">
        <f aca="false">SprintTable[[#This Row],[Start]]+SprintLength-1</f>
        <v>46355</v>
      </c>
      <c r="E11" s="38" t="n">
        <f aca="false">NETWORKDAYS.INTL(SprintTable[[#This Row],[Start]],SprintTable[[#This Row],[End]],WorkWeek,Holidays)</f>
        <v>10</v>
      </c>
      <c r="F11" s="41" t="s">
        <v>374</v>
      </c>
      <c r="G11" s="38" t="n">
        <f aca="false">IF(SprintTable[[#This Row],[Sprint]]="","",COUNTIF(tsk_Sprint,SprintTable[[#This Row],[Sprint]]))</f>
        <v>1</v>
      </c>
      <c r="H11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52</v>
      </c>
      <c r="I11" s="43" t="n">
        <f aca="false">IF(SprintTable[[#This Row],[Sprint]]="","",SUMIFS(res_MaxUnits,res_Type,"Work")*HoursPerDay*SprintTable[[#This Row],[Working Days]])</f>
        <v>480</v>
      </c>
      <c r="J11" s="42" t="n">
        <f aca="false">IF(OR(SprintTable[[#This Row],[Sprint]]="",N(SprintTable[[#This Row],[Capacity]])=0),"",SprintTable[[#This Row],[Planned Work]]/SprintTable[[#This Row],[Capacity]])</f>
        <v>0.108333333333333</v>
      </c>
      <c r="K11" s="38" t="str">
        <f aca="false">IF(SprintTable[[#This Row],[Sprint]]="","",IF(StatusDate&gt;SprintTable[[#This Row],[End]],"Closed",IF(StatusDate&gt;=SprintTable[[#This Row],[Start]],"Active","Future")))</f>
        <v>Future</v>
      </c>
    </row>
    <row r="12" customFormat="false" ht="15" hidden="false" customHeight="false" outlineLevel="0" collapsed="false">
      <c r="A12" s="38" t="n">
        <f aca="false">ROW()-ROW(SprintTable[[#Headers],[No]])</f>
        <v>7</v>
      </c>
      <c r="B12" s="23" t="str">
        <f aca="false">IF(SprintTable[[#This Row],[No]]&lt;=SprintCount,SprintPrefix&amp;SprintTable[[#This Row],[No]],"")</f>
        <v>Sprint 7</v>
      </c>
      <c r="C12" s="24" t="n">
        <f aca="false">Sprint1Start+(SprintTable[[#This Row],[No]]-1)*SprintLength</f>
        <v>46356</v>
      </c>
      <c r="D12" s="24" t="n">
        <f aca="false">SprintTable[[#This Row],[Start]]+SprintLength-1</f>
        <v>46369</v>
      </c>
      <c r="E12" s="38" t="n">
        <f aca="false">NETWORKDAYS.INTL(SprintTable[[#This Row],[Start]],SprintTable[[#This Row],[End]],WorkWeek,Holidays)</f>
        <v>10</v>
      </c>
      <c r="F12" s="41" t="s">
        <v>375</v>
      </c>
      <c r="G12" s="38" t="n">
        <f aca="false">IF(SprintTable[[#This Row],[Sprint]]="","",COUNTIF(tsk_Sprint,SprintTable[[#This Row],[Sprint]]))</f>
        <v>1</v>
      </c>
      <c r="H12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40</v>
      </c>
      <c r="I12" s="43" t="n">
        <f aca="false">IF(SprintTable[[#This Row],[Sprint]]="","",SUMIFS(res_MaxUnits,res_Type,"Work")*HoursPerDay*SprintTable[[#This Row],[Working Days]])</f>
        <v>480</v>
      </c>
      <c r="J12" s="42" t="n">
        <f aca="false">IF(OR(SprintTable[[#This Row],[Sprint]]="",N(SprintTable[[#This Row],[Capacity]])=0),"",SprintTable[[#This Row],[Planned Work]]/SprintTable[[#This Row],[Capacity]])</f>
        <v>0.0833333333333333</v>
      </c>
      <c r="K12" s="38" t="str">
        <f aca="false">IF(SprintTable[[#This Row],[Sprint]]="","",IF(StatusDate&gt;SprintTable[[#This Row],[End]],"Closed",IF(StatusDate&gt;=SprintTable[[#This Row],[Start]],"Active","Future")))</f>
        <v>Future</v>
      </c>
    </row>
    <row r="13" customFormat="false" ht="15" hidden="false" customHeight="false" outlineLevel="0" collapsed="false">
      <c r="A13" s="38" t="n">
        <f aca="false">ROW()-ROW(SprintTable[[#Headers],[No]])</f>
        <v>8</v>
      </c>
      <c r="B13" s="23" t="str">
        <f aca="false">IF(SprintTable[[#This Row],[No]]&lt;=SprintCount,SprintPrefix&amp;SprintTable[[#This Row],[No]],"")</f>
        <v>Sprint 8</v>
      </c>
      <c r="C13" s="24" t="n">
        <f aca="false">Sprint1Start+(SprintTable[[#This Row],[No]]-1)*SprintLength</f>
        <v>46370</v>
      </c>
      <c r="D13" s="24" t="n">
        <f aca="false">SprintTable[[#This Row],[Start]]+SprintLength-1</f>
        <v>46383</v>
      </c>
      <c r="E13" s="38" t="n">
        <f aca="false">NETWORKDAYS.INTL(SprintTable[[#This Row],[Start]],SprintTable[[#This Row],[End]],WorkWeek,Holidays)</f>
        <v>8</v>
      </c>
      <c r="F13" s="41" t="s">
        <v>376</v>
      </c>
      <c r="G13" s="38" t="n">
        <f aca="false">IF(SprintTable[[#This Row],[Sprint]]="","",COUNTIF(tsk_Sprint,SprintTable[[#This Row],[Sprint]]))</f>
        <v>3</v>
      </c>
      <c r="H13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40</v>
      </c>
      <c r="I13" s="43" t="n">
        <f aca="false">IF(SprintTable[[#This Row],[Sprint]]="","",SUMIFS(res_MaxUnits,res_Type,"Work")*HoursPerDay*SprintTable[[#This Row],[Working Days]])</f>
        <v>384</v>
      </c>
      <c r="J13" s="42" t="n">
        <f aca="false">IF(OR(SprintTable[[#This Row],[Sprint]]="",N(SprintTable[[#This Row],[Capacity]])=0),"",SprintTable[[#This Row],[Planned Work]]/SprintTable[[#This Row],[Capacity]])</f>
        <v>0.104166666666667</v>
      </c>
      <c r="K13" s="38" t="str">
        <f aca="false">IF(SprintTable[[#This Row],[Sprint]]="","",IF(StatusDate&gt;SprintTable[[#This Row],[End]],"Closed",IF(StatusDate&gt;=SprintTable[[#This Row],[Start]],"Active","Future")))</f>
        <v>Future</v>
      </c>
    </row>
    <row r="14" customFormat="false" ht="15" hidden="false" customHeight="false" outlineLevel="0" collapsed="false">
      <c r="A14" s="38" t="n">
        <f aca="false">ROW()-ROW(SprintTable[[#Headers],[No]])</f>
        <v>9</v>
      </c>
      <c r="B14" s="23" t="str">
        <f aca="false">IF(SprintTable[[#This Row],[No]]&lt;=SprintCount,SprintPrefix&amp;SprintTable[[#This Row],[No]],"")</f>
        <v>Sprint 9</v>
      </c>
      <c r="C14" s="24" t="n">
        <f aca="false">Sprint1Start+(SprintTable[[#This Row],[No]]-1)*SprintLength</f>
        <v>46384</v>
      </c>
      <c r="D14" s="24" t="n">
        <f aca="false">SprintTable[[#This Row],[Start]]+SprintLength-1</f>
        <v>46397</v>
      </c>
      <c r="E14" s="38" t="n">
        <f aca="false">NETWORKDAYS.INTL(SprintTable[[#This Row],[Start]],SprintTable[[#This Row],[End]],WorkWeek,Holidays)</f>
        <v>8</v>
      </c>
      <c r="F14" s="41" t="s">
        <v>377</v>
      </c>
      <c r="G14" s="38" t="n">
        <f aca="false">IF(SprintTable[[#This Row],[Sprint]]="","",COUNTIF(tsk_Sprint,SprintTable[[#This Row],[Sprint]]))</f>
        <v>2</v>
      </c>
      <c r="H14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32</v>
      </c>
      <c r="I14" s="43" t="n">
        <f aca="false">IF(SprintTable[[#This Row],[Sprint]]="","",SUMIFS(res_MaxUnits,res_Type,"Work")*HoursPerDay*SprintTable[[#This Row],[Working Days]])</f>
        <v>384</v>
      </c>
      <c r="J14" s="42" t="n">
        <f aca="false">IF(OR(SprintTable[[#This Row],[Sprint]]="",N(SprintTable[[#This Row],[Capacity]])=0),"",SprintTable[[#This Row],[Planned Work]]/SprintTable[[#This Row],[Capacity]])</f>
        <v>0.0833333333333333</v>
      </c>
      <c r="K14" s="38" t="str">
        <f aca="false">IF(SprintTable[[#This Row],[Sprint]]="","",IF(StatusDate&gt;SprintTable[[#This Row],[End]],"Closed",IF(StatusDate&gt;=SprintTable[[#This Row],[Start]],"Active","Future")))</f>
        <v>Future</v>
      </c>
    </row>
    <row r="15" customFormat="false" ht="15" hidden="false" customHeight="false" outlineLevel="0" collapsed="false">
      <c r="A15" s="38" t="n">
        <f aca="false">ROW()-ROW(SprintTable[[#Headers],[No]])</f>
        <v>10</v>
      </c>
      <c r="B15" s="23" t="str">
        <f aca="false">IF(SprintTable[[#This Row],[No]]&lt;=SprintCount,SprintPrefix&amp;SprintTable[[#This Row],[No]],"")</f>
        <v>Sprint 10</v>
      </c>
      <c r="C15" s="24" t="n">
        <f aca="false">Sprint1Start+(SprintTable[[#This Row],[No]]-1)*SprintLength</f>
        <v>46398</v>
      </c>
      <c r="D15" s="24" t="n">
        <f aca="false">SprintTable[[#This Row],[Start]]+SprintLength-1</f>
        <v>46411</v>
      </c>
      <c r="E15" s="38" t="n">
        <f aca="false">NETWORKDAYS.INTL(SprintTable[[#This Row],[Start]],SprintTable[[#This Row],[End]],WorkWeek,Holidays)</f>
        <v>10</v>
      </c>
      <c r="F15" s="41" t="s">
        <v>378</v>
      </c>
      <c r="G15" s="38" t="n">
        <f aca="false">IF(SprintTable[[#This Row],[Sprint]]="","",COUNTIF(tsk_Sprint,SprintTable[[#This Row],[Sprint]]))</f>
        <v>0</v>
      </c>
      <c r="H15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5" s="43" t="n">
        <f aca="false">IF(SprintTable[[#This Row],[Sprint]]="","",SUMIFS(res_MaxUnits,res_Type,"Work")*HoursPerDay*SprintTable[[#This Row],[Working Days]])</f>
        <v>480</v>
      </c>
      <c r="J15" s="42" t="n">
        <f aca="false">IF(OR(SprintTable[[#This Row],[Sprint]]="",N(SprintTable[[#This Row],[Capacity]])=0),"",SprintTable[[#This Row],[Planned Work]]/SprintTable[[#This Row],[Capacity]])</f>
        <v>0</v>
      </c>
      <c r="K15" s="38" t="str">
        <f aca="false">IF(SprintTable[[#This Row],[Sprint]]="","",IF(StatusDate&gt;SprintTable[[#This Row],[End]],"Closed",IF(StatusDate&gt;=SprintTable[[#This Row],[Start]],"Active","Future")))</f>
        <v>Future</v>
      </c>
    </row>
    <row r="16" customFormat="false" ht="15" hidden="false" customHeight="false" outlineLevel="0" collapsed="false">
      <c r="A16" s="38" t="n">
        <f aca="false">ROW()-ROW(SprintTable[[#Headers],[No]])</f>
        <v>11</v>
      </c>
      <c r="B16" s="23" t="str">
        <f aca="false">IF(SprintTable[[#This Row],[No]]&lt;=SprintCount,SprintPrefix&amp;SprintTable[[#This Row],[No]],"")</f>
        <v>Sprint 11</v>
      </c>
      <c r="C16" s="24" t="n">
        <f aca="false">Sprint1Start+(SprintTable[[#This Row],[No]]-1)*SprintLength</f>
        <v>46412</v>
      </c>
      <c r="D16" s="24" t="n">
        <f aca="false">SprintTable[[#This Row],[Start]]+SprintLength-1</f>
        <v>46425</v>
      </c>
      <c r="E16" s="38" t="n">
        <f aca="false">NETWORKDAYS.INTL(SprintTable[[#This Row],[Start]],SprintTable[[#This Row],[End]],WorkWeek,Holidays)</f>
        <v>10</v>
      </c>
      <c r="F16" s="41" t="s">
        <v>379</v>
      </c>
      <c r="G16" s="38" t="n">
        <f aca="false">IF(SprintTable[[#This Row],[Sprint]]="","",COUNTIF(tsk_Sprint,SprintTable[[#This Row],[Sprint]]))</f>
        <v>0</v>
      </c>
      <c r="H16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6" s="43" t="n">
        <f aca="false">IF(SprintTable[[#This Row],[Sprint]]="","",SUMIFS(res_MaxUnits,res_Type,"Work")*HoursPerDay*SprintTable[[#This Row],[Working Days]])</f>
        <v>480</v>
      </c>
      <c r="J16" s="42" t="n">
        <f aca="false">IF(OR(SprintTable[[#This Row],[Sprint]]="",N(SprintTable[[#This Row],[Capacity]])=0),"",SprintTable[[#This Row],[Planned Work]]/SprintTable[[#This Row],[Capacity]])</f>
        <v>0</v>
      </c>
      <c r="K16" s="38" t="str">
        <f aca="false">IF(SprintTable[[#This Row],[Sprint]]="","",IF(StatusDate&gt;SprintTable[[#This Row],[End]],"Closed",IF(StatusDate&gt;=SprintTable[[#This Row],[Start]],"Active","Future")))</f>
        <v>Future</v>
      </c>
    </row>
    <row r="17" customFormat="false" ht="15" hidden="false" customHeight="false" outlineLevel="0" collapsed="false">
      <c r="A17" s="38" t="n">
        <f aca="false">ROW()-ROW(SprintTable[[#Headers],[No]])</f>
        <v>12</v>
      </c>
      <c r="B17" s="23" t="str">
        <f aca="false">IF(SprintTable[[#This Row],[No]]&lt;=SprintCount,SprintPrefix&amp;SprintTable[[#This Row],[No]],"")</f>
        <v>Sprint 12</v>
      </c>
      <c r="C17" s="24" t="n">
        <f aca="false">Sprint1Start+(SprintTable[[#This Row],[No]]-1)*SprintLength</f>
        <v>46426</v>
      </c>
      <c r="D17" s="24" t="n">
        <f aca="false">SprintTable[[#This Row],[Start]]+SprintLength-1</f>
        <v>46439</v>
      </c>
      <c r="E17" s="38" t="n">
        <f aca="false">NETWORKDAYS.INTL(SprintTable[[#This Row],[Start]],SprintTable[[#This Row],[End]],WorkWeek,Holidays)</f>
        <v>10</v>
      </c>
      <c r="F17" s="41" t="s">
        <v>380</v>
      </c>
      <c r="G17" s="38" t="n">
        <f aca="false">IF(SprintTable[[#This Row],[Sprint]]="","",COUNTIF(tsk_Sprint,SprintTable[[#This Row],[Sprint]]))</f>
        <v>0</v>
      </c>
      <c r="H17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7" s="43" t="n">
        <f aca="false">IF(SprintTable[[#This Row],[Sprint]]="","",SUMIFS(res_MaxUnits,res_Type,"Work")*HoursPerDay*SprintTable[[#This Row],[Working Days]])</f>
        <v>480</v>
      </c>
      <c r="J17" s="42" t="n">
        <f aca="false">IF(OR(SprintTable[[#This Row],[Sprint]]="",N(SprintTable[[#This Row],[Capacity]])=0),"",SprintTable[[#This Row],[Planned Work]]/SprintTable[[#This Row],[Capacity]])</f>
        <v>0</v>
      </c>
      <c r="K17" s="38" t="str">
        <f aca="false">IF(SprintTable[[#This Row],[Sprint]]="","",IF(StatusDate&gt;SprintTable[[#This Row],[End]],"Closed",IF(StatusDate&gt;=SprintTable[[#This Row],[Start]],"Active","Future")))</f>
        <v>Future</v>
      </c>
    </row>
    <row r="18" customFormat="false" ht="15" hidden="false" customHeight="false" outlineLevel="0" collapsed="false">
      <c r="A18" s="38" t="n">
        <f aca="false">ROW()-ROW(SprintTable[[#Headers],[No]])</f>
        <v>13</v>
      </c>
      <c r="B18" s="23" t="str">
        <f aca="false">IF(SprintTable[[#This Row],[No]]&lt;=SprintCount,SprintPrefix&amp;SprintTable[[#This Row],[No]],"")</f>
        <v/>
      </c>
      <c r="C18" s="24" t="n">
        <f aca="false">Sprint1Start+(SprintTable[[#This Row],[No]]-1)*SprintLength</f>
        <v>46440</v>
      </c>
      <c r="D18" s="24" t="n">
        <f aca="false">SprintTable[[#This Row],[Start]]+SprintLength-1</f>
        <v>46453</v>
      </c>
      <c r="E18" s="38" t="n">
        <f aca="false">NETWORKDAYS.INTL(SprintTable[[#This Row],[Start]],SprintTable[[#This Row],[End]],WorkWeek,Holidays)</f>
        <v>10</v>
      </c>
      <c r="F18" s="41"/>
      <c r="G18" s="38" t="str">
        <f aca="false">IF(SprintTable[[#This Row],[Sprint]]="","",COUNTIF(tsk_Sprint,SprintTable[[#This Row],[Sprint]]))</f>
        <v/>
      </c>
      <c r="H18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8" s="43" t="str">
        <f aca="false">IF(SprintTable[[#This Row],[Sprint]]="","",SUMIFS(res_MaxUnits,res_Type,"Work")*HoursPerDay*SprintTable[[#This Row],[Working Days]])</f>
        <v/>
      </c>
      <c r="J18" s="42" t="str">
        <f aca="false">IF(OR(SprintTable[[#This Row],[Sprint]]="",N(SprintTable[[#This Row],[Capacity]])=0),"",SprintTable[[#This Row],[Planned Work]]/SprintTable[[#This Row],[Capacity]])</f>
        <v/>
      </c>
      <c r="K18" s="38" t="str">
        <f aca="false">IF(SprintTable[[#This Row],[Sprint]]="","",IF(StatusDate&gt;SprintTable[[#This Row],[End]],"Closed",IF(StatusDate&gt;=SprintTable[[#This Row],[Start]],"Active","Future")))</f>
        <v/>
      </c>
    </row>
    <row r="19" customFormat="false" ht="15" hidden="false" customHeight="false" outlineLevel="0" collapsed="false">
      <c r="A19" s="38" t="n">
        <f aca="false">ROW()-ROW(SprintTable[[#Headers],[No]])</f>
        <v>14</v>
      </c>
      <c r="B19" s="23" t="str">
        <f aca="false">IF(SprintTable[[#This Row],[No]]&lt;=SprintCount,SprintPrefix&amp;SprintTable[[#This Row],[No]],"")</f>
        <v/>
      </c>
      <c r="C19" s="24" t="n">
        <f aca="false">Sprint1Start+(SprintTable[[#This Row],[No]]-1)*SprintLength</f>
        <v>46454</v>
      </c>
      <c r="D19" s="24" t="n">
        <f aca="false">SprintTable[[#This Row],[Start]]+SprintLength-1</f>
        <v>46467</v>
      </c>
      <c r="E19" s="38" t="n">
        <f aca="false">NETWORKDAYS.INTL(SprintTable[[#This Row],[Start]],SprintTable[[#This Row],[End]],WorkWeek,Holidays)</f>
        <v>10</v>
      </c>
      <c r="F19" s="41"/>
      <c r="G19" s="38" t="str">
        <f aca="false">IF(SprintTable[[#This Row],[Sprint]]="","",COUNTIF(tsk_Sprint,SprintTable[[#This Row],[Sprint]]))</f>
        <v/>
      </c>
      <c r="H19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9" s="43" t="str">
        <f aca="false">IF(SprintTable[[#This Row],[Sprint]]="","",SUMIFS(res_MaxUnits,res_Type,"Work")*HoursPerDay*SprintTable[[#This Row],[Working Days]])</f>
        <v/>
      </c>
      <c r="J19" s="42" t="str">
        <f aca="false">IF(OR(SprintTable[[#This Row],[Sprint]]="",N(SprintTable[[#This Row],[Capacity]])=0),"",SprintTable[[#This Row],[Planned Work]]/SprintTable[[#This Row],[Capacity]])</f>
        <v/>
      </c>
      <c r="K19" s="38" t="str">
        <f aca="false">IF(SprintTable[[#This Row],[Sprint]]="","",IF(StatusDate&gt;SprintTable[[#This Row],[End]],"Closed",IF(StatusDate&gt;=SprintTable[[#This Row],[Start]],"Active","Future")))</f>
        <v/>
      </c>
    </row>
    <row r="20" customFormat="false" ht="15" hidden="false" customHeight="false" outlineLevel="0" collapsed="false">
      <c r="A20" s="38" t="n">
        <f aca="false">ROW()-ROW(SprintTable[[#Headers],[No]])</f>
        <v>15</v>
      </c>
      <c r="B20" s="23" t="str">
        <f aca="false">IF(SprintTable[[#This Row],[No]]&lt;=SprintCount,SprintPrefix&amp;SprintTable[[#This Row],[No]],"")</f>
        <v/>
      </c>
      <c r="C20" s="24" t="n">
        <f aca="false">Sprint1Start+(SprintTable[[#This Row],[No]]-1)*SprintLength</f>
        <v>46468</v>
      </c>
      <c r="D20" s="24" t="n">
        <f aca="false">SprintTable[[#This Row],[Start]]+SprintLength-1</f>
        <v>46481</v>
      </c>
      <c r="E20" s="38" t="n">
        <f aca="false">NETWORKDAYS.INTL(SprintTable[[#This Row],[Start]],SprintTable[[#This Row],[End]],WorkWeek,Holidays)</f>
        <v>10</v>
      </c>
      <c r="F20" s="41"/>
      <c r="G20" s="38" t="str">
        <f aca="false">IF(SprintTable[[#This Row],[Sprint]]="","",COUNTIF(tsk_Sprint,SprintTable[[#This Row],[Sprint]]))</f>
        <v/>
      </c>
      <c r="H20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0" s="43" t="str">
        <f aca="false">IF(SprintTable[[#This Row],[Sprint]]="","",SUMIFS(res_MaxUnits,res_Type,"Work")*HoursPerDay*SprintTable[[#This Row],[Working Days]])</f>
        <v/>
      </c>
      <c r="J20" s="42" t="str">
        <f aca="false">IF(OR(SprintTable[[#This Row],[Sprint]]="",N(SprintTable[[#This Row],[Capacity]])=0),"",SprintTable[[#This Row],[Planned Work]]/SprintTable[[#This Row],[Capacity]])</f>
        <v/>
      </c>
      <c r="K20" s="38" t="str">
        <f aca="false">IF(SprintTable[[#This Row],[Sprint]]="","",IF(StatusDate&gt;SprintTable[[#This Row],[End]],"Closed",IF(StatusDate&gt;=SprintTable[[#This Row],[Start]],"Active","Future")))</f>
        <v/>
      </c>
    </row>
    <row r="21" customFormat="false" ht="15" hidden="false" customHeight="false" outlineLevel="0" collapsed="false">
      <c r="A21" s="38" t="n">
        <f aca="false">ROW()-ROW(SprintTable[[#Headers],[No]])</f>
        <v>16</v>
      </c>
      <c r="B21" s="23" t="str">
        <f aca="false">IF(SprintTable[[#This Row],[No]]&lt;=SprintCount,SprintPrefix&amp;SprintTable[[#This Row],[No]],"")</f>
        <v/>
      </c>
      <c r="C21" s="24" t="n">
        <f aca="false">Sprint1Start+(SprintTable[[#This Row],[No]]-1)*SprintLength</f>
        <v>46482</v>
      </c>
      <c r="D21" s="24" t="n">
        <f aca="false">SprintTable[[#This Row],[Start]]+SprintLength-1</f>
        <v>46495</v>
      </c>
      <c r="E21" s="38" t="n">
        <f aca="false">NETWORKDAYS.INTL(SprintTable[[#This Row],[Start]],SprintTable[[#This Row],[End]],WorkWeek,Holidays)</f>
        <v>10</v>
      </c>
      <c r="F21" s="41"/>
      <c r="G21" s="38" t="str">
        <f aca="false">IF(SprintTable[[#This Row],[Sprint]]="","",COUNTIF(tsk_Sprint,SprintTable[[#This Row],[Sprint]]))</f>
        <v/>
      </c>
      <c r="H21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1" s="43" t="str">
        <f aca="false">IF(SprintTable[[#This Row],[Sprint]]="","",SUMIFS(res_MaxUnits,res_Type,"Work")*HoursPerDay*SprintTable[[#This Row],[Working Days]])</f>
        <v/>
      </c>
      <c r="J21" s="42" t="str">
        <f aca="false">IF(OR(SprintTable[[#This Row],[Sprint]]="",N(SprintTable[[#This Row],[Capacity]])=0),"",SprintTable[[#This Row],[Planned Work]]/SprintTable[[#This Row],[Capacity]])</f>
        <v/>
      </c>
      <c r="K21" s="38" t="str">
        <f aca="false">IF(SprintTable[[#This Row],[Sprint]]="","",IF(StatusDate&gt;SprintTable[[#This Row],[End]],"Closed",IF(StatusDate&gt;=SprintTable[[#This Row],[Start]],"Active","Future")))</f>
        <v/>
      </c>
    </row>
    <row r="22" customFormat="false" ht="15" hidden="false" customHeight="false" outlineLevel="0" collapsed="false">
      <c r="A22" s="38" t="n">
        <f aca="false">ROW()-ROW(SprintTable[[#Headers],[No]])</f>
        <v>17</v>
      </c>
      <c r="B22" s="23" t="str">
        <f aca="false">IF(SprintTable[[#This Row],[No]]&lt;=SprintCount,SprintPrefix&amp;SprintTable[[#This Row],[No]],"")</f>
        <v/>
      </c>
      <c r="C22" s="24" t="n">
        <f aca="false">Sprint1Start+(SprintTable[[#This Row],[No]]-1)*SprintLength</f>
        <v>46496</v>
      </c>
      <c r="D22" s="24" t="n">
        <f aca="false">SprintTable[[#This Row],[Start]]+SprintLength-1</f>
        <v>46509</v>
      </c>
      <c r="E22" s="38" t="n">
        <f aca="false">NETWORKDAYS.INTL(SprintTable[[#This Row],[Start]],SprintTable[[#This Row],[End]],WorkWeek,Holidays)</f>
        <v>10</v>
      </c>
      <c r="F22" s="41"/>
      <c r="G22" s="38" t="str">
        <f aca="false">IF(SprintTable[[#This Row],[Sprint]]="","",COUNTIF(tsk_Sprint,SprintTable[[#This Row],[Sprint]]))</f>
        <v/>
      </c>
      <c r="H22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2" s="43" t="str">
        <f aca="false">IF(SprintTable[[#This Row],[Sprint]]="","",SUMIFS(res_MaxUnits,res_Type,"Work")*HoursPerDay*SprintTable[[#This Row],[Working Days]])</f>
        <v/>
      </c>
      <c r="J22" s="42" t="str">
        <f aca="false">IF(OR(SprintTable[[#This Row],[Sprint]]="",N(SprintTable[[#This Row],[Capacity]])=0),"",SprintTable[[#This Row],[Planned Work]]/SprintTable[[#This Row],[Capacity]])</f>
        <v/>
      </c>
      <c r="K22" s="38" t="str">
        <f aca="false">IF(SprintTable[[#This Row],[Sprint]]="","",IF(StatusDate&gt;SprintTable[[#This Row],[End]],"Closed",IF(StatusDate&gt;=SprintTable[[#This Row],[Start]],"Active","Future")))</f>
        <v/>
      </c>
    </row>
    <row r="23" customFormat="false" ht="15" hidden="false" customHeight="false" outlineLevel="0" collapsed="false">
      <c r="A23" s="38" t="n">
        <f aca="false">ROW()-ROW(SprintTable[[#Headers],[No]])</f>
        <v>18</v>
      </c>
      <c r="B23" s="23" t="str">
        <f aca="false">IF(SprintTable[[#This Row],[No]]&lt;=SprintCount,SprintPrefix&amp;SprintTable[[#This Row],[No]],"")</f>
        <v/>
      </c>
      <c r="C23" s="24" t="n">
        <f aca="false">Sprint1Start+(SprintTable[[#This Row],[No]]-1)*SprintLength</f>
        <v>46510</v>
      </c>
      <c r="D23" s="24" t="n">
        <f aca="false">SprintTable[[#This Row],[Start]]+SprintLength-1</f>
        <v>46523</v>
      </c>
      <c r="E23" s="38" t="n">
        <f aca="false">NETWORKDAYS.INTL(SprintTable[[#This Row],[Start]],SprintTable[[#This Row],[End]],WorkWeek,Holidays)</f>
        <v>10</v>
      </c>
      <c r="F23" s="41"/>
      <c r="G23" s="38" t="str">
        <f aca="false">IF(SprintTable[[#This Row],[Sprint]]="","",COUNTIF(tsk_Sprint,SprintTable[[#This Row],[Sprint]]))</f>
        <v/>
      </c>
      <c r="H23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3" s="43" t="str">
        <f aca="false">IF(SprintTable[[#This Row],[Sprint]]="","",SUMIFS(res_MaxUnits,res_Type,"Work")*HoursPerDay*SprintTable[[#This Row],[Working Days]])</f>
        <v/>
      </c>
      <c r="J23" s="42" t="str">
        <f aca="false">IF(OR(SprintTable[[#This Row],[Sprint]]="",N(SprintTable[[#This Row],[Capacity]])=0),"",SprintTable[[#This Row],[Planned Work]]/SprintTable[[#This Row],[Capacity]])</f>
        <v/>
      </c>
      <c r="K23" s="38" t="str">
        <f aca="false">IF(SprintTable[[#This Row],[Sprint]]="","",IF(StatusDate&gt;SprintTable[[#This Row],[End]],"Closed",IF(StatusDate&gt;=SprintTable[[#This Row],[Start]],"Active","Future")))</f>
        <v/>
      </c>
    </row>
    <row r="24" customFormat="false" ht="15" hidden="false" customHeight="false" outlineLevel="0" collapsed="false">
      <c r="A24" s="38" t="n">
        <f aca="false">ROW()-ROW(SprintTable[[#Headers],[No]])</f>
        <v>19</v>
      </c>
      <c r="B24" s="23" t="str">
        <f aca="false">IF(SprintTable[[#This Row],[No]]&lt;=SprintCount,SprintPrefix&amp;SprintTable[[#This Row],[No]],"")</f>
        <v/>
      </c>
      <c r="C24" s="24" t="n">
        <f aca="false">Sprint1Start+(SprintTable[[#This Row],[No]]-1)*SprintLength</f>
        <v>46524</v>
      </c>
      <c r="D24" s="24" t="n">
        <f aca="false">SprintTable[[#This Row],[Start]]+SprintLength-1</f>
        <v>46537</v>
      </c>
      <c r="E24" s="38" t="n">
        <f aca="false">NETWORKDAYS.INTL(SprintTable[[#This Row],[Start]],SprintTable[[#This Row],[End]],WorkWeek,Holidays)</f>
        <v>10</v>
      </c>
      <c r="F24" s="41"/>
      <c r="G24" s="38" t="str">
        <f aca="false">IF(SprintTable[[#This Row],[Sprint]]="","",COUNTIF(tsk_Sprint,SprintTable[[#This Row],[Sprint]]))</f>
        <v/>
      </c>
      <c r="H24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4" s="43" t="str">
        <f aca="false">IF(SprintTable[[#This Row],[Sprint]]="","",SUMIFS(res_MaxUnits,res_Type,"Work")*HoursPerDay*SprintTable[[#This Row],[Working Days]])</f>
        <v/>
      </c>
      <c r="J24" s="42" t="str">
        <f aca="false">IF(OR(SprintTable[[#This Row],[Sprint]]="",N(SprintTable[[#This Row],[Capacity]])=0),"",SprintTable[[#This Row],[Planned Work]]/SprintTable[[#This Row],[Capacity]])</f>
        <v/>
      </c>
      <c r="K24" s="38" t="str">
        <f aca="false">IF(SprintTable[[#This Row],[Sprint]]="","",IF(StatusDate&gt;SprintTable[[#This Row],[End]],"Closed",IF(StatusDate&gt;=SprintTable[[#This Row],[Start]],"Active","Future")))</f>
        <v/>
      </c>
    </row>
    <row r="25" customFormat="false" ht="15" hidden="false" customHeight="false" outlineLevel="0" collapsed="false">
      <c r="A25" s="38" t="n">
        <f aca="false">ROW()-ROW(SprintTable[[#Headers],[No]])</f>
        <v>20</v>
      </c>
      <c r="B25" s="23" t="str">
        <f aca="false">IF(SprintTable[[#This Row],[No]]&lt;=SprintCount,SprintPrefix&amp;SprintTable[[#This Row],[No]],"")</f>
        <v/>
      </c>
      <c r="C25" s="24" t="n">
        <f aca="false">Sprint1Start+(SprintTable[[#This Row],[No]]-1)*SprintLength</f>
        <v>46538</v>
      </c>
      <c r="D25" s="24" t="n">
        <f aca="false">SprintTable[[#This Row],[Start]]+SprintLength-1</f>
        <v>46551</v>
      </c>
      <c r="E25" s="38" t="n">
        <f aca="false">NETWORKDAYS.INTL(SprintTable[[#This Row],[Start]],SprintTable[[#This Row],[End]],WorkWeek,Holidays)</f>
        <v>10</v>
      </c>
      <c r="F25" s="41"/>
      <c r="G25" s="38" t="str">
        <f aca="false">IF(SprintTable[[#This Row],[Sprint]]="","",COUNTIF(tsk_Sprint,SprintTable[[#This Row],[Sprint]]))</f>
        <v/>
      </c>
      <c r="H25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5" s="43" t="str">
        <f aca="false">IF(SprintTable[[#This Row],[Sprint]]="","",SUMIFS(res_MaxUnits,res_Type,"Work")*HoursPerDay*SprintTable[[#This Row],[Working Days]])</f>
        <v/>
      </c>
      <c r="J25" s="42" t="str">
        <f aca="false">IF(OR(SprintTable[[#This Row],[Sprint]]="",N(SprintTable[[#This Row],[Capacity]])=0),"",SprintTable[[#This Row],[Planned Work]]/SprintTable[[#This Row],[Capacity]])</f>
        <v/>
      </c>
      <c r="K25" s="38" t="str">
        <f aca="false">IF(SprintTable[[#This Row],[Sprint]]="","",IF(StatusDate&gt;SprintTable[[#This Row],[End]],"Closed",IF(StatusDate&gt;=SprintTable[[#This Row],[Start]],"Active","Future")))</f>
        <v/>
      </c>
    </row>
    <row r="26" customFormat="false" ht="15" hidden="false" customHeight="false" outlineLevel="0" collapsed="false">
      <c r="A26" s="38" t="n">
        <f aca="false">ROW()-ROW(SprintTable[[#Headers],[No]])</f>
        <v>21</v>
      </c>
      <c r="B26" s="23" t="str">
        <f aca="false">IF(SprintTable[[#This Row],[No]]&lt;=SprintCount,SprintPrefix&amp;SprintTable[[#This Row],[No]],"")</f>
        <v/>
      </c>
      <c r="C26" s="24" t="n">
        <f aca="false">Sprint1Start+(SprintTable[[#This Row],[No]]-1)*SprintLength</f>
        <v>46552</v>
      </c>
      <c r="D26" s="24" t="n">
        <f aca="false">SprintTable[[#This Row],[Start]]+SprintLength-1</f>
        <v>46565</v>
      </c>
      <c r="E26" s="38" t="n">
        <f aca="false">NETWORKDAYS.INTL(SprintTable[[#This Row],[Start]],SprintTable[[#This Row],[End]],WorkWeek,Holidays)</f>
        <v>10</v>
      </c>
      <c r="F26" s="41"/>
      <c r="G26" s="38" t="str">
        <f aca="false">IF(SprintTable[[#This Row],[Sprint]]="","",COUNTIF(tsk_Sprint,SprintTable[[#This Row],[Sprint]]))</f>
        <v/>
      </c>
      <c r="H26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6" s="43" t="str">
        <f aca="false">IF(SprintTable[[#This Row],[Sprint]]="","",SUMIFS(res_MaxUnits,res_Type,"Work")*HoursPerDay*SprintTable[[#This Row],[Working Days]])</f>
        <v/>
      </c>
      <c r="J26" s="42" t="str">
        <f aca="false">IF(OR(SprintTable[[#This Row],[Sprint]]="",N(SprintTable[[#This Row],[Capacity]])=0),"",SprintTable[[#This Row],[Planned Work]]/SprintTable[[#This Row],[Capacity]])</f>
        <v/>
      </c>
      <c r="K26" s="38" t="str">
        <f aca="false">IF(SprintTable[[#This Row],[Sprint]]="","",IF(StatusDate&gt;SprintTable[[#This Row],[End]],"Closed",IF(StatusDate&gt;=SprintTable[[#This Row],[Start]],"Active","Future")))</f>
        <v/>
      </c>
    </row>
    <row r="27" customFormat="false" ht="15" hidden="false" customHeight="false" outlineLevel="0" collapsed="false">
      <c r="A27" s="38" t="n">
        <f aca="false">ROW()-ROW(SprintTable[[#Headers],[No]])</f>
        <v>22</v>
      </c>
      <c r="B27" s="23" t="str">
        <f aca="false">IF(SprintTable[[#This Row],[No]]&lt;=SprintCount,SprintPrefix&amp;SprintTable[[#This Row],[No]],"")</f>
        <v/>
      </c>
      <c r="C27" s="24" t="n">
        <f aca="false">Sprint1Start+(SprintTable[[#This Row],[No]]-1)*SprintLength</f>
        <v>46566</v>
      </c>
      <c r="D27" s="24" t="n">
        <f aca="false">SprintTable[[#This Row],[Start]]+SprintLength-1</f>
        <v>46579</v>
      </c>
      <c r="E27" s="38" t="n">
        <f aca="false">NETWORKDAYS.INTL(SprintTable[[#This Row],[Start]],SprintTable[[#This Row],[End]],WorkWeek,Holidays)</f>
        <v>10</v>
      </c>
      <c r="F27" s="41"/>
      <c r="G27" s="38" t="str">
        <f aca="false">IF(SprintTable[[#This Row],[Sprint]]="","",COUNTIF(tsk_Sprint,SprintTable[[#This Row],[Sprint]]))</f>
        <v/>
      </c>
      <c r="H27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7" s="43" t="str">
        <f aca="false">IF(SprintTable[[#This Row],[Sprint]]="","",SUMIFS(res_MaxUnits,res_Type,"Work")*HoursPerDay*SprintTable[[#This Row],[Working Days]])</f>
        <v/>
      </c>
      <c r="J27" s="42" t="str">
        <f aca="false">IF(OR(SprintTable[[#This Row],[Sprint]]="",N(SprintTable[[#This Row],[Capacity]])=0),"",SprintTable[[#This Row],[Planned Work]]/SprintTable[[#This Row],[Capacity]])</f>
        <v/>
      </c>
      <c r="K27" s="38" t="str">
        <f aca="false">IF(SprintTable[[#This Row],[Sprint]]="","",IF(StatusDate&gt;SprintTable[[#This Row],[End]],"Closed",IF(StatusDate&gt;=SprintTable[[#This Row],[Start]],"Active","Future")))</f>
        <v/>
      </c>
    </row>
    <row r="28" customFormat="false" ht="15" hidden="false" customHeight="false" outlineLevel="0" collapsed="false">
      <c r="A28" s="38" t="n">
        <f aca="false">ROW()-ROW(SprintTable[[#Headers],[No]])</f>
        <v>23</v>
      </c>
      <c r="B28" s="23" t="str">
        <f aca="false">IF(SprintTable[[#This Row],[No]]&lt;=SprintCount,SprintPrefix&amp;SprintTable[[#This Row],[No]],"")</f>
        <v/>
      </c>
      <c r="C28" s="24" t="n">
        <f aca="false">Sprint1Start+(SprintTable[[#This Row],[No]]-1)*SprintLength</f>
        <v>46580</v>
      </c>
      <c r="D28" s="24" t="n">
        <f aca="false">SprintTable[[#This Row],[Start]]+SprintLength-1</f>
        <v>46593</v>
      </c>
      <c r="E28" s="38" t="n">
        <f aca="false">NETWORKDAYS.INTL(SprintTable[[#This Row],[Start]],SprintTable[[#This Row],[End]],WorkWeek,Holidays)</f>
        <v>10</v>
      </c>
      <c r="F28" s="41"/>
      <c r="G28" s="38" t="str">
        <f aca="false">IF(SprintTable[[#This Row],[Sprint]]="","",COUNTIF(tsk_Sprint,SprintTable[[#This Row],[Sprint]]))</f>
        <v/>
      </c>
      <c r="H28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8" s="43" t="str">
        <f aca="false">IF(SprintTable[[#This Row],[Sprint]]="","",SUMIFS(res_MaxUnits,res_Type,"Work")*HoursPerDay*SprintTable[[#This Row],[Working Days]])</f>
        <v/>
      </c>
      <c r="J28" s="42" t="str">
        <f aca="false">IF(OR(SprintTable[[#This Row],[Sprint]]="",N(SprintTable[[#This Row],[Capacity]])=0),"",SprintTable[[#This Row],[Planned Work]]/SprintTable[[#This Row],[Capacity]])</f>
        <v/>
      </c>
      <c r="K28" s="38" t="str">
        <f aca="false">IF(SprintTable[[#This Row],[Sprint]]="","",IF(StatusDate&gt;SprintTable[[#This Row],[End]],"Closed",IF(StatusDate&gt;=SprintTable[[#This Row],[Start]],"Active","Future")))</f>
        <v/>
      </c>
    </row>
    <row r="29" customFormat="false" ht="15" hidden="false" customHeight="false" outlineLevel="0" collapsed="false">
      <c r="A29" s="38" t="n">
        <f aca="false">ROW()-ROW(SprintTable[[#Headers],[No]])</f>
        <v>24</v>
      </c>
      <c r="B29" s="23" t="str">
        <f aca="false">IF(SprintTable[[#This Row],[No]]&lt;=SprintCount,SprintPrefix&amp;SprintTable[[#This Row],[No]],"")</f>
        <v/>
      </c>
      <c r="C29" s="24" t="n">
        <f aca="false">Sprint1Start+(SprintTable[[#This Row],[No]]-1)*SprintLength</f>
        <v>46594</v>
      </c>
      <c r="D29" s="24" t="n">
        <f aca="false">SprintTable[[#This Row],[Start]]+SprintLength-1</f>
        <v>46607</v>
      </c>
      <c r="E29" s="38" t="n">
        <f aca="false">NETWORKDAYS.INTL(SprintTable[[#This Row],[Start]],SprintTable[[#This Row],[End]],WorkWeek,Holidays)</f>
        <v>10</v>
      </c>
      <c r="F29" s="41"/>
      <c r="G29" s="38" t="str">
        <f aca="false">IF(SprintTable[[#This Row],[Sprint]]="","",COUNTIF(tsk_Sprint,SprintTable[[#This Row],[Sprint]]))</f>
        <v/>
      </c>
      <c r="H29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9" s="43" t="str">
        <f aca="false">IF(SprintTable[[#This Row],[Sprint]]="","",SUMIFS(res_MaxUnits,res_Type,"Work")*HoursPerDay*SprintTable[[#This Row],[Working Days]])</f>
        <v/>
      </c>
      <c r="J29" s="42" t="str">
        <f aca="false">IF(OR(SprintTable[[#This Row],[Sprint]]="",N(SprintTable[[#This Row],[Capacity]])=0),"",SprintTable[[#This Row],[Planned Work]]/SprintTable[[#This Row],[Capacity]])</f>
        <v/>
      </c>
      <c r="K29" s="38" t="str">
        <f aca="false">IF(SprintTable[[#This Row],[Sprint]]="","",IF(StatusDate&gt;SprintTable[[#This Row],[End]],"Closed",IF(StatusDate&gt;=SprintTable[[#This Row],[Start]],"Active","Future")))</f>
        <v/>
      </c>
    </row>
    <row r="30" customFormat="false" ht="15" hidden="false" customHeight="false" outlineLevel="0" collapsed="false">
      <c r="A30" s="38" t="n">
        <f aca="false">ROW()-ROW(SprintTable[[#Headers],[No]])</f>
        <v>25</v>
      </c>
      <c r="B30" s="23" t="str">
        <f aca="false">IF(SprintTable[[#This Row],[No]]&lt;=SprintCount,SprintPrefix&amp;SprintTable[[#This Row],[No]],"")</f>
        <v/>
      </c>
      <c r="C30" s="24" t="n">
        <f aca="false">Sprint1Start+(SprintTable[[#This Row],[No]]-1)*SprintLength</f>
        <v>46608</v>
      </c>
      <c r="D30" s="24" t="n">
        <f aca="false">SprintTable[[#This Row],[Start]]+SprintLength-1</f>
        <v>46621</v>
      </c>
      <c r="E30" s="38" t="n">
        <f aca="false">NETWORKDAYS.INTL(SprintTable[[#This Row],[Start]],SprintTable[[#This Row],[End]],WorkWeek,Holidays)</f>
        <v>10</v>
      </c>
      <c r="F30" s="41"/>
      <c r="G30" s="38" t="str">
        <f aca="false">IF(SprintTable[[#This Row],[Sprint]]="","",COUNTIF(tsk_Sprint,SprintTable[[#This Row],[Sprint]]))</f>
        <v/>
      </c>
      <c r="H30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0" s="43" t="str">
        <f aca="false">IF(SprintTable[[#This Row],[Sprint]]="","",SUMIFS(res_MaxUnits,res_Type,"Work")*HoursPerDay*SprintTable[[#This Row],[Working Days]])</f>
        <v/>
      </c>
      <c r="J30" s="42" t="str">
        <f aca="false">IF(OR(SprintTable[[#This Row],[Sprint]]="",N(SprintTable[[#This Row],[Capacity]])=0),"",SprintTable[[#This Row],[Planned Work]]/SprintTable[[#This Row],[Capacity]])</f>
        <v/>
      </c>
      <c r="K30" s="38" t="str">
        <f aca="false">IF(SprintTable[[#This Row],[Sprint]]="","",IF(StatusDate&gt;SprintTable[[#This Row],[End]],"Closed",IF(StatusDate&gt;=SprintTable[[#This Row],[Start]],"Active","Future")))</f>
        <v/>
      </c>
    </row>
    <row r="31" customFormat="false" ht="15" hidden="false" customHeight="false" outlineLevel="0" collapsed="false">
      <c r="A31" s="38" t="n">
        <f aca="false">ROW()-ROW(SprintTable[[#Headers],[No]])</f>
        <v>26</v>
      </c>
      <c r="B31" s="23" t="str">
        <f aca="false">IF(SprintTable[[#This Row],[No]]&lt;=SprintCount,SprintPrefix&amp;SprintTable[[#This Row],[No]],"")</f>
        <v/>
      </c>
      <c r="C31" s="24" t="n">
        <f aca="false">Sprint1Start+(SprintTable[[#This Row],[No]]-1)*SprintLength</f>
        <v>46622</v>
      </c>
      <c r="D31" s="24" t="n">
        <f aca="false">SprintTable[[#This Row],[Start]]+SprintLength-1</f>
        <v>46635</v>
      </c>
      <c r="E31" s="38" t="n">
        <f aca="false">NETWORKDAYS.INTL(SprintTable[[#This Row],[Start]],SprintTable[[#This Row],[End]],WorkWeek,Holidays)</f>
        <v>10</v>
      </c>
      <c r="F31" s="41"/>
      <c r="G31" s="38" t="str">
        <f aca="false">IF(SprintTable[[#This Row],[Sprint]]="","",COUNTIF(tsk_Sprint,SprintTable[[#This Row],[Sprint]]))</f>
        <v/>
      </c>
      <c r="H31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1" s="43" t="str">
        <f aca="false">IF(SprintTable[[#This Row],[Sprint]]="","",SUMIFS(res_MaxUnits,res_Type,"Work")*HoursPerDay*SprintTable[[#This Row],[Working Days]])</f>
        <v/>
      </c>
      <c r="J31" s="42" t="str">
        <f aca="false">IF(OR(SprintTable[[#This Row],[Sprint]]="",N(SprintTable[[#This Row],[Capacity]])=0),"",SprintTable[[#This Row],[Planned Work]]/SprintTable[[#This Row],[Capacity]])</f>
        <v/>
      </c>
      <c r="K31" s="38" t="str">
        <f aca="false">IF(SprintTable[[#This Row],[Sprint]]="","",IF(StatusDate&gt;SprintTable[[#This Row],[End]],"Closed",IF(StatusDate&gt;=SprintTable[[#This Row],[Start]],"Active","Future")))</f>
        <v/>
      </c>
    </row>
    <row r="33" customFormat="false" ht="15" hidden="false" customHeight="false" outlineLevel="0" collapsed="false">
      <c r="A33" s="73" t="s">
        <v>381</v>
      </c>
    </row>
    <row r="34" customFormat="false" ht="15" hidden="false" customHeight="false" outlineLevel="0" collapsed="false">
      <c r="B34" s="9" t="s">
        <v>204</v>
      </c>
      <c r="C34" s="9" t="s">
        <v>336</v>
      </c>
      <c r="D34" s="9" t="str">
        <f aca="false">IFERROR(INDEX(spr_Name,(COLUMN()-COLUMN(load_Origin)-1))&amp;"","")</f>
        <v>Sprint 1</v>
      </c>
      <c r="E34" s="9" t="str">
        <f aca="false">IFERROR(INDEX(spr_Name,(COLUMN()-COLUMN(load_Origin)-1))&amp;"","")</f>
        <v>Sprint 2</v>
      </c>
      <c r="F34" s="9" t="str">
        <f aca="false">IFERROR(INDEX(spr_Name,(COLUMN()-COLUMN(load_Origin)-1))&amp;"","")</f>
        <v>Sprint 3</v>
      </c>
      <c r="G34" s="9" t="str">
        <f aca="false">IFERROR(INDEX(spr_Name,(COLUMN()-COLUMN(load_Origin)-1))&amp;"","")</f>
        <v>Sprint 4</v>
      </c>
      <c r="H34" s="9" t="str">
        <f aca="false">IFERROR(INDEX(spr_Name,(COLUMN()-COLUMN(load_Origin)-1))&amp;"","")</f>
        <v>Sprint 5</v>
      </c>
      <c r="I34" s="9" t="str">
        <f aca="false">IFERROR(INDEX(spr_Name,(COLUMN()-COLUMN(load_Origin)-1))&amp;"","")</f>
        <v>Sprint 6</v>
      </c>
      <c r="J34" s="9" t="str">
        <f aca="false">IFERROR(INDEX(spr_Name,(COLUMN()-COLUMN(load_Origin)-1))&amp;"","")</f>
        <v>Sprint 7</v>
      </c>
      <c r="K34" s="9" t="str">
        <f aca="false">IFERROR(INDEX(spr_Name,(COLUMN()-COLUMN(load_Origin)-1))&amp;"","")</f>
        <v>Sprint 8</v>
      </c>
      <c r="L34" s="9" t="str">
        <f aca="false">IFERROR(INDEX(spr_Name,(COLUMN()-COLUMN(load_Origin)-1))&amp;"","")</f>
        <v>Sprint 9</v>
      </c>
      <c r="M34" s="9" t="str">
        <f aca="false">IFERROR(INDEX(spr_Name,(COLUMN()-COLUMN(load_Origin)-1))&amp;"","")</f>
        <v>Sprint 10</v>
      </c>
      <c r="N34" s="9" t="str">
        <f aca="false">IFERROR(INDEX(spr_Name,(COLUMN()-COLUMN(load_Origin)-1))&amp;"","")</f>
        <v>Sprint 11</v>
      </c>
      <c r="O34" s="9" t="str">
        <f aca="false">IFERROR(INDEX(spr_Name,(COLUMN()-COLUMN(load_Origin)-1))&amp;"","")</f>
        <v>Sprint 12</v>
      </c>
      <c r="P34" s="9" t="str">
        <f aca="false">IFERROR(INDEX(spr_Name,(COLUMN()-COLUMN(load_Origin)-1))&amp;"","")</f>
        <v/>
      </c>
      <c r="Q34" s="9" t="str">
        <f aca="false">IFERROR(INDEX(spr_Name,(COLUMN()-COLUMN(load_Origin)-1))&amp;"","")</f>
        <v/>
      </c>
      <c r="R34" s="9" t="str">
        <f aca="false">IFERROR(INDEX(spr_Name,(COLUMN()-COLUMN(load_Origin)-1))&amp;"","")</f>
        <v/>
      </c>
      <c r="S34" s="9" t="str">
        <f aca="false">IFERROR(INDEX(spr_Name,(COLUMN()-COLUMN(load_Origin)-1))&amp;"","")</f>
        <v/>
      </c>
      <c r="T34" s="9" t="str">
        <f aca="false">IFERROR(INDEX(spr_Name,(COLUMN()-COLUMN(load_Origin)-1))&amp;"","")</f>
        <v/>
      </c>
      <c r="U34" s="9" t="str">
        <f aca="false">IFERROR(INDEX(spr_Name,(COLUMN()-COLUMN(load_Origin)-1))&amp;"","")</f>
        <v/>
      </c>
      <c r="V34" s="9" t="str">
        <f aca="false">IFERROR(INDEX(spr_Name,(COLUMN()-COLUMN(load_Origin)-1))&amp;"","")</f>
        <v/>
      </c>
      <c r="W34" s="9" t="str">
        <f aca="false">IFERROR(INDEX(spr_Name,(COLUMN()-COLUMN(load_Origin)-1))&amp;"","")</f>
        <v/>
      </c>
      <c r="X34" s="9" t="str">
        <f aca="false">IFERROR(INDEX(spr_Name,(COLUMN()-COLUMN(load_Origin)-1))&amp;"","")</f>
        <v/>
      </c>
      <c r="Y34" s="9" t="str">
        <f aca="false">IFERROR(INDEX(spr_Name,(COLUMN()-COLUMN(load_Origin)-1))&amp;"","")</f>
        <v/>
      </c>
      <c r="Z34" s="9" t="str">
        <f aca="false">IFERROR(INDEX(spr_Name,(COLUMN()-COLUMN(load_Origin)-1))&amp;"","")</f>
        <v/>
      </c>
      <c r="AA34" s="9" t="str">
        <f aca="false">IFERROR(INDEX(spr_Name,(COLUMN()-COLUMN(load_Origin)-1))&amp;"","")</f>
        <v/>
      </c>
      <c r="AB34" s="9" t="str">
        <f aca="false">IFERROR(INDEX(spr_Name,(COLUMN()-COLUMN(load_Origin)-1))&amp;"","")</f>
        <v/>
      </c>
      <c r="AC34" s="9" t="str">
        <f aca="false">IFERROR(INDEX(spr_Name,(COLUMN()-COLUMN(load_Origin)-1))&amp;"","")</f>
        <v/>
      </c>
    </row>
    <row r="35" customFormat="false" ht="15" hidden="false" customHeight="false" outlineLevel="0" collapsed="false">
      <c r="B35" s="74" t="s">
        <v>382</v>
      </c>
      <c r="D35" s="75" t="n">
        <f aca="false">IFERROR(IF(INDEX(spr_Name,(COLUMN()-COLUMN(load_Origin)-1))="","",INDEX(spr_Start,(COLUMN()-COLUMN(load_Origin)-1))),"")</f>
        <v>46272</v>
      </c>
      <c r="E35" s="75" t="n">
        <f aca="false">IFERROR(IF(INDEX(spr_Name,(COLUMN()-COLUMN(load_Origin)-1))="","",INDEX(spr_Start,(COLUMN()-COLUMN(load_Origin)-1))),"")</f>
        <v>46286</v>
      </c>
      <c r="F35" s="75" t="n">
        <f aca="false">IFERROR(IF(INDEX(spr_Name,(COLUMN()-COLUMN(load_Origin)-1))="","",INDEX(spr_Start,(COLUMN()-COLUMN(load_Origin)-1))),"")</f>
        <v>46300</v>
      </c>
      <c r="G35" s="75" t="n">
        <f aca="false">IFERROR(IF(INDEX(spr_Name,(COLUMN()-COLUMN(load_Origin)-1))="","",INDEX(spr_Start,(COLUMN()-COLUMN(load_Origin)-1))),"")</f>
        <v>46314</v>
      </c>
      <c r="H35" s="75" t="n">
        <f aca="false">IFERROR(IF(INDEX(spr_Name,(COLUMN()-COLUMN(load_Origin)-1))="","",INDEX(spr_Start,(COLUMN()-COLUMN(load_Origin)-1))),"")</f>
        <v>46328</v>
      </c>
      <c r="I35" s="75" t="n">
        <f aca="false">IFERROR(IF(INDEX(spr_Name,(COLUMN()-COLUMN(load_Origin)-1))="","",INDEX(spr_Start,(COLUMN()-COLUMN(load_Origin)-1))),"")</f>
        <v>46342</v>
      </c>
      <c r="J35" s="75" t="n">
        <f aca="false">IFERROR(IF(INDEX(spr_Name,(COLUMN()-COLUMN(load_Origin)-1))="","",INDEX(spr_Start,(COLUMN()-COLUMN(load_Origin)-1))),"")</f>
        <v>46356</v>
      </c>
      <c r="K35" s="75" t="n">
        <f aca="false">IFERROR(IF(INDEX(spr_Name,(COLUMN()-COLUMN(load_Origin)-1))="","",INDEX(spr_Start,(COLUMN()-COLUMN(load_Origin)-1))),"")</f>
        <v>46370</v>
      </c>
      <c r="L35" s="75" t="n">
        <f aca="false">IFERROR(IF(INDEX(spr_Name,(COLUMN()-COLUMN(load_Origin)-1))="","",INDEX(spr_Start,(COLUMN()-COLUMN(load_Origin)-1))),"")</f>
        <v>46384</v>
      </c>
      <c r="M35" s="75" t="n">
        <f aca="false">IFERROR(IF(INDEX(spr_Name,(COLUMN()-COLUMN(load_Origin)-1))="","",INDEX(spr_Start,(COLUMN()-COLUMN(load_Origin)-1))),"")</f>
        <v>46398</v>
      </c>
      <c r="N35" s="75" t="n">
        <f aca="false">IFERROR(IF(INDEX(spr_Name,(COLUMN()-COLUMN(load_Origin)-1))="","",INDEX(spr_Start,(COLUMN()-COLUMN(load_Origin)-1))),"")</f>
        <v>46412</v>
      </c>
      <c r="O35" s="75" t="n">
        <f aca="false">IFERROR(IF(INDEX(spr_Name,(COLUMN()-COLUMN(load_Origin)-1))="","",INDEX(spr_Start,(COLUMN()-COLUMN(load_Origin)-1))),"")</f>
        <v>46426</v>
      </c>
      <c r="P35" s="75" t="str">
        <f aca="false">IFERROR(IF(INDEX(spr_Name,(COLUMN()-COLUMN(load_Origin)-1))="","",INDEX(spr_Start,(COLUMN()-COLUMN(load_Origin)-1))),"")</f>
        <v/>
      </c>
      <c r="Q35" s="75" t="str">
        <f aca="false">IFERROR(IF(INDEX(spr_Name,(COLUMN()-COLUMN(load_Origin)-1))="","",INDEX(spr_Start,(COLUMN()-COLUMN(load_Origin)-1))),"")</f>
        <v/>
      </c>
      <c r="R35" s="75" t="str">
        <f aca="false">IFERROR(IF(INDEX(spr_Name,(COLUMN()-COLUMN(load_Origin)-1))="","",INDEX(spr_Start,(COLUMN()-COLUMN(load_Origin)-1))),"")</f>
        <v/>
      </c>
      <c r="S35" s="75" t="str">
        <f aca="false">IFERROR(IF(INDEX(spr_Name,(COLUMN()-COLUMN(load_Origin)-1))="","",INDEX(spr_Start,(COLUMN()-COLUMN(load_Origin)-1))),"")</f>
        <v/>
      </c>
      <c r="T35" s="75" t="str">
        <f aca="false">IFERROR(IF(INDEX(spr_Name,(COLUMN()-COLUMN(load_Origin)-1))="","",INDEX(spr_Start,(COLUMN()-COLUMN(load_Origin)-1))),"")</f>
        <v/>
      </c>
      <c r="U35" s="75" t="str">
        <f aca="false">IFERROR(IF(INDEX(spr_Name,(COLUMN()-COLUMN(load_Origin)-1))="","",INDEX(spr_Start,(COLUMN()-COLUMN(load_Origin)-1))),"")</f>
        <v/>
      </c>
      <c r="V35" s="75" t="str">
        <f aca="false">IFERROR(IF(INDEX(spr_Name,(COLUMN()-COLUMN(load_Origin)-1))="","",INDEX(spr_Start,(COLUMN()-COLUMN(load_Origin)-1))),"")</f>
        <v/>
      </c>
      <c r="W35" s="75" t="str">
        <f aca="false">IFERROR(IF(INDEX(spr_Name,(COLUMN()-COLUMN(load_Origin)-1))="","",INDEX(spr_Start,(COLUMN()-COLUMN(load_Origin)-1))),"")</f>
        <v/>
      </c>
      <c r="X35" s="75" t="str">
        <f aca="false">IFERROR(IF(INDEX(spr_Name,(COLUMN()-COLUMN(load_Origin)-1))="","",INDEX(spr_Start,(COLUMN()-COLUMN(load_Origin)-1))),"")</f>
        <v/>
      </c>
      <c r="Y35" s="75" t="str">
        <f aca="false">IFERROR(IF(INDEX(spr_Name,(COLUMN()-COLUMN(load_Origin)-1))="","",INDEX(spr_Start,(COLUMN()-COLUMN(load_Origin)-1))),"")</f>
        <v/>
      </c>
      <c r="Z35" s="75" t="str">
        <f aca="false">IFERROR(IF(INDEX(spr_Name,(COLUMN()-COLUMN(load_Origin)-1))="","",INDEX(spr_Start,(COLUMN()-COLUMN(load_Origin)-1))),"")</f>
        <v/>
      </c>
      <c r="AA35" s="75" t="str">
        <f aca="false">IFERROR(IF(INDEX(spr_Name,(COLUMN()-COLUMN(load_Origin)-1))="","",INDEX(spr_Start,(COLUMN()-COLUMN(load_Origin)-1))),"")</f>
        <v/>
      </c>
      <c r="AB35" s="75" t="str">
        <f aca="false">IFERROR(IF(INDEX(spr_Name,(COLUMN()-COLUMN(load_Origin)-1))="","",INDEX(spr_Start,(COLUMN()-COLUMN(load_Origin)-1))),"")</f>
        <v/>
      </c>
      <c r="AC35" s="75" t="str">
        <f aca="false">IFERROR(IF(INDEX(spr_Name,(COLUMN()-COLUMN(load_Origin)-1))="","",INDEX(spr_Start,(COLUMN()-COLUMN(load_Origin)-1))),"")</f>
        <v/>
      </c>
    </row>
    <row r="36" customFormat="false" ht="15" hidden="false" customHeight="false" outlineLevel="0" collapsed="false">
      <c r="B36" s="76" t="str">
        <f aca="false">IFERROR(INDEX(res_Name,(ROW()-ROW(load_Origin)-1))&amp;"","")</f>
        <v>Priya Sharma</v>
      </c>
      <c r="C36" s="77" t="n">
        <f aca="false">IFERROR(IF(INDEX(res_Name,(ROW()-ROW(load_Origin)-1))="","",INDEX(res_MaxUnits,(ROW()-ROW(load_Origin)-1))),"")</f>
        <v>0.5</v>
      </c>
      <c r="D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24</v>
      </c>
      <c r="E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I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8</v>
      </c>
      <c r="J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8</v>
      </c>
      <c r="L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16</v>
      </c>
      <c r="M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7" customFormat="false" ht="15" hidden="false" customHeight="false" outlineLevel="0" collapsed="false">
      <c r="B37" s="76" t="str">
        <f aca="false">IFERROR(INDEX(res_Name,(ROW()-ROW(load_Origin)-1))&amp;"","")</f>
        <v>Morgan Patel</v>
      </c>
      <c r="C37" s="77" t="n">
        <f aca="false">IFERROR(IF(INDEX(res_Name,(ROW()-ROW(load_Origin)-1))="","",INDEX(res_MaxUnits,(ROW()-ROW(load_Origin)-1))),"")</f>
        <v>1</v>
      </c>
      <c r="D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44.4444444444445</v>
      </c>
      <c r="E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35.5555555555556</v>
      </c>
      <c r="F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I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40</v>
      </c>
      <c r="K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8</v>
      </c>
      <c r="L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8" customFormat="false" ht="15" hidden="false" customHeight="false" outlineLevel="0" collapsed="false">
      <c r="B38" s="76" t="str">
        <f aca="false">IFERROR(INDEX(res_Name,(ROW()-ROW(load_Origin)-1))&amp;"","")</f>
        <v>Alex Chen</v>
      </c>
      <c r="C38" s="77" t="n">
        <f aca="false">IFERROR(IF(INDEX(res_Name,(ROW()-ROW(load_Origin)-1))="","",INDEX(res_MaxUnits,(ROW()-ROW(load_Origin)-1))),"")</f>
        <v>0.5</v>
      </c>
      <c r="D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6.66666666666667</v>
      </c>
      <c r="E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33.3333333333333</v>
      </c>
      <c r="F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I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9" customFormat="false" ht="15" hidden="false" customHeight="false" outlineLevel="0" collapsed="false">
      <c r="B39" s="76" t="str">
        <f aca="false">IFERROR(INDEX(res_Name,(ROW()-ROW(load_Origin)-1))&amp;"","")</f>
        <v>Casey Kim</v>
      </c>
      <c r="C39" s="77" t="n">
        <f aca="false">IFERROR(IF(INDEX(res_Name,(ROW()-ROW(load_Origin)-1))="","",INDEX(res_MaxUnits,(ROW()-ROW(load_Origin)-1))),"")</f>
        <v>1</v>
      </c>
      <c r="D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34.2857142857143</v>
      </c>
      <c r="F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13.7142857142857</v>
      </c>
      <c r="G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20</v>
      </c>
      <c r="I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12</v>
      </c>
      <c r="J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0" customFormat="false" ht="15" hidden="false" customHeight="false" outlineLevel="0" collapsed="false">
      <c r="B40" s="76" t="str">
        <f aca="false">IFERROR(INDEX(res_Name,(ROW()-ROW(load_Origin)-1))&amp;"","")</f>
        <v>Jordan Lee</v>
      </c>
      <c r="C40" s="77" t="n">
        <f aca="false">IFERROR(IF(INDEX(res_Name,(ROW()-ROW(load_Origin)-1))="","",INDEX(res_MaxUnits,(ROW()-ROW(load_Origin)-1))),"")</f>
        <v>1</v>
      </c>
      <c r="D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53.3333333333333</v>
      </c>
      <c r="G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66.6666666666667</v>
      </c>
      <c r="H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48</v>
      </c>
      <c r="I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24</v>
      </c>
      <c r="L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16</v>
      </c>
      <c r="M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1" customFormat="false" ht="15" hidden="false" customHeight="false" outlineLevel="0" collapsed="false">
      <c r="B41" s="76" t="str">
        <f aca="false">IFERROR(INDEX(res_Name,(ROW()-ROW(load_Origin)-1))&amp;"","")</f>
        <v>Sam Rivera</v>
      </c>
      <c r="C41" s="77" t="n">
        <f aca="false">IFERROR(IF(INDEX(res_Name,(ROW()-ROW(load_Origin)-1))="","",INDEX(res_MaxUnits,(ROW()-ROW(load_Origin)-1))),"")</f>
        <v>1</v>
      </c>
      <c r="D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48</v>
      </c>
      <c r="G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68.5714285714286</v>
      </c>
      <c r="H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27.4285714285714</v>
      </c>
      <c r="I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2" customFormat="false" ht="15" hidden="false" customHeight="false" outlineLevel="0" collapsed="false">
      <c r="B42" s="76" t="str">
        <f aca="false">IFERROR(INDEX(res_Name,(ROW()-ROW(load_Origin)-1))&amp;"","")</f>
        <v>Taylor Morgan</v>
      </c>
      <c r="C42" s="77" t="n">
        <f aca="false">IFERROR(IF(INDEX(res_Name,(ROW()-ROW(load_Origin)-1))="","",INDEX(res_MaxUnits,(ROW()-ROW(load_Origin)-1))),"")</f>
        <v>1</v>
      </c>
      <c r="D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32</v>
      </c>
      <c r="I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32</v>
      </c>
      <c r="J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3" customFormat="false" ht="15" hidden="false" customHeight="false" outlineLevel="0" collapsed="false">
      <c r="B43" s="76" t="str">
        <f aca="false">IFERROR(INDEX(res_Name,(ROW()-ROW(load_Origin)-1))&amp;"","")</f>
        <v/>
      </c>
      <c r="C43" s="77" t="str">
        <f aca="false">IFERROR(IF(INDEX(res_Name,(ROW()-ROW(load_Origin)-1))="","",INDEX(res_MaxUnits,(ROW()-ROW(load_Origin)-1))),"")</f>
        <v/>
      </c>
      <c r="D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4" customFormat="false" ht="15" hidden="false" customHeight="false" outlineLevel="0" collapsed="false">
      <c r="B44" s="76" t="str">
        <f aca="false">IFERROR(INDEX(res_Name,(ROW()-ROW(load_Origin)-1))&amp;"","")</f>
        <v/>
      </c>
      <c r="C44" s="77" t="str">
        <f aca="false">IFERROR(IF(INDEX(res_Name,(ROW()-ROW(load_Origin)-1))="","",INDEX(res_MaxUnits,(ROW()-ROW(load_Origin)-1))),"")</f>
        <v/>
      </c>
      <c r="D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5" customFormat="false" ht="15" hidden="false" customHeight="false" outlineLevel="0" collapsed="false">
      <c r="B45" s="76" t="str">
        <f aca="false">IFERROR(INDEX(res_Name,(ROW()-ROW(load_Origin)-1))&amp;"","")</f>
        <v/>
      </c>
      <c r="C45" s="77" t="str">
        <f aca="false">IFERROR(IF(INDEX(res_Name,(ROW()-ROW(load_Origin)-1))="","",INDEX(res_MaxUnits,(ROW()-ROW(load_Origin)-1))),"")</f>
        <v/>
      </c>
      <c r="D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6" customFormat="false" ht="15" hidden="false" customHeight="false" outlineLevel="0" collapsed="false">
      <c r="B46" s="76" t="str">
        <f aca="false">IFERROR(INDEX(res_Name,(ROW()-ROW(load_Origin)-1))&amp;"","")</f>
        <v/>
      </c>
      <c r="C46" s="77" t="str">
        <f aca="false">IFERROR(IF(INDEX(res_Name,(ROW()-ROW(load_Origin)-1))="","",INDEX(res_MaxUnits,(ROW()-ROW(load_Origin)-1))),"")</f>
        <v/>
      </c>
      <c r="D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7" customFormat="false" ht="15" hidden="false" customHeight="false" outlineLevel="0" collapsed="false">
      <c r="B47" s="76" t="str">
        <f aca="false">IFERROR(INDEX(res_Name,(ROW()-ROW(load_Origin)-1))&amp;"","")</f>
        <v/>
      </c>
      <c r="C47" s="77" t="str">
        <f aca="false">IFERROR(IF(INDEX(res_Name,(ROW()-ROW(load_Origin)-1))="","",INDEX(res_MaxUnits,(ROW()-ROW(load_Origin)-1))),"")</f>
        <v/>
      </c>
      <c r="D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8" customFormat="false" ht="15" hidden="false" customHeight="false" outlineLevel="0" collapsed="false">
      <c r="B48" s="76" t="str">
        <f aca="false">IFERROR(INDEX(res_Name,(ROW()-ROW(load_Origin)-1))&amp;"","")</f>
        <v/>
      </c>
      <c r="C48" s="77" t="str">
        <f aca="false">IFERROR(IF(INDEX(res_Name,(ROW()-ROW(load_Origin)-1))="","",INDEX(res_MaxUnits,(ROW()-ROW(load_Origin)-1))),"")</f>
        <v/>
      </c>
      <c r="D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9" customFormat="false" ht="15" hidden="false" customHeight="false" outlineLevel="0" collapsed="false">
      <c r="B49" s="76" t="str">
        <f aca="false">IFERROR(INDEX(res_Name,(ROW()-ROW(load_Origin)-1))&amp;"","")</f>
        <v/>
      </c>
      <c r="C49" s="77" t="str">
        <f aca="false">IFERROR(IF(INDEX(res_Name,(ROW()-ROW(load_Origin)-1))="","",INDEX(res_MaxUnits,(ROW()-ROW(load_Origin)-1))),"")</f>
        <v/>
      </c>
      <c r="D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0" customFormat="false" ht="15" hidden="false" customHeight="false" outlineLevel="0" collapsed="false">
      <c r="B50" s="76" t="str">
        <f aca="false">IFERROR(INDEX(res_Name,(ROW()-ROW(load_Origin)-1))&amp;"","")</f>
        <v/>
      </c>
      <c r="C50" s="77" t="str">
        <f aca="false">IFERROR(IF(INDEX(res_Name,(ROW()-ROW(load_Origin)-1))="","",INDEX(res_MaxUnits,(ROW()-ROW(load_Origin)-1))),"")</f>
        <v/>
      </c>
      <c r="D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1" customFormat="false" ht="15" hidden="false" customHeight="false" outlineLevel="0" collapsed="false">
      <c r="B51" s="76" t="str">
        <f aca="false">IFERROR(INDEX(res_Name,(ROW()-ROW(load_Origin)-1))&amp;"","")</f>
        <v/>
      </c>
      <c r="C51" s="77" t="str">
        <f aca="false">IFERROR(IF(INDEX(res_Name,(ROW()-ROW(load_Origin)-1))="","",INDEX(res_MaxUnits,(ROW()-ROW(load_Origin)-1))),"")</f>
        <v/>
      </c>
      <c r="D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2" customFormat="false" ht="15" hidden="false" customHeight="false" outlineLevel="0" collapsed="false">
      <c r="B52" s="76" t="str">
        <f aca="false">IFERROR(INDEX(res_Name,(ROW()-ROW(load_Origin)-1))&amp;"","")</f>
        <v/>
      </c>
      <c r="C52" s="77" t="str">
        <f aca="false">IFERROR(IF(INDEX(res_Name,(ROW()-ROW(load_Origin)-1))="","",INDEX(res_MaxUnits,(ROW()-ROW(load_Origin)-1))),"")</f>
        <v/>
      </c>
      <c r="D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3" customFormat="false" ht="15" hidden="false" customHeight="false" outlineLevel="0" collapsed="false">
      <c r="B53" s="76" t="str">
        <f aca="false">IFERROR(INDEX(res_Name,(ROW()-ROW(load_Origin)-1))&amp;"","")</f>
        <v/>
      </c>
      <c r="C53" s="77" t="str">
        <f aca="false">IFERROR(IF(INDEX(res_Name,(ROW()-ROW(load_Origin)-1))="","",INDEX(res_MaxUnits,(ROW()-ROW(load_Origin)-1))),"")</f>
        <v/>
      </c>
      <c r="D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4" customFormat="false" ht="15" hidden="false" customHeight="false" outlineLevel="0" collapsed="false">
      <c r="B54" s="76" t="str">
        <f aca="false">IFERROR(INDEX(res_Name,(ROW()-ROW(load_Origin)-1))&amp;"","")</f>
        <v/>
      </c>
      <c r="C54" s="77" t="str">
        <f aca="false">IFERROR(IF(INDEX(res_Name,(ROW()-ROW(load_Origin)-1))="","",INDEX(res_MaxUnits,(ROW()-ROW(load_Origin)-1))),"")</f>
        <v/>
      </c>
      <c r="D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5" customFormat="false" ht="15" hidden="false" customHeight="false" outlineLevel="0" collapsed="false">
      <c r="B55" s="76" t="str">
        <f aca="false">IFERROR(INDEX(res_Name,(ROW()-ROW(load_Origin)-1))&amp;"","")</f>
        <v/>
      </c>
      <c r="C55" s="77" t="str">
        <f aca="false">IFERROR(IF(INDEX(res_Name,(ROW()-ROW(load_Origin)-1))="","",INDEX(res_MaxUnits,(ROW()-ROW(load_Origin)-1))),"")</f>
        <v/>
      </c>
      <c r="D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6" customFormat="false" ht="15" hidden="false" customHeight="false" outlineLevel="0" collapsed="false">
      <c r="B56" s="76" t="str">
        <f aca="false">IFERROR(INDEX(res_Name,(ROW()-ROW(load_Origin)-1))&amp;"","")</f>
        <v/>
      </c>
      <c r="C56" s="77" t="str">
        <f aca="false">IFERROR(IF(INDEX(res_Name,(ROW()-ROW(load_Origin)-1))="","",INDEX(res_MaxUnits,(ROW()-ROW(load_Origin)-1))),"")</f>
        <v/>
      </c>
      <c r="D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7" customFormat="false" ht="15" hidden="false" customHeight="false" outlineLevel="0" collapsed="false">
      <c r="B57" s="76" t="str">
        <f aca="false">IFERROR(INDEX(res_Name,(ROW()-ROW(load_Origin)-1))&amp;"","")</f>
        <v/>
      </c>
      <c r="C57" s="77" t="str">
        <f aca="false">IFERROR(IF(INDEX(res_Name,(ROW()-ROW(load_Origin)-1))="","",INDEX(res_MaxUnits,(ROW()-ROW(load_Origin)-1))),"")</f>
        <v/>
      </c>
      <c r="D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8" customFormat="false" ht="15" hidden="false" customHeight="false" outlineLevel="0" collapsed="false">
      <c r="B58" s="76" t="str">
        <f aca="false">IFERROR(INDEX(res_Name,(ROW()-ROW(load_Origin)-1))&amp;"","")</f>
        <v/>
      </c>
      <c r="C58" s="77" t="str">
        <f aca="false">IFERROR(IF(INDEX(res_Name,(ROW()-ROW(load_Origin)-1))="","",INDEX(res_MaxUnits,(ROW()-ROW(load_Origin)-1))),"")</f>
        <v/>
      </c>
      <c r="D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9" customFormat="false" ht="15" hidden="false" customHeight="false" outlineLevel="0" collapsed="false">
      <c r="B59" s="76" t="str">
        <f aca="false">IFERROR(INDEX(res_Name,(ROW()-ROW(load_Origin)-1))&amp;"","")</f>
        <v/>
      </c>
      <c r="C59" s="77" t="str">
        <f aca="false">IFERROR(IF(INDEX(res_Name,(ROW()-ROW(load_Origin)-1))="","",INDEX(res_MaxUnits,(ROW()-ROW(load_Origin)-1))),"")</f>
        <v/>
      </c>
      <c r="D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0" customFormat="false" ht="15" hidden="false" customHeight="false" outlineLevel="0" collapsed="false">
      <c r="B60" s="76" t="str">
        <f aca="false">IFERROR(INDEX(res_Name,(ROW()-ROW(load_Origin)-1))&amp;"","")</f>
        <v/>
      </c>
      <c r="C60" s="77" t="str">
        <f aca="false">IFERROR(IF(INDEX(res_Name,(ROW()-ROW(load_Origin)-1))="","",INDEX(res_MaxUnits,(ROW()-ROW(load_Origin)-1))),"")</f>
        <v/>
      </c>
      <c r="D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3" customFormat="false" ht="15" hidden="false" customHeight="false" outlineLevel="0" collapsed="false">
      <c r="A63" s="73" t="s">
        <v>383</v>
      </c>
    </row>
    <row r="64" customFormat="false" ht="15" hidden="false" customHeight="false" outlineLevel="0" collapsed="false">
      <c r="B64" s="9" t="s">
        <v>204</v>
      </c>
      <c r="C64" s="9" t="s">
        <v>336</v>
      </c>
      <c r="D64" s="9" t="str">
        <f aca="false">IFERROR(INDEX(spr_Name,(COLUMN()-COLUMN(util_Origin)-1))&amp;"","")</f>
        <v>Sprint 1</v>
      </c>
      <c r="E64" s="9" t="str">
        <f aca="false">IFERROR(INDEX(spr_Name,(COLUMN()-COLUMN(util_Origin)-1))&amp;"","")</f>
        <v>Sprint 2</v>
      </c>
      <c r="F64" s="9" t="str">
        <f aca="false">IFERROR(INDEX(spr_Name,(COLUMN()-COLUMN(util_Origin)-1))&amp;"","")</f>
        <v>Sprint 3</v>
      </c>
      <c r="G64" s="9" t="str">
        <f aca="false">IFERROR(INDEX(spr_Name,(COLUMN()-COLUMN(util_Origin)-1))&amp;"","")</f>
        <v>Sprint 4</v>
      </c>
      <c r="H64" s="9" t="str">
        <f aca="false">IFERROR(INDEX(spr_Name,(COLUMN()-COLUMN(util_Origin)-1))&amp;"","")</f>
        <v>Sprint 5</v>
      </c>
      <c r="I64" s="9" t="str">
        <f aca="false">IFERROR(INDEX(spr_Name,(COLUMN()-COLUMN(util_Origin)-1))&amp;"","")</f>
        <v>Sprint 6</v>
      </c>
      <c r="J64" s="9" t="str">
        <f aca="false">IFERROR(INDEX(spr_Name,(COLUMN()-COLUMN(util_Origin)-1))&amp;"","")</f>
        <v>Sprint 7</v>
      </c>
      <c r="K64" s="9" t="str">
        <f aca="false">IFERROR(INDEX(spr_Name,(COLUMN()-COLUMN(util_Origin)-1))&amp;"","")</f>
        <v>Sprint 8</v>
      </c>
      <c r="L64" s="9" t="str">
        <f aca="false">IFERROR(INDEX(spr_Name,(COLUMN()-COLUMN(util_Origin)-1))&amp;"","")</f>
        <v>Sprint 9</v>
      </c>
      <c r="M64" s="9" t="str">
        <f aca="false">IFERROR(INDEX(spr_Name,(COLUMN()-COLUMN(util_Origin)-1))&amp;"","")</f>
        <v>Sprint 10</v>
      </c>
      <c r="N64" s="9" t="str">
        <f aca="false">IFERROR(INDEX(spr_Name,(COLUMN()-COLUMN(util_Origin)-1))&amp;"","")</f>
        <v>Sprint 11</v>
      </c>
      <c r="O64" s="9" t="str">
        <f aca="false">IFERROR(INDEX(spr_Name,(COLUMN()-COLUMN(util_Origin)-1))&amp;"","")</f>
        <v>Sprint 12</v>
      </c>
      <c r="P64" s="9" t="str">
        <f aca="false">IFERROR(INDEX(spr_Name,(COLUMN()-COLUMN(util_Origin)-1))&amp;"","")</f>
        <v/>
      </c>
      <c r="Q64" s="9" t="str">
        <f aca="false">IFERROR(INDEX(spr_Name,(COLUMN()-COLUMN(util_Origin)-1))&amp;"","")</f>
        <v/>
      </c>
      <c r="R64" s="9" t="str">
        <f aca="false">IFERROR(INDEX(spr_Name,(COLUMN()-COLUMN(util_Origin)-1))&amp;"","")</f>
        <v/>
      </c>
      <c r="S64" s="9" t="str">
        <f aca="false">IFERROR(INDEX(spr_Name,(COLUMN()-COLUMN(util_Origin)-1))&amp;"","")</f>
        <v/>
      </c>
      <c r="T64" s="9" t="str">
        <f aca="false">IFERROR(INDEX(spr_Name,(COLUMN()-COLUMN(util_Origin)-1))&amp;"","")</f>
        <v/>
      </c>
      <c r="U64" s="9" t="str">
        <f aca="false">IFERROR(INDEX(spr_Name,(COLUMN()-COLUMN(util_Origin)-1))&amp;"","")</f>
        <v/>
      </c>
      <c r="V64" s="9" t="str">
        <f aca="false">IFERROR(INDEX(spr_Name,(COLUMN()-COLUMN(util_Origin)-1))&amp;"","")</f>
        <v/>
      </c>
      <c r="W64" s="9" t="str">
        <f aca="false">IFERROR(INDEX(spr_Name,(COLUMN()-COLUMN(util_Origin)-1))&amp;"","")</f>
        <v/>
      </c>
      <c r="X64" s="9" t="str">
        <f aca="false">IFERROR(INDEX(spr_Name,(COLUMN()-COLUMN(util_Origin)-1))&amp;"","")</f>
        <v/>
      </c>
      <c r="Y64" s="9" t="str">
        <f aca="false">IFERROR(INDEX(spr_Name,(COLUMN()-COLUMN(util_Origin)-1))&amp;"","")</f>
        <v/>
      </c>
      <c r="Z64" s="9" t="str">
        <f aca="false">IFERROR(INDEX(spr_Name,(COLUMN()-COLUMN(util_Origin)-1))&amp;"","")</f>
        <v/>
      </c>
      <c r="AA64" s="9" t="str">
        <f aca="false">IFERROR(INDEX(spr_Name,(COLUMN()-COLUMN(util_Origin)-1))&amp;"","")</f>
        <v/>
      </c>
      <c r="AB64" s="9" t="str">
        <f aca="false">IFERROR(INDEX(spr_Name,(COLUMN()-COLUMN(util_Origin)-1))&amp;"","")</f>
        <v/>
      </c>
      <c r="AC64" s="9" t="str">
        <f aca="false">IFERROR(INDEX(spr_Name,(COLUMN()-COLUMN(util_Origin)-1))&amp;"","")</f>
        <v/>
      </c>
    </row>
    <row r="65" customFormat="false" ht="15" hidden="false" customHeight="false" outlineLevel="0" collapsed="false">
      <c r="B65" s="74" t="s">
        <v>382</v>
      </c>
      <c r="D65" s="75" t="n">
        <f aca="false">IFERROR(IF(INDEX(spr_Name,(COLUMN()-COLUMN(util_Origin)-1))="","",INDEX(spr_Start,(COLUMN()-COLUMN(util_Origin)-1))),"")</f>
        <v>46272</v>
      </c>
      <c r="E65" s="75" t="n">
        <f aca="false">IFERROR(IF(INDEX(spr_Name,(COLUMN()-COLUMN(util_Origin)-1))="","",INDEX(spr_Start,(COLUMN()-COLUMN(util_Origin)-1))),"")</f>
        <v>46286</v>
      </c>
      <c r="F65" s="75" t="n">
        <f aca="false">IFERROR(IF(INDEX(spr_Name,(COLUMN()-COLUMN(util_Origin)-1))="","",INDEX(spr_Start,(COLUMN()-COLUMN(util_Origin)-1))),"")</f>
        <v>46300</v>
      </c>
      <c r="G65" s="75" t="n">
        <f aca="false">IFERROR(IF(INDEX(spr_Name,(COLUMN()-COLUMN(util_Origin)-1))="","",INDEX(spr_Start,(COLUMN()-COLUMN(util_Origin)-1))),"")</f>
        <v>46314</v>
      </c>
      <c r="H65" s="75" t="n">
        <f aca="false">IFERROR(IF(INDEX(spr_Name,(COLUMN()-COLUMN(util_Origin)-1))="","",INDEX(spr_Start,(COLUMN()-COLUMN(util_Origin)-1))),"")</f>
        <v>46328</v>
      </c>
      <c r="I65" s="75" t="n">
        <f aca="false">IFERROR(IF(INDEX(spr_Name,(COLUMN()-COLUMN(util_Origin)-1))="","",INDEX(spr_Start,(COLUMN()-COLUMN(util_Origin)-1))),"")</f>
        <v>46342</v>
      </c>
      <c r="J65" s="75" t="n">
        <f aca="false">IFERROR(IF(INDEX(spr_Name,(COLUMN()-COLUMN(util_Origin)-1))="","",INDEX(spr_Start,(COLUMN()-COLUMN(util_Origin)-1))),"")</f>
        <v>46356</v>
      </c>
      <c r="K65" s="75" t="n">
        <f aca="false">IFERROR(IF(INDEX(spr_Name,(COLUMN()-COLUMN(util_Origin)-1))="","",INDEX(spr_Start,(COLUMN()-COLUMN(util_Origin)-1))),"")</f>
        <v>46370</v>
      </c>
      <c r="L65" s="75" t="n">
        <f aca="false">IFERROR(IF(INDEX(spr_Name,(COLUMN()-COLUMN(util_Origin)-1))="","",INDEX(spr_Start,(COLUMN()-COLUMN(util_Origin)-1))),"")</f>
        <v>46384</v>
      </c>
      <c r="M65" s="75" t="n">
        <f aca="false">IFERROR(IF(INDEX(spr_Name,(COLUMN()-COLUMN(util_Origin)-1))="","",INDEX(spr_Start,(COLUMN()-COLUMN(util_Origin)-1))),"")</f>
        <v>46398</v>
      </c>
      <c r="N65" s="75" t="n">
        <f aca="false">IFERROR(IF(INDEX(spr_Name,(COLUMN()-COLUMN(util_Origin)-1))="","",INDEX(spr_Start,(COLUMN()-COLUMN(util_Origin)-1))),"")</f>
        <v>46412</v>
      </c>
      <c r="O65" s="75" t="n">
        <f aca="false">IFERROR(IF(INDEX(spr_Name,(COLUMN()-COLUMN(util_Origin)-1))="","",INDEX(spr_Start,(COLUMN()-COLUMN(util_Origin)-1))),"")</f>
        <v>46426</v>
      </c>
      <c r="P65" s="75" t="str">
        <f aca="false">IFERROR(IF(INDEX(spr_Name,(COLUMN()-COLUMN(util_Origin)-1))="","",INDEX(spr_Start,(COLUMN()-COLUMN(util_Origin)-1))),"")</f>
        <v/>
      </c>
      <c r="Q65" s="75" t="str">
        <f aca="false">IFERROR(IF(INDEX(spr_Name,(COLUMN()-COLUMN(util_Origin)-1))="","",INDEX(spr_Start,(COLUMN()-COLUMN(util_Origin)-1))),"")</f>
        <v/>
      </c>
      <c r="R65" s="75" t="str">
        <f aca="false">IFERROR(IF(INDEX(spr_Name,(COLUMN()-COLUMN(util_Origin)-1))="","",INDEX(spr_Start,(COLUMN()-COLUMN(util_Origin)-1))),"")</f>
        <v/>
      </c>
      <c r="S65" s="75" t="str">
        <f aca="false">IFERROR(IF(INDEX(spr_Name,(COLUMN()-COLUMN(util_Origin)-1))="","",INDEX(spr_Start,(COLUMN()-COLUMN(util_Origin)-1))),"")</f>
        <v/>
      </c>
      <c r="T65" s="75" t="str">
        <f aca="false">IFERROR(IF(INDEX(spr_Name,(COLUMN()-COLUMN(util_Origin)-1))="","",INDEX(spr_Start,(COLUMN()-COLUMN(util_Origin)-1))),"")</f>
        <v/>
      </c>
      <c r="U65" s="75" t="str">
        <f aca="false">IFERROR(IF(INDEX(spr_Name,(COLUMN()-COLUMN(util_Origin)-1))="","",INDEX(spr_Start,(COLUMN()-COLUMN(util_Origin)-1))),"")</f>
        <v/>
      </c>
      <c r="V65" s="75" t="str">
        <f aca="false">IFERROR(IF(INDEX(spr_Name,(COLUMN()-COLUMN(util_Origin)-1))="","",INDEX(spr_Start,(COLUMN()-COLUMN(util_Origin)-1))),"")</f>
        <v/>
      </c>
      <c r="W65" s="75" t="str">
        <f aca="false">IFERROR(IF(INDEX(spr_Name,(COLUMN()-COLUMN(util_Origin)-1))="","",INDEX(spr_Start,(COLUMN()-COLUMN(util_Origin)-1))),"")</f>
        <v/>
      </c>
      <c r="X65" s="75" t="str">
        <f aca="false">IFERROR(IF(INDEX(spr_Name,(COLUMN()-COLUMN(util_Origin)-1))="","",INDEX(spr_Start,(COLUMN()-COLUMN(util_Origin)-1))),"")</f>
        <v/>
      </c>
      <c r="Y65" s="75" t="str">
        <f aca="false">IFERROR(IF(INDEX(spr_Name,(COLUMN()-COLUMN(util_Origin)-1))="","",INDEX(spr_Start,(COLUMN()-COLUMN(util_Origin)-1))),"")</f>
        <v/>
      </c>
      <c r="Z65" s="75" t="str">
        <f aca="false">IFERROR(IF(INDEX(spr_Name,(COLUMN()-COLUMN(util_Origin)-1))="","",INDEX(spr_Start,(COLUMN()-COLUMN(util_Origin)-1))),"")</f>
        <v/>
      </c>
      <c r="AA65" s="75" t="str">
        <f aca="false">IFERROR(IF(INDEX(spr_Name,(COLUMN()-COLUMN(util_Origin)-1))="","",INDEX(spr_Start,(COLUMN()-COLUMN(util_Origin)-1))),"")</f>
        <v/>
      </c>
      <c r="AB65" s="75" t="str">
        <f aca="false">IFERROR(IF(INDEX(spr_Name,(COLUMN()-COLUMN(util_Origin)-1))="","",INDEX(spr_Start,(COLUMN()-COLUMN(util_Origin)-1))),"")</f>
        <v/>
      </c>
      <c r="AC65" s="75" t="str">
        <f aca="false">IFERROR(IF(INDEX(spr_Name,(COLUMN()-COLUMN(util_Origin)-1))="","",INDEX(spr_Start,(COLUMN()-COLUMN(util_Origin)-1))),"")</f>
        <v/>
      </c>
    </row>
    <row r="66" customFormat="false" ht="15" hidden="false" customHeight="false" outlineLevel="0" collapsed="false">
      <c r="B66" s="76" t="str">
        <f aca="false">IFERROR(INDEX(res_Name,(ROW()-ROW(util_Origin)-1))&amp;"","")</f>
        <v>Priya Sharma</v>
      </c>
      <c r="C66" s="77" t="n">
        <f aca="false">IFERROR(IF(INDEX(res_Name,(ROW()-ROW(util_Origin)-1))="","",INDEX(res_MaxUnits,(ROW()-ROW(util_Origin)-1))),"")</f>
        <v>0.5</v>
      </c>
      <c r="D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E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</v>
      </c>
      <c r="J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L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</v>
      </c>
      <c r="M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7" customFormat="false" ht="15" hidden="false" customHeight="false" outlineLevel="0" collapsed="false">
      <c r="B67" s="76" t="str">
        <f aca="false">IFERROR(INDEX(res_Name,(ROW()-ROW(util_Origin)-1))&amp;"","")</f>
        <v>Morgan Patel</v>
      </c>
      <c r="C67" s="77" t="n">
        <f aca="false">IFERROR(IF(INDEX(res_Name,(ROW()-ROW(util_Origin)-1))="","",INDEX(res_MaxUnits,(ROW()-ROW(util_Origin)-1))),"")</f>
        <v>1</v>
      </c>
      <c r="D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0.555555555555556</v>
      </c>
      <c r="E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0.444444444444444</v>
      </c>
      <c r="F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</v>
      </c>
      <c r="K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0.125</v>
      </c>
      <c r="L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8" customFormat="false" ht="15" hidden="false" customHeight="false" outlineLevel="0" collapsed="false">
      <c r="B68" s="76" t="str">
        <f aca="false">IFERROR(INDEX(res_Name,(ROW()-ROW(util_Origin)-1))&amp;"","")</f>
        <v>Alex Chen</v>
      </c>
      <c r="C68" s="77" t="n">
        <f aca="false">IFERROR(IF(INDEX(res_Name,(ROW()-ROW(util_Origin)-1))="","",INDEX(res_MaxUnits,(ROW()-ROW(util_Origin)-1))),"")</f>
        <v>0.5</v>
      </c>
      <c r="D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0.166666666666667</v>
      </c>
      <c r="E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0.833333333333333</v>
      </c>
      <c r="F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9" customFormat="false" ht="15" hidden="false" customHeight="false" outlineLevel="0" collapsed="false">
      <c r="B69" s="76" t="str">
        <f aca="false">IFERROR(INDEX(res_Name,(ROW()-ROW(util_Origin)-1))&amp;"","")</f>
        <v>Casey Kim</v>
      </c>
      <c r="C69" s="77" t="n">
        <f aca="false">IFERROR(IF(INDEX(res_Name,(ROW()-ROW(util_Origin)-1))="","",INDEX(res_MaxUnits,(ROW()-ROW(util_Origin)-1))),"")</f>
        <v>1</v>
      </c>
      <c r="D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0.428571428571429</v>
      </c>
      <c r="F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0.171428571428571</v>
      </c>
      <c r="G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I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0.15</v>
      </c>
      <c r="J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0" customFormat="false" ht="15" hidden="false" customHeight="false" outlineLevel="0" collapsed="false">
      <c r="B70" s="76" t="str">
        <f aca="false">IFERROR(INDEX(res_Name,(ROW()-ROW(util_Origin)-1))&amp;"","")</f>
        <v>Jordan Lee</v>
      </c>
      <c r="C70" s="77" t="n">
        <f aca="false">IFERROR(IF(INDEX(res_Name,(ROW()-ROW(util_Origin)-1))="","",INDEX(res_MaxUnits,(ROW()-ROW(util_Origin)-1))),"")</f>
        <v>1</v>
      </c>
      <c r="D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0.666666666666666</v>
      </c>
      <c r="G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0.833333333333334</v>
      </c>
      <c r="H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I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0.375</v>
      </c>
      <c r="L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M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1" customFormat="false" ht="15" hidden="false" customHeight="false" outlineLevel="0" collapsed="false">
      <c r="B71" s="76" t="str">
        <f aca="false">IFERROR(INDEX(res_Name,(ROW()-ROW(util_Origin)-1))&amp;"","")</f>
        <v>Sam Rivera</v>
      </c>
      <c r="C71" s="77" t="n">
        <f aca="false">IFERROR(IF(INDEX(res_Name,(ROW()-ROW(util_Origin)-1))="","",INDEX(res_MaxUnits,(ROW()-ROW(util_Origin)-1))),"")</f>
        <v>1</v>
      </c>
      <c r="D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G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0.857142857142857</v>
      </c>
      <c r="H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0.342857142857143</v>
      </c>
      <c r="I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2" customFormat="false" ht="15" hidden="false" customHeight="false" outlineLevel="0" collapsed="false">
      <c r="B72" s="76" t="str">
        <f aca="false">IFERROR(INDEX(res_Name,(ROW()-ROW(util_Origin)-1))&amp;"","")</f>
        <v>Taylor Morgan</v>
      </c>
      <c r="C72" s="77" t="n">
        <f aca="false">IFERROR(IF(INDEX(res_Name,(ROW()-ROW(util_Origin)-1))="","",INDEX(res_MaxUnits,(ROW()-ROW(util_Origin)-1))),"")</f>
        <v>1</v>
      </c>
      <c r="D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</v>
      </c>
      <c r="I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</v>
      </c>
      <c r="J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3" customFormat="false" ht="15" hidden="false" customHeight="false" outlineLevel="0" collapsed="false">
      <c r="B73" s="76" t="str">
        <f aca="false">IFERROR(INDEX(res_Name,(ROW()-ROW(util_Origin)-1))&amp;"","")</f>
        <v/>
      </c>
      <c r="C73" s="77" t="str">
        <f aca="false">IFERROR(IF(INDEX(res_Name,(ROW()-ROW(util_Origin)-1))="","",INDEX(res_MaxUnits,(ROW()-ROW(util_Origin)-1))),"")</f>
        <v/>
      </c>
      <c r="D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4" customFormat="false" ht="15" hidden="false" customHeight="false" outlineLevel="0" collapsed="false">
      <c r="B74" s="76" t="str">
        <f aca="false">IFERROR(INDEX(res_Name,(ROW()-ROW(util_Origin)-1))&amp;"","")</f>
        <v/>
      </c>
      <c r="C74" s="77" t="str">
        <f aca="false">IFERROR(IF(INDEX(res_Name,(ROW()-ROW(util_Origin)-1))="","",INDEX(res_MaxUnits,(ROW()-ROW(util_Origin)-1))),"")</f>
        <v/>
      </c>
      <c r="D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5" customFormat="false" ht="15" hidden="false" customHeight="false" outlineLevel="0" collapsed="false">
      <c r="B75" s="76" t="str">
        <f aca="false">IFERROR(INDEX(res_Name,(ROW()-ROW(util_Origin)-1))&amp;"","")</f>
        <v/>
      </c>
      <c r="C75" s="77" t="str">
        <f aca="false">IFERROR(IF(INDEX(res_Name,(ROW()-ROW(util_Origin)-1))="","",INDEX(res_MaxUnits,(ROW()-ROW(util_Origin)-1))),"")</f>
        <v/>
      </c>
      <c r="D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6" customFormat="false" ht="15" hidden="false" customHeight="false" outlineLevel="0" collapsed="false">
      <c r="B76" s="76" t="str">
        <f aca="false">IFERROR(INDEX(res_Name,(ROW()-ROW(util_Origin)-1))&amp;"","")</f>
        <v/>
      </c>
      <c r="C76" s="77" t="str">
        <f aca="false">IFERROR(IF(INDEX(res_Name,(ROW()-ROW(util_Origin)-1))="","",INDEX(res_MaxUnits,(ROW()-ROW(util_Origin)-1))),"")</f>
        <v/>
      </c>
      <c r="D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7" customFormat="false" ht="15" hidden="false" customHeight="false" outlineLevel="0" collapsed="false">
      <c r="B77" s="76" t="str">
        <f aca="false">IFERROR(INDEX(res_Name,(ROW()-ROW(util_Origin)-1))&amp;"","")</f>
        <v/>
      </c>
      <c r="C77" s="77" t="str">
        <f aca="false">IFERROR(IF(INDEX(res_Name,(ROW()-ROW(util_Origin)-1))="","",INDEX(res_MaxUnits,(ROW()-ROW(util_Origin)-1))),"")</f>
        <v/>
      </c>
      <c r="D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8" customFormat="false" ht="15" hidden="false" customHeight="false" outlineLevel="0" collapsed="false">
      <c r="B78" s="76" t="str">
        <f aca="false">IFERROR(INDEX(res_Name,(ROW()-ROW(util_Origin)-1))&amp;"","")</f>
        <v/>
      </c>
      <c r="C78" s="77" t="str">
        <f aca="false">IFERROR(IF(INDEX(res_Name,(ROW()-ROW(util_Origin)-1))="","",INDEX(res_MaxUnits,(ROW()-ROW(util_Origin)-1))),"")</f>
        <v/>
      </c>
      <c r="D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9" customFormat="false" ht="15" hidden="false" customHeight="false" outlineLevel="0" collapsed="false">
      <c r="B79" s="76" t="str">
        <f aca="false">IFERROR(INDEX(res_Name,(ROW()-ROW(util_Origin)-1))&amp;"","")</f>
        <v/>
      </c>
      <c r="C79" s="77" t="str">
        <f aca="false">IFERROR(IF(INDEX(res_Name,(ROW()-ROW(util_Origin)-1))="","",INDEX(res_MaxUnits,(ROW()-ROW(util_Origin)-1))),"")</f>
        <v/>
      </c>
      <c r="D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0" customFormat="false" ht="15" hidden="false" customHeight="false" outlineLevel="0" collapsed="false">
      <c r="B80" s="76" t="str">
        <f aca="false">IFERROR(INDEX(res_Name,(ROW()-ROW(util_Origin)-1))&amp;"","")</f>
        <v/>
      </c>
      <c r="C80" s="77" t="str">
        <f aca="false">IFERROR(IF(INDEX(res_Name,(ROW()-ROW(util_Origin)-1))="","",INDEX(res_MaxUnits,(ROW()-ROW(util_Origin)-1))),"")</f>
        <v/>
      </c>
      <c r="D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1" customFormat="false" ht="15" hidden="false" customHeight="false" outlineLevel="0" collapsed="false">
      <c r="B81" s="76" t="str">
        <f aca="false">IFERROR(INDEX(res_Name,(ROW()-ROW(util_Origin)-1))&amp;"","")</f>
        <v/>
      </c>
      <c r="C81" s="77" t="str">
        <f aca="false">IFERROR(IF(INDEX(res_Name,(ROW()-ROW(util_Origin)-1))="","",INDEX(res_MaxUnits,(ROW()-ROW(util_Origin)-1))),"")</f>
        <v/>
      </c>
      <c r="D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2" customFormat="false" ht="15" hidden="false" customHeight="false" outlineLevel="0" collapsed="false">
      <c r="B82" s="76" t="str">
        <f aca="false">IFERROR(INDEX(res_Name,(ROW()-ROW(util_Origin)-1))&amp;"","")</f>
        <v/>
      </c>
      <c r="C82" s="77" t="str">
        <f aca="false">IFERROR(IF(INDEX(res_Name,(ROW()-ROW(util_Origin)-1))="","",INDEX(res_MaxUnits,(ROW()-ROW(util_Origin)-1))),"")</f>
        <v/>
      </c>
      <c r="D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3" customFormat="false" ht="15" hidden="false" customHeight="false" outlineLevel="0" collapsed="false">
      <c r="B83" s="76" t="str">
        <f aca="false">IFERROR(INDEX(res_Name,(ROW()-ROW(util_Origin)-1))&amp;"","")</f>
        <v/>
      </c>
      <c r="C83" s="77" t="str">
        <f aca="false">IFERROR(IF(INDEX(res_Name,(ROW()-ROW(util_Origin)-1))="","",INDEX(res_MaxUnits,(ROW()-ROW(util_Origin)-1))),"")</f>
        <v/>
      </c>
      <c r="D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4" customFormat="false" ht="15" hidden="false" customHeight="false" outlineLevel="0" collapsed="false">
      <c r="B84" s="76" t="str">
        <f aca="false">IFERROR(INDEX(res_Name,(ROW()-ROW(util_Origin)-1))&amp;"","")</f>
        <v/>
      </c>
      <c r="C84" s="77" t="str">
        <f aca="false">IFERROR(IF(INDEX(res_Name,(ROW()-ROW(util_Origin)-1))="","",INDEX(res_MaxUnits,(ROW()-ROW(util_Origin)-1))),"")</f>
        <v/>
      </c>
      <c r="D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5" customFormat="false" ht="15" hidden="false" customHeight="false" outlineLevel="0" collapsed="false">
      <c r="B85" s="76" t="str">
        <f aca="false">IFERROR(INDEX(res_Name,(ROW()-ROW(util_Origin)-1))&amp;"","")</f>
        <v/>
      </c>
      <c r="C85" s="77" t="str">
        <f aca="false">IFERROR(IF(INDEX(res_Name,(ROW()-ROW(util_Origin)-1))="","",INDEX(res_MaxUnits,(ROW()-ROW(util_Origin)-1))),"")</f>
        <v/>
      </c>
      <c r="D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6" customFormat="false" ht="15" hidden="false" customHeight="false" outlineLevel="0" collapsed="false">
      <c r="B86" s="76" t="str">
        <f aca="false">IFERROR(INDEX(res_Name,(ROW()-ROW(util_Origin)-1))&amp;"","")</f>
        <v/>
      </c>
      <c r="C86" s="77" t="str">
        <f aca="false">IFERROR(IF(INDEX(res_Name,(ROW()-ROW(util_Origin)-1))="","",INDEX(res_MaxUnits,(ROW()-ROW(util_Origin)-1))),"")</f>
        <v/>
      </c>
      <c r="D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7" customFormat="false" ht="15" hidden="false" customHeight="false" outlineLevel="0" collapsed="false">
      <c r="B87" s="76" t="str">
        <f aca="false">IFERROR(INDEX(res_Name,(ROW()-ROW(util_Origin)-1))&amp;"","")</f>
        <v/>
      </c>
      <c r="C87" s="77" t="str">
        <f aca="false">IFERROR(IF(INDEX(res_Name,(ROW()-ROW(util_Origin)-1))="","",INDEX(res_MaxUnits,(ROW()-ROW(util_Origin)-1))),"")</f>
        <v/>
      </c>
      <c r="D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8" customFormat="false" ht="15" hidden="false" customHeight="false" outlineLevel="0" collapsed="false">
      <c r="B88" s="76" t="str">
        <f aca="false">IFERROR(INDEX(res_Name,(ROW()-ROW(util_Origin)-1))&amp;"","")</f>
        <v/>
      </c>
      <c r="C88" s="77" t="str">
        <f aca="false">IFERROR(IF(INDEX(res_Name,(ROW()-ROW(util_Origin)-1))="","",INDEX(res_MaxUnits,(ROW()-ROW(util_Origin)-1))),"")</f>
        <v/>
      </c>
      <c r="D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9" customFormat="false" ht="15" hidden="false" customHeight="false" outlineLevel="0" collapsed="false">
      <c r="B89" s="76" t="str">
        <f aca="false">IFERROR(INDEX(res_Name,(ROW()-ROW(util_Origin)-1))&amp;"","")</f>
        <v/>
      </c>
      <c r="C89" s="77" t="str">
        <f aca="false">IFERROR(IF(INDEX(res_Name,(ROW()-ROW(util_Origin)-1))="","",INDEX(res_MaxUnits,(ROW()-ROW(util_Origin)-1))),"")</f>
        <v/>
      </c>
      <c r="D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90" customFormat="false" ht="15" hidden="false" customHeight="false" outlineLevel="0" collapsed="false">
      <c r="B90" s="76" t="str">
        <f aca="false">IFERROR(INDEX(res_Name,(ROW()-ROW(util_Origin)-1))&amp;"","")</f>
        <v/>
      </c>
      <c r="C90" s="77" t="str">
        <f aca="false">IFERROR(IF(INDEX(res_Name,(ROW()-ROW(util_Origin)-1))="","",INDEX(res_MaxUnits,(ROW()-ROW(util_Origin)-1))),"")</f>
        <v/>
      </c>
      <c r="D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</sheetData>
  <conditionalFormatting sqref="A6:K31">
    <cfRule type="expression" priority="2" aboveAverage="0" equalAverage="0" bottom="0" percent="0" rank="0" text="" dxfId="40">
      <formula>$B6=""</formula>
    </cfRule>
    <cfRule type="expression" priority="3" aboveAverage="0" equalAverage="0" bottom="0" percent="0" rank="0" text="" dxfId="41">
      <formula>$K6="Active"</formula>
    </cfRule>
  </conditionalFormatting>
  <conditionalFormatting sqref="J6:J31">
    <cfRule type="expression" priority="4" aboveAverage="0" equalAverage="0" bottom="0" percent="0" rank="0" text="" dxfId="10">
      <formula>AND(ISNUMBER($J6),$J6&gt;1)</formula>
    </cfRule>
  </conditionalFormatting>
  <conditionalFormatting sqref="D36:AC60">
    <cfRule type="expression" priority="5" aboveAverage="0" equalAverage="0" bottom="0" percent="0" rank="0" text="" dxfId="27">
      <formula>AND(ISNUMBER(D36),D36&gt;$C36*HoursPerDay*INDEX(spr_WorkDays,COLUMN()-COLUMN(load_Origin)-1))</formula>
    </cfRule>
  </conditionalFormatting>
  <conditionalFormatting sqref="D66:AC90">
    <cfRule type="colorScale" priority="6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25" t="s">
        <v>384</v>
      </c>
    </row>
    <row r="2" customFormat="false" ht="15" hidden="false" customHeight="false" outlineLevel="0" collapsed="false">
      <c r="A2" s="8" t="s">
        <v>385</v>
      </c>
    </row>
    <row r="4" customFormat="false" ht="15" hidden="false" customHeight="false" outlineLevel="0" collapsed="false">
      <c r="B4" s="36" t="s">
        <v>386</v>
      </c>
      <c r="C4" s="36" t="s">
        <v>387</v>
      </c>
    </row>
    <row r="5" customFormat="false" ht="15" hidden="false" customHeight="false" outlineLevel="0" collapsed="false">
      <c r="B5" s="29" t="n">
        <v>46380</v>
      </c>
      <c r="C5" s="41" t="s">
        <v>388</v>
      </c>
    </row>
    <row r="6" customFormat="false" ht="15" hidden="false" customHeight="false" outlineLevel="0" collapsed="false">
      <c r="B6" s="29" t="n">
        <v>46381</v>
      </c>
      <c r="C6" s="41" t="s">
        <v>389</v>
      </c>
    </row>
    <row r="7" customFormat="false" ht="15" hidden="false" customHeight="false" outlineLevel="0" collapsed="false">
      <c r="B7" s="29" t="n">
        <v>46387</v>
      </c>
      <c r="C7" s="41" t="s">
        <v>390</v>
      </c>
    </row>
    <row r="8" customFormat="false" ht="15" hidden="false" customHeight="false" outlineLevel="0" collapsed="false">
      <c r="B8" s="29" t="n">
        <v>46388</v>
      </c>
      <c r="C8" s="41" t="s">
        <v>391</v>
      </c>
    </row>
    <row r="9" customFormat="false" ht="15" hidden="false" customHeight="false" outlineLevel="0" collapsed="false">
      <c r="B9" s="29"/>
      <c r="C9" s="41"/>
    </row>
    <row r="10" customFormat="false" ht="15" hidden="false" customHeight="false" outlineLevel="0" collapsed="false">
      <c r="B10" s="29"/>
      <c r="C10" s="41"/>
    </row>
    <row r="11" customFormat="false" ht="15" hidden="false" customHeight="false" outlineLevel="0" collapsed="false">
      <c r="B11" s="29"/>
      <c r="C11" s="41"/>
    </row>
    <row r="12" customFormat="false" ht="15" hidden="false" customHeight="false" outlineLevel="0" collapsed="false">
      <c r="B12" s="29"/>
      <c r="C12" s="41"/>
    </row>
    <row r="13" customFormat="false" ht="15" hidden="false" customHeight="false" outlineLevel="0" collapsed="false">
      <c r="B13" s="29"/>
      <c r="C13" s="41"/>
    </row>
    <row r="14" customFormat="false" ht="15" hidden="false" customHeight="false" outlineLevel="0" collapsed="false">
      <c r="B14" s="29"/>
      <c r="C14" s="41"/>
    </row>
    <row r="15" customFormat="false" ht="15" hidden="false" customHeight="false" outlineLevel="0" collapsed="false">
      <c r="B15" s="29"/>
      <c r="C15" s="41"/>
    </row>
    <row r="16" customFormat="false" ht="15" hidden="false" customHeight="false" outlineLevel="0" collapsed="false">
      <c r="B16" s="29"/>
      <c r="C16" s="41"/>
    </row>
    <row r="17" customFormat="false" ht="15" hidden="false" customHeight="false" outlineLevel="0" collapsed="false">
      <c r="B17" s="29"/>
      <c r="C17" s="41"/>
    </row>
    <row r="18" customFormat="false" ht="15" hidden="false" customHeight="false" outlineLevel="0" collapsed="false">
      <c r="B18" s="29"/>
      <c r="C18" s="41"/>
    </row>
    <row r="19" customFormat="false" ht="15" hidden="false" customHeight="false" outlineLevel="0" collapsed="false">
      <c r="B19" s="29"/>
      <c r="C19" s="41"/>
    </row>
    <row r="20" customFormat="false" ht="15" hidden="false" customHeight="false" outlineLevel="0" collapsed="false">
      <c r="B20" s="29"/>
      <c r="C20" s="41"/>
    </row>
    <row r="21" customFormat="false" ht="15" hidden="false" customHeight="false" outlineLevel="0" collapsed="false">
      <c r="B21" s="29"/>
      <c r="C21" s="41"/>
    </row>
    <row r="22" customFormat="false" ht="15" hidden="false" customHeight="false" outlineLevel="0" collapsed="false">
      <c r="B22" s="29"/>
      <c r="C22" s="41"/>
    </row>
    <row r="23" customFormat="false" ht="15" hidden="false" customHeight="false" outlineLevel="0" collapsed="false">
      <c r="B23" s="29"/>
      <c r="C23" s="41"/>
    </row>
    <row r="24" customFormat="false" ht="15" hidden="false" customHeight="false" outlineLevel="0" collapsed="false">
      <c r="B24" s="29"/>
      <c r="C24" s="41"/>
    </row>
    <row r="25" customFormat="false" ht="15" hidden="false" customHeight="false" outlineLevel="0" collapsed="false">
      <c r="B25" s="29"/>
      <c r="C25" s="41"/>
    </row>
    <row r="26" customFormat="false" ht="15" hidden="false" customHeight="false" outlineLevel="0" collapsed="false">
      <c r="B26" s="29"/>
      <c r="C26" s="41"/>
    </row>
    <row r="27" customFormat="false" ht="15" hidden="false" customHeight="false" outlineLevel="0" collapsed="false">
      <c r="B27" s="29"/>
      <c r="C27" s="41"/>
    </row>
    <row r="28" customFormat="false" ht="15" hidden="false" customHeight="false" outlineLevel="0" collapsed="false">
      <c r="B28" s="29"/>
      <c r="C28" s="41"/>
    </row>
    <row r="29" customFormat="false" ht="15" hidden="false" customHeight="false" outlineLevel="0" collapsed="false">
      <c r="B29" s="29"/>
      <c r="C29" s="41"/>
    </row>
    <row r="30" customFormat="false" ht="15" hidden="false" customHeight="false" outlineLevel="0" collapsed="false">
      <c r="B30" s="29"/>
      <c r="C30" s="41"/>
    </row>
    <row r="31" customFormat="false" ht="15" hidden="false" customHeight="false" outlineLevel="0" collapsed="false">
      <c r="B31" s="29"/>
      <c r="C31" s="41"/>
    </row>
    <row r="32" customFormat="false" ht="15" hidden="false" customHeight="false" outlineLevel="0" collapsed="false">
      <c r="B32" s="29"/>
      <c r="C32" s="41"/>
    </row>
    <row r="33" customFormat="false" ht="15" hidden="false" customHeight="false" outlineLevel="0" collapsed="false">
      <c r="B33" s="29"/>
      <c r="C33" s="41"/>
    </row>
    <row r="34" customFormat="false" ht="15" hidden="false" customHeight="false" outlineLevel="0" collapsed="false">
      <c r="B34" s="29"/>
      <c r="C34" s="41"/>
    </row>
    <row r="35" customFormat="false" ht="15" hidden="false" customHeight="false" outlineLevel="0" collapsed="false">
      <c r="B35" s="29"/>
      <c r="C35" s="41"/>
    </row>
    <row r="36" customFormat="false" ht="15" hidden="false" customHeight="false" outlineLevel="0" collapsed="false">
      <c r="B36" s="29"/>
      <c r="C36" s="41"/>
    </row>
    <row r="37" customFormat="false" ht="15" hidden="false" customHeight="false" outlineLevel="0" collapsed="false">
      <c r="B37" s="29"/>
      <c r="C37" s="41"/>
    </row>
    <row r="38" customFormat="false" ht="15" hidden="false" customHeight="false" outlineLevel="0" collapsed="false">
      <c r="B38" s="29"/>
      <c r="C38" s="41"/>
    </row>
    <row r="39" customFormat="false" ht="15" hidden="false" customHeight="false" outlineLevel="0" collapsed="false">
      <c r="B39" s="29"/>
      <c r="C39" s="41"/>
    </row>
    <row r="40" customFormat="false" ht="15" hidden="false" customHeight="false" outlineLevel="0" collapsed="false">
      <c r="B40" s="29"/>
      <c r="C40" s="41"/>
    </row>
    <row r="41" customFormat="false" ht="15" hidden="false" customHeight="false" outlineLevel="0" collapsed="false">
      <c r="B41" s="29"/>
      <c r="C41" s="41"/>
    </row>
    <row r="42" customFormat="false" ht="15" hidden="false" customHeight="false" outlineLevel="0" collapsed="false">
      <c r="B42" s="29"/>
      <c r="C42" s="41"/>
    </row>
    <row r="43" customFormat="false" ht="15" hidden="false" customHeight="false" outlineLevel="0" collapsed="false">
      <c r="B43" s="29"/>
      <c r="C43" s="41"/>
    </row>
    <row r="44" customFormat="false" ht="15" hidden="false" customHeight="false" outlineLevel="0" collapsed="false">
      <c r="B44" s="29"/>
      <c r="C44" s="41"/>
    </row>
    <row r="45" customFormat="false" ht="15" hidden="false" customHeight="false" outlineLevel="0" collapsed="false">
      <c r="B45" s="29"/>
      <c r="C45" s="41"/>
    </row>
    <row r="46" customFormat="false" ht="15" hidden="false" customHeight="false" outlineLevel="0" collapsed="false">
      <c r="B46" s="29"/>
      <c r="C46" s="41"/>
    </row>
    <row r="47" customFormat="false" ht="15" hidden="false" customHeight="false" outlineLevel="0" collapsed="false">
      <c r="B47" s="29"/>
      <c r="C47" s="41"/>
    </row>
    <row r="48" customFormat="false" ht="15" hidden="false" customHeight="false" outlineLevel="0" collapsed="false">
      <c r="B48" s="29"/>
      <c r="C48" s="41"/>
    </row>
    <row r="49" customFormat="false" ht="15" hidden="false" customHeight="false" outlineLevel="0" collapsed="false">
      <c r="B49" s="29"/>
      <c r="C49" s="41"/>
    </row>
    <row r="50" customFormat="false" ht="15" hidden="false" customHeight="false" outlineLevel="0" collapsed="false">
      <c r="B50" s="29"/>
      <c r="C50" s="41"/>
    </row>
    <row r="51" customFormat="false" ht="15" hidden="false" customHeight="false" outlineLevel="0" collapsed="false">
      <c r="B51" s="29"/>
      <c r="C51" s="41"/>
    </row>
    <row r="52" customFormat="false" ht="15" hidden="false" customHeight="false" outlineLevel="0" collapsed="false">
      <c r="B52" s="29"/>
      <c r="C52" s="41"/>
    </row>
    <row r="53" customFormat="false" ht="15" hidden="false" customHeight="false" outlineLevel="0" collapsed="false">
      <c r="B53" s="29"/>
      <c r="C53" s="41"/>
    </row>
    <row r="54" customFormat="false" ht="15" hidden="false" customHeight="false" outlineLevel="0" collapsed="false">
      <c r="B54" s="29"/>
      <c r="C54" s="41"/>
    </row>
    <row r="55" customFormat="false" ht="15" hidden="false" customHeight="false" outlineLevel="0" collapsed="false">
      <c r="B55" s="29"/>
      <c r="C55" s="41"/>
    </row>
    <row r="56" customFormat="false" ht="15" hidden="false" customHeight="false" outlineLevel="0" collapsed="false">
      <c r="B56" s="29"/>
      <c r="C56" s="41"/>
    </row>
    <row r="57" customFormat="false" ht="15" hidden="false" customHeight="false" outlineLevel="0" collapsed="false">
      <c r="B57" s="29"/>
      <c r="C57" s="41"/>
    </row>
    <row r="58" customFormat="false" ht="15" hidden="false" customHeight="false" outlineLevel="0" collapsed="false">
      <c r="B58" s="29"/>
      <c r="C58" s="41"/>
    </row>
    <row r="59" customFormat="false" ht="15" hidden="false" customHeight="false" outlineLevel="0" collapsed="false">
      <c r="B59" s="29"/>
      <c r="C59" s="41"/>
    </row>
    <row r="60" customFormat="false" ht="15" hidden="false" customHeight="false" outlineLevel="0" collapsed="false">
      <c r="B60" s="29"/>
      <c r="C60" s="41"/>
    </row>
    <row r="61" customFormat="false" ht="15" hidden="false" customHeight="false" outlineLevel="0" collapsed="false">
      <c r="B61" s="29"/>
      <c r="C61" s="41"/>
    </row>
    <row r="62" customFormat="false" ht="15" hidden="false" customHeight="false" outlineLevel="0" collapsed="false">
      <c r="B62" s="29"/>
      <c r="C62" s="41"/>
    </row>
    <row r="63" customFormat="false" ht="15" hidden="false" customHeight="false" outlineLevel="0" collapsed="false">
      <c r="B63" s="29"/>
      <c r="C63" s="41"/>
    </row>
    <row r="64" customFormat="false" ht="15" hidden="false" customHeight="false" outlineLevel="0" collapsed="false">
      <c r="B64" s="29"/>
      <c r="C64" s="41"/>
    </row>
    <row r="65" customFormat="false" ht="15" hidden="false" customHeight="false" outlineLevel="0" collapsed="false">
      <c r="B65" s="29"/>
      <c r="C65" s="41"/>
    </row>
    <row r="66" customFormat="false" ht="15" hidden="false" customHeight="false" outlineLevel="0" collapsed="false">
      <c r="B66" s="29"/>
      <c r="C66" s="41"/>
    </row>
    <row r="67" customFormat="false" ht="15" hidden="false" customHeight="false" outlineLevel="0" collapsed="false">
      <c r="B67" s="29"/>
      <c r="C67" s="41"/>
    </row>
    <row r="68" customFormat="false" ht="15" hidden="false" customHeight="false" outlineLevel="0" collapsed="false">
      <c r="B68" s="29"/>
      <c r="C68" s="41"/>
    </row>
    <row r="69" customFormat="false" ht="15" hidden="false" customHeight="false" outlineLevel="0" collapsed="false">
      <c r="B69" s="29"/>
      <c r="C69" s="41"/>
    </row>
    <row r="70" customFormat="false" ht="15" hidden="false" customHeight="false" outlineLevel="0" collapsed="false">
      <c r="B70" s="29"/>
      <c r="C70" s="41"/>
    </row>
    <row r="71" customFormat="false" ht="15" hidden="false" customHeight="false" outlineLevel="0" collapsed="false">
      <c r="B71" s="29"/>
      <c r="C71" s="41"/>
    </row>
    <row r="72" customFormat="false" ht="15" hidden="false" customHeight="false" outlineLevel="0" collapsed="false">
      <c r="B72" s="29"/>
      <c r="C72" s="41"/>
    </row>
    <row r="73" customFormat="false" ht="15" hidden="false" customHeight="false" outlineLevel="0" collapsed="false">
      <c r="B73" s="29"/>
      <c r="C73" s="41"/>
    </row>
    <row r="74" customFormat="false" ht="15" hidden="false" customHeight="false" outlineLevel="0" collapsed="false">
      <c r="B74" s="29"/>
      <c r="C74" s="41"/>
    </row>
    <row r="75" customFormat="false" ht="15" hidden="false" customHeight="false" outlineLevel="0" collapsed="false">
      <c r="B75" s="29"/>
      <c r="C75" s="41"/>
    </row>
    <row r="76" customFormat="false" ht="15" hidden="false" customHeight="false" outlineLevel="0" collapsed="false">
      <c r="B76" s="29"/>
      <c r="C76" s="41"/>
    </row>
    <row r="77" customFormat="false" ht="15" hidden="false" customHeight="false" outlineLevel="0" collapsed="false">
      <c r="B77" s="29"/>
      <c r="C77" s="41"/>
    </row>
    <row r="78" customFormat="false" ht="15" hidden="false" customHeight="false" outlineLevel="0" collapsed="false">
      <c r="B78" s="29"/>
      <c r="C78" s="41"/>
    </row>
    <row r="79" customFormat="false" ht="15" hidden="false" customHeight="false" outlineLevel="0" collapsed="false">
      <c r="B79" s="29"/>
      <c r="C79" s="41"/>
    </row>
    <row r="80" customFormat="false" ht="15" hidden="false" customHeight="false" outlineLevel="0" collapsed="false">
      <c r="B80" s="29"/>
      <c r="C80" s="41"/>
    </row>
    <row r="81" customFormat="false" ht="15" hidden="false" customHeight="false" outlineLevel="0" collapsed="false">
      <c r="B81" s="29"/>
      <c r="C81" s="41"/>
    </row>
    <row r="82" customFormat="false" ht="15" hidden="false" customHeight="false" outlineLevel="0" collapsed="false">
      <c r="B82" s="29"/>
      <c r="C82" s="41"/>
    </row>
    <row r="83" customFormat="false" ht="15" hidden="false" customHeight="false" outlineLevel="0" collapsed="false">
      <c r="B83" s="29"/>
      <c r="C83" s="41"/>
    </row>
    <row r="84" customFormat="false" ht="15" hidden="false" customHeight="false" outlineLevel="0" collapsed="false">
      <c r="B84" s="29"/>
      <c r="C84" s="41"/>
    </row>
    <row r="85" customFormat="false" ht="15" hidden="false" customHeight="false" outlineLevel="0" collapsed="false">
      <c r="B85" s="29"/>
      <c r="C85" s="41"/>
    </row>
    <row r="86" customFormat="false" ht="15" hidden="false" customHeight="false" outlineLevel="0" collapsed="false">
      <c r="B86" s="29"/>
      <c r="C86" s="41"/>
    </row>
    <row r="87" customFormat="false" ht="15" hidden="false" customHeight="false" outlineLevel="0" collapsed="false">
      <c r="B87" s="29"/>
      <c r="C87" s="41"/>
    </row>
    <row r="88" customFormat="false" ht="15" hidden="false" customHeight="false" outlineLevel="0" collapsed="false">
      <c r="B88" s="29"/>
      <c r="C88" s="41"/>
    </row>
    <row r="89" customFormat="false" ht="15" hidden="false" customHeight="false" outlineLevel="0" collapsed="false">
      <c r="B89" s="29"/>
      <c r="C89" s="41"/>
    </row>
    <row r="90" customFormat="false" ht="15" hidden="false" customHeight="false" outlineLevel="0" collapsed="false">
      <c r="B90" s="29"/>
      <c r="C90" s="41"/>
    </row>
    <row r="91" customFormat="false" ht="15" hidden="false" customHeight="false" outlineLevel="0" collapsed="false">
      <c r="B91" s="29"/>
      <c r="C91" s="41"/>
    </row>
    <row r="92" customFormat="false" ht="15" hidden="false" customHeight="false" outlineLevel="0" collapsed="false">
      <c r="B92" s="29"/>
      <c r="C92" s="41"/>
    </row>
    <row r="93" customFormat="false" ht="15" hidden="false" customHeight="false" outlineLevel="0" collapsed="false">
      <c r="B93" s="29"/>
      <c r="C93" s="41"/>
    </row>
    <row r="94" customFormat="false" ht="15" hidden="false" customHeight="false" outlineLevel="0" collapsed="false">
      <c r="B94" s="29"/>
      <c r="C94" s="41"/>
    </row>
    <row r="95" customFormat="false" ht="15" hidden="false" customHeight="false" outlineLevel="0" collapsed="false">
      <c r="B95" s="29"/>
      <c r="C95" s="41"/>
    </row>
    <row r="96" customFormat="false" ht="15" hidden="false" customHeight="false" outlineLevel="0" collapsed="false">
      <c r="B96" s="29"/>
      <c r="C96" s="41"/>
    </row>
    <row r="97" customFormat="false" ht="15" hidden="false" customHeight="false" outlineLevel="0" collapsed="false">
      <c r="B97" s="29"/>
      <c r="C97" s="41"/>
    </row>
    <row r="98" customFormat="false" ht="15" hidden="false" customHeight="false" outlineLevel="0" collapsed="false">
      <c r="B98" s="29"/>
      <c r="C98" s="41"/>
    </row>
    <row r="99" customFormat="false" ht="15" hidden="false" customHeight="false" outlineLevel="0" collapsed="false">
      <c r="B99" s="29"/>
      <c r="C99" s="41"/>
    </row>
    <row r="100" customFormat="false" ht="15" hidden="false" customHeight="false" outlineLevel="0" collapsed="false">
      <c r="B100" s="29"/>
      <c r="C100" s="41"/>
    </row>
    <row r="101" customFormat="false" ht="15" hidden="false" customHeight="false" outlineLevel="0" collapsed="false">
      <c r="B101" s="29"/>
      <c r="C101" s="41"/>
    </row>
    <row r="102" customFormat="false" ht="15" hidden="false" customHeight="false" outlineLevel="0" collapsed="false">
      <c r="B102" s="29"/>
      <c r="C102" s="41"/>
    </row>
    <row r="103" customFormat="false" ht="15" hidden="false" customHeight="false" outlineLevel="0" collapsed="false">
      <c r="B103" s="29"/>
      <c r="C103" s="41"/>
    </row>
    <row r="104" customFormat="false" ht="15" hidden="false" customHeight="false" outlineLevel="0" collapsed="false">
      <c r="B104" s="29"/>
      <c r="C104" s="4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9"/>
    <col collapsed="false" customWidth="true" hidden="false" outlineLevel="0" max="16" min="13" style="0" width="12"/>
    <col collapsed="false" customWidth="true" hidden="false" outlineLevel="0" max="18" min="17" style="0" width="9"/>
    <col collapsed="false" customWidth="true" hidden="false" outlineLevel="0" max="19" min="19" style="0" width="11"/>
    <col collapsed="false" customWidth="true" hidden="false" outlineLevel="0" max="20" min="20" style="0" width="22"/>
    <col collapsed="false" customWidth="true" hidden="false" outlineLevel="0" max="22" min="21" style="0" width="12"/>
    <col collapsed="false" customWidth="true" hidden="false" outlineLevel="0" max="23" min="23" style="0" width="40"/>
  </cols>
  <sheetData>
    <row r="1" customFormat="false" ht="46.25" hidden="false" customHeight="false" outlineLevel="0" collapsed="false">
      <c r="A1" s="9" t="s">
        <v>178</v>
      </c>
      <c r="B1" s="9" t="s">
        <v>392</v>
      </c>
      <c r="C1" s="9" t="s">
        <v>393</v>
      </c>
      <c r="D1" s="9" t="s">
        <v>394</v>
      </c>
      <c r="E1" s="9" t="s">
        <v>395</v>
      </c>
      <c r="F1" s="9" t="s">
        <v>183</v>
      </c>
      <c r="G1" s="9" t="s">
        <v>362</v>
      </c>
      <c r="H1" s="9" t="s">
        <v>396</v>
      </c>
      <c r="I1" s="9" t="s">
        <v>32</v>
      </c>
      <c r="J1" s="9" t="s">
        <v>397</v>
      </c>
      <c r="K1" s="9" t="s">
        <v>398</v>
      </c>
      <c r="L1" s="9" t="s">
        <v>202</v>
      </c>
      <c r="M1" s="9" t="s">
        <v>194</v>
      </c>
      <c r="N1" s="9" t="s">
        <v>195</v>
      </c>
      <c r="O1" s="9" t="s">
        <v>214</v>
      </c>
      <c r="P1" s="9" t="s">
        <v>215</v>
      </c>
      <c r="Q1" s="9" t="s">
        <v>216</v>
      </c>
      <c r="R1" s="9" t="s">
        <v>217</v>
      </c>
      <c r="S1" s="9" t="s">
        <v>218</v>
      </c>
      <c r="T1" s="9" t="s">
        <v>399</v>
      </c>
      <c r="U1" s="9" t="s">
        <v>400</v>
      </c>
      <c r="V1" s="9" t="s">
        <v>191</v>
      </c>
      <c r="W1" s="9" t="s">
        <v>93</v>
      </c>
    </row>
    <row r="2" customFormat="false" ht="15" hidden="false" customHeight="false" outlineLevel="0" collapsed="false">
      <c r="A2" s="23" t="n">
        <f aca="false">IF(IFERROR(INDEX(tsk_Name,(ROW()-ROW(MSPTasks[[#Headers],[ID]])))="",TRUE()),"",INDEX(tsk_ID,(ROW()-ROW(MSPTasks[[#Headers],[ID]]))))</f>
        <v>1</v>
      </c>
      <c r="B2" s="23" t="n">
        <f aca="false">IF(IFERROR(INDEX(tsk_Name,(ROW()-ROW(MSPTasks[[#Headers],[ID]])))="",TRUE()),"",INDEX(tsk_UID,(ROW()-ROW(MSPTasks[[#Headers],[ID]]))))</f>
        <v>1</v>
      </c>
      <c r="C2" s="23" t="str">
        <f aca="false">IF(IFERROR(INDEX(tsk_Name,(ROW()-ROW(MSPTasks[[#Headers],[ID]])))="",TRUE()),"",INDEX(tsk_Name,(ROW()-ROW(MSPTasks[[#Headers],[ID]]))))</f>
        <v>Initiation</v>
      </c>
      <c r="D2" s="23" t="n">
        <f aca="false">IF(IFERROR(INDEX(tsk_Name,(ROW()-ROW(MSPTasks[[#Headers],[ID]])))="",TRUE()),"",INDEX(tsk_Level,(ROW()-ROW(MSPTasks[[#Headers],[ID]]))))</f>
        <v>1</v>
      </c>
      <c r="E2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" s="80" t="n">
        <f aca="false">IF(IFERROR(INDEX(tsk_Name,(ROW()-ROW(MSPTasks[[#Headers],[ID]])))="",TRUE()),"",INDEX(tsk_FcStart,(ROW()-ROW(MSPTasks[[#Headers],[ID]]))))</f>
        <v>46272</v>
      </c>
      <c r="H2" s="80" t="n">
        <f aca="false">IF(IFERROR(INDEX(tsk_Name,(ROW()-ROW(MSPTasks[[#Headers],[ID]])))="",TRUE()),"",INDEX(tsk_FcFinish,(ROW()-ROW(MSPTasks[[#Headers],[ID]]))))</f>
        <v>46279</v>
      </c>
      <c r="I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" s="80" t="n">
        <f aca="false">IF(IFERROR(INDEX(tsk_Name,(ROW()-ROW(MSPTasks[[#Headers],[ID]])))="",TRUE()),"",INDEX(tsk_PlanStart,(ROW()-ROW(MSPTasks[[#Headers],[ID]]))))</f>
        <v>46272</v>
      </c>
      <c r="P2" s="80" t="n">
        <f aca="false">IF(IFERROR(INDEX(tsk_Name,(ROW()-ROW(MSPTasks[[#Headers],[ID]])))="",TRUE()),"",INDEX(tsk_PlanFinish,(ROW()-ROW(MSPTasks[[#Headers],[ID]]))))</f>
        <v>46276</v>
      </c>
      <c r="Q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" s="23" t="str">
        <f aca="false">IF(IFERROR(INDEX(tsk_Name,(ROW()-ROW(MSPTasks[[#Headers],[ID]])))="",TRUE()),"",INDEX(tsk_Notes,(ROW()-ROW(MSPTasks[[#Headers],[ID]])))&amp;"")</f>
        <v>Phase 1 - summary rows roll up dates, work, cost and progress automatically.</v>
      </c>
    </row>
    <row r="3" customFormat="false" ht="15" hidden="false" customHeight="false" outlineLevel="0" collapsed="false">
      <c r="A3" s="23" t="n">
        <f aca="false">IF(IFERROR(INDEX(tsk_Name,(ROW()-ROW(MSPTasks[[#Headers],[ID]])))="",TRUE()),"",INDEX(tsk_ID,(ROW()-ROW(MSPTasks[[#Headers],[ID]]))))</f>
        <v>2</v>
      </c>
      <c r="B3" s="23" t="n">
        <f aca="false">IF(IFERROR(INDEX(tsk_Name,(ROW()-ROW(MSPTasks[[#Headers],[ID]])))="",TRUE()),"",INDEX(tsk_UID,(ROW()-ROW(MSPTasks[[#Headers],[ID]]))))</f>
        <v>2</v>
      </c>
      <c r="C3" s="23" t="str">
        <f aca="false">IF(IFERROR(INDEX(tsk_Name,(ROW()-ROW(MSPTasks[[#Headers],[ID]])))="",TRUE()),"",INDEX(tsk_Name,(ROW()-ROW(MSPTasks[[#Headers],[ID]]))))</f>
        <v>Project charter &amp; scope statement</v>
      </c>
      <c r="D3" s="23" t="n">
        <f aca="false">IF(IFERROR(INDEX(tsk_Name,(ROW()-ROW(MSPTasks[[#Headers],[ID]])))="",TRUE()),"",INDEX(tsk_Level,(ROW()-ROW(MSPTasks[[#Headers],[ID]]))))</f>
        <v>2</v>
      </c>
      <c r="E3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" s="23" t="str">
        <f aca="false">IF(IFERROR(INDEX(tsk_Name,(ROW()-ROW(MSPTasks[[#Headers],[ID]])))="",TRUE()),"",IF(INDEX(tsk_IsSummary,(ROW()-ROW(MSPTasks[[#Headers],[ID]]))),"",N(INDEX(tsk_Duration,(ROW()-ROW(MSPTasks[[#Headers],[ID]]))))&amp;"d"))</f>
        <v>3d</v>
      </c>
      <c r="G3" s="80" t="n">
        <f aca="false">IF(IFERROR(INDEX(tsk_Name,(ROW()-ROW(MSPTasks[[#Headers],[ID]])))="",TRUE()),"",INDEX(tsk_FcStart,(ROW()-ROW(MSPTasks[[#Headers],[ID]]))))</f>
        <v>46272</v>
      </c>
      <c r="H3" s="80" t="n">
        <f aca="false">IF(IFERROR(INDEX(tsk_Name,(ROW()-ROW(MSPTasks[[#Headers],[ID]])))="",TRUE()),"",INDEX(tsk_FcFinish,(ROW()-ROW(MSPTasks[[#Headers],[ID]]))))</f>
        <v>46275</v>
      </c>
      <c r="I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3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3" s="80" t="n">
        <f aca="false">IF(IFERROR(INDEX(tsk_Name,(ROW()-ROW(MSPTasks[[#Headers],[ID]])))="",TRUE()),"",IF(N(INDEX(tsk_ActStart,(ROW()-ROW(MSPTasks[[#Headers],[ID]]))))=0,"",INDEX(tsk_ActStart,(ROW()-ROW(MSPTasks[[#Headers],[ID]])))))</f>
        <v>46272</v>
      </c>
      <c r="N3" s="80" t="n">
        <f aca="false">IF(IFERROR(INDEX(tsk_Name,(ROW()-ROW(MSPTasks[[#Headers],[ID]])))="",TRUE()),"",IF(N(INDEX(tsk_ActFinish,(ROW()-ROW(MSPTasks[[#Headers],[ID]]))))=0,"",INDEX(tsk_ActFinish,(ROW()-ROW(MSPTasks[[#Headers],[ID]])))))</f>
        <v>46275</v>
      </c>
      <c r="O3" s="80" t="n">
        <f aca="false">IF(IFERROR(INDEX(tsk_Name,(ROW()-ROW(MSPTasks[[#Headers],[ID]])))="",TRUE()),"",INDEX(tsk_PlanStart,(ROW()-ROW(MSPTasks[[#Headers],[ID]]))))</f>
        <v>46272</v>
      </c>
      <c r="P3" s="80" t="n">
        <f aca="false">IF(IFERROR(INDEX(tsk_Name,(ROW()-ROW(MSPTasks[[#Headers],[ID]])))="",TRUE()),"",INDEX(tsk_PlanFinish,(ROW()-ROW(MSPTasks[[#Headers],[ID]]))))</f>
        <v>46274</v>
      </c>
      <c r="Q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" s="23" t="str">
        <f aca="false">IF(IFERROR(INDEX(tsk_Name,(ROW()-ROW(MSPTasks[[#Headers],[ID]])))="",TRUE()),"",INDEX(tsk_Notes,(ROW()-ROW(MSPTasks[[#Headers],[ID]])))&amp;"")</f>
        <v>Took 1 extra day for sponsor sign-off.</v>
      </c>
    </row>
    <row r="4" customFormat="false" ht="15" hidden="false" customHeight="false" outlineLevel="0" collapsed="false">
      <c r="A4" s="23" t="n">
        <f aca="false">IF(IFERROR(INDEX(tsk_Name,(ROW()-ROW(MSPTasks[[#Headers],[ID]])))="",TRUE()),"",INDEX(tsk_ID,(ROW()-ROW(MSPTasks[[#Headers],[ID]]))))</f>
        <v>3</v>
      </c>
      <c r="B4" s="23" t="n">
        <f aca="false">IF(IFERROR(INDEX(tsk_Name,(ROW()-ROW(MSPTasks[[#Headers],[ID]])))="",TRUE()),"",INDEX(tsk_UID,(ROW()-ROW(MSPTasks[[#Headers],[ID]]))))</f>
        <v>3</v>
      </c>
      <c r="C4" s="23" t="str">
        <f aca="false">IF(IFERROR(INDEX(tsk_Name,(ROW()-ROW(MSPTasks[[#Headers],[ID]])))="",TRUE()),"",INDEX(tsk_Name,(ROW()-ROW(MSPTasks[[#Headers],[ID]]))))</f>
        <v>Stakeholder kickoff workshop</v>
      </c>
      <c r="D4" s="23" t="n">
        <f aca="false">IF(IFERROR(INDEX(tsk_Name,(ROW()-ROW(MSPTasks[[#Headers],[ID]])))="",TRUE()),"",INDEX(tsk_Level,(ROW()-ROW(MSPTasks[[#Headers],[ID]]))))</f>
        <v>2</v>
      </c>
      <c r="E4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4" s="23" t="str">
        <f aca="false">IF(IFERROR(INDEX(tsk_Name,(ROW()-ROW(MSPTasks[[#Headers],[ID]])))="",TRUE()),"",IF(INDEX(tsk_IsSummary,(ROW()-ROW(MSPTasks[[#Headers],[ID]]))),"",N(INDEX(tsk_Duration,(ROW()-ROW(MSPTasks[[#Headers],[ID]]))))&amp;"d"))</f>
        <v>2d</v>
      </c>
      <c r="G4" s="80" t="n">
        <f aca="false">IF(IFERROR(INDEX(tsk_Name,(ROW()-ROW(MSPTasks[[#Headers],[ID]])))="",TRUE()),"",INDEX(tsk_FcStart,(ROW()-ROW(MSPTasks[[#Headers],[ID]]))))</f>
        <v>46276</v>
      </c>
      <c r="H4" s="80" t="n">
        <f aca="false">IF(IFERROR(INDEX(tsk_Name,(ROW()-ROW(MSPTasks[[#Headers],[ID]])))="",TRUE()),"",INDEX(tsk_FcFinish,(ROW()-ROW(MSPTasks[[#Headers],[ID]]))))</f>
        <v>46279</v>
      </c>
      <c r="I4" s="23" t="str">
        <f aca="false">IF(IFERROR(INDEX(tsk_Name,(ROW()-ROW(MSPTasks[[#Headers],[ID]])))="",TRUE()),"",IF(INDEX(tsk_IsSummary,(ROW()-ROW(MSPTasks[[#Headers],[ID]]))),"",INDEX(tsk_Predecessors,(ROW()-ROW(MSPTasks[[#Headers],[ID]])))))</f>
        <v>2</v>
      </c>
      <c r="J4" s="23" t="str">
        <f aca="false">IF(IFERROR(INDEX(tsk_Name,(ROW()-ROW(MSPTasks[[#Headers],[ID]])))="",TRUE()),"",IF(INDEX(tsk_IsSummary,(ROW()-ROW(MSPTasks[[#Headers],[ID]]))),"",INDEX(tsk_UIDPredecessors,(ROW()-ROW(MSPTasks[[#Headers],[ID]])))))</f>
        <v>2</v>
      </c>
      <c r="K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4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4" s="80" t="n">
        <f aca="false">IF(IFERROR(INDEX(tsk_Name,(ROW()-ROW(MSPTasks[[#Headers],[ID]])))="",TRUE()),"",IF(N(INDEX(tsk_ActStart,(ROW()-ROW(MSPTasks[[#Headers],[ID]]))))=0,"",INDEX(tsk_ActStart,(ROW()-ROW(MSPTasks[[#Headers],[ID]])))))</f>
        <v>46276</v>
      </c>
      <c r="N4" s="80" t="n">
        <f aca="false">IF(IFERROR(INDEX(tsk_Name,(ROW()-ROW(MSPTasks[[#Headers],[ID]])))="",TRUE()),"",IF(N(INDEX(tsk_ActFinish,(ROW()-ROW(MSPTasks[[#Headers],[ID]]))))=0,"",INDEX(tsk_ActFinish,(ROW()-ROW(MSPTasks[[#Headers],[ID]])))))</f>
        <v>46279</v>
      </c>
      <c r="O4" s="80" t="n">
        <f aca="false">IF(IFERROR(INDEX(tsk_Name,(ROW()-ROW(MSPTasks[[#Headers],[ID]])))="",TRUE()),"",INDEX(tsk_PlanStart,(ROW()-ROW(MSPTasks[[#Headers],[ID]]))))</f>
        <v>46275</v>
      </c>
      <c r="P4" s="80" t="n">
        <f aca="false">IF(IFERROR(INDEX(tsk_Name,(ROW()-ROW(MSPTasks[[#Headers],[ID]])))="",TRUE()),"",INDEX(tsk_PlanFinish,(ROW()-ROW(MSPTasks[[#Headers],[ID]]))))</f>
        <v>46276</v>
      </c>
      <c r="Q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" s="23" t="str">
        <f aca="false">IF(IFERROR(INDEX(tsk_Name,(ROW()-ROW(MSPTasks[[#Headers],[ID]])))="",TRUE()),"",INDEX(tsk_Notes,(ROW()-ROW(MSPTasks[[#Headers],[ID]])))&amp;"")</f>
        <v/>
      </c>
    </row>
    <row r="5" customFormat="false" ht="15" hidden="false" customHeight="false" outlineLevel="0" collapsed="false">
      <c r="A5" s="23" t="n">
        <f aca="false">IF(IFERROR(INDEX(tsk_Name,(ROW()-ROW(MSPTasks[[#Headers],[ID]])))="",TRUE()),"",INDEX(tsk_ID,(ROW()-ROW(MSPTasks[[#Headers],[ID]]))))</f>
        <v>4</v>
      </c>
      <c r="B5" s="23" t="n">
        <f aca="false">IF(IFERROR(INDEX(tsk_Name,(ROW()-ROW(MSPTasks[[#Headers],[ID]])))="",TRUE()),"",INDEX(tsk_UID,(ROW()-ROW(MSPTasks[[#Headers],[ID]]))))</f>
        <v>4</v>
      </c>
      <c r="C5" s="23" t="str">
        <f aca="false">IF(IFERROR(INDEX(tsk_Name,(ROW()-ROW(MSPTasks[[#Headers],[ID]])))="",TRUE()),"",INDEX(tsk_Name,(ROW()-ROW(MSPTasks[[#Headers],[ID]]))))</f>
        <v>Kickoff complete</v>
      </c>
      <c r="D5" s="23" t="n">
        <f aca="false">IF(IFERROR(INDEX(tsk_Name,(ROW()-ROW(MSPTasks[[#Headers],[ID]])))="",TRUE()),"",INDEX(tsk_Level,(ROW()-ROW(MSPTasks[[#Headers],[ID]]))))</f>
        <v>2</v>
      </c>
      <c r="E5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5" s="23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5" s="80" t="n">
        <f aca="false">IF(IFERROR(INDEX(tsk_Name,(ROW()-ROW(MSPTasks[[#Headers],[ID]])))="",TRUE()),"",INDEX(tsk_FcStart,(ROW()-ROW(MSPTasks[[#Headers],[ID]]))))</f>
        <v>46279</v>
      </c>
      <c r="H5" s="80" t="n">
        <f aca="false">IF(IFERROR(INDEX(tsk_Name,(ROW()-ROW(MSPTasks[[#Headers],[ID]])))="",TRUE()),"",INDEX(tsk_FcFinish,(ROW()-ROW(MSPTasks[[#Headers],[ID]]))))</f>
        <v>46279</v>
      </c>
      <c r="I5" s="23" t="str">
        <f aca="false">IF(IFERROR(INDEX(tsk_Name,(ROW()-ROW(MSPTasks[[#Headers],[ID]])))="",TRUE()),"",IF(INDEX(tsk_IsSummary,(ROW()-ROW(MSPTasks[[#Headers],[ID]]))),"",INDEX(tsk_Predecessors,(ROW()-ROW(MSPTasks[[#Headers],[ID]])))))</f>
        <v>3</v>
      </c>
      <c r="J5" s="23" t="str">
        <f aca="false">IF(IFERROR(INDEX(tsk_Name,(ROW()-ROW(MSPTasks[[#Headers],[ID]])))="",TRUE()),"",IF(INDEX(tsk_IsSummary,(ROW()-ROW(MSPTasks[[#Headers],[ID]]))),"",INDEX(tsk_UIDPredecessors,(ROW()-ROW(MSPTasks[[#Headers],[ID]])))))</f>
        <v>3</v>
      </c>
      <c r="K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5" s="80" t="n">
        <f aca="false">IF(IFERROR(INDEX(tsk_Name,(ROW()-ROW(MSPTasks[[#Headers],[ID]])))="",TRUE()),"",IF(N(INDEX(tsk_ActStart,(ROW()-ROW(MSPTasks[[#Headers],[ID]]))))=0,"",INDEX(tsk_ActStart,(ROW()-ROW(MSPTasks[[#Headers],[ID]])))))</f>
        <v>46279</v>
      </c>
      <c r="N5" s="80" t="n">
        <f aca="false">IF(IFERROR(INDEX(tsk_Name,(ROW()-ROW(MSPTasks[[#Headers],[ID]])))="",TRUE()),"",IF(N(INDEX(tsk_ActFinish,(ROW()-ROW(MSPTasks[[#Headers],[ID]]))))=0,"",INDEX(tsk_ActFinish,(ROW()-ROW(MSPTasks[[#Headers],[ID]])))))</f>
        <v>46279</v>
      </c>
      <c r="O5" s="80" t="n">
        <f aca="false">IF(IFERROR(INDEX(tsk_Name,(ROW()-ROW(MSPTasks[[#Headers],[ID]])))="",TRUE()),"",INDEX(tsk_PlanStart,(ROW()-ROW(MSPTasks[[#Headers],[ID]]))))</f>
        <v>46276</v>
      </c>
      <c r="P5" s="80" t="n">
        <f aca="false">IF(IFERROR(INDEX(tsk_Name,(ROW()-ROW(MSPTasks[[#Headers],[ID]])))="",TRUE()),"",INDEX(tsk_PlanFinish,(ROW()-ROW(MSPTasks[[#Headers],[ID]]))))</f>
        <v>46276</v>
      </c>
      <c r="Q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" s="23" t="str">
        <f aca="false">IF(IFERROR(INDEX(tsk_Name,(ROW()-ROW(MSPTasks[[#Headers],[ID]])))="",TRUE()),"",INDEX(tsk_Notes,(ROW()-ROW(MSPTasks[[#Headers],[ID]])))&amp;"")</f>
        <v>Milestone (Duration 0).</v>
      </c>
    </row>
    <row r="6" customFormat="false" ht="15" hidden="false" customHeight="false" outlineLevel="0" collapsed="false">
      <c r="A6" s="23" t="n">
        <f aca="false">IF(IFERROR(INDEX(tsk_Name,(ROW()-ROW(MSPTasks[[#Headers],[ID]])))="",TRUE()),"",INDEX(tsk_ID,(ROW()-ROW(MSPTasks[[#Headers],[ID]]))))</f>
        <v>5</v>
      </c>
      <c r="B6" s="23" t="n">
        <f aca="false">IF(IFERROR(INDEX(tsk_Name,(ROW()-ROW(MSPTasks[[#Headers],[ID]])))="",TRUE()),"",INDEX(tsk_UID,(ROW()-ROW(MSPTasks[[#Headers],[ID]]))))</f>
        <v>5</v>
      </c>
      <c r="C6" s="23" t="str">
        <f aca="false">IF(IFERROR(INDEX(tsk_Name,(ROW()-ROW(MSPTasks[[#Headers],[ID]])))="",TRUE()),"",INDEX(tsk_Name,(ROW()-ROW(MSPTasks[[#Headers],[ID]]))))</f>
        <v>Requirements &amp; Design</v>
      </c>
      <c r="D6" s="23" t="n">
        <f aca="false">IF(IFERROR(INDEX(tsk_Name,(ROW()-ROW(MSPTasks[[#Headers],[ID]])))="",TRUE()),"",INDEX(tsk_Level,(ROW()-ROW(MSPTasks[[#Headers],[ID]]))))</f>
        <v>1</v>
      </c>
      <c r="E6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" s="80" t="n">
        <f aca="false">IF(IFERROR(INDEX(tsk_Name,(ROW()-ROW(MSPTasks[[#Headers],[ID]])))="",TRUE()),"",INDEX(tsk_FcStart,(ROW()-ROW(MSPTasks[[#Headers],[ID]]))))</f>
        <v>46280</v>
      </c>
      <c r="H6" s="80" t="n">
        <f aca="false">IF(IFERROR(INDEX(tsk_Name,(ROW()-ROW(MSPTasks[[#Headers],[ID]])))="",TRUE()),"",INDEX(tsk_FcFinish,(ROW()-ROW(MSPTasks[[#Headers],[ID]]))))</f>
        <v>46301</v>
      </c>
      <c r="I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" s="80" t="n">
        <f aca="false">IF(IFERROR(INDEX(tsk_Name,(ROW()-ROW(MSPTasks[[#Headers],[ID]])))="",TRUE()),"",INDEX(tsk_PlanStart,(ROW()-ROW(MSPTasks[[#Headers],[ID]]))))</f>
        <v>46279</v>
      </c>
      <c r="P6" s="80" t="n">
        <f aca="false">IF(IFERROR(INDEX(tsk_Name,(ROW()-ROW(MSPTasks[[#Headers],[ID]])))="",TRUE()),"",INDEX(tsk_PlanFinish,(ROW()-ROW(MSPTasks[[#Headers],[ID]]))))</f>
        <v>46296</v>
      </c>
      <c r="Q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" s="23" t="str">
        <f aca="false">IF(IFERROR(INDEX(tsk_Name,(ROW()-ROW(MSPTasks[[#Headers],[ID]])))="",TRUE()),"",INDEX(tsk_Notes,(ROW()-ROW(MSPTasks[[#Headers],[ID]])))&amp;"")</f>
        <v/>
      </c>
    </row>
    <row r="7" customFormat="false" ht="15" hidden="false" customHeight="false" outlineLevel="0" collapsed="false">
      <c r="A7" s="23" t="n">
        <f aca="false">IF(IFERROR(INDEX(tsk_Name,(ROW()-ROW(MSPTasks[[#Headers],[ID]])))="",TRUE()),"",INDEX(tsk_ID,(ROW()-ROW(MSPTasks[[#Headers],[ID]]))))</f>
        <v>6</v>
      </c>
      <c r="B7" s="23" t="n">
        <f aca="false">IF(IFERROR(INDEX(tsk_Name,(ROW()-ROW(MSPTasks[[#Headers],[ID]])))="",TRUE()),"",INDEX(tsk_UID,(ROW()-ROW(MSPTasks[[#Headers],[ID]]))))</f>
        <v>6</v>
      </c>
      <c r="C7" s="23" t="str">
        <f aca="false">IF(IFERROR(INDEX(tsk_Name,(ROW()-ROW(MSPTasks[[#Headers],[ID]])))="",TRUE()),"",INDEX(tsk_Name,(ROW()-ROW(MSPTasks[[#Headers],[ID]]))))</f>
        <v>Requirements gathering</v>
      </c>
      <c r="D7" s="23" t="n">
        <f aca="false">IF(IFERROR(INDEX(tsk_Name,(ROW()-ROW(MSPTasks[[#Headers],[ID]])))="",TRUE()),"",INDEX(tsk_Level,(ROW()-ROW(MSPTasks[[#Headers],[ID]]))))</f>
        <v>2</v>
      </c>
      <c r="E7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7" s="23" t="str">
        <f aca="false">IF(IFERROR(INDEX(tsk_Name,(ROW()-ROW(MSPTasks[[#Headers],[ID]])))="",TRUE()),"",IF(INDEX(tsk_IsSummary,(ROW()-ROW(MSPTasks[[#Headers],[ID]]))),"",N(INDEX(tsk_Duration,(ROW()-ROW(MSPTasks[[#Headers],[ID]]))))&amp;"d"))</f>
        <v>8d</v>
      </c>
      <c r="G7" s="80" t="n">
        <f aca="false">IF(IFERROR(INDEX(tsk_Name,(ROW()-ROW(MSPTasks[[#Headers],[ID]])))="",TRUE()),"",INDEX(tsk_FcStart,(ROW()-ROW(MSPTasks[[#Headers],[ID]]))))</f>
        <v>46280</v>
      </c>
      <c r="H7" s="80" t="n">
        <f aca="false">IF(IFERROR(INDEX(tsk_Name,(ROW()-ROW(MSPTasks[[#Headers],[ID]])))="",TRUE()),"",INDEX(tsk_FcFinish,(ROW()-ROW(MSPTasks[[#Headers],[ID]]))))</f>
        <v>46290</v>
      </c>
      <c r="I7" s="23" t="str">
        <f aca="false">IF(IFERROR(INDEX(tsk_Name,(ROW()-ROW(MSPTasks[[#Headers],[ID]])))="",TRUE()),"",IF(INDEX(tsk_IsSummary,(ROW()-ROW(MSPTasks[[#Headers],[ID]]))),"",INDEX(tsk_Predecessors,(ROW()-ROW(MSPTasks[[#Headers],[ID]])))))</f>
        <v>4</v>
      </c>
      <c r="J7" s="23" t="str">
        <f aca="false">IF(IFERROR(INDEX(tsk_Name,(ROW()-ROW(MSPTasks[[#Headers],[ID]])))="",TRUE()),"",IF(INDEX(tsk_IsSummary,(ROW()-ROW(MSPTasks[[#Headers],[ID]]))),"",INDEX(tsk_UIDPredecessors,(ROW()-ROW(MSPTasks[[#Headers],[ID]])))))</f>
        <v>4</v>
      </c>
      <c r="K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7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7" s="80" t="n">
        <f aca="false">IF(IFERROR(INDEX(tsk_Name,(ROW()-ROW(MSPTasks[[#Headers],[ID]])))="",TRUE()),"",IF(N(INDEX(tsk_ActStart,(ROW()-ROW(MSPTasks[[#Headers],[ID]]))))=0,"",INDEX(tsk_ActStart,(ROW()-ROW(MSPTasks[[#Headers],[ID]])))))</f>
        <v>46280</v>
      </c>
      <c r="N7" s="80" t="n">
        <f aca="false">IF(IFERROR(INDEX(tsk_Name,(ROW()-ROW(MSPTasks[[#Headers],[ID]])))="",TRUE()),"",IF(N(INDEX(tsk_ActFinish,(ROW()-ROW(MSPTasks[[#Headers],[ID]]))))=0,"",INDEX(tsk_ActFinish,(ROW()-ROW(MSPTasks[[#Headers],[ID]])))))</f>
        <v>46290</v>
      </c>
      <c r="O7" s="80" t="n">
        <f aca="false">IF(IFERROR(INDEX(tsk_Name,(ROW()-ROW(MSPTasks[[#Headers],[ID]])))="",TRUE()),"",INDEX(tsk_PlanStart,(ROW()-ROW(MSPTasks[[#Headers],[ID]]))))</f>
        <v>46279</v>
      </c>
      <c r="P7" s="80" t="n">
        <f aca="false">IF(IFERROR(INDEX(tsk_Name,(ROW()-ROW(MSPTasks[[#Headers],[ID]])))="",TRUE()),"",INDEX(tsk_PlanFinish,(ROW()-ROW(MSPTasks[[#Headers],[ID]]))))</f>
        <v>46288</v>
      </c>
      <c r="Q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" s="23" t="str">
        <f aca="false">IF(IFERROR(INDEX(tsk_Name,(ROW()-ROW(MSPTasks[[#Headers],[ID]])))="",TRUE()),"",INDEX(tsk_Notes,(ROW()-ROW(MSPTasks[[#Headers],[ID]])))&amp;"")</f>
        <v/>
      </c>
    </row>
    <row r="8" customFormat="false" ht="15" hidden="false" customHeight="false" outlineLevel="0" collapsed="false">
      <c r="A8" s="23" t="n">
        <f aca="false">IF(IFERROR(INDEX(tsk_Name,(ROW()-ROW(MSPTasks[[#Headers],[ID]])))="",TRUE()),"",INDEX(tsk_ID,(ROW()-ROW(MSPTasks[[#Headers],[ID]]))))</f>
        <v>7</v>
      </c>
      <c r="B8" s="23" t="n">
        <f aca="false">IF(IFERROR(INDEX(tsk_Name,(ROW()-ROW(MSPTasks[[#Headers],[ID]])))="",TRUE()),"",INDEX(tsk_UID,(ROW()-ROW(MSPTasks[[#Headers],[ID]]))))</f>
        <v>7</v>
      </c>
      <c r="C8" s="23" t="str">
        <f aca="false">IF(IFERROR(INDEX(tsk_Name,(ROW()-ROW(MSPTasks[[#Headers],[ID]])))="",TRUE()),"",INDEX(tsk_Name,(ROW()-ROW(MSPTasks[[#Headers],[ID]]))))</f>
        <v>Solution architecture</v>
      </c>
      <c r="D8" s="23" t="n">
        <f aca="false">IF(IFERROR(INDEX(tsk_Name,(ROW()-ROW(MSPTasks[[#Headers],[ID]])))="",TRUE()),"",INDEX(tsk_Level,(ROW()-ROW(MSPTasks[[#Headers],[ID]]))))</f>
        <v>2</v>
      </c>
      <c r="E8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8" s="23" t="str">
        <f aca="false">IF(IFERROR(INDEX(tsk_Name,(ROW()-ROW(MSPTasks[[#Headers],[ID]])))="",TRUE()),"",IF(INDEX(tsk_IsSummary,(ROW()-ROW(MSPTasks[[#Headers],[ID]]))),"",N(INDEX(tsk_Duration,(ROW()-ROW(MSPTasks[[#Headers],[ID]]))))&amp;"d"))</f>
        <v>5d</v>
      </c>
      <c r="G8" s="80" t="n">
        <f aca="false">IF(IFERROR(INDEX(tsk_Name,(ROW()-ROW(MSPTasks[[#Headers],[ID]])))="",TRUE()),"",INDEX(tsk_FcStart,(ROW()-ROW(MSPTasks[[#Headers],[ID]]))))</f>
        <v>46283</v>
      </c>
      <c r="H8" s="80" t="n">
        <f aca="false">IF(IFERROR(INDEX(tsk_Name,(ROW()-ROW(MSPTasks[[#Headers],[ID]])))="",TRUE()),"",INDEX(tsk_FcFinish,(ROW()-ROW(MSPTasks[[#Headers],[ID]]))))</f>
        <v>46290</v>
      </c>
      <c r="I8" s="23" t="str">
        <f aca="false">IF(IFERROR(INDEX(tsk_Name,(ROW()-ROW(MSPTasks[[#Headers],[ID]])))="",TRUE()),"",IF(INDEX(tsk_IsSummary,(ROW()-ROW(MSPTasks[[#Headers],[ID]]))),"",INDEX(tsk_Predecessors,(ROW()-ROW(MSPTasks[[#Headers],[ID]])))))</f>
        <v>6SS+3d</v>
      </c>
      <c r="J8" s="23" t="str">
        <f aca="false">IF(IFERROR(INDEX(tsk_Name,(ROW()-ROW(MSPTasks[[#Headers],[ID]])))="",TRUE()),"",IF(INDEX(tsk_IsSummary,(ROW()-ROW(MSPTasks[[#Headers],[ID]]))),"",INDEX(tsk_UIDPredecessors,(ROW()-ROW(MSPTasks[[#Headers],[ID]])))))</f>
        <v>6SS+3d</v>
      </c>
      <c r="K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Alex Chen</v>
      </c>
      <c r="L8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8" s="80" t="n">
        <f aca="false">IF(IFERROR(INDEX(tsk_Name,(ROW()-ROW(MSPTasks[[#Headers],[ID]])))="",TRUE()),"",IF(N(INDEX(tsk_ActStart,(ROW()-ROW(MSPTasks[[#Headers],[ID]]))))=0,"",INDEX(tsk_ActStart,(ROW()-ROW(MSPTasks[[#Headers],[ID]])))))</f>
        <v>46283</v>
      </c>
      <c r="N8" s="80" t="n">
        <f aca="false">IF(IFERROR(INDEX(tsk_Name,(ROW()-ROW(MSPTasks[[#Headers],[ID]])))="",TRUE()),"",IF(N(INDEX(tsk_ActFinish,(ROW()-ROW(MSPTasks[[#Headers],[ID]]))))=0,"",INDEX(tsk_ActFinish,(ROW()-ROW(MSPTasks[[#Headers],[ID]])))))</f>
        <v>46290</v>
      </c>
      <c r="O8" s="80" t="n">
        <f aca="false">IF(IFERROR(INDEX(tsk_Name,(ROW()-ROW(MSPTasks[[#Headers],[ID]])))="",TRUE()),"",INDEX(tsk_PlanStart,(ROW()-ROW(MSPTasks[[#Headers],[ID]]))))</f>
        <v>46282</v>
      </c>
      <c r="P8" s="80" t="n">
        <f aca="false">IF(IFERROR(INDEX(tsk_Name,(ROW()-ROW(MSPTasks[[#Headers],[ID]])))="",TRUE()),"",INDEX(tsk_PlanFinish,(ROW()-ROW(MSPTasks[[#Headers],[ID]]))))</f>
        <v>46288</v>
      </c>
      <c r="Q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" s="23" t="str">
        <f aca="false">IF(IFERROR(INDEX(tsk_Name,(ROW()-ROW(MSPTasks[[#Headers],[ID]])))="",TRUE()),"",INDEX(tsk_Notes,(ROW()-ROW(MSPTasks[[#Headers],[ID]])))&amp;"")</f>
        <v>Start-to-Start + 3 day lag example.</v>
      </c>
    </row>
    <row r="9" customFormat="false" ht="15" hidden="false" customHeight="false" outlineLevel="0" collapsed="false">
      <c r="A9" s="23" t="n">
        <f aca="false">IF(IFERROR(INDEX(tsk_Name,(ROW()-ROW(MSPTasks[[#Headers],[ID]])))="",TRUE()),"",INDEX(tsk_ID,(ROW()-ROW(MSPTasks[[#Headers],[ID]]))))</f>
        <v>8</v>
      </c>
      <c r="B9" s="23" t="n">
        <f aca="false">IF(IFERROR(INDEX(tsk_Name,(ROW()-ROW(MSPTasks[[#Headers],[ID]])))="",TRUE()),"",INDEX(tsk_UID,(ROW()-ROW(MSPTasks[[#Headers],[ID]]))))</f>
        <v>8</v>
      </c>
      <c r="C9" s="23" t="str">
        <f aca="false">IF(IFERROR(INDEX(tsk_Name,(ROW()-ROW(MSPTasks[[#Headers],[ID]])))="",TRUE()),"",INDEX(tsk_Name,(ROW()-ROW(MSPTasks[[#Headers],[ID]]))))</f>
        <v>UX wireframes &amp; prototype</v>
      </c>
      <c r="D9" s="23" t="n">
        <f aca="false">IF(IFERROR(INDEX(tsk_Name,(ROW()-ROW(MSPTasks[[#Headers],[ID]])))="",TRUE()),"",INDEX(tsk_Level,(ROW()-ROW(MSPTasks[[#Headers],[ID]]))))</f>
        <v>2</v>
      </c>
      <c r="E9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9" s="23" t="str">
        <f aca="false">IF(IFERROR(INDEX(tsk_Name,(ROW()-ROW(MSPTasks[[#Headers],[ID]])))="",TRUE()),"",IF(INDEX(tsk_IsSummary,(ROW()-ROW(MSPTasks[[#Headers],[ID]]))),"",N(INDEX(tsk_Duration,(ROW()-ROW(MSPTasks[[#Headers],[ID]]))))&amp;"d"))</f>
        <v>6d</v>
      </c>
      <c r="G9" s="80" t="n">
        <f aca="false">IF(IFERROR(INDEX(tsk_Name,(ROW()-ROW(MSPTasks[[#Headers],[ID]])))="",TRUE()),"",INDEX(tsk_FcStart,(ROW()-ROW(MSPTasks[[#Headers],[ID]]))))</f>
        <v>46293</v>
      </c>
      <c r="H9" s="80" t="n">
        <f aca="false">IF(IFERROR(INDEX(tsk_Name,(ROW()-ROW(MSPTasks[[#Headers],[ID]])))="",TRUE()),"",INDEX(tsk_FcFinish,(ROW()-ROW(MSPTasks[[#Headers],[ID]]))))</f>
        <v>46301</v>
      </c>
      <c r="I9" s="23" t="str">
        <f aca="false">IF(IFERROR(INDEX(tsk_Name,(ROW()-ROW(MSPTasks[[#Headers],[ID]])))="",TRUE()),"",IF(INDEX(tsk_IsSummary,(ROW()-ROW(MSPTasks[[#Headers],[ID]]))),"",INDEX(tsk_Predecessors,(ROW()-ROW(MSPTasks[[#Headers],[ID]])))))</f>
        <v>6</v>
      </c>
      <c r="J9" s="23" t="str">
        <f aca="false">IF(IFERROR(INDEX(tsk_Name,(ROW()-ROW(MSPTasks[[#Headers],[ID]])))="",TRUE()),"",IF(INDEX(tsk_IsSummary,(ROW()-ROW(MSPTasks[[#Headers],[ID]]))),"",INDEX(tsk_UIDPredecessors,(ROW()-ROW(MSPTasks[[#Headers],[ID]])))))</f>
        <v>6</v>
      </c>
      <c r="K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</v>
      </c>
      <c r="L9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9" s="80" t="n">
        <f aca="false">IF(IFERROR(INDEX(tsk_Name,(ROW()-ROW(MSPTasks[[#Headers],[ID]])))="",TRUE()),"",IF(N(INDEX(tsk_ActStart,(ROW()-ROW(MSPTasks[[#Headers],[ID]]))))=0,"",INDEX(tsk_ActStart,(ROW()-ROW(MSPTasks[[#Headers],[ID]])))))</f>
        <v>46293</v>
      </c>
      <c r="N9" s="80" t="n">
        <f aca="false">IF(IFERROR(INDEX(tsk_Name,(ROW()-ROW(MSPTasks[[#Headers],[ID]])))="",TRUE()),"",IF(N(INDEX(tsk_ActFinish,(ROW()-ROW(MSPTasks[[#Headers],[ID]]))))=0,"",INDEX(tsk_ActFinish,(ROW()-ROW(MSPTasks[[#Headers],[ID]])))))</f>
        <v>46301</v>
      </c>
      <c r="O9" s="80" t="n">
        <f aca="false">IF(IFERROR(INDEX(tsk_Name,(ROW()-ROW(MSPTasks[[#Headers],[ID]])))="",TRUE()),"",INDEX(tsk_PlanStart,(ROW()-ROW(MSPTasks[[#Headers],[ID]]))))</f>
        <v>46289</v>
      </c>
      <c r="P9" s="80" t="n">
        <f aca="false">IF(IFERROR(INDEX(tsk_Name,(ROW()-ROW(MSPTasks[[#Headers],[ID]])))="",TRUE()),"",INDEX(tsk_PlanFinish,(ROW()-ROW(MSPTasks[[#Headers],[ID]]))))</f>
        <v>46296</v>
      </c>
      <c r="Q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" s="23" t="str">
        <f aca="false">IF(IFERROR(INDEX(tsk_Name,(ROW()-ROW(MSPTasks[[#Headers],[ID]])))="",TRUE()),"",INDEX(tsk_Notes,(ROW()-ROW(MSPTasks[[#Headers],[ID]])))&amp;"")</f>
        <v/>
      </c>
    </row>
    <row r="10" customFormat="false" ht="15" hidden="false" customHeight="false" outlineLevel="0" collapsed="false">
      <c r="A10" s="23" t="n">
        <f aca="false">IF(IFERROR(INDEX(tsk_Name,(ROW()-ROW(MSPTasks[[#Headers],[ID]])))="",TRUE()),"",INDEX(tsk_ID,(ROW()-ROW(MSPTasks[[#Headers],[ID]]))))</f>
        <v>9</v>
      </c>
      <c r="B10" s="23" t="n">
        <f aca="false">IF(IFERROR(INDEX(tsk_Name,(ROW()-ROW(MSPTasks[[#Headers],[ID]])))="",TRUE()),"",INDEX(tsk_UID,(ROW()-ROW(MSPTasks[[#Headers],[ID]]))))</f>
        <v>9</v>
      </c>
      <c r="C10" s="23" t="str">
        <f aca="false">IF(IFERROR(INDEX(tsk_Name,(ROW()-ROW(MSPTasks[[#Headers],[ID]])))="",TRUE()),"",INDEX(tsk_Name,(ROW()-ROW(MSPTasks[[#Headers],[ID]]))))</f>
        <v>Design sign-off</v>
      </c>
      <c r="D10" s="23" t="n">
        <f aca="false">IF(IFERROR(INDEX(tsk_Name,(ROW()-ROW(MSPTasks[[#Headers],[ID]])))="",TRUE()),"",INDEX(tsk_Level,(ROW()-ROW(MSPTasks[[#Headers],[ID]]))))</f>
        <v>2</v>
      </c>
      <c r="E10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0" s="23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10" s="80" t="n">
        <f aca="false">IF(IFERROR(INDEX(tsk_Name,(ROW()-ROW(MSPTasks[[#Headers],[ID]])))="",TRUE()),"",INDEX(tsk_FcStart,(ROW()-ROW(MSPTasks[[#Headers],[ID]]))))</f>
        <v>46301</v>
      </c>
      <c r="H10" s="80" t="n">
        <f aca="false">IF(IFERROR(INDEX(tsk_Name,(ROW()-ROW(MSPTasks[[#Headers],[ID]])))="",TRUE()),"",INDEX(tsk_FcFinish,(ROW()-ROW(MSPTasks[[#Headers],[ID]]))))</f>
        <v>46301</v>
      </c>
      <c r="I10" s="23" t="str">
        <f aca="false">IF(IFERROR(INDEX(tsk_Name,(ROW()-ROW(MSPTasks[[#Headers],[ID]])))="",TRUE()),"",IF(INDEX(tsk_IsSummary,(ROW()-ROW(MSPTasks[[#Headers],[ID]]))),"",INDEX(tsk_Predecessors,(ROW()-ROW(MSPTasks[[#Headers],[ID]])))))</f>
        <v>7,8</v>
      </c>
      <c r="J10" s="23" t="str">
        <f aca="false">IF(IFERROR(INDEX(tsk_Name,(ROW()-ROW(MSPTasks[[#Headers],[ID]])))="",TRUE()),"",IF(INDEX(tsk_IsSummary,(ROW()-ROW(MSPTasks[[#Headers],[ID]]))),"",INDEX(tsk_UIDPredecessors,(ROW()-ROW(MSPTasks[[#Headers],[ID]])))))</f>
        <v>7,8</v>
      </c>
      <c r="K1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10" s="80" t="n">
        <f aca="false">IF(IFERROR(INDEX(tsk_Name,(ROW()-ROW(MSPTasks[[#Headers],[ID]])))="",TRUE()),"",IF(N(INDEX(tsk_ActStart,(ROW()-ROW(MSPTasks[[#Headers],[ID]]))))=0,"",INDEX(tsk_ActStart,(ROW()-ROW(MSPTasks[[#Headers],[ID]])))))</f>
        <v>46301</v>
      </c>
      <c r="N10" s="80" t="n">
        <f aca="false">IF(IFERROR(INDEX(tsk_Name,(ROW()-ROW(MSPTasks[[#Headers],[ID]])))="",TRUE()),"",IF(N(INDEX(tsk_ActFinish,(ROW()-ROW(MSPTasks[[#Headers],[ID]]))))=0,"",INDEX(tsk_ActFinish,(ROW()-ROW(MSPTasks[[#Headers],[ID]])))))</f>
        <v>46301</v>
      </c>
      <c r="O10" s="80" t="n">
        <f aca="false">IF(IFERROR(INDEX(tsk_Name,(ROW()-ROW(MSPTasks[[#Headers],[ID]])))="",TRUE()),"",INDEX(tsk_PlanStart,(ROW()-ROW(MSPTasks[[#Headers],[ID]]))))</f>
        <v>46296</v>
      </c>
      <c r="P10" s="80" t="n">
        <f aca="false">IF(IFERROR(INDEX(tsk_Name,(ROW()-ROW(MSPTasks[[#Headers],[ID]])))="",TRUE()),"",INDEX(tsk_PlanFinish,(ROW()-ROW(MSPTasks[[#Headers],[ID]]))))</f>
        <v>46296</v>
      </c>
      <c r="Q1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1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" s="23" t="str">
        <f aca="false">IF(IFERROR(INDEX(tsk_Name,(ROW()-ROW(MSPTasks[[#Headers],[ID]])))="",TRUE()),"",INDEX(tsk_Notes,(ROW()-ROW(MSPTasks[[#Headers],[ID]])))&amp;"")</f>
        <v>Two predecessors - waits for the later one.</v>
      </c>
    </row>
    <row r="11" customFormat="false" ht="15" hidden="false" customHeight="false" outlineLevel="0" collapsed="false">
      <c r="A11" s="23" t="n">
        <f aca="false">IF(IFERROR(INDEX(tsk_Name,(ROW()-ROW(MSPTasks[[#Headers],[ID]])))="",TRUE()),"",INDEX(tsk_ID,(ROW()-ROW(MSPTasks[[#Headers],[ID]]))))</f>
        <v>10</v>
      </c>
      <c r="B11" s="23" t="n">
        <f aca="false">IF(IFERROR(INDEX(tsk_Name,(ROW()-ROW(MSPTasks[[#Headers],[ID]])))="",TRUE()),"",INDEX(tsk_UID,(ROW()-ROW(MSPTasks[[#Headers],[ID]]))))</f>
        <v>10</v>
      </c>
      <c r="C11" s="23" t="str">
        <f aca="false">IF(IFERROR(INDEX(tsk_Name,(ROW()-ROW(MSPTasks[[#Headers],[ID]])))="",TRUE()),"",INDEX(tsk_Name,(ROW()-ROW(MSPTasks[[#Headers],[ID]]))))</f>
        <v>Build</v>
      </c>
      <c r="D11" s="23" t="n">
        <f aca="false">IF(IFERROR(INDEX(tsk_Name,(ROW()-ROW(MSPTasks[[#Headers],[ID]])))="",TRUE()),"",INDEX(tsk_Level,(ROW()-ROW(MSPTasks[[#Headers],[ID]]))))</f>
        <v>1</v>
      </c>
      <c r="E11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" s="80" t="n">
        <f aca="false">IF(IFERROR(INDEX(tsk_Name,(ROW()-ROW(MSPTasks[[#Headers],[ID]])))="",TRUE()),"",INDEX(tsk_FcStart,(ROW()-ROW(MSPTasks[[#Headers],[ID]]))))</f>
        <v>46302</v>
      </c>
      <c r="H11" s="80" t="n">
        <f aca="false">IF(IFERROR(INDEX(tsk_Name,(ROW()-ROW(MSPTasks[[#Headers],[ID]])))="",TRUE()),"",INDEX(tsk_FcFinish,(ROW()-ROW(MSPTasks[[#Headers],[ID]]))))</f>
        <v>46335</v>
      </c>
      <c r="I1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" s="80" t="n">
        <f aca="false">IF(IFERROR(INDEX(tsk_Name,(ROW()-ROW(MSPTasks[[#Headers],[ID]])))="",TRUE()),"",INDEX(tsk_PlanStart,(ROW()-ROW(MSPTasks[[#Headers],[ID]]))))</f>
        <v>46297</v>
      </c>
      <c r="P11" s="80" t="n">
        <f aca="false">IF(IFERROR(INDEX(tsk_Name,(ROW()-ROW(MSPTasks[[#Headers],[ID]])))="",TRUE()),"",INDEX(tsk_PlanFinish,(ROW()-ROW(MSPTasks[[#Headers],[ID]]))))</f>
        <v>46325</v>
      </c>
      <c r="Q1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" s="23" t="str">
        <f aca="false">IF(IFERROR(INDEX(tsk_Name,(ROW()-ROW(MSPTasks[[#Headers],[ID]])))="",TRUE()),"",INDEX(tsk_Notes,(ROW()-ROW(MSPTasks[[#Headers],[ID]])))&amp;"")</f>
        <v/>
      </c>
    </row>
    <row r="12" customFormat="false" ht="15" hidden="false" customHeight="false" outlineLevel="0" collapsed="false">
      <c r="A12" s="23" t="n">
        <f aca="false">IF(IFERROR(INDEX(tsk_Name,(ROW()-ROW(MSPTasks[[#Headers],[ID]])))="",TRUE()),"",INDEX(tsk_ID,(ROW()-ROW(MSPTasks[[#Headers],[ID]]))))</f>
        <v>11</v>
      </c>
      <c r="B12" s="23" t="n">
        <f aca="false">IF(IFERROR(INDEX(tsk_Name,(ROW()-ROW(MSPTasks[[#Headers],[ID]])))="",TRUE()),"",INDEX(tsk_UID,(ROW()-ROW(MSPTasks[[#Headers],[ID]]))))</f>
        <v>11</v>
      </c>
      <c r="C12" s="23" t="str">
        <f aca="false">IF(IFERROR(INDEX(tsk_Name,(ROW()-ROW(MSPTasks[[#Headers],[ID]])))="",TRUE()),"",INDEX(tsk_Name,(ROW()-ROW(MSPTasks[[#Headers],[ID]]))))</f>
        <v>Backend</v>
      </c>
      <c r="D12" s="23" t="n">
        <f aca="false">IF(IFERROR(INDEX(tsk_Name,(ROW()-ROW(MSPTasks[[#Headers],[ID]])))="",TRUE()),"",INDEX(tsk_Level,(ROW()-ROW(MSPTasks[[#Headers],[ID]]))))</f>
        <v>2</v>
      </c>
      <c r="E12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" s="80" t="n">
        <f aca="false">IF(IFERROR(INDEX(tsk_Name,(ROW()-ROW(MSPTasks[[#Headers],[ID]])))="",TRUE()),"",INDEX(tsk_FcStart,(ROW()-ROW(MSPTasks[[#Headers],[ID]]))))</f>
        <v>46302</v>
      </c>
      <c r="H12" s="80" t="n">
        <f aca="false">IF(IFERROR(INDEX(tsk_Name,(ROW()-ROW(MSPTasks[[#Headers],[ID]])))="",TRUE()),"",INDEX(tsk_FcFinish,(ROW()-ROW(MSPTasks[[#Headers],[ID]]))))</f>
        <v>46335</v>
      </c>
      <c r="I1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" s="80" t="n">
        <f aca="false">IF(IFERROR(INDEX(tsk_Name,(ROW()-ROW(MSPTasks[[#Headers],[ID]])))="",TRUE()),"",INDEX(tsk_PlanStart,(ROW()-ROW(MSPTasks[[#Headers],[ID]]))))</f>
        <v>46297</v>
      </c>
      <c r="P12" s="80" t="n">
        <f aca="false">IF(IFERROR(INDEX(tsk_Name,(ROW()-ROW(MSPTasks[[#Headers],[ID]])))="",TRUE()),"",INDEX(tsk_PlanFinish,(ROW()-ROW(MSPTasks[[#Headers],[ID]]))))</f>
        <v>46325</v>
      </c>
      <c r="Q1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" s="23" t="str">
        <f aca="false">IF(IFERROR(INDEX(tsk_Name,(ROW()-ROW(MSPTasks[[#Headers],[ID]])))="",TRUE()),"",INDEX(tsk_Notes,(ROW()-ROW(MSPTasks[[#Headers],[ID]])))&amp;"")</f>
        <v>Level-2 summary with sub-tasks.</v>
      </c>
    </row>
    <row r="13" customFormat="false" ht="15" hidden="false" customHeight="false" outlineLevel="0" collapsed="false">
      <c r="A13" s="23" t="n">
        <f aca="false">IF(IFERROR(INDEX(tsk_Name,(ROW()-ROW(MSPTasks[[#Headers],[ID]])))="",TRUE()),"",INDEX(tsk_ID,(ROW()-ROW(MSPTasks[[#Headers],[ID]]))))</f>
        <v>12</v>
      </c>
      <c r="B13" s="23" t="n">
        <f aca="false">IF(IFERROR(INDEX(tsk_Name,(ROW()-ROW(MSPTasks[[#Headers],[ID]])))="",TRUE()),"",INDEX(tsk_UID,(ROW()-ROW(MSPTasks[[#Headers],[ID]]))))</f>
        <v>12</v>
      </c>
      <c r="C13" s="23" t="str">
        <f aca="false">IF(IFERROR(INDEX(tsk_Name,(ROW()-ROW(MSPTasks[[#Headers],[ID]])))="",TRUE()),"",INDEX(tsk_Name,(ROW()-ROW(MSPTasks[[#Headers],[ID]]))))</f>
        <v>Data model &amp; database setup</v>
      </c>
      <c r="D13" s="23" t="n">
        <f aca="false">IF(IFERROR(INDEX(tsk_Name,(ROW()-ROW(MSPTasks[[#Headers],[ID]])))="",TRUE()),"",INDEX(tsk_Level,(ROW()-ROW(MSPTasks[[#Headers],[ID]]))))</f>
        <v>3</v>
      </c>
      <c r="E13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3" s="23" t="str">
        <f aca="false">IF(IFERROR(INDEX(tsk_Name,(ROW()-ROW(MSPTasks[[#Headers],[ID]])))="",TRUE()),"",IF(INDEX(tsk_IsSummary,(ROW()-ROW(MSPTasks[[#Headers],[ID]]))),"",N(INDEX(tsk_Duration,(ROW()-ROW(MSPTasks[[#Headers],[ID]]))))&amp;"d"))</f>
        <v>5d</v>
      </c>
      <c r="G13" s="80" t="n">
        <f aca="false">IF(IFERROR(INDEX(tsk_Name,(ROW()-ROW(MSPTasks[[#Headers],[ID]])))="",TRUE()),"",INDEX(tsk_FcStart,(ROW()-ROW(MSPTasks[[#Headers],[ID]]))))</f>
        <v>46302</v>
      </c>
      <c r="H13" s="80" t="n">
        <f aca="false">IF(IFERROR(INDEX(tsk_Name,(ROW()-ROW(MSPTasks[[#Headers],[ID]])))="",TRUE()),"",INDEX(tsk_FcFinish,(ROW()-ROW(MSPTasks[[#Headers],[ID]]))))</f>
        <v>46309</v>
      </c>
      <c r="I13" s="23" t="str">
        <f aca="false">IF(IFERROR(INDEX(tsk_Name,(ROW()-ROW(MSPTasks[[#Headers],[ID]])))="",TRUE()),"",IF(INDEX(tsk_IsSummary,(ROW()-ROW(MSPTasks[[#Headers],[ID]]))),"",INDEX(tsk_Predecessors,(ROW()-ROW(MSPTasks[[#Headers],[ID]])))))</f>
        <v>9</v>
      </c>
      <c r="J13" s="23" t="str">
        <f aca="false">IF(IFERROR(INDEX(tsk_Name,(ROW()-ROW(MSPTasks[[#Headers],[ID]])))="",TRUE()),"",IF(INDEX(tsk_IsSummary,(ROW()-ROW(MSPTasks[[#Headers],[ID]]))),"",INDEX(tsk_UIDPredecessors,(ROW()-ROW(MSPTasks[[#Headers],[ID]])))))</f>
        <v>9</v>
      </c>
      <c r="K1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3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13" s="80" t="n">
        <f aca="false">IF(IFERROR(INDEX(tsk_Name,(ROW()-ROW(MSPTasks[[#Headers],[ID]])))="",TRUE()),"",IF(N(INDEX(tsk_ActStart,(ROW()-ROW(MSPTasks[[#Headers],[ID]]))))=0,"",INDEX(tsk_ActStart,(ROW()-ROW(MSPTasks[[#Headers],[ID]])))))</f>
        <v>46302</v>
      </c>
      <c r="N13" s="80" t="n">
        <f aca="false">IF(IFERROR(INDEX(tsk_Name,(ROW()-ROW(MSPTasks[[#Headers],[ID]])))="",TRUE()),"",IF(N(INDEX(tsk_ActFinish,(ROW()-ROW(MSPTasks[[#Headers],[ID]]))))=0,"",INDEX(tsk_ActFinish,(ROW()-ROW(MSPTasks[[#Headers],[ID]])))))</f>
        <v>46309</v>
      </c>
      <c r="O13" s="80" t="n">
        <f aca="false">IF(IFERROR(INDEX(tsk_Name,(ROW()-ROW(MSPTasks[[#Headers],[ID]])))="",TRUE()),"",INDEX(tsk_PlanStart,(ROW()-ROW(MSPTasks[[#Headers],[ID]]))))</f>
        <v>46297</v>
      </c>
      <c r="P13" s="80" t="n">
        <f aca="false">IF(IFERROR(INDEX(tsk_Name,(ROW()-ROW(MSPTasks[[#Headers],[ID]])))="",TRUE()),"",INDEX(tsk_PlanFinish,(ROW()-ROW(MSPTasks[[#Headers],[ID]]))))</f>
        <v>46303</v>
      </c>
      <c r="Q1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1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" s="23" t="str">
        <f aca="false">IF(IFERROR(INDEX(tsk_Name,(ROW()-ROW(MSPTasks[[#Headers],[ID]])))="",TRUE()),"",INDEX(tsk_Notes,(ROW()-ROW(MSPTasks[[#Headers],[ID]])))&amp;"")</f>
        <v/>
      </c>
    </row>
    <row r="14" customFormat="false" ht="15" hidden="false" customHeight="false" outlineLevel="0" collapsed="false">
      <c r="A14" s="23" t="n">
        <f aca="false">IF(IFERROR(INDEX(tsk_Name,(ROW()-ROW(MSPTasks[[#Headers],[ID]])))="",TRUE()),"",INDEX(tsk_ID,(ROW()-ROW(MSPTasks[[#Headers],[ID]]))))</f>
        <v>13</v>
      </c>
      <c r="B14" s="23" t="n">
        <f aca="false">IF(IFERROR(INDEX(tsk_Name,(ROW()-ROW(MSPTasks[[#Headers],[ID]])))="",TRUE()),"",INDEX(tsk_UID,(ROW()-ROW(MSPTasks[[#Headers],[ID]]))))</f>
        <v>13</v>
      </c>
      <c r="C14" s="23" t="str">
        <f aca="false">IF(IFERROR(INDEX(tsk_Name,(ROW()-ROW(MSPTasks[[#Headers],[ID]])))="",TRUE()),"",INDEX(tsk_Name,(ROW()-ROW(MSPTasks[[#Headers],[ID]]))))</f>
        <v>Core API endpoints</v>
      </c>
      <c r="D14" s="23" t="n">
        <f aca="false">IF(IFERROR(INDEX(tsk_Name,(ROW()-ROW(MSPTasks[[#Headers],[ID]])))="",TRUE()),"",INDEX(tsk_Level,(ROW()-ROW(MSPTasks[[#Headers],[ID]]))))</f>
        <v>3</v>
      </c>
      <c r="E14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4" s="23" t="str">
        <f aca="false">IF(IFERROR(INDEX(tsk_Name,(ROW()-ROW(MSPTasks[[#Headers],[ID]])))="",TRUE()),"",IF(INDEX(tsk_IsSummary,(ROW()-ROW(MSPTasks[[#Headers],[ID]]))),"",N(INDEX(tsk_Duration,(ROW()-ROW(MSPTasks[[#Headers],[ID]]))))&amp;"d"))</f>
        <v>10d</v>
      </c>
      <c r="G14" s="80" t="n">
        <f aca="false">IF(IFERROR(INDEX(tsk_Name,(ROW()-ROW(MSPTasks[[#Headers],[ID]])))="",TRUE()),"",INDEX(tsk_FcStart,(ROW()-ROW(MSPTasks[[#Headers],[ID]]))))</f>
        <v>46310</v>
      </c>
      <c r="H14" s="80" t="n">
        <f aca="false">IF(IFERROR(INDEX(tsk_Name,(ROW()-ROW(MSPTasks[[#Headers],[ID]])))="",TRUE()),"",INDEX(tsk_FcFinish,(ROW()-ROW(MSPTasks[[#Headers],[ID]]))))</f>
        <v>46325</v>
      </c>
      <c r="I14" s="23" t="str">
        <f aca="false">IF(IFERROR(INDEX(tsk_Name,(ROW()-ROW(MSPTasks[[#Headers],[ID]])))="",TRUE()),"",IF(INDEX(tsk_IsSummary,(ROW()-ROW(MSPTasks[[#Headers],[ID]]))),"",INDEX(tsk_Predecessors,(ROW()-ROW(MSPTasks[[#Headers],[ID]])))))</f>
        <v>12</v>
      </c>
      <c r="J14" s="23" t="str">
        <f aca="false">IF(IFERROR(INDEX(tsk_Name,(ROW()-ROW(MSPTasks[[#Headers],[ID]])))="",TRUE()),"",IF(INDEX(tsk_IsSummary,(ROW()-ROW(MSPTasks[[#Headers],[ID]]))),"",INDEX(tsk_UIDPredecessors,(ROW()-ROW(MSPTasks[[#Headers],[ID]])))))</f>
        <v>12</v>
      </c>
      <c r="K1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4" s="23" t="n">
        <f aca="false">IF(IFERROR(INDEX(tsk_Name,(ROW()-ROW(MSPTasks[[#Headers],[ID]])))="",TRUE()),"",IF(INDEX(tsk_IsSummary,(ROW()-ROW(MSPTasks[[#Headers],[ID]]))),"",ROUND(INDEX(tsk_Progress,(ROW()-ROW(MSPTasks[[#Headers],[ID]])))*100,0)))</f>
        <v>50</v>
      </c>
      <c r="M14" s="80" t="n">
        <f aca="false">IF(IFERROR(INDEX(tsk_Name,(ROW()-ROW(MSPTasks[[#Headers],[ID]])))="",TRUE()),"",IF(N(INDEX(tsk_ActStart,(ROW()-ROW(MSPTasks[[#Headers],[ID]]))))=0,"",INDEX(tsk_ActStart,(ROW()-ROW(MSPTasks[[#Headers],[ID]])))))</f>
        <v>46310</v>
      </c>
      <c r="N1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" s="80" t="n">
        <f aca="false">IF(IFERROR(INDEX(tsk_Name,(ROW()-ROW(MSPTasks[[#Headers],[ID]])))="",TRUE()),"",INDEX(tsk_PlanStart,(ROW()-ROW(MSPTasks[[#Headers],[ID]]))))</f>
        <v>46304</v>
      </c>
      <c r="P14" s="80" t="n">
        <f aca="false">IF(IFERROR(INDEX(tsk_Name,(ROW()-ROW(MSPTasks[[#Headers],[ID]])))="",TRUE()),"",INDEX(tsk_PlanFinish,(ROW()-ROW(MSPTasks[[#Headers],[ID]]))))</f>
        <v>46317</v>
      </c>
      <c r="Q1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1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" s="23" t="str">
        <f aca="false">IF(IFERROR(INDEX(tsk_Name,(ROW()-ROW(MSPTasks[[#Headers],[ID]])))="",TRUE()),"",INDEX(tsk_Notes,(ROW()-ROW(MSPTasks[[#Headers],[ID]])))&amp;"")</f>
        <v>In progress - enter % Complete; forecast finish adjusts.</v>
      </c>
    </row>
    <row r="15" customFormat="false" ht="15" hidden="false" customHeight="false" outlineLevel="0" collapsed="false">
      <c r="A15" s="23" t="n">
        <f aca="false">IF(IFERROR(INDEX(tsk_Name,(ROW()-ROW(MSPTasks[[#Headers],[ID]])))="",TRUE()),"",INDEX(tsk_ID,(ROW()-ROW(MSPTasks[[#Headers],[ID]]))))</f>
        <v>14</v>
      </c>
      <c r="B15" s="23" t="n">
        <f aca="false">IF(IFERROR(INDEX(tsk_Name,(ROW()-ROW(MSPTasks[[#Headers],[ID]])))="",TRUE()),"",INDEX(tsk_UID,(ROW()-ROW(MSPTasks[[#Headers],[ID]]))))</f>
        <v>14</v>
      </c>
      <c r="C15" s="23" t="str">
        <f aca="false">IF(IFERROR(INDEX(tsk_Name,(ROW()-ROW(MSPTasks[[#Headers],[ID]])))="",TRUE()),"",INDEX(tsk_Name,(ROW()-ROW(MSPTasks[[#Headers],[ID]]))))</f>
        <v>Payment gateway integration</v>
      </c>
      <c r="D15" s="23" t="n">
        <f aca="false">IF(IFERROR(INDEX(tsk_Name,(ROW()-ROW(MSPTasks[[#Headers],[ID]])))="",TRUE()),"",INDEX(tsk_Level,(ROW()-ROW(MSPTasks[[#Headers],[ID]]))))</f>
        <v>3</v>
      </c>
      <c r="E15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5" s="23" t="str">
        <f aca="false">IF(IFERROR(INDEX(tsk_Name,(ROW()-ROW(MSPTasks[[#Headers],[ID]])))="",TRUE()),"",IF(INDEX(tsk_IsSummary,(ROW()-ROW(MSPTasks[[#Headers],[ID]]))),"",N(INDEX(tsk_Duration,(ROW()-ROW(MSPTasks[[#Headers],[ID]]))))&amp;"d"))</f>
        <v>6d</v>
      </c>
      <c r="G15" s="80" t="n">
        <f aca="false">IF(IFERROR(INDEX(tsk_Name,(ROW()-ROW(MSPTasks[[#Headers],[ID]])))="",TRUE()),"",INDEX(tsk_FcStart,(ROW()-ROW(MSPTasks[[#Headers],[ID]]))))</f>
        <v>46328</v>
      </c>
      <c r="H15" s="80" t="n">
        <f aca="false">IF(IFERROR(INDEX(tsk_Name,(ROW()-ROW(MSPTasks[[#Headers],[ID]])))="",TRUE()),"",INDEX(tsk_FcFinish,(ROW()-ROW(MSPTasks[[#Headers],[ID]]))))</f>
        <v>46335</v>
      </c>
      <c r="I15" s="23" t="str">
        <f aca="false">IF(IFERROR(INDEX(tsk_Name,(ROW()-ROW(MSPTasks[[#Headers],[ID]])))="",TRUE()),"",IF(INDEX(tsk_IsSummary,(ROW()-ROW(MSPTasks[[#Headers],[ID]]))),"",INDEX(tsk_Predecessors,(ROW()-ROW(MSPTasks[[#Headers],[ID]])))))</f>
        <v>13</v>
      </c>
      <c r="J15" s="23" t="str">
        <f aca="false">IF(IFERROR(INDEX(tsk_Name,(ROW()-ROW(MSPTasks[[#Headers],[ID]])))="",TRUE()),"",IF(INDEX(tsk_IsSummary,(ROW()-ROW(MSPTasks[[#Headers],[ID]]))),"",INDEX(tsk_UIDPredecessors,(ROW()-ROW(MSPTasks[[#Headers],[ID]])))))</f>
        <v>13</v>
      </c>
      <c r="K1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5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1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" s="80" t="n">
        <f aca="false">IF(IFERROR(INDEX(tsk_Name,(ROW()-ROW(MSPTasks[[#Headers],[ID]])))="",TRUE()),"",INDEX(tsk_PlanStart,(ROW()-ROW(MSPTasks[[#Headers],[ID]]))))</f>
        <v>46318</v>
      </c>
      <c r="P15" s="80" t="n">
        <f aca="false">IF(IFERROR(INDEX(tsk_Name,(ROW()-ROW(MSPTasks[[#Headers],[ID]])))="",TRUE()),"",INDEX(tsk_PlanFinish,(ROW()-ROW(MSPTasks[[#Headers],[ID]]))))</f>
        <v>46325</v>
      </c>
      <c r="Q1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1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" s="23" t="str">
        <f aca="false">IF(IFERROR(INDEX(tsk_Name,(ROW()-ROW(MSPTasks[[#Headers],[ID]])))="",TRUE()),"",INDEX(tsk_Notes,(ROW()-ROW(MSPTasks[[#Headers],[ID]])))&amp;"")</f>
        <v/>
      </c>
    </row>
    <row r="16" customFormat="false" ht="15" hidden="false" customHeight="false" outlineLevel="0" collapsed="false">
      <c r="A16" s="23" t="n">
        <f aca="false">IF(IFERROR(INDEX(tsk_Name,(ROW()-ROW(MSPTasks[[#Headers],[ID]])))="",TRUE()),"",INDEX(tsk_ID,(ROW()-ROW(MSPTasks[[#Headers],[ID]]))))</f>
        <v>15</v>
      </c>
      <c r="B16" s="23" t="n">
        <f aca="false">IF(IFERROR(INDEX(tsk_Name,(ROW()-ROW(MSPTasks[[#Headers],[ID]])))="",TRUE()),"",INDEX(tsk_UID,(ROW()-ROW(MSPTasks[[#Headers],[ID]]))))</f>
        <v>15</v>
      </c>
      <c r="C16" s="23" t="str">
        <f aca="false">IF(IFERROR(INDEX(tsk_Name,(ROW()-ROW(MSPTasks[[#Headers],[ID]])))="",TRUE()),"",INDEX(tsk_Name,(ROW()-ROW(MSPTasks[[#Headers],[ID]]))))</f>
        <v>Frontend</v>
      </c>
      <c r="D16" s="23" t="n">
        <f aca="false">IF(IFERROR(INDEX(tsk_Name,(ROW()-ROW(MSPTasks[[#Headers],[ID]])))="",TRUE()),"",INDEX(tsk_Level,(ROW()-ROW(MSPTasks[[#Headers],[ID]]))))</f>
        <v>2</v>
      </c>
      <c r="E16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" s="80" t="n">
        <f aca="false">IF(IFERROR(INDEX(tsk_Name,(ROW()-ROW(MSPTasks[[#Headers],[ID]])))="",TRUE()),"",INDEX(tsk_FcStart,(ROW()-ROW(MSPTasks[[#Headers],[ID]]))))</f>
        <v>46302</v>
      </c>
      <c r="H16" s="80" t="n">
        <f aca="false">IF(IFERROR(INDEX(tsk_Name,(ROW()-ROW(MSPTasks[[#Headers],[ID]])))="",TRUE()),"",INDEX(tsk_FcFinish,(ROW()-ROW(MSPTasks[[#Headers],[ID]]))))</f>
        <v>46332</v>
      </c>
      <c r="I1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" s="80" t="n">
        <f aca="false">IF(IFERROR(INDEX(tsk_Name,(ROW()-ROW(MSPTasks[[#Headers],[ID]])))="",TRUE()),"",INDEX(tsk_PlanStart,(ROW()-ROW(MSPTasks[[#Headers],[ID]]))))</f>
        <v>46297</v>
      </c>
      <c r="P16" s="80" t="n">
        <f aca="false">IF(IFERROR(INDEX(tsk_Name,(ROW()-ROW(MSPTasks[[#Headers],[ID]])))="",TRUE()),"",INDEX(tsk_PlanFinish,(ROW()-ROW(MSPTasks[[#Headers],[ID]]))))</f>
        <v>46324</v>
      </c>
      <c r="Q1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" s="23" t="str">
        <f aca="false">IF(IFERROR(INDEX(tsk_Name,(ROW()-ROW(MSPTasks[[#Headers],[ID]])))="",TRUE()),"",INDEX(tsk_Notes,(ROW()-ROW(MSPTasks[[#Headers],[ID]])))&amp;"")</f>
        <v/>
      </c>
    </row>
    <row r="17" customFormat="false" ht="15" hidden="false" customHeight="false" outlineLevel="0" collapsed="false">
      <c r="A17" s="23" t="n">
        <f aca="false">IF(IFERROR(INDEX(tsk_Name,(ROW()-ROW(MSPTasks[[#Headers],[ID]])))="",TRUE()),"",INDEX(tsk_ID,(ROW()-ROW(MSPTasks[[#Headers],[ID]]))))</f>
        <v>16</v>
      </c>
      <c r="B17" s="23" t="n">
        <f aca="false">IF(IFERROR(INDEX(tsk_Name,(ROW()-ROW(MSPTasks[[#Headers],[ID]])))="",TRUE()),"",INDEX(tsk_UID,(ROW()-ROW(MSPTasks[[#Headers],[ID]]))))</f>
        <v>16</v>
      </c>
      <c r="C17" s="23" t="str">
        <f aca="false">IF(IFERROR(INDEX(tsk_Name,(ROW()-ROW(MSPTasks[[#Headers],[ID]])))="",TRUE()),"",INDEX(tsk_Name,(ROW()-ROW(MSPTasks[[#Headers],[ID]]))))</f>
        <v>UI component library</v>
      </c>
      <c r="D17" s="23" t="n">
        <f aca="false">IF(IFERROR(INDEX(tsk_Name,(ROW()-ROW(MSPTasks[[#Headers],[ID]])))="",TRUE()),"",INDEX(tsk_Level,(ROW()-ROW(MSPTasks[[#Headers],[ID]]))))</f>
        <v>3</v>
      </c>
      <c r="E17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7" s="23" t="str">
        <f aca="false">IF(IFERROR(INDEX(tsk_Name,(ROW()-ROW(MSPTasks[[#Headers],[ID]])))="",TRUE()),"",IF(INDEX(tsk_IsSummary,(ROW()-ROW(MSPTasks[[#Headers],[ID]]))),"",N(INDEX(tsk_Duration,(ROW()-ROW(MSPTasks[[#Headers],[ID]]))))&amp;"d"))</f>
        <v>6d</v>
      </c>
      <c r="G17" s="80" t="n">
        <f aca="false">IF(IFERROR(INDEX(tsk_Name,(ROW()-ROW(MSPTasks[[#Headers],[ID]])))="",TRUE()),"",INDEX(tsk_FcStart,(ROW()-ROW(MSPTasks[[#Headers],[ID]]))))</f>
        <v>46302</v>
      </c>
      <c r="H17" s="80" t="n">
        <f aca="false">IF(IFERROR(INDEX(tsk_Name,(ROW()-ROW(MSPTasks[[#Headers],[ID]])))="",TRUE()),"",INDEX(tsk_FcFinish,(ROW()-ROW(MSPTasks[[#Headers],[ID]]))))</f>
        <v>46311</v>
      </c>
      <c r="I17" s="23" t="str">
        <f aca="false">IF(IFERROR(INDEX(tsk_Name,(ROW()-ROW(MSPTasks[[#Headers],[ID]])))="",TRUE()),"",IF(INDEX(tsk_IsSummary,(ROW()-ROW(MSPTasks[[#Headers],[ID]]))),"",INDEX(tsk_Predecessors,(ROW()-ROW(MSPTasks[[#Headers],[ID]])))))</f>
        <v>9</v>
      </c>
      <c r="J17" s="23" t="str">
        <f aca="false">IF(IFERROR(INDEX(tsk_Name,(ROW()-ROW(MSPTasks[[#Headers],[ID]])))="",TRUE()),"",IF(INDEX(tsk_IsSummary,(ROW()-ROW(MSPTasks[[#Headers],[ID]]))),"",INDEX(tsk_UIDPredecessors,(ROW()-ROW(MSPTasks[[#Headers],[ID]])))))</f>
        <v>9</v>
      </c>
      <c r="K1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Sam Rivera</v>
      </c>
      <c r="L17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17" s="80" t="n">
        <f aca="false">IF(IFERROR(INDEX(tsk_Name,(ROW()-ROW(MSPTasks[[#Headers],[ID]])))="",TRUE()),"",IF(N(INDEX(tsk_ActStart,(ROW()-ROW(MSPTasks[[#Headers],[ID]]))))=0,"",INDEX(tsk_ActStart,(ROW()-ROW(MSPTasks[[#Headers],[ID]])))))</f>
        <v>46302</v>
      </c>
      <c r="N17" s="80" t="n">
        <f aca="false">IF(IFERROR(INDEX(tsk_Name,(ROW()-ROW(MSPTasks[[#Headers],[ID]])))="",TRUE()),"",IF(N(INDEX(tsk_ActFinish,(ROW()-ROW(MSPTasks[[#Headers],[ID]]))))=0,"",INDEX(tsk_ActFinish,(ROW()-ROW(MSPTasks[[#Headers],[ID]])))))</f>
        <v>46311</v>
      </c>
      <c r="O17" s="80" t="n">
        <f aca="false">IF(IFERROR(INDEX(tsk_Name,(ROW()-ROW(MSPTasks[[#Headers],[ID]])))="",TRUE()),"",INDEX(tsk_PlanStart,(ROW()-ROW(MSPTasks[[#Headers],[ID]]))))</f>
        <v>46297</v>
      </c>
      <c r="P17" s="80" t="n">
        <f aca="false">IF(IFERROR(INDEX(tsk_Name,(ROW()-ROW(MSPTasks[[#Headers],[ID]])))="",TRUE()),"",INDEX(tsk_PlanFinish,(ROW()-ROW(MSPTasks[[#Headers],[ID]]))))</f>
        <v>46304</v>
      </c>
      <c r="Q1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1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" s="23" t="str">
        <f aca="false">IF(IFERROR(INDEX(tsk_Name,(ROW()-ROW(MSPTasks[[#Headers],[ID]])))="",TRUE()),"",INDEX(tsk_Notes,(ROW()-ROW(MSPTasks[[#Headers],[ID]])))&amp;"")</f>
        <v/>
      </c>
    </row>
    <row r="18" customFormat="false" ht="15" hidden="false" customHeight="false" outlineLevel="0" collapsed="false">
      <c r="A18" s="23" t="n">
        <f aca="false">IF(IFERROR(INDEX(tsk_Name,(ROW()-ROW(MSPTasks[[#Headers],[ID]])))="",TRUE()),"",INDEX(tsk_ID,(ROW()-ROW(MSPTasks[[#Headers],[ID]]))))</f>
        <v>17</v>
      </c>
      <c r="B18" s="23" t="n">
        <f aca="false">IF(IFERROR(INDEX(tsk_Name,(ROW()-ROW(MSPTasks[[#Headers],[ID]])))="",TRUE()),"",INDEX(tsk_UID,(ROW()-ROW(MSPTasks[[#Headers],[ID]]))))</f>
        <v>17</v>
      </c>
      <c r="C18" s="23" t="str">
        <f aca="false">IF(IFERROR(INDEX(tsk_Name,(ROW()-ROW(MSPTasks[[#Headers],[ID]])))="",TRUE()),"",INDEX(tsk_Name,(ROW()-ROW(MSPTasks[[#Headers],[ID]]))))</f>
        <v>Feature screens</v>
      </c>
      <c r="D18" s="23" t="n">
        <f aca="false">IF(IFERROR(INDEX(tsk_Name,(ROW()-ROW(MSPTasks[[#Headers],[ID]])))="",TRUE()),"",INDEX(tsk_Level,(ROW()-ROW(MSPTasks[[#Headers],[ID]]))))</f>
        <v>3</v>
      </c>
      <c r="E18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8" s="23" t="str">
        <f aca="false">IF(IFERROR(INDEX(tsk_Name,(ROW()-ROW(MSPTasks[[#Headers],[ID]])))="",TRUE()),"",IF(INDEX(tsk_IsSummary,(ROW()-ROW(MSPTasks[[#Headers],[ID]]))),"",N(INDEX(tsk_Duration,(ROW()-ROW(MSPTasks[[#Headers],[ID]]))))&amp;"d"))</f>
        <v>12d</v>
      </c>
      <c r="G18" s="80" t="n">
        <f aca="false">IF(IFERROR(INDEX(tsk_Name,(ROW()-ROW(MSPTasks[[#Headers],[ID]])))="",TRUE()),"",INDEX(tsk_FcStart,(ROW()-ROW(MSPTasks[[#Headers],[ID]]))))</f>
        <v>46314</v>
      </c>
      <c r="H18" s="80" t="n">
        <f aca="false">IF(IFERROR(INDEX(tsk_Name,(ROW()-ROW(MSPTasks[[#Headers],[ID]])))="",TRUE()),"",INDEX(tsk_FcFinish,(ROW()-ROW(MSPTasks[[#Headers],[ID]]))))</f>
        <v>46331</v>
      </c>
      <c r="I18" s="23" t="str">
        <f aca="false">IF(IFERROR(INDEX(tsk_Name,(ROW()-ROW(MSPTasks[[#Headers],[ID]])))="",TRUE()),"",IF(INDEX(tsk_IsSummary,(ROW()-ROW(MSPTasks[[#Headers],[ID]]))),"",INDEX(tsk_Predecessors,(ROW()-ROW(MSPTasks[[#Headers],[ID]])))))</f>
        <v>16,13SS+2d</v>
      </c>
      <c r="J18" s="23" t="str">
        <f aca="false">IF(IFERROR(INDEX(tsk_Name,(ROW()-ROW(MSPTasks[[#Headers],[ID]])))="",TRUE()),"",IF(INDEX(tsk_IsSummary,(ROW()-ROW(MSPTasks[[#Headers],[ID]]))),"",INDEX(tsk_UIDPredecessors,(ROW()-ROW(MSPTasks[[#Headers],[ID]])))))</f>
        <v>16,13SS+2d</v>
      </c>
      <c r="K1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Sam Rivera</v>
      </c>
      <c r="L18" s="23" t="n">
        <f aca="false">IF(IFERROR(INDEX(tsk_Name,(ROW()-ROW(MSPTasks[[#Headers],[ID]])))="",TRUE()),"",IF(INDEX(tsk_IsSummary,(ROW()-ROW(MSPTasks[[#Headers],[ID]]))),"",ROUND(INDEX(tsk_Progress,(ROW()-ROW(MSPTasks[[#Headers],[ID]])))*100,0)))</f>
        <v>25</v>
      </c>
      <c r="M18" s="80" t="n">
        <f aca="false">IF(IFERROR(INDEX(tsk_Name,(ROW()-ROW(MSPTasks[[#Headers],[ID]])))="",TRUE()),"",IF(N(INDEX(tsk_ActStart,(ROW()-ROW(MSPTasks[[#Headers],[ID]]))))=0,"",INDEX(tsk_ActStart,(ROW()-ROW(MSPTasks[[#Headers],[ID]])))))</f>
        <v>46314</v>
      </c>
      <c r="N1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" s="80" t="n">
        <f aca="false">IF(IFERROR(INDEX(tsk_Name,(ROW()-ROW(MSPTasks[[#Headers],[ID]])))="",TRUE()),"",INDEX(tsk_PlanStart,(ROW()-ROW(MSPTasks[[#Headers],[ID]]))))</f>
        <v>46308</v>
      </c>
      <c r="P18" s="80" t="n">
        <f aca="false">IF(IFERROR(INDEX(tsk_Name,(ROW()-ROW(MSPTasks[[#Headers],[ID]])))="",TRUE()),"",INDEX(tsk_PlanFinish,(ROW()-ROW(MSPTasks[[#Headers],[ID]]))))</f>
        <v>46323</v>
      </c>
      <c r="Q1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1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" s="23" t="str">
        <f aca="false">IF(IFERROR(INDEX(tsk_Name,(ROW()-ROW(MSPTasks[[#Headers],[ID]])))="",TRUE()),"",INDEX(tsk_Notes,(ROW()-ROW(MSPTasks[[#Headers],[ID]])))&amp;"")</f>
        <v/>
      </c>
    </row>
    <row r="19" customFormat="false" ht="15" hidden="false" customHeight="false" outlineLevel="0" collapsed="false">
      <c r="A19" s="23" t="n">
        <f aca="false">IF(IFERROR(INDEX(tsk_Name,(ROW()-ROW(MSPTasks[[#Headers],[ID]])))="",TRUE()),"",INDEX(tsk_ID,(ROW()-ROW(MSPTasks[[#Headers],[ID]]))))</f>
        <v>18</v>
      </c>
      <c r="B19" s="23" t="n">
        <f aca="false">IF(IFERROR(INDEX(tsk_Name,(ROW()-ROW(MSPTasks[[#Headers],[ID]])))="",TRUE()),"",INDEX(tsk_UID,(ROW()-ROW(MSPTasks[[#Headers],[ID]]))))</f>
        <v>18</v>
      </c>
      <c r="C19" s="23" t="str">
        <f aca="false">IF(IFERROR(INDEX(tsk_Name,(ROW()-ROW(MSPTasks[[#Headers],[ID]])))="",TRUE()),"",INDEX(tsk_Name,(ROW()-ROW(MSPTasks[[#Headers],[ID]]))))</f>
        <v>Accessibility review</v>
      </c>
      <c r="D19" s="23" t="n">
        <f aca="false">IF(IFERROR(INDEX(tsk_Name,(ROW()-ROW(MSPTasks[[#Headers],[ID]])))="",TRUE()),"",INDEX(tsk_Level,(ROW()-ROW(MSPTasks[[#Headers],[ID]]))))</f>
        <v>3</v>
      </c>
      <c r="E19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9" s="23" t="str">
        <f aca="false">IF(IFERROR(INDEX(tsk_Name,(ROW()-ROW(MSPTasks[[#Headers],[ID]])))="",TRUE()),"",IF(INDEX(tsk_IsSummary,(ROW()-ROW(MSPTasks[[#Headers],[ID]]))),"",N(INDEX(tsk_Duration,(ROW()-ROW(MSPTasks[[#Headers],[ID]]))))&amp;"d"))</f>
        <v>3d</v>
      </c>
      <c r="G19" s="80" t="n">
        <f aca="false">IF(IFERROR(INDEX(tsk_Name,(ROW()-ROW(MSPTasks[[#Headers],[ID]])))="",TRUE()),"",INDEX(tsk_FcStart,(ROW()-ROW(MSPTasks[[#Headers],[ID]]))))</f>
        <v>46330</v>
      </c>
      <c r="H19" s="80" t="n">
        <f aca="false">IF(IFERROR(INDEX(tsk_Name,(ROW()-ROW(MSPTasks[[#Headers],[ID]])))="",TRUE()),"",INDEX(tsk_FcFinish,(ROW()-ROW(MSPTasks[[#Headers],[ID]]))))</f>
        <v>46332</v>
      </c>
      <c r="I19" s="23" t="str">
        <f aca="false">IF(IFERROR(INDEX(tsk_Name,(ROW()-ROW(MSPTasks[[#Headers],[ID]])))="",TRUE()),"",IF(INDEX(tsk_IsSummary,(ROW()-ROW(MSPTasks[[#Headers],[ID]]))),"",INDEX(tsk_Predecessors,(ROW()-ROW(MSPTasks[[#Headers],[ID]])))))</f>
        <v>17FF+1d</v>
      </c>
      <c r="J19" s="23" t="str">
        <f aca="false">IF(IFERROR(INDEX(tsk_Name,(ROW()-ROW(MSPTasks[[#Headers],[ID]])))="",TRUE()),"",IF(INDEX(tsk_IsSummary,(ROW()-ROW(MSPTasks[[#Headers],[ID]]))),"",INDEX(tsk_UIDPredecessors,(ROW()-ROW(MSPTasks[[#Headers],[ID]])))))</f>
        <v>17FF+1d</v>
      </c>
      <c r="K1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Kim[50%]</v>
      </c>
      <c r="L19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1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" s="80" t="n">
        <f aca="false">IF(IFERROR(INDEX(tsk_Name,(ROW()-ROW(MSPTasks[[#Headers],[ID]])))="",TRUE()),"",INDEX(tsk_PlanStart,(ROW()-ROW(MSPTasks[[#Headers],[ID]]))))</f>
        <v>46322</v>
      </c>
      <c r="P19" s="80" t="n">
        <f aca="false">IF(IFERROR(INDEX(tsk_Name,(ROW()-ROW(MSPTasks[[#Headers],[ID]])))="",TRUE()),"",INDEX(tsk_PlanFinish,(ROW()-ROW(MSPTasks[[#Headers],[ID]]))))</f>
        <v>46324</v>
      </c>
      <c r="Q1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1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" s="23" t="str">
        <f aca="false">IF(IFERROR(INDEX(tsk_Name,(ROW()-ROW(MSPTasks[[#Headers],[ID]])))="",TRUE()),"",INDEX(tsk_Notes,(ROW()-ROW(MSPTasks[[#Headers],[ID]])))&amp;"")</f>
        <v>Finish-to-Finish + 1 day; 50% units.</v>
      </c>
    </row>
    <row r="20" customFormat="false" ht="15" hidden="false" customHeight="false" outlineLevel="0" collapsed="false">
      <c r="A20" s="23" t="n">
        <f aca="false">IF(IFERROR(INDEX(tsk_Name,(ROW()-ROW(MSPTasks[[#Headers],[ID]])))="",TRUE()),"",INDEX(tsk_ID,(ROW()-ROW(MSPTasks[[#Headers],[ID]]))))</f>
        <v>19</v>
      </c>
      <c r="B20" s="23" t="n">
        <f aca="false">IF(IFERROR(INDEX(tsk_Name,(ROW()-ROW(MSPTasks[[#Headers],[ID]])))="",TRUE()),"",INDEX(tsk_UID,(ROW()-ROW(MSPTasks[[#Headers],[ID]]))))</f>
        <v>19</v>
      </c>
      <c r="C20" s="23" t="str">
        <f aca="false">IF(IFERROR(INDEX(tsk_Name,(ROW()-ROW(MSPTasks[[#Headers],[ID]])))="",TRUE()),"",INDEX(tsk_Name,(ROW()-ROW(MSPTasks[[#Headers],[ID]]))))</f>
        <v>Build complete</v>
      </c>
      <c r="D20" s="23" t="n">
        <f aca="false">IF(IFERROR(INDEX(tsk_Name,(ROW()-ROW(MSPTasks[[#Headers],[ID]])))="",TRUE()),"",INDEX(tsk_Level,(ROW()-ROW(MSPTasks[[#Headers],[ID]]))))</f>
        <v>2</v>
      </c>
      <c r="E20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0" s="23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20" s="80" t="n">
        <f aca="false">IF(IFERROR(INDEX(tsk_Name,(ROW()-ROW(MSPTasks[[#Headers],[ID]])))="",TRUE()),"",INDEX(tsk_FcStart,(ROW()-ROW(MSPTasks[[#Headers],[ID]]))))</f>
        <v>46335</v>
      </c>
      <c r="H20" s="80" t="n">
        <f aca="false">IF(IFERROR(INDEX(tsk_Name,(ROW()-ROW(MSPTasks[[#Headers],[ID]])))="",TRUE()),"",INDEX(tsk_FcFinish,(ROW()-ROW(MSPTasks[[#Headers],[ID]]))))</f>
        <v>46335</v>
      </c>
      <c r="I20" s="23" t="str">
        <f aca="false">IF(IFERROR(INDEX(tsk_Name,(ROW()-ROW(MSPTasks[[#Headers],[ID]])))="",TRUE()),"",IF(INDEX(tsk_IsSummary,(ROW()-ROW(MSPTasks[[#Headers],[ID]]))),"",INDEX(tsk_Predecessors,(ROW()-ROW(MSPTasks[[#Headers],[ID]])))))</f>
        <v>14,18</v>
      </c>
      <c r="J20" s="23" t="str">
        <f aca="false">IF(IFERROR(INDEX(tsk_Name,(ROW()-ROW(MSPTasks[[#Headers],[ID]])))="",TRUE()),"",IF(INDEX(tsk_IsSummary,(ROW()-ROW(MSPTasks[[#Headers],[ID]]))),"",INDEX(tsk_UIDPredecessors,(ROW()-ROW(MSPTasks[[#Headers],[ID]])))))</f>
        <v>14,18</v>
      </c>
      <c r="K2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" s="80" t="n">
        <f aca="false">IF(IFERROR(INDEX(tsk_Name,(ROW()-ROW(MSPTasks[[#Headers],[ID]])))="",TRUE()),"",INDEX(tsk_PlanStart,(ROW()-ROW(MSPTasks[[#Headers],[ID]]))))</f>
        <v>46325</v>
      </c>
      <c r="P20" s="80" t="n">
        <f aca="false">IF(IFERROR(INDEX(tsk_Name,(ROW()-ROW(MSPTasks[[#Headers],[ID]])))="",TRUE()),"",INDEX(tsk_PlanFinish,(ROW()-ROW(MSPTasks[[#Headers],[ID]]))))</f>
        <v>46325</v>
      </c>
      <c r="Q2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2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0" s="80" t="n">
        <f aca="false">IF(IFERROR(INDEX(tsk_Name,(ROW()-ROW(MSPTasks[[#Headers],[ID]])))="",TRUE()),"",IF(N(INDEX(tsk_Deadline,(ROW()-ROW(MSPTasks[[#Headers],[ID]]))))=0,"",INDEX(tsk_Deadline,(ROW()-ROW(MSPTasks[[#Headers],[ID]])))))</f>
        <v>46332</v>
      </c>
      <c r="W20" s="23" t="str">
        <f aca="false">IF(IFERROR(INDEX(tsk_Name,(ROW()-ROW(MSPTasks[[#Headers],[ID]])))="",TRUE()),"",INDEX(tsk_Notes,(ROW()-ROW(MSPTasks[[#Headers],[ID]])))&amp;"")</f>
        <v>Milestone with a deadline of 06-Nov (see Deadline Check).</v>
      </c>
    </row>
    <row r="21" customFormat="false" ht="15" hidden="false" customHeight="false" outlineLevel="0" collapsed="false">
      <c r="A21" s="23" t="n">
        <f aca="false">IF(IFERROR(INDEX(tsk_Name,(ROW()-ROW(MSPTasks[[#Headers],[ID]])))="",TRUE()),"",INDEX(tsk_ID,(ROW()-ROW(MSPTasks[[#Headers],[ID]]))))</f>
        <v>20</v>
      </c>
      <c r="B21" s="23" t="n">
        <f aca="false">IF(IFERROR(INDEX(tsk_Name,(ROW()-ROW(MSPTasks[[#Headers],[ID]])))="",TRUE()),"",INDEX(tsk_UID,(ROW()-ROW(MSPTasks[[#Headers],[ID]]))))</f>
        <v>20</v>
      </c>
      <c r="C21" s="23" t="str">
        <f aca="false">IF(IFERROR(INDEX(tsk_Name,(ROW()-ROW(MSPTasks[[#Headers],[ID]])))="",TRUE()),"",INDEX(tsk_Name,(ROW()-ROW(MSPTasks[[#Headers],[ID]]))))</f>
        <v>Test &amp; Release</v>
      </c>
      <c r="D21" s="23" t="n">
        <f aca="false">IF(IFERROR(INDEX(tsk_Name,(ROW()-ROW(MSPTasks[[#Headers],[ID]])))="",TRUE()),"",INDEX(tsk_Level,(ROW()-ROW(MSPTasks[[#Headers],[ID]]))))</f>
        <v>1</v>
      </c>
      <c r="E21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1" s="80" t="n">
        <f aca="false">IF(IFERROR(INDEX(tsk_Name,(ROW()-ROW(MSPTasks[[#Headers],[ID]])))="",TRUE()),"",INDEX(tsk_FcStart,(ROW()-ROW(MSPTasks[[#Headers],[ID]]))))</f>
        <v>46336</v>
      </c>
      <c r="H21" s="80" t="n">
        <f aca="false">IF(IFERROR(INDEX(tsk_Name,(ROW()-ROW(MSPTasks[[#Headers],[ID]])))="",TRUE()),"",INDEX(tsk_FcFinish,(ROW()-ROW(MSPTasks[[#Headers],[ID]]))))</f>
        <v>46391</v>
      </c>
      <c r="I2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1" s="80" t="n">
        <f aca="false">IF(IFERROR(INDEX(tsk_Name,(ROW()-ROW(MSPTasks[[#Headers],[ID]])))="",TRUE()),"",INDEX(tsk_PlanStart,(ROW()-ROW(MSPTasks[[#Headers],[ID]]))))</f>
        <v>46328</v>
      </c>
      <c r="P21" s="80" t="n">
        <f aca="false">IF(IFERROR(INDEX(tsk_Name,(ROW()-ROW(MSPTasks[[#Headers],[ID]])))="",TRUE()),"",INDEX(tsk_PlanFinish,(ROW()-ROW(MSPTasks[[#Headers],[ID]]))))</f>
        <v>46391</v>
      </c>
      <c r="Q2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1" s="23" t="str">
        <f aca="false">IF(IFERROR(INDEX(tsk_Name,(ROW()-ROW(MSPTasks[[#Headers],[ID]])))="",TRUE()),"",INDEX(tsk_Notes,(ROW()-ROW(MSPTasks[[#Headers],[ID]])))&amp;"")</f>
        <v/>
      </c>
    </row>
    <row r="22" customFormat="false" ht="15" hidden="false" customHeight="false" outlineLevel="0" collapsed="false">
      <c r="A22" s="23" t="n">
        <f aca="false">IF(IFERROR(INDEX(tsk_Name,(ROW()-ROW(MSPTasks[[#Headers],[ID]])))="",TRUE()),"",INDEX(tsk_ID,(ROW()-ROW(MSPTasks[[#Headers],[ID]]))))</f>
        <v>21</v>
      </c>
      <c r="B22" s="23" t="n">
        <f aca="false">IF(IFERROR(INDEX(tsk_Name,(ROW()-ROW(MSPTasks[[#Headers],[ID]])))="",TRUE()),"",INDEX(tsk_UID,(ROW()-ROW(MSPTasks[[#Headers],[ID]]))))</f>
        <v>21</v>
      </c>
      <c r="C22" s="23" t="str">
        <f aca="false">IF(IFERROR(INDEX(tsk_Name,(ROW()-ROW(MSPTasks[[#Headers],[ID]])))="",TRUE()),"",INDEX(tsk_Name,(ROW()-ROW(MSPTasks[[#Headers],[ID]]))))</f>
        <v>System integration testing</v>
      </c>
      <c r="D22" s="23" t="n">
        <f aca="false">IF(IFERROR(INDEX(tsk_Name,(ROW()-ROW(MSPTasks[[#Headers],[ID]])))="",TRUE()),"",INDEX(tsk_Level,(ROW()-ROW(MSPTasks[[#Headers],[ID]]))))</f>
        <v>2</v>
      </c>
      <c r="E22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2" s="23" t="str">
        <f aca="false">IF(IFERROR(INDEX(tsk_Name,(ROW()-ROW(MSPTasks[[#Headers],[ID]])))="",TRUE()),"",IF(INDEX(tsk_IsSummary,(ROW()-ROW(MSPTasks[[#Headers],[ID]]))),"",N(INDEX(tsk_Duration,(ROW()-ROW(MSPTasks[[#Headers],[ID]]))))&amp;"d"))</f>
        <v>8d</v>
      </c>
      <c r="G22" s="80" t="n">
        <f aca="false">IF(IFERROR(INDEX(tsk_Name,(ROW()-ROW(MSPTasks[[#Headers],[ID]])))="",TRUE()),"",INDEX(tsk_FcStart,(ROW()-ROW(MSPTasks[[#Headers],[ID]]))))</f>
        <v>46336</v>
      </c>
      <c r="H22" s="80" t="n">
        <f aca="false">IF(IFERROR(INDEX(tsk_Name,(ROW()-ROW(MSPTasks[[#Headers],[ID]])))="",TRUE()),"",INDEX(tsk_FcFinish,(ROW()-ROW(MSPTasks[[#Headers],[ID]]))))</f>
        <v>46345</v>
      </c>
      <c r="I22" s="23" t="str">
        <f aca="false">IF(IFERROR(INDEX(tsk_Name,(ROW()-ROW(MSPTasks[[#Headers],[ID]])))="",TRUE()),"",IF(INDEX(tsk_IsSummary,(ROW()-ROW(MSPTasks[[#Headers],[ID]]))),"",INDEX(tsk_Predecessors,(ROW()-ROW(MSPTasks[[#Headers],[ID]])))))</f>
        <v>19</v>
      </c>
      <c r="J22" s="23" t="str">
        <f aca="false">IF(IFERROR(INDEX(tsk_Name,(ROW()-ROW(MSPTasks[[#Headers],[ID]])))="",TRUE()),"",IF(INDEX(tsk_IsSummary,(ROW()-ROW(MSPTasks[[#Headers],[ID]]))),"",INDEX(tsk_UIDPredecessors,(ROW()-ROW(MSPTasks[[#Headers],[ID]])))))</f>
        <v>19</v>
      </c>
      <c r="K2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Taylor Morgan</v>
      </c>
      <c r="L22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2" s="80" t="n">
        <f aca="false">IF(IFERROR(INDEX(tsk_Name,(ROW()-ROW(MSPTasks[[#Headers],[ID]])))="",TRUE()),"",INDEX(tsk_PlanStart,(ROW()-ROW(MSPTasks[[#Headers],[ID]]))))</f>
        <v>46328</v>
      </c>
      <c r="P22" s="80" t="n">
        <f aca="false">IF(IFERROR(INDEX(tsk_Name,(ROW()-ROW(MSPTasks[[#Headers],[ID]])))="",TRUE()),"",INDEX(tsk_PlanFinish,(ROW()-ROW(MSPTasks[[#Headers],[ID]]))))</f>
        <v>46337</v>
      </c>
      <c r="Q2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2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2" s="23" t="str">
        <f aca="false">IF(IFERROR(INDEX(tsk_Name,(ROW()-ROW(MSPTasks[[#Headers],[ID]])))="",TRUE()),"",INDEX(tsk_Notes,(ROW()-ROW(MSPTasks[[#Headers],[ID]])))&amp;"")</f>
        <v/>
      </c>
    </row>
    <row r="23" customFormat="false" ht="15" hidden="false" customHeight="false" outlineLevel="0" collapsed="false">
      <c r="A23" s="23" t="n">
        <f aca="false">IF(IFERROR(INDEX(tsk_Name,(ROW()-ROW(MSPTasks[[#Headers],[ID]])))="",TRUE()),"",INDEX(tsk_ID,(ROW()-ROW(MSPTasks[[#Headers],[ID]]))))</f>
        <v>22</v>
      </c>
      <c r="B23" s="23" t="n">
        <f aca="false">IF(IFERROR(INDEX(tsk_Name,(ROW()-ROW(MSPTasks[[#Headers],[ID]])))="",TRUE()),"",INDEX(tsk_UID,(ROW()-ROW(MSPTasks[[#Headers],[ID]]))))</f>
        <v>22</v>
      </c>
      <c r="C23" s="23" t="str">
        <f aca="false">IF(IFERROR(INDEX(tsk_Name,(ROW()-ROW(MSPTasks[[#Headers],[ID]])))="",TRUE()),"",INDEX(tsk_Name,(ROW()-ROW(MSPTasks[[#Headers],[ID]]))))</f>
        <v>User acceptance testing</v>
      </c>
      <c r="D23" s="23" t="n">
        <f aca="false">IF(IFERROR(INDEX(tsk_Name,(ROW()-ROW(MSPTasks[[#Headers],[ID]])))="",TRUE()),"",INDEX(tsk_Level,(ROW()-ROW(MSPTasks[[#Headers],[ID]]))))</f>
        <v>2</v>
      </c>
      <c r="E23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3" s="23" t="str">
        <f aca="false">IF(IFERROR(INDEX(tsk_Name,(ROW()-ROW(MSPTasks[[#Headers],[ID]])))="",TRUE()),"",IF(INDEX(tsk_IsSummary,(ROW()-ROW(MSPTasks[[#Headers],[ID]]))),"",N(INDEX(tsk_Duration,(ROW()-ROW(MSPTasks[[#Headers],[ID]]))))&amp;"d"))</f>
        <v>6d</v>
      </c>
      <c r="G23" s="80" t="n">
        <f aca="false">IF(IFERROR(INDEX(tsk_Name,(ROW()-ROW(MSPTasks[[#Headers],[ID]])))="",TRUE()),"",INDEX(tsk_FcStart,(ROW()-ROW(MSPTasks[[#Headers],[ID]]))))</f>
        <v>46363</v>
      </c>
      <c r="H23" s="80" t="n">
        <f aca="false">IF(IFERROR(INDEX(tsk_Name,(ROW()-ROW(MSPTasks[[#Headers],[ID]])))="",TRUE()),"",INDEX(tsk_FcFinish,(ROW()-ROW(MSPTasks[[#Headers],[ID]]))))</f>
        <v>46370</v>
      </c>
      <c r="I23" s="23" t="str">
        <f aca="false">IF(IFERROR(INDEX(tsk_Name,(ROW()-ROW(MSPTasks[[#Headers],[ID]])))="",TRUE()),"",IF(INDEX(tsk_IsSummary,(ROW()-ROW(MSPTasks[[#Headers],[ID]]))),"",INDEX(tsk_Predecessors,(ROW()-ROW(MSPTasks[[#Headers],[ID]])))))</f>
        <v>21</v>
      </c>
      <c r="J23" s="23" t="str">
        <f aca="false">IF(IFERROR(INDEX(tsk_Name,(ROW()-ROW(MSPTasks[[#Headers],[ID]])))="",TRUE()),"",IF(INDEX(tsk_IsSummary,(ROW()-ROW(MSPTasks[[#Headers],[ID]]))),"",INDEX(tsk_UIDPredecessors,(ROW()-ROW(MSPTasks[[#Headers],[ID]])))))</f>
        <v>21</v>
      </c>
      <c r="K2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23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3" s="80" t="n">
        <f aca="false">IF(IFERROR(INDEX(tsk_Name,(ROW()-ROW(MSPTasks[[#Headers],[ID]])))="",TRUE()),"",INDEX(tsk_PlanStart,(ROW()-ROW(MSPTasks[[#Headers],[ID]]))))</f>
        <v>46363</v>
      </c>
      <c r="P23" s="80" t="n">
        <f aca="false">IF(IFERROR(INDEX(tsk_Name,(ROW()-ROW(MSPTasks[[#Headers],[ID]])))="",TRUE()),"",INDEX(tsk_PlanFinish,(ROW()-ROW(MSPTasks[[#Headers],[ID]]))))</f>
        <v>46370</v>
      </c>
      <c r="Q2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Start No Earlier Than</v>
      </c>
      <c r="U23" s="80" t="n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>46363</v>
      </c>
      <c r="V2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3" s="23" t="str">
        <f aca="false">IF(IFERROR(INDEX(tsk_Name,(ROW()-ROW(MSPTasks[[#Headers],[ID]])))="",TRUE()),"",INDEX(tsk_Notes,(ROW()-ROW(MSPTasks[[#Headers],[ID]])))&amp;"")</f>
        <v>Start No Earlier Than 07-Dec (client availability).</v>
      </c>
    </row>
    <row r="24" customFormat="false" ht="15" hidden="false" customHeight="false" outlineLevel="0" collapsed="false">
      <c r="A24" s="23" t="n">
        <f aca="false">IF(IFERROR(INDEX(tsk_Name,(ROW()-ROW(MSPTasks[[#Headers],[ID]])))="",TRUE()),"",INDEX(tsk_ID,(ROW()-ROW(MSPTasks[[#Headers],[ID]]))))</f>
        <v>23</v>
      </c>
      <c r="B24" s="23" t="n">
        <f aca="false">IF(IFERROR(INDEX(tsk_Name,(ROW()-ROW(MSPTasks[[#Headers],[ID]])))="",TRUE()),"",INDEX(tsk_UID,(ROW()-ROW(MSPTasks[[#Headers],[ID]]))))</f>
        <v>23</v>
      </c>
      <c r="C24" s="23" t="str">
        <f aca="false">IF(IFERROR(INDEX(tsk_Name,(ROW()-ROW(MSPTasks[[#Headers],[ID]])))="",TRUE()),"",INDEX(tsk_Name,(ROW()-ROW(MSPTasks[[#Headers],[ID]]))))</f>
        <v>Training &amp; user guides</v>
      </c>
      <c r="D24" s="23" t="n">
        <f aca="false">IF(IFERROR(INDEX(tsk_Name,(ROW()-ROW(MSPTasks[[#Headers],[ID]])))="",TRUE()),"",INDEX(tsk_Level,(ROW()-ROW(MSPTasks[[#Headers],[ID]]))))</f>
        <v>2</v>
      </c>
      <c r="E24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4" s="23" t="str">
        <f aca="false">IF(IFERROR(INDEX(tsk_Name,(ROW()-ROW(MSPTasks[[#Headers],[ID]])))="",TRUE()),"",IF(INDEX(tsk_IsSummary,(ROW()-ROW(MSPTasks[[#Headers],[ID]]))),"",N(INDEX(tsk_Duration,(ROW()-ROW(MSPTasks[[#Headers],[ID]]))))&amp;"d"))</f>
        <v>5d</v>
      </c>
      <c r="G24" s="80" t="n">
        <f aca="false">IF(IFERROR(INDEX(tsk_Name,(ROW()-ROW(MSPTasks[[#Headers],[ID]])))="",TRUE()),"",INDEX(tsk_FcStart,(ROW()-ROW(MSPTasks[[#Headers],[ID]]))))</f>
        <v>46338</v>
      </c>
      <c r="H24" s="80" t="n">
        <f aca="false">IF(IFERROR(INDEX(tsk_Name,(ROW()-ROW(MSPTasks[[#Headers],[ID]])))="",TRUE()),"",INDEX(tsk_FcFinish,(ROW()-ROW(MSPTasks[[#Headers],[ID]]))))</f>
        <v>46344</v>
      </c>
      <c r="I24" s="23" t="str">
        <f aca="false">IF(IFERROR(INDEX(tsk_Name,(ROW()-ROW(MSPTasks[[#Headers],[ID]])))="",TRUE()),"",IF(INDEX(tsk_IsSummary,(ROW()-ROW(MSPTasks[[#Headers],[ID]]))),"",INDEX(tsk_Predecessors,(ROW()-ROW(MSPTasks[[#Headers],[ID]])))))</f>
        <v>21SS+2d</v>
      </c>
      <c r="J24" s="23" t="str">
        <f aca="false">IF(IFERROR(INDEX(tsk_Name,(ROW()-ROW(MSPTasks[[#Headers],[ID]])))="",TRUE()),"",IF(INDEX(tsk_IsSummary,(ROW()-ROW(MSPTasks[[#Headers],[ID]]))),"",INDEX(tsk_UIDPredecessors,(ROW()-ROW(MSPTasks[[#Headers],[ID]])))))</f>
        <v>21SS+2d</v>
      </c>
      <c r="K2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Kim[50%]</v>
      </c>
      <c r="L24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4" s="80" t="n">
        <f aca="false">IF(IFERROR(INDEX(tsk_Name,(ROW()-ROW(MSPTasks[[#Headers],[ID]])))="",TRUE()),"",INDEX(tsk_PlanStart,(ROW()-ROW(MSPTasks[[#Headers],[ID]]))))</f>
        <v>46330</v>
      </c>
      <c r="P24" s="80" t="n">
        <f aca="false">IF(IFERROR(INDEX(tsk_Name,(ROW()-ROW(MSPTasks[[#Headers],[ID]])))="",TRUE()),"",INDEX(tsk_PlanFinish,(ROW()-ROW(MSPTasks[[#Headers],[ID]]))))</f>
        <v>46336</v>
      </c>
      <c r="Q2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2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4" s="23" t="str">
        <f aca="false">IF(IFERROR(INDEX(tsk_Name,(ROW()-ROW(MSPTasks[[#Headers],[ID]])))="",TRUE()),"",INDEX(tsk_Notes,(ROW()-ROW(MSPTasks[[#Headers],[ID]])))&amp;"")</f>
        <v/>
      </c>
    </row>
    <row r="25" customFormat="false" ht="15" hidden="false" customHeight="false" outlineLevel="0" collapsed="false">
      <c r="A25" s="23" t="n">
        <f aca="false">IF(IFERROR(INDEX(tsk_Name,(ROW()-ROW(MSPTasks[[#Headers],[ID]])))="",TRUE()),"",INDEX(tsk_ID,(ROW()-ROW(MSPTasks[[#Headers],[ID]]))))</f>
        <v>24</v>
      </c>
      <c r="B25" s="23" t="n">
        <f aca="false">IF(IFERROR(INDEX(tsk_Name,(ROW()-ROW(MSPTasks[[#Headers],[ID]])))="",TRUE()),"",INDEX(tsk_UID,(ROW()-ROW(MSPTasks[[#Headers],[ID]]))))</f>
        <v>24</v>
      </c>
      <c r="C25" s="23" t="str">
        <f aca="false">IF(IFERROR(INDEX(tsk_Name,(ROW()-ROW(MSPTasks[[#Headers],[ID]])))="",TRUE()),"",INDEX(tsk_Name,(ROW()-ROW(MSPTasks[[#Headers],[ID]]))))</f>
        <v>Go-live readiness review</v>
      </c>
      <c r="D25" s="23" t="n">
        <f aca="false">IF(IFERROR(INDEX(tsk_Name,(ROW()-ROW(MSPTasks[[#Headers],[ID]])))="",TRUE()),"",INDEX(tsk_Level,(ROW()-ROW(MSPTasks[[#Headers],[ID]]))))</f>
        <v>2</v>
      </c>
      <c r="E25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5" s="23" t="str">
        <f aca="false">IF(IFERROR(INDEX(tsk_Name,(ROW()-ROW(MSPTasks[[#Headers],[ID]])))="",TRUE()),"",IF(INDEX(tsk_IsSummary,(ROW()-ROW(MSPTasks[[#Headers],[ID]]))),"",N(INDEX(tsk_Duration,(ROW()-ROW(MSPTasks[[#Headers],[ID]]))))&amp;"d"))</f>
        <v>1d</v>
      </c>
      <c r="G25" s="80" t="n">
        <f aca="false">IF(IFERROR(INDEX(tsk_Name,(ROW()-ROW(MSPTasks[[#Headers],[ID]])))="",TRUE()),"",INDEX(tsk_FcStart,(ROW()-ROW(MSPTasks[[#Headers],[ID]]))))</f>
        <v>46371</v>
      </c>
      <c r="H25" s="80" t="n">
        <f aca="false">IF(IFERROR(INDEX(tsk_Name,(ROW()-ROW(MSPTasks[[#Headers],[ID]])))="",TRUE()),"",INDEX(tsk_FcFinish,(ROW()-ROW(MSPTasks[[#Headers],[ID]]))))</f>
        <v>46371</v>
      </c>
      <c r="I25" s="23" t="str">
        <f aca="false">IF(IFERROR(INDEX(tsk_Name,(ROW()-ROW(MSPTasks[[#Headers],[ID]])))="",TRUE()),"",IF(INDEX(tsk_IsSummary,(ROW()-ROW(MSPTasks[[#Headers],[ID]]))),"",INDEX(tsk_Predecessors,(ROW()-ROW(MSPTasks[[#Headers],[ID]])))))</f>
        <v>22,23</v>
      </c>
      <c r="J25" s="23" t="str">
        <f aca="false">IF(IFERROR(INDEX(tsk_Name,(ROW()-ROW(MSPTasks[[#Headers],[ID]])))="",TRUE()),"",IF(INDEX(tsk_IsSummary,(ROW()-ROW(MSPTasks[[#Headers],[ID]]))),"",INDEX(tsk_UIDPredecessors,(ROW()-ROW(MSPTasks[[#Headers],[ID]])))))</f>
        <v>22,23</v>
      </c>
      <c r="K2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25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5" s="80" t="n">
        <f aca="false">IF(IFERROR(INDEX(tsk_Name,(ROW()-ROW(MSPTasks[[#Headers],[ID]])))="",TRUE()),"",INDEX(tsk_PlanStart,(ROW()-ROW(MSPTasks[[#Headers],[ID]]))))</f>
        <v>46371</v>
      </c>
      <c r="P25" s="80" t="n">
        <f aca="false">IF(IFERROR(INDEX(tsk_Name,(ROW()-ROW(MSPTasks[[#Headers],[ID]])))="",TRUE()),"",INDEX(tsk_PlanFinish,(ROW()-ROW(MSPTasks[[#Headers],[ID]]))))</f>
        <v>46371</v>
      </c>
      <c r="Q2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2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5" s="23" t="str">
        <f aca="false">IF(IFERROR(INDEX(tsk_Name,(ROW()-ROW(MSPTasks[[#Headers],[ID]])))="",TRUE()),"",INDEX(tsk_Notes,(ROW()-ROW(MSPTasks[[#Headers],[ID]])))&amp;"")</f>
        <v/>
      </c>
    </row>
    <row r="26" customFormat="false" ht="15" hidden="false" customHeight="false" outlineLevel="0" collapsed="false">
      <c r="A26" s="23" t="n">
        <f aca="false">IF(IFERROR(INDEX(tsk_Name,(ROW()-ROW(MSPTasks[[#Headers],[ID]])))="",TRUE()),"",INDEX(tsk_ID,(ROW()-ROW(MSPTasks[[#Headers],[ID]]))))</f>
        <v>25</v>
      </c>
      <c r="B26" s="23" t="n">
        <f aca="false">IF(IFERROR(INDEX(tsk_Name,(ROW()-ROW(MSPTasks[[#Headers],[ID]])))="",TRUE()),"",INDEX(tsk_UID,(ROW()-ROW(MSPTasks[[#Headers],[ID]]))))</f>
        <v>25</v>
      </c>
      <c r="C26" s="23" t="str">
        <f aca="false">IF(IFERROR(INDEX(tsk_Name,(ROW()-ROW(MSPTasks[[#Headers],[ID]])))="",TRUE()),"",INDEX(tsk_Name,(ROW()-ROW(MSPTasks[[#Headers],[ID]]))))</f>
        <v>Go-live</v>
      </c>
      <c r="D26" s="23" t="n">
        <f aca="false">IF(IFERROR(INDEX(tsk_Name,(ROW()-ROW(MSPTasks[[#Headers],[ID]])))="",TRUE()),"",INDEX(tsk_Level,(ROW()-ROW(MSPTasks[[#Headers],[ID]]))))</f>
        <v>2</v>
      </c>
      <c r="E26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6" s="23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26" s="80" t="n">
        <f aca="false">IF(IFERROR(INDEX(tsk_Name,(ROW()-ROW(MSPTasks[[#Headers],[ID]])))="",TRUE()),"",INDEX(tsk_FcStart,(ROW()-ROW(MSPTasks[[#Headers],[ID]]))))</f>
        <v>46371</v>
      </c>
      <c r="H26" s="80" t="n">
        <f aca="false">IF(IFERROR(INDEX(tsk_Name,(ROW()-ROW(MSPTasks[[#Headers],[ID]])))="",TRUE()),"",INDEX(tsk_FcFinish,(ROW()-ROW(MSPTasks[[#Headers],[ID]]))))</f>
        <v>46371</v>
      </c>
      <c r="I26" s="23" t="str">
        <f aca="false">IF(IFERROR(INDEX(tsk_Name,(ROW()-ROW(MSPTasks[[#Headers],[ID]])))="",TRUE()),"",IF(INDEX(tsk_IsSummary,(ROW()-ROW(MSPTasks[[#Headers],[ID]]))),"",INDEX(tsk_Predecessors,(ROW()-ROW(MSPTasks[[#Headers],[ID]])))))</f>
        <v>24</v>
      </c>
      <c r="J26" s="23" t="str">
        <f aca="false">IF(IFERROR(INDEX(tsk_Name,(ROW()-ROW(MSPTasks[[#Headers],[ID]])))="",TRUE()),"",IF(INDEX(tsk_IsSummary,(ROW()-ROW(MSPTasks[[#Headers],[ID]]))),"",INDEX(tsk_UIDPredecessors,(ROW()-ROW(MSPTasks[[#Headers],[ID]])))))</f>
        <v>24</v>
      </c>
      <c r="K2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6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6" s="80" t="n">
        <f aca="false">IF(IFERROR(INDEX(tsk_Name,(ROW()-ROW(MSPTasks[[#Headers],[ID]])))="",TRUE()),"",INDEX(tsk_PlanStart,(ROW()-ROW(MSPTasks[[#Headers],[ID]]))))</f>
        <v>46371</v>
      </c>
      <c r="P26" s="80" t="n">
        <f aca="false">IF(IFERROR(INDEX(tsk_Name,(ROW()-ROW(MSPTasks[[#Headers],[ID]])))="",TRUE()),"",INDEX(tsk_PlanFinish,(ROW()-ROW(MSPTasks[[#Headers],[ID]]))))</f>
        <v>46371</v>
      </c>
      <c r="Q2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2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6" s="80" t="n">
        <f aca="false">IF(IFERROR(INDEX(tsk_Name,(ROW()-ROW(MSPTasks[[#Headers],[ID]])))="",TRUE()),"",IF(N(INDEX(tsk_Deadline,(ROW()-ROW(MSPTasks[[#Headers],[ID]]))))=0,"",INDEX(tsk_Deadline,(ROW()-ROW(MSPTasks[[#Headers],[ID]])))))</f>
        <v>46374</v>
      </c>
      <c r="W26" s="23" t="str">
        <f aca="false">IF(IFERROR(INDEX(tsk_Name,(ROW()-ROW(MSPTasks[[#Headers],[ID]])))="",TRUE()),"",INDEX(tsk_Notes,(ROW()-ROW(MSPTasks[[#Headers],[ID]])))&amp;"")</f>
        <v>Milestone with a deadline of 18-Dec.</v>
      </c>
    </row>
    <row r="27" customFormat="false" ht="15" hidden="false" customHeight="false" outlineLevel="0" collapsed="false">
      <c r="A27" s="23" t="n">
        <f aca="false">IF(IFERROR(INDEX(tsk_Name,(ROW()-ROW(MSPTasks[[#Headers],[ID]])))="",TRUE()),"",INDEX(tsk_ID,(ROW()-ROW(MSPTasks[[#Headers],[ID]]))))</f>
        <v>26</v>
      </c>
      <c r="B27" s="23" t="n">
        <f aca="false">IF(IFERROR(INDEX(tsk_Name,(ROW()-ROW(MSPTasks[[#Headers],[ID]])))="",TRUE()),"",INDEX(tsk_UID,(ROW()-ROW(MSPTasks[[#Headers],[ID]]))))</f>
        <v>26</v>
      </c>
      <c r="C27" s="23" t="str">
        <f aca="false">IF(IFERROR(INDEX(tsk_Name,(ROW()-ROW(MSPTasks[[#Headers],[ID]])))="",TRUE()),"",INDEX(tsk_Name,(ROW()-ROW(MSPTasks[[#Headers],[ID]]))))</f>
        <v>Hypercare support</v>
      </c>
      <c r="D27" s="23" t="n">
        <f aca="false">IF(IFERROR(INDEX(tsk_Name,(ROW()-ROW(MSPTasks[[#Headers],[ID]])))="",TRUE()),"",INDEX(tsk_Level,(ROW()-ROW(MSPTasks[[#Headers],[ID]]))))</f>
        <v>2</v>
      </c>
      <c r="E27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7" s="23" t="str">
        <f aca="false">IF(IFERROR(INDEX(tsk_Name,(ROW()-ROW(MSPTasks[[#Headers],[ID]])))="",TRUE()),"",IF(INDEX(tsk_IsSummary,(ROW()-ROW(MSPTasks[[#Headers],[ID]]))),"",N(INDEX(tsk_Duration,(ROW()-ROW(MSPTasks[[#Headers],[ID]]))))&amp;"d"))</f>
        <v>10d</v>
      </c>
      <c r="G27" s="80" t="n">
        <f aca="false">IF(IFERROR(INDEX(tsk_Name,(ROW()-ROW(MSPTasks[[#Headers],[ID]])))="",TRUE()),"",INDEX(tsk_FcStart,(ROW()-ROW(MSPTasks[[#Headers],[ID]]))))</f>
        <v>46372</v>
      </c>
      <c r="H27" s="80" t="n">
        <f aca="false">IF(IFERROR(INDEX(tsk_Name,(ROW()-ROW(MSPTasks[[#Headers],[ID]])))="",TRUE()),"",INDEX(tsk_FcFinish,(ROW()-ROW(MSPTasks[[#Headers],[ID]]))))</f>
        <v>46391</v>
      </c>
      <c r="I27" s="23" t="str">
        <f aca="false">IF(IFERROR(INDEX(tsk_Name,(ROW()-ROW(MSPTasks[[#Headers],[ID]])))="",TRUE()),"",IF(INDEX(tsk_IsSummary,(ROW()-ROW(MSPTasks[[#Headers],[ID]]))),"",INDEX(tsk_Predecessors,(ROW()-ROW(MSPTasks[[#Headers],[ID]])))))</f>
        <v>25</v>
      </c>
      <c r="J27" s="23" t="str">
        <f aca="false">IF(IFERROR(INDEX(tsk_Name,(ROW()-ROW(MSPTasks[[#Headers],[ID]])))="",TRUE()),"",IF(INDEX(tsk_IsSummary,(ROW()-ROW(MSPTasks[[#Headers],[ID]]))),"",INDEX(tsk_UIDPredecessors,(ROW()-ROW(MSPTasks[[#Headers],[ID]])))))</f>
        <v>25</v>
      </c>
      <c r="K2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Lee[50%]</v>
      </c>
      <c r="L27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7" s="80" t="n">
        <f aca="false">IF(IFERROR(INDEX(tsk_Name,(ROW()-ROW(MSPTasks[[#Headers],[ID]])))="",TRUE()),"",INDEX(tsk_PlanStart,(ROW()-ROW(MSPTasks[[#Headers],[ID]]))))</f>
        <v>46372</v>
      </c>
      <c r="P27" s="80" t="n">
        <f aca="false">IF(IFERROR(INDEX(tsk_Name,(ROW()-ROW(MSPTasks[[#Headers],[ID]])))="",TRUE()),"",INDEX(tsk_PlanFinish,(ROW()-ROW(MSPTasks[[#Headers],[ID]]))))</f>
        <v>46391</v>
      </c>
      <c r="Q2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2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7" s="23" t="str">
        <f aca="false">IF(IFERROR(INDEX(tsk_Name,(ROW()-ROW(MSPTasks[[#Headers],[ID]])))="",TRUE()),"",INDEX(tsk_Notes,(ROW()-ROW(MSPTasks[[#Headers],[ID]])))&amp;"")</f>
        <v/>
      </c>
    </row>
    <row r="28" customFormat="false" ht="15" hidden="false" customHeight="false" outlineLevel="0" collapsed="false">
      <c r="A28" s="23" t="n">
        <f aca="false">IF(IFERROR(INDEX(tsk_Name,(ROW()-ROW(MSPTasks[[#Headers],[ID]])))="",TRUE()),"",INDEX(tsk_ID,(ROW()-ROW(MSPTasks[[#Headers],[ID]]))))</f>
        <v>27</v>
      </c>
      <c r="B28" s="23" t="n">
        <f aca="false">IF(IFERROR(INDEX(tsk_Name,(ROW()-ROW(MSPTasks[[#Headers],[ID]])))="",TRUE()),"",INDEX(tsk_UID,(ROW()-ROW(MSPTasks[[#Headers],[ID]]))))</f>
        <v>27</v>
      </c>
      <c r="C28" s="23" t="str">
        <f aca="false">IF(IFERROR(INDEX(tsk_Name,(ROW()-ROW(MSPTasks[[#Headers],[ID]])))="",TRUE()),"",INDEX(tsk_Name,(ROW()-ROW(MSPTasks[[#Headers],[ID]]))))</f>
        <v>Project Close</v>
      </c>
      <c r="D28" s="23" t="n">
        <f aca="false">IF(IFERROR(INDEX(tsk_Name,(ROW()-ROW(MSPTasks[[#Headers],[ID]])))="",TRUE()),"",INDEX(tsk_Level,(ROW()-ROW(MSPTasks[[#Headers],[ID]]))))</f>
        <v>1</v>
      </c>
      <c r="E28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8" s="80" t="n">
        <f aca="false">IF(IFERROR(INDEX(tsk_Name,(ROW()-ROW(MSPTasks[[#Headers],[ID]])))="",TRUE()),"",INDEX(tsk_FcStart,(ROW()-ROW(MSPTasks[[#Headers],[ID]]))))</f>
        <v>46342</v>
      </c>
      <c r="H28" s="80" t="n">
        <f aca="false">IF(IFERROR(INDEX(tsk_Name,(ROW()-ROW(MSPTasks[[#Headers],[ID]])))="",TRUE()),"",INDEX(tsk_FcFinish,(ROW()-ROW(MSPTasks[[#Headers],[ID]]))))</f>
        <v>46393</v>
      </c>
      <c r="I2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8" s="80" t="n">
        <f aca="false">IF(IFERROR(INDEX(tsk_Name,(ROW()-ROW(MSPTasks[[#Headers],[ID]])))="",TRUE()),"",INDEX(tsk_PlanStart,(ROW()-ROW(MSPTasks[[#Headers],[ID]]))))</f>
        <v>46342</v>
      </c>
      <c r="P28" s="80" t="n">
        <f aca="false">IF(IFERROR(INDEX(tsk_Name,(ROW()-ROW(MSPTasks[[#Headers],[ID]])))="",TRUE()),"",INDEX(tsk_PlanFinish,(ROW()-ROW(MSPTasks[[#Headers],[ID]]))))</f>
        <v>46393</v>
      </c>
      <c r="Q2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8" s="23" t="str">
        <f aca="false">IF(IFERROR(INDEX(tsk_Name,(ROW()-ROW(MSPTasks[[#Headers],[ID]])))="",TRUE()),"",INDEX(tsk_Notes,(ROW()-ROW(MSPTasks[[#Headers],[ID]])))&amp;"")</f>
        <v/>
      </c>
    </row>
    <row r="29" customFormat="false" ht="15" hidden="false" customHeight="false" outlineLevel="0" collapsed="false">
      <c r="A29" s="23" t="n">
        <f aca="false">IF(IFERROR(INDEX(tsk_Name,(ROW()-ROW(MSPTasks[[#Headers],[ID]])))="",TRUE()),"",INDEX(tsk_ID,(ROW()-ROW(MSPTasks[[#Headers],[ID]]))))</f>
        <v>28</v>
      </c>
      <c r="B29" s="23" t="n">
        <f aca="false">IF(IFERROR(INDEX(tsk_Name,(ROW()-ROW(MSPTasks[[#Headers],[ID]])))="",TRUE()),"",INDEX(tsk_UID,(ROW()-ROW(MSPTasks[[#Headers],[ID]]))))</f>
        <v>28</v>
      </c>
      <c r="C29" s="23" t="str">
        <f aca="false">IF(IFERROR(INDEX(tsk_Name,(ROW()-ROW(MSPTasks[[#Headers],[ID]])))="",TRUE()),"",INDEX(tsk_Name,(ROW()-ROW(MSPTasks[[#Headers],[ID]]))))</f>
        <v>Steering committee update</v>
      </c>
      <c r="D29" s="23" t="n">
        <f aca="false">IF(IFERROR(INDEX(tsk_Name,(ROW()-ROW(MSPTasks[[#Headers],[ID]])))="",TRUE()),"",INDEX(tsk_Level,(ROW()-ROW(MSPTasks[[#Headers],[ID]]))))</f>
        <v>2</v>
      </c>
      <c r="E29" s="23" t="str">
        <f aca="false">IF(IFERROR(INDEX(tsk_Name,(ROW()-ROW(MSPTasks[[#Headers],[ID]])))="",TRUE()),"",IF(INDEX(tsk_Mode,(ROW()-ROW(MSPTasks[[#Headers],[ID]])))="Manual","Manually Scheduled","Auto Scheduled"))</f>
        <v>Manually Scheduled</v>
      </c>
      <c r="F29" s="23" t="str">
        <f aca="false">IF(IFERROR(INDEX(tsk_Name,(ROW()-ROW(MSPTasks[[#Headers],[ID]])))="",TRUE()),"",IF(INDEX(tsk_IsSummary,(ROW()-ROW(MSPTasks[[#Headers],[ID]]))),"",N(INDEX(tsk_Duration,(ROW()-ROW(MSPTasks[[#Headers],[ID]]))))&amp;"d"))</f>
        <v>1d</v>
      </c>
      <c r="G29" s="80" t="n">
        <f aca="false">IF(IFERROR(INDEX(tsk_Name,(ROW()-ROW(MSPTasks[[#Headers],[ID]])))="",TRUE()),"",INDEX(tsk_FcStart,(ROW()-ROW(MSPTasks[[#Headers],[ID]]))))</f>
        <v>46342</v>
      </c>
      <c r="H29" s="80" t="n">
        <f aca="false">IF(IFERROR(INDEX(tsk_Name,(ROW()-ROW(MSPTasks[[#Headers],[ID]])))="",TRUE()),"",INDEX(tsk_FcFinish,(ROW()-ROW(MSPTasks[[#Headers],[ID]]))))</f>
        <v>46342</v>
      </c>
      <c r="I2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29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9" s="80" t="n">
        <f aca="false">IF(IFERROR(INDEX(tsk_Name,(ROW()-ROW(MSPTasks[[#Headers],[ID]])))="",TRUE()),"",INDEX(tsk_PlanStart,(ROW()-ROW(MSPTasks[[#Headers],[ID]]))))</f>
        <v>46342</v>
      </c>
      <c r="P29" s="80" t="n">
        <f aca="false">IF(IFERROR(INDEX(tsk_Name,(ROW()-ROW(MSPTasks[[#Headers],[ID]])))="",TRUE()),"",INDEX(tsk_PlanFinish,(ROW()-ROW(MSPTasks[[#Headers],[ID]]))))</f>
        <v>46342</v>
      </c>
      <c r="Q2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2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9" s="23" t="str">
        <f aca="false">IF(IFERROR(INDEX(tsk_Name,(ROW()-ROW(MSPTasks[[#Headers],[ID]])))="",TRUE()),"",INDEX(tsk_Notes,(ROW()-ROW(MSPTasks[[#Headers],[ID]])))&amp;"")</f>
        <v>Manual mode example: fixed on the date in the Start No Earlier Than column.</v>
      </c>
    </row>
    <row r="30" customFormat="false" ht="15" hidden="false" customHeight="false" outlineLevel="0" collapsed="false">
      <c r="A30" s="23" t="n">
        <f aca="false">IF(IFERROR(INDEX(tsk_Name,(ROW()-ROW(MSPTasks[[#Headers],[ID]])))="",TRUE()),"",INDEX(tsk_ID,(ROW()-ROW(MSPTasks[[#Headers],[ID]]))))</f>
        <v>29</v>
      </c>
      <c r="B30" s="23" t="n">
        <f aca="false">IF(IFERROR(INDEX(tsk_Name,(ROW()-ROW(MSPTasks[[#Headers],[ID]])))="",TRUE()),"",INDEX(tsk_UID,(ROW()-ROW(MSPTasks[[#Headers],[ID]]))))</f>
        <v>29</v>
      </c>
      <c r="C30" s="23" t="str">
        <f aca="false">IF(IFERROR(INDEX(tsk_Name,(ROW()-ROW(MSPTasks[[#Headers],[ID]])))="",TRUE()),"",INDEX(tsk_Name,(ROW()-ROW(MSPTasks[[#Headers],[ID]]))))</f>
        <v>Lessons learned</v>
      </c>
      <c r="D30" s="23" t="n">
        <f aca="false">IF(IFERROR(INDEX(tsk_Name,(ROW()-ROW(MSPTasks[[#Headers],[ID]])))="",TRUE()),"",INDEX(tsk_Level,(ROW()-ROW(MSPTasks[[#Headers],[ID]]))))</f>
        <v>2</v>
      </c>
      <c r="E30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0" s="23" t="str">
        <f aca="false">IF(IFERROR(INDEX(tsk_Name,(ROW()-ROW(MSPTasks[[#Headers],[ID]])))="",TRUE()),"",IF(INDEX(tsk_IsSummary,(ROW()-ROW(MSPTasks[[#Headers],[ID]]))),"",N(INDEX(tsk_Duration,(ROW()-ROW(MSPTasks[[#Headers],[ID]]))))&amp;"d"))</f>
        <v>2d</v>
      </c>
      <c r="G30" s="80" t="n">
        <f aca="false">IF(IFERROR(INDEX(tsk_Name,(ROW()-ROW(MSPTasks[[#Headers],[ID]])))="",TRUE()),"",INDEX(tsk_FcStart,(ROW()-ROW(MSPTasks[[#Headers],[ID]]))))</f>
        <v>46392</v>
      </c>
      <c r="H30" s="80" t="n">
        <f aca="false">IF(IFERROR(INDEX(tsk_Name,(ROW()-ROW(MSPTasks[[#Headers],[ID]])))="",TRUE()),"",INDEX(tsk_FcFinish,(ROW()-ROW(MSPTasks[[#Headers],[ID]]))))</f>
        <v>46393</v>
      </c>
      <c r="I30" s="23" t="str">
        <f aca="false">IF(IFERROR(INDEX(tsk_Name,(ROW()-ROW(MSPTasks[[#Headers],[ID]])))="",TRUE()),"",IF(INDEX(tsk_IsSummary,(ROW()-ROW(MSPTasks[[#Headers],[ID]]))),"",INDEX(tsk_Predecessors,(ROW()-ROW(MSPTasks[[#Headers],[ID]])))))</f>
        <v>26</v>
      </c>
      <c r="J30" s="23" t="str">
        <f aca="false">IF(IFERROR(INDEX(tsk_Name,(ROW()-ROW(MSPTasks[[#Headers],[ID]])))="",TRUE()),"",IF(INDEX(tsk_IsSummary,(ROW()-ROW(MSPTasks[[#Headers],[ID]]))),"",INDEX(tsk_UIDPredecessors,(ROW()-ROW(MSPTasks[[#Headers],[ID]])))))</f>
        <v>26</v>
      </c>
      <c r="K3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30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3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0" s="80" t="n">
        <f aca="false">IF(IFERROR(INDEX(tsk_Name,(ROW()-ROW(MSPTasks[[#Headers],[ID]])))="",TRUE()),"",INDEX(tsk_PlanStart,(ROW()-ROW(MSPTasks[[#Headers],[ID]]))))</f>
        <v>46392</v>
      </c>
      <c r="P30" s="80" t="n">
        <f aca="false">IF(IFERROR(INDEX(tsk_Name,(ROW()-ROW(MSPTasks[[#Headers],[ID]])))="",TRUE()),"",INDEX(tsk_PlanFinish,(ROW()-ROW(MSPTasks[[#Headers],[ID]]))))</f>
        <v>46393</v>
      </c>
      <c r="Q3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3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0" s="23" t="str">
        <f aca="false">IF(IFERROR(INDEX(tsk_Name,(ROW()-ROW(MSPTasks[[#Headers],[ID]])))="",TRUE()),"",INDEX(tsk_Notes,(ROW()-ROW(MSPTasks[[#Headers],[ID]])))&amp;"")</f>
        <v/>
      </c>
    </row>
    <row r="31" customFormat="false" ht="15" hidden="false" customHeight="false" outlineLevel="0" collapsed="false">
      <c r="A31" s="23" t="n">
        <f aca="false">IF(IFERROR(INDEX(tsk_Name,(ROW()-ROW(MSPTasks[[#Headers],[ID]])))="",TRUE()),"",INDEX(tsk_ID,(ROW()-ROW(MSPTasks[[#Headers],[ID]]))))</f>
        <v>30</v>
      </c>
      <c r="B31" s="23" t="n">
        <f aca="false">IF(IFERROR(INDEX(tsk_Name,(ROW()-ROW(MSPTasks[[#Headers],[ID]])))="",TRUE()),"",INDEX(tsk_UID,(ROW()-ROW(MSPTasks[[#Headers],[ID]]))))</f>
        <v>30</v>
      </c>
      <c r="C31" s="23" t="str">
        <f aca="false">IF(IFERROR(INDEX(tsk_Name,(ROW()-ROW(MSPTasks[[#Headers],[ID]])))="",TRUE()),"",INDEX(tsk_Name,(ROW()-ROW(MSPTasks[[#Headers],[ID]]))))</f>
        <v>Project closed</v>
      </c>
      <c r="D31" s="23" t="n">
        <f aca="false">IF(IFERROR(INDEX(tsk_Name,(ROW()-ROW(MSPTasks[[#Headers],[ID]])))="",TRUE()),"",INDEX(tsk_Level,(ROW()-ROW(MSPTasks[[#Headers],[ID]]))))</f>
        <v>2</v>
      </c>
      <c r="E31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1" s="23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31" s="80" t="n">
        <f aca="false">IF(IFERROR(INDEX(tsk_Name,(ROW()-ROW(MSPTasks[[#Headers],[ID]])))="",TRUE()),"",INDEX(tsk_FcStart,(ROW()-ROW(MSPTasks[[#Headers],[ID]]))))</f>
        <v>46393</v>
      </c>
      <c r="H31" s="80" t="n">
        <f aca="false">IF(IFERROR(INDEX(tsk_Name,(ROW()-ROW(MSPTasks[[#Headers],[ID]])))="",TRUE()),"",INDEX(tsk_FcFinish,(ROW()-ROW(MSPTasks[[#Headers],[ID]]))))</f>
        <v>46393</v>
      </c>
      <c r="I31" s="23" t="str">
        <f aca="false">IF(IFERROR(INDEX(tsk_Name,(ROW()-ROW(MSPTasks[[#Headers],[ID]])))="",TRUE()),"",IF(INDEX(tsk_IsSummary,(ROW()-ROW(MSPTasks[[#Headers],[ID]]))),"",INDEX(tsk_Predecessors,(ROW()-ROW(MSPTasks[[#Headers],[ID]])))))</f>
        <v>29</v>
      </c>
      <c r="J31" s="23" t="str">
        <f aca="false">IF(IFERROR(INDEX(tsk_Name,(ROW()-ROW(MSPTasks[[#Headers],[ID]])))="",TRUE()),"",IF(INDEX(tsk_IsSummary,(ROW()-ROW(MSPTasks[[#Headers],[ID]]))),"",INDEX(tsk_UIDPredecessors,(ROW()-ROW(MSPTasks[[#Headers],[ID]])))))</f>
        <v>29</v>
      </c>
      <c r="K3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1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3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1" s="80" t="n">
        <f aca="false">IF(IFERROR(INDEX(tsk_Name,(ROW()-ROW(MSPTasks[[#Headers],[ID]])))="",TRUE()),"",INDEX(tsk_PlanStart,(ROW()-ROW(MSPTasks[[#Headers],[ID]]))))</f>
        <v>46393</v>
      </c>
      <c r="P31" s="80" t="n">
        <f aca="false">IF(IFERROR(INDEX(tsk_Name,(ROW()-ROW(MSPTasks[[#Headers],[ID]])))="",TRUE()),"",INDEX(tsk_PlanFinish,(ROW()-ROW(MSPTasks[[#Headers],[ID]]))))</f>
        <v>46393</v>
      </c>
      <c r="Q3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3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1" s="23" t="str">
        <f aca="false">IF(IFERROR(INDEX(tsk_Name,(ROW()-ROW(MSPTasks[[#Headers],[ID]])))="",TRUE()),"",INDEX(tsk_Notes,(ROW()-ROW(MSPTasks[[#Headers],[ID]])))&amp;"")</f>
        <v>Milestone</v>
      </c>
    </row>
    <row r="32" customFormat="false" ht="15" hidden="false" customHeight="false" outlineLevel="0" collapsed="false">
      <c r="A32" s="23" t="str">
        <f aca="false">IF(IFERROR(INDEX(tsk_Name,(ROW()-ROW(MSPTasks[[#Headers],[ID]])))="",TRUE()),"",INDEX(tsk_ID,(ROW()-ROW(MSPTasks[[#Headers],[ID]]))))</f>
        <v/>
      </c>
      <c r="B32" s="23" t="str">
        <f aca="false">IF(IFERROR(INDEX(tsk_Name,(ROW()-ROW(MSPTasks[[#Headers],[ID]])))="",TRUE()),"",INDEX(tsk_UID,(ROW()-ROW(MSPTasks[[#Headers],[ID]]))))</f>
        <v/>
      </c>
      <c r="C32" s="23" t="str">
        <f aca="false">IF(IFERROR(INDEX(tsk_Name,(ROW()-ROW(MSPTasks[[#Headers],[ID]])))="",TRUE()),"",INDEX(tsk_Name,(ROW()-ROW(MSPTasks[[#Headers],[ID]]))))</f>
        <v/>
      </c>
      <c r="D32" s="23" t="str">
        <f aca="false">IF(IFERROR(INDEX(tsk_Name,(ROW()-ROW(MSPTasks[[#Headers],[ID]])))="",TRUE()),"",INDEX(tsk_Level,(ROW()-ROW(MSPTasks[[#Headers],[ID]]))))</f>
        <v/>
      </c>
      <c r="E32" s="23" t="str">
        <f aca="false">IF(IFERROR(INDEX(tsk_Name,(ROW()-ROW(MSPTasks[[#Headers],[ID]])))="",TRUE()),"",IF(INDEX(tsk_Mode,(ROW()-ROW(MSPTasks[[#Headers],[ID]])))="Manual","Manually Scheduled","Auto Scheduled"))</f>
        <v/>
      </c>
      <c r="F3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2" s="80" t="str">
        <f aca="false">IF(IFERROR(INDEX(tsk_Name,(ROW()-ROW(MSPTasks[[#Headers],[ID]])))="",TRUE()),"",INDEX(tsk_FcStart,(ROW()-ROW(MSPTasks[[#Headers],[ID]]))))</f>
        <v/>
      </c>
      <c r="H32" s="80" t="str">
        <f aca="false">IF(IFERROR(INDEX(tsk_Name,(ROW()-ROW(MSPTasks[[#Headers],[ID]])))="",TRUE()),"",INDEX(tsk_FcFinish,(ROW()-ROW(MSPTasks[[#Headers],[ID]]))))</f>
        <v/>
      </c>
      <c r="I3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2" s="80" t="str">
        <f aca="false">IF(IFERROR(INDEX(tsk_Name,(ROW()-ROW(MSPTasks[[#Headers],[ID]])))="",TRUE()),"",INDEX(tsk_PlanStart,(ROW()-ROW(MSPTasks[[#Headers],[ID]]))))</f>
        <v/>
      </c>
      <c r="P32" s="80" t="str">
        <f aca="false">IF(IFERROR(INDEX(tsk_Name,(ROW()-ROW(MSPTasks[[#Headers],[ID]])))="",TRUE()),"",INDEX(tsk_PlanFinish,(ROW()-ROW(MSPTasks[[#Headers],[ID]]))))</f>
        <v/>
      </c>
      <c r="Q3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2" s="23" t="str">
        <f aca="false">IF(IFERROR(INDEX(tsk_Name,(ROW()-ROW(MSPTasks[[#Headers],[ID]])))="",TRUE()),"",INDEX(tsk_Notes,(ROW()-ROW(MSPTasks[[#Headers],[ID]])))&amp;"")</f>
        <v/>
      </c>
    </row>
    <row r="33" customFormat="false" ht="15" hidden="false" customHeight="false" outlineLevel="0" collapsed="false">
      <c r="A33" s="23" t="str">
        <f aca="false">IF(IFERROR(INDEX(tsk_Name,(ROW()-ROW(MSPTasks[[#Headers],[ID]])))="",TRUE()),"",INDEX(tsk_ID,(ROW()-ROW(MSPTasks[[#Headers],[ID]]))))</f>
        <v/>
      </c>
      <c r="B33" s="23" t="str">
        <f aca="false">IF(IFERROR(INDEX(tsk_Name,(ROW()-ROW(MSPTasks[[#Headers],[ID]])))="",TRUE()),"",INDEX(tsk_UID,(ROW()-ROW(MSPTasks[[#Headers],[ID]]))))</f>
        <v/>
      </c>
      <c r="C33" s="23" t="str">
        <f aca="false">IF(IFERROR(INDEX(tsk_Name,(ROW()-ROW(MSPTasks[[#Headers],[ID]])))="",TRUE()),"",INDEX(tsk_Name,(ROW()-ROW(MSPTasks[[#Headers],[ID]]))))</f>
        <v/>
      </c>
      <c r="D33" s="23" t="str">
        <f aca="false">IF(IFERROR(INDEX(tsk_Name,(ROW()-ROW(MSPTasks[[#Headers],[ID]])))="",TRUE()),"",INDEX(tsk_Level,(ROW()-ROW(MSPTasks[[#Headers],[ID]]))))</f>
        <v/>
      </c>
      <c r="E33" s="23" t="str">
        <f aca="false">IF(IFERROR(INDEX(tsk_Name,(ROW()-ROW(MSPTasks[[#Headers],[ID]])))="",TRUE()),"",IF(INDEX(tsk_Mode,(ROW()-ROW(MSPTasks[[#Headers],[ID]])))="Manual","Manually Scheduled","Auto Scheduled"))</f>
        <v/>
      </c>
      <c r="F3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3" s="80" t="str">
        <f aca="false">IF(IFERROR(INDEX(tsk_Name,(ROW()-ROW(MSPTasks[[#Headers],[ID]])))="",TRUE()),"",INDEX(tsk_FcStart,(ROW()-ROW(MSPTasks[[#Headers],[ID]]))))</f>
        <v/>
      </c>
      <c r="H33" s="80" t="str">
        <f aca="false">IF(IFERROR(INDEX(tsk_Name,(ROW()-ROW(MSPTasks[[#Headers],[ID]])))="",TRUE()),"",INDEX(tsk_FcFinish,(ROW()-ROW(MSPTasks[[#Headers],[ID]]))))</f>
        <v/>
      </c>
      <c r="I3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3" s="80" t="str">
        <f aca="false">IF(IFERROR(INDEX(tsk_Name,(ROW()-ROW(MSPTasks[[#Headers],[ID]])))="",TRUE()),"",INDEX(tsk_PlanStart,(ROW()-ROW(MSPTasks[[#Headers],[ID]]))))</f>
        <v/>
      </c>
      <c r="P33" s="80" t="str">
        <f aca="false">IF(IFERROR(INDEX(tsk_Name,(ROW()-ROW(MSPTasks[[#Headers],[ID]])))="",TRUE()),"",INDEX(tsk_PlanFinish,(ROW()-ROW(MSPTasks[[#Headers],[ID]]))))</f>
        <v/>
      </c>
      <c r="Q3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3" s="23" t="str">
        <f aca="false">IF(IFERROR(INDEX(tsk_Name,(ROW()-ROW(MSPTasks[[#Headers],[ID]])))="",TRUE()),"",INDEX(tsk_Notes,(ROW()-ROW(MSPTasks[[#Headers],[ID]])))&amp;"")</f>
        <v/>
      </c>
    </row>
    <row r="34" customFormat="false" ht="15" hidden="false" customHeight="false" outlineLevel="0" collapsed="false">
      <c r="A34" s="23" t="str">
        <f aca="false">IF(IFERROR(INDEX(tsk_Name,(ROW()-ROW(MSPTasks[[#Headers],[ID]])))="",TRUE()),"",INDEX(tsk_ID,(ROW()-ROW(MSPTasks[[#Headers],[ID]]))))</f>
        <v/>
      </c>
      <c r="B34" s="23" t="str">
        <f aca="false">IF(IFERROR(INDEX(tsk_Name,(ROW()-ROW(MSPTasks[[#Headers],[ID]])))="",TRUE()),"",INDEX(tsk_UID,(ROW()-ROW(MSPTasks[[#Headers],[ID]]))))</f>
        <v/>
      </c>
      <c r="C34" s="23" t="str">
        <f aca="false">IF(IFERROR(INDEX(tsk_Name,(ROW()-ROW(MSPTasks[[#Headers],[ID]])))="",TRUE()),"",INDEX(tsk_Name,(ROW()-ROW(MSPTasks[[#Headers],[ID]]))))</f>
        <v/>
      </c>
      <c r="D34" s="23" t="str">
        <f aca="false">IF(IFERROR(INDEX(tsk_Name,(ROW()-ROW(MSPTasks[[#Headers],[ID]])))="",TRUE()),"",INDEX(tsk_Level,(ROW()-ROW(MSPTasks[[#Headers],[ID]]))))</f>
        <v/>
      </c>
      <c r="E34" s="23" t="str">
        <f aca="false">IF(IFERROR(INDEX(tsk_Name,(ROW()-ROW(MSPTasks[[#Headers],[ID]])))="",TRUE()),"",IF(INDEX(tsk_Mode,(ROW()-ROW(MSPTasks[[#Headers],[ID]])))="Manual","Manually Scheduled","Auto Scheduled"))</f>
        <v/>
      </c>
      <c r="F3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4" s="80" t="str">
        <f aca="false">IF(IFERROR(INDEX(tsk_Name,(ROW()-ROW(MSPTasks[[#Headers],[ID]])))="",TRUE()),"",INDEX(tsk_FcStart,(ROW()-ROW(MSPTasks[[#Headers],[ID]]))))</f>
        <v/>
      </c>
      <c r="H34" s="80" t="str">
        <f aca="false">IF(IFERROR(INDEX(tsk_Name,(ROW()-ROW(MSPTasks[[#Headers],[ID]])))="",TRUE()),"",INDEX(tsk_FcFinish,(ROW()-ROW(MSPTasks[[#Headers],[ID]]))))</f>
        <v/>
      </c>
      <c r="I3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4" s="80" t="str">
        <f aca="false">IF(IFERROR(INDEX(tsk_Name,(ROW()-ROW(MSPTasks[[#Headers],[ID]])))="",TRUE()),"",INDEX(tsk_PlanStart,(ROW()-ROW(MSPTasks[[#Headers],[ID]]))))</f>
        <v/>
      </c>
      <c r="P34" s="80" t="str">
        <f aca="false">IF(IFERROR(INDEX(tsk_Name,(ROW()-ROW(MSPTasks[[#Headers],[ID]])))="",TRUE()),"",INDEX(tsk_PlanFinish,(ROW()-ROW(MSPTasks[[#Headers],[ID]]))))</f>
        <v/>
      </c>
      <c r="Q3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4" s="23" t="str">
        <f aca="false">IF(IFERROR(INDEX(tsk_Name,(ROW()-ROW(MSPTasks[[#Headers],[ID]])))="",TRUE()),"",INDEX(tsk_Notes,(ROW()-ROW(MSPTasks[[#Headers],[ID]])))&amp;"")</f>
        <v/>
      </c>
    </row>
    <row r="35" customFormat="false" ht="15" hidden="false" customHeight="false" outlineLevel="0" collapsed="false">
      <c r="A35" s="23" t="str">
        <f aca="false">IF(IFERROR(INDEX(tsk_Name,(ROW()-ROW(MSPTasks[[#Headers],[ID]])))="",TRUE()),"",INDEX(tsk_ID,(ROW()-ROW(MSPTasks[[#Headers],[ID]]))))</f>
        <v/>
      </c>
      <c r="B35" s="23" t="str">
        <f aca="false">IF(IFERROR(INDEX(tsk_Name,(ROW()-ROW(MSPTasks[[#Headers],[ID]])))="",TRUE()),"",INDEX(tsk_UID,(ROW()-ROW(MSPTasks[[#Headers],[ID]]))))</f>
        <v/>
      </c>
      <c r="C35" s="23" t="str">
        <f aca="false">IF(IFERROR(INDEX(tsk_Name,(ROW()-ROW(MSPTasks[[#Headers],[ID]])))="",TRUE()),"",INDEX(tsk_Name,(ROW()-ROW(MSPTasks[[#Headers],[ID]]))))</f>
        <v/>
      </c>
      <c r="D35" s="23" t="str">
        <f aca="false">IF(IFERROR(INDEX(tsk_Name,(ROW()-ROW(MSPTasks[[#Headers],[ID]])))="",TRUE()),"",INDEX(tsk_Level,(ROW()-ROW(MSPTasks[[#Headers],[ID]]))))</f>
        <v/>
      </c>
      <c r="E35" s="23" t="str">
        <f aca="false">IF(IFERROR(INDEX(tsk_Name,(ROW()-ROW(MSPTasks[[#Headers],[ID]])))="",TRUE()),"",IF(INDEX(tsk_Mode,(ROW()-ROW(MSPTasks[[#Headers],[ID]])))="Manual","Manually Scheduled","Auto Scheduled"))</f>
        <v/>
      </c>
      <c r="F3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5" s="80" t="str">
        <f aca="false">IF(IFERROR(INDEX(tsk_Name,(ROW()-ROW(MSPTasks[[#Headers],[ID]])))="",TRUE()),"",INDEX(tsk_FcStart,(ROW()-ROW(MSPTasks[[#Headers],[ID]]))))</f>
        <v/>
      </c>
      <c r="H35" s="80" t="str">
        <f aca="false">IF(IFERROR(INDEX(tsk_Name,(ROW()-ROW(MSPTasks[[#Headers],[ID]])))="",TRUE()),"",INDEX(tsk_FcFinish,(ROW()-ROW(MSPTasks[[#Headers],[ID]]))))</f>
        <v/>
      </c>
      <c r="I3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5" s="80" t="str">
        <f aca="false">IF(IFERROR(INDEX(tsk_Name,(ROW()-ROW(MSPTasks[[#Headers],[ID]])))="",TRUE()),"",INDEX(tsk_PlanStart,(ROW()-ROW(MSPTasks[[#Headers],[ID]]))))</f>
        <v/>
      </c>
      <c r="P35" s="80" t="str">
        <f aca="false">IF(IFERROR(INDEX(tsk_Name,(ROW()-ROW(MSPTasks[[#Headers],[ID]])))="",TRUE()),"",INDEX(tsk_PlanFinish,(ROW()-ROW(MSPTasks[[#Headers],[ID]]))))</f>
        <v/>
      </c>
      <c r="Q3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5" s="23" t="str">
        <f aca="false">IF(IFERROR(INDEX(tsk_Name,(ROW()-ROW(MSPTasks[[#Headers],[ID]])))="",TRUE()),"",INDEX(tsk_Notes,(ROW()-ROW(MSPTasks[[#Headers],[ID]])))&amp;"")</f>
        <v/>
      </c>
    </row>
    <row r="36" customFormat="false" ht="15" hidden="false" customHeight="false" outlineLevel="0" collapsed="false">
      <c r="A36" s="23" t="str">
        <f aca="false">IF(IFERROR(INDEX(tsk_Name,(ROW()-ROW(MSPTasks[[#Headers],[ID]])))="",TRUE()),"",INDEX(tsk_ID,(ROW()-ROW(MSPTasks[[#Headers],[ID]]))))</f>
        <v/>
      </c>
      <c r="B36" s="23" t="str">
        <f aca="false">IF(IFERROR(INDEX(tsk_Name,(ROW()-ROW(MSPTasks[[#Headers],[ID]])))="",TRUE()),"",INDEX(tsk_UID,(ROW()-ROW(MSPTasks[[#Headers],[ID]]))))</f>
        <v/>
      </c>
      <c r="C36" s="23" t="str">
        <f aca="false">IF(IFERROR(INDEX(tsk_Name,(ROW()-ROW(MSPTasks[[#Headers],[ID]])))="",TRUE()),"",INDEX(tsk_Name,(ROW()-ROW(MSPTasks[[#Headers],[ID]]))))</f>
        <v/>
      </c>
      <c r="D36" s="23" t="str">
        <f aca="false">IF(IFERROR(INDEX(tsk_Name,(ROW()-ROW(MSPTasks[[#Headers],[ID]])))="",TRUE()),"",INDEX(tsk_Level,(ROW()-ROW(MSPTasks[[#Headers],[ID]]))))</f>
        <v/>
      </c>
      <c r="E36" s="23" t="str">
        <f aca="false">IF(IFERROR(INDEX(tsk_Name,(ROW()-ROW(MSPTasks[[#Headers],[ID]])))="",TRUE()),"",IF(INDEX(tsk_Mode,(ROW()-ROW(MSPTasks[[#Headers],[ID]])))="Manual","Manually Scheduled","Auto Scheduled"))</f>
        <v/>
      </c>
      <c r="F3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6" s="80" t="str">
        <f aca="false">IF(IFERROR(INDEX(tsk_Name,(ROW()-ROW(MSPTasks[[#Headers],[ID]])))="",TRUE()),"",INDEX(tsk_FcStart,(ROW()-ROW(MSPTasks[[#Headers],[ID]]))))</f>
        <v/>
      </c>
      <c r="H36" s="80" t="str">
        <f aca="false">IF(IFERROR(INDEX(tsk_Name,(ROW()-ROW(MSPTasks[[#Headers],[ID]])))="",TRUE()),"",INDEX(tsk_FcFinish,(ROW()-ROW(MSPTasks[[#Headers],[ID]]))))</f>
        <v/>
      </c>
      <c r="I3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6" s="80" t="str">
        <f aca="false">IF(IFERROR(INDEX(tsk_Name,(ROW()-ROW(MSPTasks[[#Headers],[ID]])))="",TRUE()),"",INDEX(tsk_PlanStart,(ROW()-ROW(MSPTasks[[#Headers],[ID]]))))</f>
        <v/>
      </c>
      <c r="P36" s="80" t="str">
        <f aca="false">IF(IFERROR(INDEX(tsk_Name,(ROW()-ROW(MSPTasks[[#Headers],[ID]])))="",TRUE()),"",INDEX(tsk_PlanFinish,(ROW()-ROW(MSPTasks[[#Headers],[ID]]))))</f>
        <v/>
      </c>
      <c r="Q3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6" s="23" t="str">
        <f aca="false">IF(IFERROR(INDEX(tsk_Name,(ROW()-ROW(MSPTasks[[#Headers],[ID]])))="",TRUE()),"",INDEX(tsk_Notes,(ROW()-ROW(MSPTasks[[#Headers],[ID]])))&amp;"")</f>
        <v/>
      </c>
    </row>
    <row r="37" customFormat="false" ht="15" hidden="false" customHeight="false" outlineLevel="0" collapsed="false">
      <c r="A37" s="23" t="str">
        <f aca="false">IF(IFERROR(INDEX(tsk_Name,(ROW()-ROW(MSPTasks[[#Headers],[ID]])))="",TRUE()),"",INDEX(tsk_ID,(ROW()-ROW(MSPTasks[[#Headers],[ID]]))))</f>
        <v/>
      </c>
      <c r="B37" s="23" t="str">
        <f aca="false">IF(IFERROR(INDEX(tsk_Name,(ROW()-ROW(MSPTasks[[#Headers],[ID]])))="",TRUE()),"",INDEX(tsk_UID,(ROW()-ROW(MSPTasks[[#Headers],[ID]]))))</f>
        <v/>
      </c>
      <c r="C37" s="23" t="str">
        <f aca="false">IF(IFERROR(INDEX(tsk_Name,(ROW()-ROW(MSPTasks[[#Headers],[ID]])))="",TRUE()),"",INDEX(tsk_Name,(ROW()-ROW(MSPTasks[[#Headers],[ID]]))))</f>
        <v/>
      </c>
      <c r="D37" s="23" t="str">
        <f aca="false">IF(IFERROR(INDEX(tsk_Name,(ROW()-ROW(MSPTasks[[#Headers],[ID]])))="",TRUE()),"",INDEX(tsk_Level,(ROW()-ROW(MSPTasks[[#Headers],[ID]]))))</f>
        <v/>
      </c>
      <c r="E37" s="23" t="str">
        <f aca="false">IF(IFERROR(INDEX(tsk_Name,(ROW()-ROW(MSPTasks[[#Headers],[ID]])))="",TRUE()),"",IF(INDEX(tsk_Mode,(ROW()-ROW(MSPTasks[[#Headers],[ID]])))="Manual","Manually Scheduled","Auto Scheduled"))</f>
        <v/>
      </c>
      <c r="F3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7" s="80" t="str">
        <f aca="false">IF(IFERROR(INDEX(tsk_Name,(ROW()-ROW(MSPTasks[[#Headers],[ID]])))="",TRUE()),"",INDEX(tsk_FcStart,(ROW()-ROW(MSPTasks[[#Headers],[ID]]))))</f>
        <v/>
      </c>
      <c r="H37" s="80" t="str">
        <f aca="false">IF(IFERROR(INDEX(tsk_Name,(ROW()-ROW(MSPTasks[[#Headers],[ID]])))="",TRUE()),"",INDEX(tsk_FcFinish,(ROW()-ROW(MSPTasks[[#Headers],[ID]]))))</f>
        <v/>
      </c>
      <c r="I3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7" s="80" t="str">
        <f aca="false">IF(IFERROR(INDEX(tsk_Name,(ROW()-ROW(MSPTasks[[#Headers],[ID]])))="",TRUE()),"",INDEX(tsk_PlanStart,(ROW()-ROW(MSPTasks[[#Headers],[ID]]))))</f>
        <v/>
      </c>
      <c r="P37" s="80" t="str">
        <f aca="false">IF(IFERROR(INDEX(tsk_Name,(ROW()-ROW(MSPTasks[[#Headers],[ID]])))="",TRUE()),"",INDEX(tsk_PlanFinish,(ROW()-ROW(MSPTasks[[#Headers],[ID]]))))</f>
        <v/>
      </c>
      <c r="Q3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7" s="23" t="str">
        <f aca="false">IF(IFERROR(INDEX(tsk_Name,(ROW()-ROW(MSPTasks[[#Headers],[ID]])))="",TRUE()),"",INDEX(tsk_Notes,(ROW()-ROW(MSPTasks[[#Headers],[ID]])))&amp;"")</f>
        <v/>
      </c>
    </row>
    <row r="38" customFormat="false" ht="15" hidden="false" customHeight="false" outlineLevel="0" collapsed="false">
      <c r="A38" s="23" t="str">
        <f aca="false">IF(IFERROR(INDEX(tsk_Name,(ROW()-ROW(MSPTasks[[#Headers],[ID]])))="",TRUE()),"",INDEX(tsk_ID,(ROW()-ROW(MSPTasks[[#Headers],[ID]]))))</f>
        <v/>
      </c>
      <c r="B38" s="23" t="str">
        <f aca="false">IF(IFERROR(INDEX(tsk_Name,(ROW()-ROW(MSPTasks[[#Headers],[ID]])))="",TRUE()),"",INDEX(tsk_UID,(ROW()-ROW(MSPTasks[[#Headers],[ID]]))))</f>
        <v/>
      </c>
      <c r="C38" s="23" t="str">
        <f aca="false">IF(IFERROR(INDEX(tsk_Name,(ROW()-ROW(MSPTasks[[#Headers],[ID]])))="",TRUE()),"",INDEX(tsk_Name,(ROW()-ROW(MSPTasks[[#Headers],[ID]]))))</f>
        <v/>
      </c>
      <c r="D38" s="23" t="str">
        <f aca="false">IF(IFERROR(INDEX(tsk_Name,(ROW()-ROW(MSPTasks[[#Headers],[ID]])))="",TRUE()),"",INDEX(tsk_Level,(ROW()-ROW(MSPTasks[[#Headers],[ID]]))))</f>
        <v/>
      </c>
      <c r="E38" s="23" t="str">
        <f aca="false">IF(IFERROR(INDEX(tsk_Name,(ROW()-ROW(MSPTasks[[#Headers],[ID]])))="",TRUE()),"",IF(INDEX(tsk_Mode,(ROW()-ROW(MSPTasks[[#Headers],[ID]])))="Manual","Manually Scheduled","Auto Scheduled"))</f>
        <v/>
      </c>
      <c r="F3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8" s="80" t="str">
        <f aca="false">IF(IFERROR(INDEX(tsk_Name,(ROW()-ROW(MSPTasks[[#Headers],[ID]])))="",TRUE()),"",INDEX(tsk_FcStart,(ROW()-ROW(MSPTasks[[#Headers],[ID]]))))</f>
        <v/>
      </c>
      <c r="H38" s="80" t="str">
        <f aca="false">IF(IFERROR(INDEX(tsk_Name,(ROW()-ROW(MSPTasks[[#Headers],[ID]])))="",TRUE()),"",INDEX(tsk_FcFinish,(ROW()-ROW(MSPTasks[[#Headers],[ID]]))))</f>
        <v/>
      </c>
      <c r="I3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8" s="80" t="str">
        <f aca="false">IF(IFERROR(INDEX(tsk_Name,(ROW()-ROW(MSPTasks[[#Headers],[ID]])))="",TRUE()),"",INDEX(tsk_PlanStart,(ROW()-ROW(MSPTasks[[#Headers],[ID]]))))</f>
        <v/>
      </c>
      <c r="P38" s="80" t="str">
        <f aca="false">IF(IFERROR(INDEX(tsk_Name,(ROW()-ROW(MSPTasks[[#Headers],[ID]])))="",TRUE()),"",INDEX(tsk_PlanFinish,(ROW()-ROW(MSPTasks[[#Headers],[ID]]))))</f>
        <v/>
      </c>
      <c r="Q3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8" s="23" t="str">
        <f aca="false">IF(IFERROR(INDEX(tsk_Name,(ROW()-ROW(MSPTasks[[#Headers],[ID]])))="",TRUE()),"",INDEX(tsk_Notes,(ROW()-ROW(MSPTasks[[#Headers],[ID]])))&amp;"")</f>
        <v/>
      </c>
    </row>
    <row r="39" customFormat="false" ht="15" hidden="false" customHeight="false" outlineLevel="0" collapsed="false">
      <c r="A39" s="23" t="str">
        <f aca="false">IF(IFERROR(INDEX(tsk_Name,(ROW()-ROW(MSPTasks[[#Headers],[ID]])))="",TRUE()),"",INDEX(tsk_ID,(ROW()-ROW(MSPTasks[[#Headers],[ID]]))))</f>
        <v/>
      </c>
      <c r="B39" s="23" t="str">
        <f aca="false">IF(IFERROR(INDEX(tsk_Name,(ROW()-ROW(MSPTasks[[#Headers],[ID]])))="",TRUE()),"",INDEX(tsk_UID,(ROW()-ROW(MSPTasks[[#Headers],[ID]]))))</f>
        <v/>
      </c>
      <c r="C39" s="23" t="str">
        <f aca="false">IF(IFERROR(INDEX(tsk_Name,(ROW()-ROW(MSPTasks[[#Headers],[ID]])))="",TRUE()),"",INDEX(tsk_Name,(ROW()-ROW(MSPTasks[[#Headers],[ID]]))))</f>
        <v/>
      </c>
      <c r="D39" s="23" t="str">
        <f aca="false">IF(IFERROR(INDEX(tsk_Name,(ROW()-ROW(MSPTasks[[#Headers],[ID]])))="",TRUE()),"",INDEX(tsk_Level,(ROW()-ROW(MSPTasks[[#Headers],[ID]]))))</f>
        <v/>
      </c>
      <c r="E39" s="23" t="str">
        <f aca="false">IF(IFERROR(INDEX(tsk_Name,(ROW()-ROW(MSPTasks[[#Headers],[ID]])))="",TRUE()),"",IF(INDEX(tsk_Mode,(ROW()-ROW(MSPTasks[[#Headers],[ID]])))="Manual","Manually Scheduled","Auto Scheduled"))</f>
        <v/>
      </c>
      <c r="F3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9" s="80" t="str">
        <f aca="false">IF(IFERROR(INDEX(tsk_Name,(ROW()-ROW(MSPTasks[[#Headers],[ID]])))="",TRUE()),"",INDEX(tsk_FcStart,(ROW()-ROW(MSPTasks[[#Headers],[ID]]))))</f>
        <v/>
      </c>
      <c r="H39" s="80" t="str">
        <f aca="false">IF(IFERROR(INDEX(tsk_Name,(ROW()-ROW(MSPTasks[[#Headers],[ID]])))="",TRUE()),"",INDEX(tsk_FcFinish,(ROW()-ROW(MSPTasks[[#Headers],[ID]]))))</f>
        <v/>
      </c>
      <c r="I3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9" s="80" t="str">
        <f aca="false">IF(IFERROR(INDEX(tsk_Name,(ROW()-ROW(MSPTasks[[#Headers],[ID]])))="",TRUE()),"",INDEX(tsk_PlanStart,(ROW()-ROW(MSPTasks[[#Headers],[ID]]))))</f>
        <v/>
      </c>
      <c r="P39" s="80" t="str">
        <f aca="false">IF(IFERROR(INDEX(tsk_Name,(ROW()-ROW(MSPTasks[[#Headers],[ID]])))="",TRUE()),"",INDEX(tsk_PlanFinish,(ROW()-ROW(MSPTasks[[#Headers],[ID]]))))</f>
        <v/>
      </c>
      <c r="Q3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9" s="23" t="str">
        <f aca="false">IF(IFERROR(INDEX(tsk_Name,(ROW()-ROW(MSPTasks[[#Headers],[ID]])))="",TRUE()),"",INDEX(tsk_Notes,(ROW()-ROW(MSPTasks[[#Headers],[ID]])))&amp;"")</f>
        <v/>
      </c>
    </row>
    <row r="40" customFormat="false" ht="15" hidden="false" customHeight="false" outlineLevel="0" collapsed="false">
      <c r="A40" s="23" t="str">
        <f aca="false">IF(IFERROR(INDEX(tsk_Name,(ROW()-ROW(MSPTasks[[#Headers],[ID]])))="",TRUE()),"",INDEX(tsk_ID,(ROW()-ROW(MSPTasks[[#Headers],[ID]]))))</f>
        <v/>
      </c>
      <c r="B40" s="23" t="str">
        <f aca="false">IF(IFERROR(INDEX(tsk_Name,(ROW()-ROW(MSPTasks[[#Headers],[ID]])))="",TRUE()),"",INDEX(tsk_UID,(ROW()-ROW(MSPTasks[[#Headers],[ID]]))))</f>
        <v/>
      </c>
      <c r="C40" s="23" t="str">
        <f aca="false">IF(IFERROR(INDEX(tsk_Name,(ROW()-ROW(MSPTasks[[#Headers],[ID]])))="",TRUE()),"",INDEX(tsk_Name,(ROW()-ROW(MSPTasks[[#Headers],[ID]]))))</f>
        <v/>
      </c>
      <c r="D40" s="23" t="str">
        <f aca="false">IF(IFERROR(INDEX(tsk_Name,(ROW()-ROW(MSPTasks[[#Headers],[ID]])))="",TRUE()),"",INDEX(tsk_Level,(ROW()-ROW(MSPTasks[[#Headers],[ID]]))))</f>
        <v/>
      </c>
      <c r="E40" s="23" t="str">
        <f aca="false">IF(IFERROR(INDEX(tsk_Name,(ROW()-ROW(MSPTasks[[#Headers],[ID]])))="",TRUE()),"",IF(INDEX(tsk_Mode,(ROW()-ROW(MSPTasks[[#Headers],[ID]])))="Manual","Manually Scheduled","Auto Scheduled"))</f>
        <v/>
      </c>
      <c r="F4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0" s="80" t="str">
        <f aca="false">IF(IFERROR(INDEX(tsk_Name,(ROW()-ROW(MSPTasks[[#Headers],[ID]])))="",TRUE()),"",INDEX(tsk_FcStart,(ROW()-ROW(MSPTasks[[#Headers],[ID]]))))</f>
        <v/>
      </c>
      <c r="H40" s="80" t="str">
        <f aca="false">IF(IFERROR(INDEX(tsk_Name,(ROW()-ROW(MSPTasks[[#Headers],[ID]])))="",TRUE()),"",INDEX(tsk_FcFinish,(ROW()-ROW(MSPTasks[[#Headers],[ID]]))))</f>
        <v/>
      </c>
      <c r="I4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0" s="80" t="str">
        <f aca="false">IF(IFERROR(INDEX(tsk_Name,(ROW()-ROW(MSPTasks[[#Headers],[ID]])))="",TRUE()),"",INDEX(tsk_PlanStart,(ROW()-ROW(MSPTasks[[#Headers],[ID]]))))</f>
        <v/>
      </c>
      <c r="P40" s="80" t="str">
        <f aca="false">IF(IFERROR(INDEX(tsk_Name,(ROW()-ROW(MSPTasks[[#Headers],[ID]])))="",TRUE()),"",INDEX(tsk_PlanFinish,(ROW()-ROW(MSPTasks[[#Headers],[ID]]))))</f>
        <v/>
      </c>
      <c r="Q4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0" s="23" t="str">
        <f aca="false">IF(IFERROR(INDEX(tsk_Name,(ROW()-ROW(MSPTasks[[#Headers],[ID]])))="",TRUE()),"",INDEX(tsk_Notes,(ROW()-ROW(MSPTasks[[#Headers],[ID]])))&amp;"")</f>
        <v/>
      </c>
    </row>
    <row r="41" customFormat="false" ht="15" hidden="false" customHeight="false" outlineLevel="0" collapsed="false">
      <c r="A41" s="23" t="str">
        <f aca="false">IF(IFERROR(INDEX(tsk_Name,(ROW()-ROW(MSPTasks[[#Headers],[ID]])))="",TRUE()),"",INDEX(tsk_ID,(ROW()-ROW(MSPTasks[[#Headers],[ID]]))))</f>
        <v/>
      </c>
      <c r="B41" s="23" t="str">
        <f aca="false">IF(IFERROR(INDEX(tsk_Name,(ROW()-ROW(MSPTasks[[#Headers],[ID]])))="",TRUE()),"",INDEX(tsk_UID,(ROW()-ROW(MSPTasks[[#Headers],[ID]]))))</f>
        <v/>
      </c>
      <c r="C41" s="23" t="str">
        <f aca="false">IF(IFERROR(INDEX(tsk_Name,(ROW()-ROW(MSPTasks[[#Headers],[ID]])))="",TRUE()),"",INDEX(tsk_Name,(ROW()-ROW(MSPTasks[[#Headers],[ID]]))))</f>
        <v/>
      </c>
      <c r="D41" s="23" t="str">
        <f aca="false">IF(IFERROR(INDEX(tsk_Name,(ROW()-ROW(MSPTasks[[#Headers],[ID]])))="",TRUE()),"",INDEX(tsk_Level,(ROW()-ROW(MSPTasks[[#Headers],[ID]]))))</f>
        <v/>
      </c>
      <c r="E41" s="23" t="str">
        <f aca="false">IF(IFERROR(INDEX(tsk_Name,(ROW()-ROW(MSPTasks[[#Headers],[ID]])))="",TRUE()),"",IF(INDEX(tsk_Mode,(ROW()-ROW(MSPTasks[[#Headers],[ID]])))="Manual","Manually Scheduled","Auto Scheduled"))</f>
        <v/>
      </c>
      <c r="F4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1" s="80" t="str">
        <f aca="false">IF(IFERROR(INDEX(tsk_Name,(ROW()-ROW(MSPTasks[[#Headers],[ID]])))="",TRUE()),"",INDEX(tsk_FcStart,(ROW()-ROW(MSPTasks[[#Headers],[ID]]))))</f>
        <v/>
      </c>
      <c r="H41" s="80" t="str">
        <f aca="false">IF(IFERROR(INDEX(tsk_Name,(ROW()-ROW(MSPTasks[[#Headers],[ID]])))="",TRUE()),"",INDEX(tsk_FcFinish,(ROW()-ROW(MSPTasks[[#Headers],[ID]]))))</f>
        <v/>
      </c>
      <c r="I4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1" s="80" t="str">
        <f aca="false">IF(IFERROR(INDEX(tsk_Name,(ROW()-ROW(MSPTasks[[#Headers],[ID]])))="",TRUE()),"",INDEX(tsk_PlanStart,(ROW()-ROW(MSPTasks[[#Headers],[ID]]))))</f>
        <v/>
      </c>
      <c r="P41" s="80" t="str">
        <f aca="false">IF(IFERROR(INDEX(tsk_Name,(ROW()-ROW(MSPTasks[[#Headers],[ID]])))="",TRUE()),"",INDEX(tsk_PlanFinish,(ROW()-ROW(MSPTasks[[#Headers],[ID]]))))</f>
        <v/>
      </c>
      <c r="Q4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1" s="23" t="str">
        <f aca="false">IF(IFERROR(INDEX(tsk_Name,(ROW()-ROW(MSPTasks[[#Headers],[ID]])))="",TRUE()),"",INDEX(tsk_Notes,(ROW()-ROW(MSPTasks[[#Headers],[ID]])))&amp;"")</f>
        <v/>
      </c>
    </row>
    <row r="42" customFormat="false" ht="15" hidden="false" customHeight="false" outlineLevel="0" collapsed="false">
      <c r="A42" s="23" t="str">
        <f aca="false">IF(IFERROR(INDEX(tsk_Name,(ROW()-ROW(MSPTasks[[#Headers],[ID]])))="",TRUE()),"",INDEX(tsk_ID,(ROW()-ROW(MSPTasks[[#Headers],[ID]]))))</f>
        <v/>
      </c>
      <c r="B42" s="23" t="str">
        <f aca="false">IF(IFERROR(INDEX(tsk_Name,(ROW()-ROW(MSPTasks[[#Headers],[ID]])))="",TRUE()),"",INDEX(tsk_UID,(ROW()-ROW(MSPTasks[[#Headers],[ID]]))))</f>
        <v/>
      </c>
      <c r="C42" s="23" t="str">
        <f aca="false">IF(IFERROR(INDEX(tsk_Name,(ROW()-ROW(MSPTasks[[#Headers],[ID]])))="",TRUE()),"",INDEX(tsk_Name,(ROW()-ROW(MSPTasks[[#Headers],[ID]]))))</f>
        <v/>
      </c>
      <c r="D42" s="23" t="str">
        <f aca="false">IF(IFERROR(INDEX(tsk_Name,(ROW()-ROW(MSPTasks[[#Headers],[ID]])))="",TRUE()),"",INDEX(tsk_Level,(ROW()-ROW(MSPTasks[[#Headers],[ID]]))))</f>
        <v/>
      </c>
      <c r="E42" s="23" t="str">
        <f aca="false">IF(IFERROR(INDEX(tsk_Name,(ROW()-ROW(MSPTasks[[#Headers],[ID]])))="",TRUE()),"",IF(INDEX(tsk_Mode,(ROW()-ROW(MSPTasks[[#Headers],[ID]])))="Manual","Manually Scheduled","Auto Scheduled"))</f>
        <v/>
      </c>
      <c r="F4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2" s="80" t="str">
        <f aca="false">IF(IFERROR(INDEX(tsk_Name,(ROW()-ROW(MSPTasks[[#Headers],[ID]])))="",TRUE()),"",INDEX(tsk_FcStart,(ROW()-ROW(MSPTasks[[#Headers],[ID]]))))</f>
        <v/>
      </c>
      <c r="H42" s="80" t="str">
        <f aca="false">IF(IFERROR(INDEX(tsk_Name,(ROW()-ROW(MSPTasks[[#Headers],[ID]])))="",TRUE()),"",INDEX(tsk_FcFinish,(ROW()-ROW(MSPTasks[[#Headers],[ID]]))))</f>
        <v/>
      </c>
      <c r="I4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2" s="80" t="str">
        <f aca="false">IF(IFERROR(INDEX(tsk_Name,(ROW()-ROW(MSPTasks[[#Headers],[ID]])))="",TRUE()),"",INDEX(tsk_PlanStart,(ROW()-ROW(MSPTasks[[#Headers],[ID]]))))</f>
        <v/>
      </c>
      <c r="P42" s="80" t="str">
        <f aca="false">IF(IFERROR(INDEX(tsk_Name,(ROW()-ROW(MSPTasks[[#Headers],[ID]])))="",TRUE()),"",INDEX(tsk_PlanFinish,(ROW()-ROW(MSPTasks[[#Headers],[ID]]))))</f>
        <v/>
      </c>
      <c r="Q4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2" s="23" t="str">
        <f aca="false">IF(IFERROR(INDEX(tsk_Name,(ROW()-ROW(MSPTasks[[#Headers],[ID]])))="",TRUE()),"",INDEX(tsk_Notes,(ROW()-ROW(MSPTasks[[#Headers],[ID]])))&amp;"")</f>
        <v/>
      </c>
    </row>
    <row r="43" customFormat="false" ht="15" hidden="false" customHeight="false" outlineLevel="0" collapsed="false">
      <c r="A43" s="23" t="str">
        <f aca="false">IF(IFERROR(INDEX(tsk_Name,(ROW()-ROW(MSPTasks[[#Headers],[ID]])))="",TRUE()),"",INDEX(tsk_ID,(ROW()-ROW(MSPTasks[[#Headers],[ID]]))))</f>
        <v/>
      </c>
      <c r="B43" s="23" t="str">
        <f aca="false">IF(IFERROR(INDEX(tsk_Name,(ROW()-ROW(MSPTasks[[#Headers],[ID]])))="",TRUE()),"",INDEX(tsk_UID,(ROW()-ROW(MSPTasks[[#Headers],[ID]]))))</f>
        <v/>
      </c>
      <c r="C43" s="23" t="str">
        <f aca="false">IF(IFERROR(INDEX(tsk_Name,(ROW()-ROW(MSPTasks[[#Headers],[ID]])))="",TRUE()),"",INDEX(tsk_Name,(ROW()-ROW(MSPTasks[[#Headers],[ID]]))))</f>
        <v/>
      </c>
      <c r="D43" s="23" t="str">
        <f aca="false">IF(IFERROR(INDEX(tsk_Name,(ROW()-ROW(MSPTasks[[#Headers],[ID]])))="",TRUE()),"",INDEX(tsk_Level,(ROW()-ROW(MSPTasks[[#Headers],[ID]]))))</f>
        <v/>
      </c>
      <c r="E43" s="23" t="str">
        <f aca="false">IF(IFERROR(INDEX(tsk_Name,(ROW()-ROW(MSPTasks[[#Headers],[ID]])))="",TRUE()),"",IF(INDEX(tsk_Mode,(ROW()-ROW(MSPTasks[[#Headers],[ID]])))="Manual","Manually Scheduled","Auto Scheduled"))</f>
        <v/>
      </c>
      <c r="F4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3" s="80" t="str">
        <f aca="false">IF(IFERROR(INDEX(tsk_Name,(ROW()-ROW(MSPTasks[[#Headers],[ID]])))="",TRUE()),"",INDEX(tsk_FcStart,(ROW()-ROW(MSPTasks[[#Headers],[ID]]))))</f>
        <v/>
      </c>
      <c r="H43" s="80" t="str">
        <f aca="false">IF(IFERROR(INDEX(tsk_Name,(ROW()-ROW(MSPTasks[[#Headers],[ID]])))="",TRUE()),"",INDEX(tsk_FcFinish,(ROW()-ROW(MSPTasks[[#Headers],[ID]]))))</f>
        <v/>
      </c>
      <c r="I4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3" s="80" t="str">
        <f aca="false">IF(IFERROR(INDEX(tsk_Name,(ROW()-ROW(MSPTasks[[#Headers],[ID]])))="",TRUE()),"",INDEX(tsk_PlanStart,(ROW()-ROW(MSPTasks[[#Headers],[ID]]))))</f>
        <v/>
      </c>
      <c r="P43" s="80" t="str">
        <f aca="false">IF(IFERROR(INDEX(tsk_Name,(ROW()-ROW(MSPTasks[[#Headers],[ID]])))="",TRUE()),"",INDEX(tsk_PlanFinish,(ROW()-ROW(MSPTasks[[#Headers],[ID]]))))</f>
        <v/>
      </c>
      <c r="Q4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3" s="23" t="str">
        <f aca="false">IF(IFERROR(INDEX(tsk_Name,(ROW()-ROW(MSPTasks[[#Headers],[ID]])))="",TRUE()),"",INDEX(tsk_Notes,(ROW()-ROW(MSPTasks[[#Headers],[ID]])))&amp;"")</f>
        <v/>
      </c>
    </row>
    <row r="44" customFormat="false" ht="15" hidden="false" customHeight="false" outlineLevel="0" collapsed="false">
      <c r="A44" s="23" t="str">
        <f aca="false">IF(IFERROR(INDEX(tsk_Name,(ROW()-ROW(MSPTasks[[#Headers],[ID]])))="",TRUE()),"",INDEX(tsk_ID,(ROW()-ROW(MSPTasks[[#Headers],[ID]]))))</f>
        <v/>
      </c>
      <c r="B44" s="23" t="str">
        <f aca="false">IF(IFERROR(INDEX(tsk_Name,(ROW()-ROW(MSPTasks[[#Headers],[ID]])))="",TRUE()),"",INDEX(tsk_UID,(ROW()-ROW(MSPTasks[[#Headers],[ID]]))))</f>
        <v/>
      </c>
      <c r="C44" s="23" t="str">
        <f aca="false">IF(IFERROR(INDEX(tsk_Name,(ROW()-ROW(MSPTasks[[#Headers],[ID]])))="",TRUE()),"",INDEX(tsk_Name,(ROW()-ROW(MSPTasks[[#Headers],[ID]]))))</f>
        <v/>
      </c>
      <c r="D44" s="23" t="str">
        <f aca="false">IF(IFERROR(INDEX(tsk_Name,(ROW()-ROW(MSPTasks[[#Headers],[ID]])))="",TRUE()),"",INDEX(tsk_Level,(ROW()-ROW(MSPTasks[[#Headers],[ID]]))))</f>
        <v/>
      </c>
      <c r="E44" s="23" t="str">
        <f aca="false">IF(IFERROR(INDEX(tsk_Name,(ROW()-ROW(MSPTasks[[#Headers],[ID]])))="",TRUE()),"",IF(INDEX(tsk_Mode,(ROW()-ROW(MSPTasks[[#Headers],[ID]])))="Manual","Manually Scheduled","Auto Scheduled"))</f>
        <v/>
      </c>
      <c r="F4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4" s="80" t="str">
        <f aca="false">IF(IFERROR(INDEX(tsk_Name,(ROW()-ROW(MSPTasks[[#Headers],[ID]])))="",TRUE()),"",INDEX(tsk_FcStart,(ROW()-ROW(MSPTasks[[#Headers],[ID]]))))</f>
        <v/>
      </c>
      <c r="H44" s="80" t="str">
        <f aca="false">IF(IFERROR(INDEX(tsk_Name,(ROW()-ROW(MSPTasks[[#Headers],[ID]])))="",TRUE()),"",INDEX(tsk_FcFinish,(ROW()-ROW(MSPTasks[[#Headers],[ID]]))))</f>
        <v/>
      </c>
      <c r="I4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4" s="80" t="str">
        <f aca="false">IF(IFERROR(INDEX(tsk_Name,(ROW()-ROW(MSPTasks[[#Headers],[ID]])))="",TRUE()),"",INDEX(tsk_PlanStart,(ROW()-ROW(MSPTasks[[#Headers],[ID]]))))</f>
        <v/>
      </c>
      <c r="P44" s="80" t="str">
        <f aca="false">IF(IFERROR(INDEX(tsk_Name,(ROW()-ROW(MSPTasks[[#Headers],[ID]])))="",TRUE()),"",INDEX(tsk_PlanFinish,(ROW()-ROW(MSPTasks[[#Headers],[ID]]))))</f>
        <v/>
      </c>
      <c r="Q4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4" s="23" t="str">
        <f aca="false">IF(IFERROR(INDEX(tsk_Name,(ROW()-ROW(MSPTasks[[#Headers],[ID]])))="",TRUE()),"",INDEX(tsk_Notes,(ROW()-ROW(MSPTasks[[#Headers],[ID]])))&amp;"")</f>
        <v/>
      </c>
    </row>
    <row r="45" customFormat="false" ht="15" hidden="false" customHeight="false" outlineLevel="0" collapsed="false">
      <c r="A45" s="23" t="str">
        <f aca="false">IF(IFERROR(INDEX(tsk_Name,(ROW()-ROW(MSPTasks[[#Headers],[ID]])))="",TRUE()),"",INDEX(tsk_ID,(ROW()-ROW(MSPTasks[[#Headers],[ID]]))))</f>
        <v/>
      </c>
      <c r="B45" s="23" t="str">
        <f aca="false">IF(IFERROR(INDEX(tsk_Name,(ROW()-ROW(MSPTasks[[#Headers],[ID]])))="",TRUE()),"",INDEX(tsk_UID,(ROW()-ROW(MSPTasks[[#Headers],[ID]]))))</f>
        <v/>
      </c>
      <c r="C45" s="23" t="str">
        <f aca="false">IF(IFERROR(INDEX(tsk_Name,(ROW()-ROW(MSPTasks[[#Headers],[ID]])))="",TRUE()),"",INDEX(tsk_Name,(ROW()-ROW(MSPTasks[[#Headers],[ID]]))))</f>
        <v/>
      </c>
      <c r="D45" s="23" t="str">
        <f aca="false">IF(IFERROR(INDEX(tsk_Name,(ROW()-ROW(MSPTasks[[#Headers],[ID]])))="",TRUE()),"",INDEX(tsk_Level,(ROW()-ROW(MSPTasks[[#Headers],[ID]]))))</f>
        <v/>
      </c>
      <c r="E45" s="23" t="str">
        <f aca="false">IF(IFERROR(INDEX(tsk_Name,(ROW()-ROW(MSPTasks[[#Headers],[ID]])))="",TRUE()),"",IF(INDEX(tsk_Mode,(ROW()-ROW(MSPTasks[[#Headers],[ID]])))="Manual","Manually Scheduled","Auto Scheduled"))</f>
        <v/>
      </c>
      <c r="F4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5" s="80" t="str">
        <f aca="false">IF(IFERROR(INDEX(tsk_Name,(ROW()-ROW(MSPTasks[[#Headers],[ID]])))="",TRUE()),"",INDEX(tsk_FcStart,(ROW()-ROW(MSPTasks[[#Headers],[ID]]))))</f>
        <v/>
      </c>
      <c r="H45" s="80" t="str">
        <f aca="false">IF(IFERROR(INDEX(tsk_Name,(ROW()-ROW(MSPTasks[[#Headers],[ID]])))="",TRUE()),"",INDEX(tsk_FcFinish,(ROW()-ROW(MSPTasks[[#Headers],[ID]]))))</f>
        <v/>
      </c>
      <c r="I4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5" s="80" t="str">
        <f aca="false">IF(IFERROR(INDEX(tsk_Name,(ROW()-ROW(MSPTasks[[#Headers],[ID]])))="",TRUE()),"",INDEX(tsk_PlanStart,(ROW()-ROW(MSPTasks[[#Headers],[ID]]))))</f>
        <v/>
      </c>
      <c r="P45" s="80" t="str">
        <f aca="false">IF(IFERROR(INDEX(tsk_Name,(ROW()-ROW(MSPTasks[[#Headers],[ID]])))="",TRUE()),"",INDEX(tsk_PlanFinish,(ROW()-ROW(MSPTasks[[#Headers],[ID]]))))</f>
        <v/>
      </c>
      <c r="Q4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5" s="23" t="str">
        <f aca="false">IF(IFERROR(INDEX(tsk_Name,(ROW()-ROW(MSPTasks[[#Headers],[ID]])))="",TRUE()),"",INDEX(tsk_Notes,(ROW()-ROW(MSPTasks[[#Headers],[ID]])))&amp;"")</f>
        <v/>
      </c>
    </row>
    <row r="46" customFormat="false" ht="15" hidden="false" customHeight="false" outlineLevel="0" collapsed="false">
      <c r="A46" s="23" t="str">
        <f aca="false">IF(IFERROR(INDEX(tsk_Name,(ROW()-ROW(MSPTasks[[#Headers],[ID]])))="",TRUE()),"",INDEX(tsk_ID,(ROW()-ROW(MSPTasks[[#Headers],[ID]]))))</f>
        <v/>
      </c>
      <c r="B46" s="23" t="str">
        <f aca="false">IF(IFERROR(INDEX(tsk_Name,(ROW()-ROW(MSPTasks[[#Headers],[ID]])))="",TRUE()),"",INDEX(tsk_UID,(ROW()-ROW(MSPTasks[[#Headers],[ID]]))))</f>
        <v/>
      </c>
      <c r="C46" s="23" t="str">
        <f aca="false">IF(IFERROR(INDEX(tsk_Name,(ROW()-ROW(MSPTasks[[#Headers],[ID]])))="",TRUE()),"",INDEX(tsk_Name,(ROW()-ROW(MSPTasks[[#Headers],[ID]]))))</f>
        <v/>
      </c>
      <c r="D46" s="23" t="str">
        <f aca="false">IF(IFERROR(INDEX(tsk_Name,(ROW()-ROW(MSPTasks[[#Headers],[ID]])))="",TRUE()),"",INDEX(tsk_Level,(ROW()-ROW(MSPTasks[[#Headers],[ID]]))))</f>
        <v/>
      </c>
      <c r="E46" s="23" t="str">
        <f aca="false">IF(IFERROR(INDEX(tsk_Name,(ROW()-ROW(MSPTasks[[#Headers],[ID]])))="",TRUE()),"",IF(INDEX(tsk_Mode,(ROW()-ROW(MSPTasks[[#Headers],[ID]])))="Manual","Manually Scheduled","Auto Scheduled"))</f>
        <v/>
      </c>
      <c r="F4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6" s="80" t="str">
        <f aca="false">IF(IFERROR(INDEX(tsk_Name,(ROW()-ROW(MSPTasks[[#Headers],[ID]])))="",TRUE()),"",INDEX(tsk_FcStart,(ROW()-ROW(MSPTasks[[#Headers],[ID]]))))</f>
        <v/>
      </c>
      <c r="H46" s="80" t="str">
        <f aca="false">IF(IFERROR(INDEX(tsk_Name,(ROW()-ROW(MSPTasks[[#Headers],[ID]])))="",TRUE()),"",INDEX(tsk_FcFinish,(ROW()-ROW(MSPTasks[[#Headers],[ID]]))))</f>
        <v/>
      </c>
      <c r="I4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6" s="80" t="str">
        <f aca="false">IF(IFERROR(INDEX(tsk_Name,(ROW()-ROW(MSPTasks[[#Headers],[ID]])))="",TRUE()),"",INDEX(tsk_PlanStart,(ROW()-ROW(MSPTasks[[#Headers],[ID]]))))</f>
        <v/>
      </c>
      <c r="P46" s="80" t="str">
        <f aca="false">IF(IFERROR(INDEX(tsk_Name,(ROW()-ROW(MSPTasks[[#Headers],[ID]])))="",TRUE()),"",INDEX(tsk_PlanFinish,(ROW()-ROW(MSPTasks[[#Headers],[ID]]))))</f>
        <v/>
      </c>
      <c r="Q4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6" s="23" t="str">
        <f aca="false">IF(IFERROR(INDEX(tsk_Name,(ROW()-ROW(MSPTasks[[#Headers],[ID]])))="",TRUE()),"",INDEX(tsk_Notes,(ROW()-ROW(MSPTasks[[#Headers],[ID]])))&amp;"")</f>
        <v/>
      </c>
    </row>
    <row r="47" customFormat="false" ht="15" hidden="false" customHeight="false" outlineLevel="0" collapsed="false">
      <c r="A47" s="23" t="str">
        <f aca="false">IF(IFERROR(INDEX(tsk_Name,(ROW()-ROW(MSPTasks[[#Headers],[ID]])))="",TRUE()),"",INDEX(tsk_ID,(ROW()-ROW(MSPTasks[[#Headers],[ID]]))))</f>
        <v/>
      </c>
      <c r="B47" s="23" t="str">
        <f aca="false">IF(IFERROR(INDEX(tsk_Name,(ROW()-ROW(MSPTasks[[#Headers],[ID]])))="",TRUE()),"",INDEX(tsk_UID,(ROW()-ROW(MSPTasks[[#Headers],[ID]]))))</f>
        <v/>
      </c>
      <c r="C47" s="23" t="str">
        <f aca="false">IF(IFERROR(INDEX(tsk_Name,(ROW()-ROW(MSPTasks[[#Headers],[ID]])))="",TRUE()),"",INDEX(tsk_Name,(ROW()-ROW(MSPTasks[[#Headers],[ID]]))))</f>
        <v/>
      </c>
      <c r="D47" s="23" t="str">
        <f aca="false">IF(IFERROR(INDEX(tsk_Name,(ROW()-ROW(MSPTasks[[#Headers],[ID]])))="",TRUE()),"",INDEX(tsk_Level,(ROW()-ROW(MSPTasks[[#Headers],[ID]]))))</f>
        <v/>
      </c>
      <c r="E47" s="23" t="str">
        <f aca="false">IF(IFERROR(INDEX(tsk_Name,(ROW()-ROW(MSPTasks[[#Headers],[ID]])))="",TRUE()),"",IF(INDEX(tsk_Mode,(ROW()-ROW(MSPTasks[[#Headers],[ID]])))="Manual","Manually Scheduled","Auto Scheduled"))</f>
        <v/>
      </c>
      <c r="F4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7" s="80" t="str">
        <f aca="false">IF(IFERROR(INDEX(tsk_Name,(ROW()-ROW(MSPTasks[[#Headers],[ID]])))="",TRUE()),"",INDEX(tsk_FcStart,(ROW()-ROW(MSPTasks[[#Headers],[ID]]))))</f>
        <v/>
      </c>
      <c r="H47" s="80" t="str">
        <f aca="false">IF(IFERROR(INDEX(tsk_Name,(ROW()-ROW(MSPTasks[[#Headers],[ID]])))="",TRUE()),"",INDEX(tsk_FcFinish,(ROW()-ROW(MSPTasks[[#Headers],[ID]]))))</f>
        <v/>
      </c>
      <c r="I4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7" s="80" t="str">
        <f aca="false">IF(IFERROR(INDEX(tsk_Name,(ROW()-ROW(MSPTasks[[#Headers],[ID]])))="",TRUE()),"",INDEX(tsk_PlanStart,(ROW()-ROW(MSPTasks[[#Headers],[ID]]))))</f>
        <v/>
      </c>
      <c r="P47" s="80" t="str">
        <f aca="false">IF(IFERROR(INDEX(tsk_Name,(ROW()-ROW(MSPTasks[[#Headers],[ID]])))="",TRUE()),"",INDEX(tsk_PlanFinish,(ROW()-ROW(MSPTasks[[#Headers],[ID]]))))</f>
        <v/>
      </c>
      <c r="Q4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7" s="23" t="str">
        <f aca="false">IF(IFERROR(INDEX(tsk_Name,(ROW()-ROW(MSPTasks[[#Headers],[ID]])))="",TRUE()),"",INDEX(tsk_Notes,(ROW()-ROW(MSPTasks[[#Headers],[ID]])))&amp;"")</f>
        <v/>
      </c>
    </row>
    <row r="48" customFormat="false" ht="15" hidden="false" customHeight="false" outlineLevel="0" collapsed="false">
      <c r="A48" s="23" t="str">
        <f aca="false">IF(IFERROR(INDEX(tsk_Name,(ROW()-ROW(MSPTasks[[#Headers],[ID]])))="",TRUE()),"",INDEX(tsk_ID,(ROW()-ROW(MSPTasks[[#Headers],[ID]]))))</f>
        <v/>
      </c>
      <c r="B48" s="23" t="str">
        <f aca="false">IF(IFERROR(INDEX(tsk_Name,(ROW()-ROW(MSPTasks[[#Headers],[ID]])))="",TRUE()),"",INDEX(tsk_UID,(ROW()-ROW(MSPTasks[[#Headers],[ID]]))))</f>
        <v/>
      </c>
      <c r="C48" s="23" t="str">
        <f aca="false">IF(IFERROR(INDEX(tsk_Name,(ROW()-ROW(MSPTasks[[#Headers],[ID]])))="",TRUE()),"",INDEX(tsk_Name,(ROW()-ROW(MSPTasks[[#Headers],[ID]]))))</f>
        <v/>
      </c>
      <c r="D48" s="23" t="str">
        <f aca="false">IF(IFERROR(INDEX(tsk_Name,(ROW()-ROW(MSPTasks[[#Headers],[ID]])))="",TRUE()),"",INDEX(tsk_Level,(ROW()-ROW(MSPTasks[[#Headers],[ID]]))))</f>
        <v/>
      </c>
      <c r="E48" s="23" t="str">
        <f aca="false">IF(IFERROR(INDEX(tsk_Name,(ROW()-ROW(MSPTasks[[#Headers],[ID]])))="",TRUE()),"",IF(INDEX(tsk_Mode,(ROW()-ROW(MSPTasks[[#Headers],[ID]])))="Manual","Manually Scheduled","Auto Scheduled"))</f>
        <v/>
      </c>
      <c r="F4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8" s="80" t="str">
        <f aca="false">IF(IFERROR(INDEX(tsk_Name,(ROW()-ROW(MSPTasks[[#Headers],[ID]])))="",TRUE()),"",INDEX(tsk_FcStart,(ROW()-ROW(MSPTasks[[#Headers],[ID]]))))</f>
        <v/>
      </c>
      <c r="H48" s="80" t="str">
        <f aca="false">IF(IFERROR(INDEX(tsk_Name,(ROW()-ROW(MSPTasks[[#Headers],[ID]])))="",TRUE()),"",INDEX(tsk_FcFinish,(ROW()-ROW(MSPTasks[[#Headers],[ID]]))))</f>
        <v/>
      </c>
      <c r="I4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8" s="80" t="str">
        <f aca="false">IF(IFERROR(INDEX(tsk_Name,(ROW()-ROW(MSPTasks[[#Headers],[ID]])))="",TRUE()),"",INDEX(tsk_PlanStart,(ROW()-ROW(MSPTasks[[#Headers],[ID]]))))</f>
        <v/>
      </c>
      <c r="P48" s="80" t="str">
        <f aca="false">IF(IFERROR(INDEX(tsk_Name,(ROW()-ROW(MSPTasks[[#Headers],[ID]])))="",TRUE()),"",INDEX(tsk_PlanFinish,(ROW()-ROW(MSPTasks[[#Headers],[ID]]))))</f>
        <v/>
      </c>
      <c r="Q4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8" s="23" t="str">
        <f aca="false">IF(IFERROR(INDEX(tsk_Name,(ROW()-ROW(MSPTasks[[#Headers],[ID]])))="",TRUE()),"",INDEX(tsk_Notes,(ROW()-ROW(MSPTasks[[#Headers],[ID]])))&amp;"")</f>
        <v/>
      </c>
    </row>
    <row r="49" customFormat="false" ht="15" hidden="false" customHeight="false" outlineLevel="0" collapsed="false">
      <c r="A49" s="23" t="str">
        <f aca="false">IF(IFERROR(INDEX(tsk_Name,(ROW()-ROW(MSPTasks[[#Headers],[ID]])))="",TRUE()),"",INDEX(tsk_ID,(ROW()-ROW(MSPTasks[[#Headers],[ID]]))))</f>
        <v/>
      </c>
      <c r="B49" s="23" t="str">
        <f aca="false">IF(IFERROR(INDEX(tsk_Name,(ROW()-ROW(MSPTasks[[#Headers],[ID]])))="",TRUE()),"",INDEX(tsk_UID,(ROW()-ROW(MSPTasks[[#Headers],[ID]]))))</f>
        <v/>
      </c>
      <c r="C49" s="23" t="str">
        <f aca="false">IF(IFERROR(INDEX(tsk_Name,(ROW()-ROW(MSPTasks[[#Headers],[ID]])))="",TRUE()),"",INDEX(tsk_Name,(ROW()-ROW(MSPTasks[[#Headers],[ID]]))))</f>
        <v/>
      </c>
      <c r="D49" s="23" t="str">
        <f aca="false">IF(IFERROR(INDEX(tsk_Name,(ROW()-ROW(MSPTasks[[#Headers],[ID]])))="",TRUE()),"",INDEX(tsk_Level,(ROW()-ROW(MSPTasks[[#Headers],[ID]]))))</f>
        <v/>
      </c>
      <c r="E49" s="23" t="str">
        <f aca="false">IF(IFERROR(INDEX(tsk_Name,(ROW()-ROW(MSPTasks[[#Headers],[ID]])))="",TRUE()),"",IF(INDEX(tsk_Mode,(ROW()-ROW(MSPTasks[[#Headers],[ID]])))="Manual","Manually Scheduled","Auto Scheduled"))</f>
        <v/>
      </c>
      <c r="F4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9" s="80" t="str">
        <f aca="false">IF(IFERROR(INDEX(tsk_Name,(ROW()-ROW(MSPTasks[[#Headers],[ID]])))="",TRUE()),"",INDEX(tsk_FcStart,(ROW()-ROW(MSPTasks[[#Headers],[ID]]))))</f>
        <v/>
      </c>
      <c r="H49" s="80" t="str">
        <f aca="false">IF(IFERROR(INDEX(tsk_Name,(ROW()-ROW(MSPTasks[[#Headers],[ID]])))="",TRUE()),"",INDEX(tsk_FcFinish,(ROW()-ROW(MSPTasks[[#Headers],[ID]]))))</f>
        <v/>
      </c>
      <c r="I4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9" s="80" t="str">
        <f aca="false">IF(IFERROR(INDEX(tsk_Name,(ROW()-ROW(MSPTasks[[#Headers],[ID]])))="",TRUE()),"",INDEX(tsk_PlanStart,(ROW()-ROW(MSPTasks[[#Headers],[ID]]))))</f>
        <v/>
      </c>
      <c r="P49" s="80" t="str">
        <f aca="false">IF(IFERROR(INDEX(tsk_Name,(ROW()-ROW(MSPTasks[[#Headers],[ID]])))="",TRUE()),"",INDEX(tsk_PlanFinish,(ROW()-ROW(MSPTasks[[#Headers],[ID]]))))</f>
        <v/>
      </c>
      <c r="Q4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9" s="23" t="str">
        <f aca="false">IF(IFERROR(INDEX(tsk_Name,(ROW()-ROW(MSPTasks[[#Headers],[ID]])))="",TRUE()),"",INDEX(tsk_Notes,(ROW()-ROW(MSPTasks[[#Headers],[ID]])))&amp;"")</f>
        <v/>
      </c>
    </row>
    <row r="50" customFormat="false" ht="15" hidden="false" customHeight="false" outlineLevel="0" collapsed="false">
      <c r="A50" s="23" t="str">
        <f aca="false">IF(IFERROR(INDEX(tsk_Name,(ROW()-ROW(MSPTasks[[#Headers],[ID]])))="",TRUE()),"",INDEX(tsk_ID,(ROW()-ROW(MSPTasks[[#Headers],[ID]]))))</f>
        <v/>
      </c>
      <c r="B50" s="23" t="str">
        <f aca="false">IF(IFERROR(INDEX(tsk_Name,(ROW()-ROW(MSPTasks[[#Headers],[ID]])))="",TRUE()),"",INDEX(tsk_UID,(ROW()-ROW(MSPTasks[[#Headers],[ID]]))))</f>
        <v/>
      </c>
      <c r="C50" s="23" t="str">
        <f aca="false">IF(IFERROR(INDEX(tsk_Name,(ROW()-ROW(MSPTasks[[#Headers],[ID]])))="",TRUE()),"",INDEX(tsk_Name,(ROW()-ROW(MSPTasks[[#Headers],[ID]]))))</f>
        <v/>
      </c>
      <c r="D50" s="23" t="str">
        <f aca="false">IF(IFERROR(INDEX(tsk_Name,(ROW()-ROW(MSPTasks[[#Headers],[ID]])))="",TRUE()),"",INDEX(tsk_Level,(ROW()-ROW(MSPTasks[[#Headers],[ID]]))))</f>
        <v/>
      </c>
      <c r="E50" s="23" t="str">
        <f aca="false">IF(IFERROR(INDEX(tsk_Name,(ROW()-ROW(MSPTasks[[#Headers],[ID]])))="",TRUE()),"",IF(INDEX(tsk_Mode,(ROW()-ROW(MSPTasks[[#Headers],[ID]])))="Manual","Manually Scheduled","Auto Scheduled"))</f>
        <v/>
      </c>
      <c r="F5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0" s="80" t="str">
        <f aca="false">IF(IFERROR(INDEX(tsk_Name,(ROW()-ROW(MSPTasks[[#Headers],[ID]])))="",TRUE()),"",INDEX(tsk_FcStart,(ROW()-ROW(MSPTasks[[#Headers],[ID]]))))</f>
        <v/>
      </c>
      <c r="H50" s="80" t="str">
        <f aca="false">IF(IFERROR(INDEX(tsk_Name,(ROW()-ROW(MSPTasks[[#Headers],[ID]])))="",TRUE()),"",INDEX(tsk_FcFinish,(ROW()-ROW(MSPTasks[[#Headers],[ID]]))))</f>
        <v/>
      </c>
      <c r="I5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0" s="80" t="str">
        <f aca="false">IF(IFERROR(INDEX(tsk_Name,(ROW()-ROW(MSPTasks[[#Headers],[ID]])))="",TRUE()),"",INDEX(tsk_PlanStart,(ROW()-ROW(MSPTasks[[#Headers],[ID]]))))</f>
        <v/>
      </c>
      <c r="P50" s="80" t="str">
        <f aca="false">IF(IFERROR(INDEX(tsk_Name,(ROW()-ROW(MSPTasks[[#Headers],[ID]])))="",TRUE()),"",INDEX(tsk_PlanFinish,(ROW()-ROW(MSPTasks[[#Headers],[ID]]))))</f>
        <v/>
      </c>
      <c r="Q5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0" s="23" t="str">
        <f aca="false">IF(IFERROR(INDEX(tsk_Name,(ROW()-ROW(MSPTasks[[#Headers],[ID]])))="",TRUE()),"",INDEX(tsk_Notes,(ROW()-ROW(MSPTasks[[#Headers],[ID]])))&amp;"")</f>
        <v/>
      </c>
    </row>
    <row r="51" customFormat="false" ht="15" hidden="false" customHeight="false" outlineLevel="0" collapsed="false">
      <c r="A51" s="23" t="str">
        <f aca="false">IF(IFERROR(INDEX(tsk_Name,(ROW()-ROW(MSPTasks[[#Headers],[ID]])))="",TRUE()),"",INDEX(tsk_ID,(ROW()-ROW(MSPTasks[[#Headers],[ID]]))))</f>
        <v/>
      </c>
      <c r="B51" s="23" t="str">
        <f aca="false">IF(IFERROR(INDEX(tsk_Name,(ROW()-ROW(MSPTasks[[#Headers],[ID]])))="",TRUE()),"",INDEX(tsk_UID,(ROW()-ROW(MSPTasks[[#Headers],[ID]]))))</f>
        <v/>
      </c>
      <c r="C51" s="23" t="str">
        <f aca="false">IF(IFERROR(INDEX(tsk_Name,(ROW()-ROW(MSPTasks[[#Headers],[ID]])))="",TRUE()),"",INDEX(tsk_Name,(ROW()-ROW(MSPTasks[[#Headers],[ID]]))))</f>
        <v/>
      </c>
      <c r="D51" s="23" t="str">
        <f aca="false">IF(IFERROR(INDEX(tsk_Name,(ROW()-ROW(MSPTasks[[#Headers],[ID]])))="",TRUE()),"",INDEX(tsk_Level,(ROW()-ROW(MSPTasks[[#Headers],[ID]]))))</f>
        <v/>
      </c>
      <c r="E51" s="23" t="str">
        <f aca="false">IF(IFERROR(INDEX(tsk_Name,(ROW()-ROW(MSPTasks[[#Headers],[ID]])))="",TRUE()),"",IF(INDEX(tsk_Mode,(ROW()-ROW(MSPTasks[[#Headers],[ID]])))="Manual","Manually Scheduled","Auto Scheduled"))</f>
        <v/>
      </c>
      <c r="F5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1" s="80" t="str">
        <f aca="false">IF(IFERROR(INDEX(tsk_Name,(ROW()-ROW(MSPTasks[[#Headers],[ID]])))="",TRUE()),"",INDEX(tsk_FcStart,(ROW()-ROW(MSPTasks[[#Headers],[ID]]))))</f>
        <v/>
      </c>
      <c r="H51" s="80" t="str">
        <f aca="false">IF(IFERROR(INDEX(tsk_Name,(ROW()-ROW(MSPTasks[[#Headers],[ID]])))="",TRUE()),"",INDEX(tsk_FcFinish,(ROW()-ROW(MSPTasks[[#Headers],[ID]]))))</f>
        <v/>
      </c>
      <c r="I5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1" s="80" t="str">
        <f aca="false">IF(IFERROR(INDEX(tsk_Name,(ROW()-ROW(MSPTasks[[#Headers],[ID]])))="",TRUE()),"",INDEX(tsk_PlanStart,(ROW()-ROW(MSPTasks[[#Headers],[ID]]))))</f>
        <v/>
      </c>
      <c r="P51" s="80" t="str">
        <f aca="false">IF(IFERROR(INDEX(tsk_Name,(ROW()-ROW(MSPTasks[[#Headers],[ID]])))="",TRUE()),"",INDEX(tsk_PlanFinish,(ROW()-ROW(MSPTasks[[#Headers],[ID]]))))</f>
        <v/>
      </c>
      <c r="Q5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1" s="23" t="str">
        <f aca="false">IF(IFERROR(INDEX(tsk_Name,(ROW()-ROW(MSPTasks[[#Headers],[ID]])))="",TRUE()),"",INDEX(tsk_Notes,(ROW()-ROW(MSPTasks[[#Headers],[ID]])))&amp;"")</f>
        <v/>
      </c>
    </row>
    <row r="52" customFormat="false" ht="15" hidden="false" customHeight="false" outlineLevel="0" collapsed="false">
      <c r="A52" s="23" t="str">
        <f aca="false">IF(IFERROR(INDEX(tsk_Name,(ROW()-ROW(MSPTasks[[#Headers],[ID]])))="",TRUE()),"",INDEX(tsk_ID,(ROW()-ROW(MSPTasks[[#Headers],[ID]]))))</f>
        <v/>
      </c>
      <c r="B52" s="23" t="str">
        <f aca="false">IF(IFERROR(INDEX(tsk_Name,(ROW()-ROW(MSPTasks[[#Headers],[ID]])))="",TRUE()),"",INDEX(tsk_UID,(ROW()-ROW(MSPTasks[[#Headers],[ID]]))))</f>
        <v/>
      </c>
      <c r="C52" s="23" t="str">
        <f aca="false">IF(IFERROR(INDEX(tsk_Name,(ROW()-ROW(MSPTasks[[#Headers],[ID]])))="",TRUE()),"",INDEX(tsk_Name,(ROW()-ROW(MSPTasks[[#Headers],[ID]]))))</f>
        <v/>
      </c>
      <c r="D52" s="23" t="str">
        <f aca="false">IF(IFERROR(INDEX(tsk_Name,(ROW()-ROW(MSPTasks[[#Headers],[ID]])))="",TRUE()),"",INDEX(tsk_Level,(ROW()-ROW(MSPTasks[[#Headers],[ID]]))))</f>
        <v/>
      </c>
      <c r="E52" s="23" t="str">
        <f aca="false">IF(IFERROR(INDEX(tsk_Name,(ROW()-ROW(MSPTasks[[#Headers],[ID]])))="",TRUE()),"",IF(INDEX(tsk_Mode,(ROW()-ROW(MSPTasks[[#Headers],[ID]])))="Manual","Manually Scheduled","Auto Scheduled"))</f>
        <v/>
      </c>
      <c r="F5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2" s="80" t="str">
        <f aca="false">IF(IFERROR(INDEX(tsk_Name,(ROW()-ROW(MSPTasks[[#Headers],[ID]])))="",TRUE()),"",INDEX(tsk_FcStart,(ROW()-ROW(MSPTasks[[#Headers],[ID]]))))</f>
        <v/>
      </c>
      <c r="H52" s="80" t="str">
        <f aca="false">IF(IFERROR(INDEX(tsk_Name,(ROW()-ROW(MSPTasks[[#Headers],[ID]])))="",TRUE()),"",INDEX(tsk_FcFinish,(ROW()-ROW(MSPTasks[[#Headers],[ID]]))))</f>
        <v/>
      </c>
      <c r="I5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2" s="80" t="str">
        <f aca="false">IF(IFERROR(INDEX(tsk_Name,(ROW()-ROW(MSPTasks[[#Headers],[ID]])))="",TRUE()),"",INDEX(tsk_PlanStart,(ROW()-ROW(MSPTasks[[#Headers],[ID]]))))</f>
        <v/>
      </c>
      <c r="P52" s="80" t="str">
        <f aca="false">IF(IFERROR(INDEX(tsk_Name,(ROW()-ROW(MSPTasks[[#Headers],[ID]])))="",TRUE()),"",INDEX(tsk_PlanFinish,(ROW()-ROW(MSPTasks[[#Headers],[ID]]))))</f>
        <v/>
      </c>
      <c r="Q5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2" s="23" t="str">
        <f aca="false">IF(IFERROR(INDEX(tsk_Name,(ROW()-ROW(MSPTasks[[#Headers],[ID]])))="",TRUE()),"",INDEX(tsk_Notes,(ROW()-ROW(MSPTasks[[#Headers],[ID]])))&amp;"")</f>
        <v/>
      </c>
    </row>
    <row r="53" customFormat="false" ht="15" hidden="false" customHeight="false" outlineLevel="0" collapsed="false">
      <c r="A53" s="23" t="str">
        <f aca="false">IF(IFERROR(INDEX(tsk_Name,(ROW()-ROW(MSPTasks[[#Headers],[ID]])))="",TRUE()),"",INDEX(tsk_ID,(ROW()-ROW(MSPTasks[[#Headers],[ID]]))))</f>
        <v/>
      </c>
      <c r="B53" s="23" t="str">
        <f aca="false">IF(IFERROR(INDEX(tsk_Name,(ROW()-ROW(MSPTasks[[#Headers],[ID]])))="",TRUE()),"",INDEX(tsk_UID,(ROW()-ROW(MSPTasks[[#Headers],[ID]]))))</f>
        <v/>
      </c>
      <c r="C53" s="23" t="str">
        <f aca="false">IF(IFERROR(INDEX(tsk_Name,(ROW()-ROW(MSPTasks[[#Headers],[ID]])))="",TRUE()),"",INDEX(tsk_Name,(ROW()-ROW(MSPTasks[[#Headers],[ID]]))))</f>
        <v/>
      </c>
      <c r="D53" s="23" t="str">
        <f aca="false">IF(IFERROR(INDEX(tsk_Name,(ROW()-ROW(MSPTasks[[#Headers],[ID]])))="",TRUE()),"",INDEX(tsk_Level,(ROW()-ROW(MSPTasks[[#Headers],[ID]]))))</f>
        <v/>
      </c>
      <c r="E53" s="23" t="str">
        <f aca="false">IF(IFERROR(INDEX(tsk_Name,(ROW()-ROW(MSPTasks[[#Headers],[ID]])))="",TRUE()),"",IF(INDEX(tsk_Mode,(ROW()-ROW(MSPTasks[[#Headers],[ID]])))="Manual","Manually Scheduled","Auto Scheduled"))</f>
        <v/>
      </c>
      <c r="F5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3" s="80" t="str">
        <f aca="false">IF(IFERROR(INDEX(tsk_Name,(ROW()-ROW(MSPTasks[[#Headers],[ID]])))="",TRUE()),"",INDEX(tsk_FcStart,(ROW()-ROW(MSPTasks[[#Headers],[ID]]))))</f>
        <v/>
      </c>
      <c r="H53" s="80" t="str">
        <f aca="false">IF(IFERROR(INDEX(tsk_Name,(ROW()-ROW(MSPTasks[[#Headers],[ID]])))="",TRUE()),"",INDEX(tsk_FcFinish,(ROW()-ROW(MSPTasks[[#Headers],[ID]]))))</f>
        <v/>
      </c>
      <c r="I5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3" s="80" t="str">
        <f aca="false">IF(IFERROR(INDEX(tsk_Name,(ROW()-ROW(MSPTasks[[#Headers],[ID]])))="",TRUE()),"",INDEX(tsk_PlanStart,(ROW()-ROW(MSPTasks[[#Headers],[ID]]))))</f>
        <v/>
      </c>
      <c r="P53" s="80" t="str">
        <f aca="false">IF(IFERROR(INDEX(tsk_Name,(ROW()-ROW(MSPTasks[[#Headers],[ID]])))="",TRUE()),"",INDEX(tsk_PlanFinish,(ROW()-ROW(MSPTasks[[#Headers],[ID]]))))</f>
        <v/>
      </c>
      <c r="Q5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3" s="23" t="str">
        <f aca="false">IF(IFERROR(INDEX(tsk_Name,(ROW()-ROW(MSPTasks[[#Headers],[ID]])))="",TRUE()),"",INDEX(tsk_Notes,(ROW()-ROW(MSPTasks[[#Headers],[ID]])))&amp;"")</f>
        <v/>
      </c>
    </row>
    <row r="54" customFormat="false" ht="15" hidden="false" customHeight="false" outlineLevel="0" collapsed="false">
      <c r="A54" s="23" t="str">
        <f aca="false">IF(IFERROR(INDEX(tsk_Name,(ROW()-ROW(MSPTasks[[#Headers],[ID]])))="",TRUE()),"",INDEX(tsk_ID,(ROW()-ROW(MSPTasks[[#Headers],[ID]]))))</f>
        <v/>
      </c>
      <c r="B54" s="23" t="str">
        <f aca="false">IF(IFERROR(INDEX(tsk_Name,(ROW()-ROW(MSPTasks[[#Headers],[ID]])))="",TRUE()),"",INDEX(tsk_UID,(ROW()-ROW(MSPTasks[[#Headers],[ID]]))))</f>
        <v/>
      </c>
      <c r="C54" s="23" t="str">
        <f aca="false">IF(IFERROR(INDEX(tsk_Name,(ROW()-ROW(MSPTasks[[#Headers],[ID]])))="",TRUE()),"",INDEX(tsk_Name,(ROW()-ROW(MSPTasks[[#Headers],[ID]]))))</f>
        <v/>
      </c>
      <c r="D54" s="23" t="str">
        <f aca="false">IF(IFERROR(INDEX(tsk_Name,(ROW()-ROW(MSPTasks[[#Headers],[ID]])))="",TRUE()),"",INDEX(tsk_Level,(ROW()-ROW(MSPTasks[[#Headers],[ID]]))))</f>
        <v/>
      </c>
      <c r="E54" s="23" t="str">
        <f aca="false">IF(IFERROR(INDEX(tsk_Name,(ROW()-ROW(MSPTasks[[#Headers],[ID]])))="",TRUE()),"",IF(INDEX(tsk_Mode,(ROW()-ROW(MSPTasks[[#Headers],[ID]])))="Manual","Manually Scheduled","Auto Scheduled"))</f>
        <v/>
      </c>
      <c r="F5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4" s="80" t="str">
        <f aca="false">IF(IFERROR(INDEX(tsk_Name,(ROW()-ROW(MSPTasks[[#Headers],[ID]])))="",TRUE()),"",INDEX(tsk_FcStart,(ROW()-ROW(MSPTasks[[#Headers],[ID]]))))</f>
        <v/>
      </c>
      <c r="H54" s="80" t="str">
        <f aca="false">IF(IFERROR(INDEX(tsk_Name,(ROW()-ROW(MSPTasks[[#Headers],[ID]])))="",TRUE()),"",INDEX(tsk_FcFinish,(ROW()-ROW(MSPTasks[[#Headers],[ID]]))))</f>
        <v/>
      </c>
      <c r="I5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4" s="80" t="str">
        <f aca="false">IF(IFERROR(INDEX(tsk_Name,(ROW()-ROW(MSPTasks[[#Headers],[ID]])))="",TRUE()),"",INDEX(tsk_PlanStart,(ROW()-ROW(MSPTasks[[#Headers],[ID]]))))</f>
        <v/>
      </c>
      <c r="P54" s="80" t="str">
        <f aca="false">IF(IFERROR(INDEX(tsk_Name,(ROW()-ROW(MSPTasks[[#Headers],[ID]])))="",TRUE()),"",INDEX(tsk_PlanFinish,(ROW()-ROW(MSPTasks[[#Headers],[ID]]))))</f>
        <v/>
      </c>
      <c r="Q5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4" s="23" t="str">
        <f aca="false">IF(IFERROR(INDEX(tsk_Name,(ROW()-ROW(MSPTasks[[#Headers],[ID]])))="",TRUE()),"",INDEX(tsk_Notes,(ROW()-ROW(MSPTasks[[#Headers],[ID]])))&amp;"")</f>
        <v/>
      </c>
    </row>
    <row r="55" customFormat="false" ht="15" hidden="false" customHeight="false" outlineLevel="0" collapsed="false">
      <c r="A55" s="23" t="str">
        <f aca="false">IF(IFERROR(INDEX(tsk_Name,(ROW()-ROW(MSPTasks[[#Headers],[ID]])))="",TRUE()),"",INDEX(tsk_ID,(ROW()-ROW(MSPTasks[[#Headers],[ID]]))))</f>
        <v/>
      </c>
      <c r="B55" s="23" t="str">
        <f aca="false">IF(IFERROR(INDEX(tsk_Name,(ROW()-ROW(MSPTasks[[#Headers],[ID]])))="",TRUE()),"",INDEX(tsk_UID,(ROW()-ROW(MSPTasks[[#Headers],[ID]]))))</f>
        <v/>
      </c>
      <c r="C55" s="23" t="str">
        <f aca="false">IF(IFERROR(INDEX(tsk_Name,(ROW()-ROW(MSPTasks[[#Headers],[ID]])))="",TRUE()),"",INDEX(tsk_Name,(ROW()-ROW(MSPTasks[[#Headers],[ID]]))))</f>
        <v/>
      </c>
      <c r="D55" s="23" t="str">
        <f aca="false">IF(IFERROR(INDEX(tsk_Name,(ROW()-ROW(MSPTasks[[#Headers],[ID]])))="",TRUE()),"",INDEX(tsk_Level,(ROW()-ROW(MSPTasks[[#Headers],[ID]]))))</f>
        <v/>
      </c>
      <c r="E55" s="23" t="str">
        <f aca="false">IF(IFERROR(INDEX(tsk_Name,(ROW()-ROW(MSPTasks[[#Headers],[ID]])))="",TRUE()),"",IF(INDEX(tsk_Mode,(ROW()-ROW(MSPTasks[[#Headers],[ID]])))="Manual","Manually Scheduled","Auto Scheduled"))</f>
        <v/>
      </c>
      <c r="F5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5" s="80" t="str">
        <f aca="false">IF(IFERROR(INDEX(tsk_Name,(ROW()-ROW(MSPTasks[[#Headers],[ID]])))="",TRUE()),"",INDEX(tsk_FcStart,(ROW()-ROW(MSPTasks[[#Headers],[ID]]))))</f>
        <v/>
      </c>
      <c r="H55" s="80" t="str">
        <f aca="false">IF(IFERROR(INDEX(tsk_Name,(ROW()-ROW(MSPTasks[[#Headers],[ID]])))="",TRUE()),"",INDEX(tsk_FcFinish,(ROW()-ROW(MSPTasks[[#Headers],[ID]]))))</f>
        <v/>
      </c>
      <c r="I5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5" s="80" t="str">
        <f aca="false">IF(IFERROR(INDEX(tsk_Name,(ROW()-ROW(MSPTasks[[#Headers],[ID]])))="",TRUE()),"",INDEX(tsk_PlanStart,(ROW()-ROW(MSPTasks[[#Headers],[ID]]))))</f>
        <v/>
      </c>
      <c r="P55" s="80" t="str">
        <f aca="false">IF(IFERROR(INDEX(tsk_Name,(ROW()-ROW(MSPTasks[[#Headers],[ID]])))="",TRUE()),"",INDEX(tsk_PlanFinish,(ROW()-ROW(MSPTasks[[#Headers],[ID]]))))</f>
        <v/>
      </c>
      <c r="Q5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5" s="23" t="str">
        <f aca="false">IF(IFERROR(INDEX(tsk_Name,(ROW()-ROW(MSPTasks[[#Headers],[ID]])))="",TRUE()),"",INDEX(tsk_Notes,(ROW()-ROW(MSPTasks[[#Headers],[ID]])))&amp;"")</f>
        <v/>
      </c>
    </row>
    <row r="56" customFormat="false" ht="15" hidden="false" customHeight="false" outlineLevel="0" collapsed="false">
      <c r="A56" s="23" t="str">
        <f aca="false">IF(IFERROR(INDEX(tsk_Name,(ROW()-ROW(MSPTasks[[#Headers],[ID]])))="",TRUE()),"",INDEX(tsk_ID,(ROW()-ROW(MSPTasks[[#Headers],[ID]]))))</f>
        <v/>
      </c>
      <c r="B56" s="23" t="str">
        <f aca="false">IF(IFERROR(INDEX(tsk_Name,(ROW()-ROW(MSPTasks[[#Headers],[ID]])))="",TRUE()),"",INDEX(tsk_UID,(ROW()-ROW(MSPTasks[[#Headers],[ID]]))))</f>
        <v/>
      </c>
      <c r="C56" s="23" t="str">
        <f aca="false">IF(IFERROR(INDEX(tsk_Name,(ROW()-ROW(MSPTasks[[#Headers],[ID]])))="",TRUE()),"",INDEX(tsk_Name,(ROW()-ROW(MSPTasks[[#Headers],[ID]]))))</f>
        <v/>
      </c>
      <c r="D56" s="23" t="str">
        <f aca="false">IF(IFERROR(INDEX(tsk_Name,(ROW()-ROW(MSPTasks[[#Headers],[ID]])))="",TRUE()),"",INDEX(tsk_Level,(ROW()-ROW(MSPTasks[[#Headers],[ID]]))))</f>
        <v/>
      </c>
      <c r="E56" s="23" t="str">
        <f aca="false">IF(IFERROR(INDEX(tsk_Name,(ROW()-ROW(MSPTasks[[#Headers],[ID]])))="",TRUE()),"",IF(INDEX(tsk_Mode,(ROW()-ROW(MSPTasks[[#Headers],[ID]])))="Manual","Manually Scheduled","Auto Scheduled"))</f>
        <v/>
      </c>
      <c r="F5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6" s="80" t="str">
        <f aca="false">IF(IFERROR(INDEX(tsk_Name,(ROW()-ROW(MSPTasks[[#Headers],[ID]])))="",TRUE()),"",INDEX(tsk_FcStart,(ROW()-ROW(MSPTasks[[#Headers],[ID]]))))</f>
        <v/>
      </c>
      <c r="H56" s="80" t="str">
        <f aca="false">IF(IFERROR(INDEX(tsk_Name,(ROW()-ROW(MSPTasks[[#Headers],[ID]])))="",TRUE()),"",INDEX(tsk_FcFinish,(ROW()-ROW(MSPTasks[[#Headers],[ID]]))))</f>
        <v/>
      </c>
      <c r="I5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6" s="80" t="str">
        <f aca="false">IF(IFERROR(INDEX(tsk_Name,(ROW()-ROW(MSPTasks[[#Headers],[ID]])))="",TRUE()),"",INDEX(tsk_PlanStart,(ROW()-ROW(MSPTasks[[#Headers],[ID]]))))</f>
        <v/>
      </c>
      <c r="P56" s="80" t="str">
        <f aca="false">IF(IFERROR(INDEX(tsk_Name,(ROW()-ROW(MSPTasks[[#Headers],[ID]])))="",TRUE()),"",INDEX(tsk_PlanFinish,(ROW()-ROW(MSPTasks[[#Headers],[ID]]))))</f>
        <v/>
      </c>
      <c r="Q5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6" s="23" t="str">
        <f aca="false">IF(IFERROR(INDEX(tsk_Name,(ROW()-ROW(MSPTasks[[#Headers],[ID]])))="",TRUE()),"",INDEX(tsk_Notes,(ROW()-ROW(MSPTasks[[#Headers],[ID]])))&amp;"")</f>
        <v/>
      </c>
    </row>
    <row r="57" customFormat="false" ht="15" hidden="false" customHeight="false" outlineLevel="0" collapsed="false">
      <c r="A57" s="23" t="str">
        <f aca="false">IF(IFERROR(INDEX(tsk_Name,(ROW()-ROW(MSPTasks[[#Headers],[ID]])))="",TRUE()),"",INDEX(tsk_ID,(ROW()-ROW(MSPTasks[[#Headers],[ID]]))))</f>
        <v/>
      </c>
      <c r="B57" s="23" t="str">
        <f aca="false">IF(IFERROR(INDEX(tsk_Name,(ROW()-ROW(MSPTasks[[#Headers],[ID]])))="",TRUE()),"",INDEX(tsk_UID,(ROW()-ROW(MSPTasks[[#Headers],[ID]]))))</f>
        <v/>
      </c>
      <c r="C57" s="23" t="str">
        <f aca="false">IF(IFERROR(INDEX(tsk_Name,(ROW()-ROW(MSPTasks[[#Headers],[ID]])))="",TRUE()),"",INDEX(tsk_Name,(ROW()-ROW(MSPTasks[[#Headers],[ID]]))))</f>
        <v/>
      </c>
      <c r="D57" s="23" t="str">
        <f aca="false">IF(IFERROR(INDEX(tsk_Name,(ROW()-ROW(MSPTasks[[#Headers],[ID]])))="",TRUE()),"",INDEX(tsk_Level,(ROW()-ROW(MSPTasks[[#Headers],[ID]]))))</f>
        <v/>
      </c>
      <c r="E57" s="23" t="str">
        <f aca="false">IF(IFERROR(INDEX(tsk_Name,(ROW()-ROW(MSPTasks[[#Headers],[ID]])))="",TRUE()),"",IF(INDEX(tsk_Mode,(ROW()-ROW(MSPTasks[[#Headers],[ID]])))="Manual","Manually Scheduled","Auto Scheduled"))</f>
        <v/>
      </c>
      <c r="F5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7" s="80" t="str">
        <f aca="false">IF(IFERROR(INDEX(tsk_Name,(ROW()-ROW(MSPTasks[[#Headers],[ID]])))="",TRUE()),"",INDEX(tsk_FcStart,(ROW()-ROW(MSPTasks[[#Headers],[ID]]))))</f>
        <v/>
      </c>
      <c r="H57" s="80" t="str">
        <f aca="false">IF(IFERROR(INDEX(tsk_Name,(ROW()-ROW(MSPTasks[[#Headers],[ID]])))="",TRUE()),"",INDEX(tsk_FcFinish,(ROW()-ROW(MSPTasks[[#Headers],[ID]]))))</f>
        <v/>
      </c>
      <c r="I5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7" s="80" t="str">
        <f aca="false">IF(IFERROR(INDEX(tsk_Name,(ROW()-ROW(MSPTasks[[#Headers],[ID]])))="",TRUE()),"",INDEX(tsk_PlanStart,(ROW()-ROW(MSPTasks[[#Headers],[ID]]))))</f>
        <v/>
      </c>
      <c r="P57" s="80" t="str">
        <f aca="false">IF(IFERROR(INDEX(tsk_Name,(ROW()-ROW(MSPTasks[[#Headers],[ID]])))="",TRUE()),"",INDEX(tsk_PlanFinish,(ROW()-ROW(MSPTasks[[#Headers],[ID]]))))</f>
        <v/>
      </c>
      <c r="Q5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7" s="23" t="str">
        <f aca="false">IF(IFERROR(INDEX(tsk_Name,(ROW()-ROW(MSPTasks[[#Headers],[ID]])))="",TRUE()),"",INDEX(tsk_Notes,(ROW()-ROW(MSPTasks[[#Headers],[ID]])))&amp;"")</f>
        <v/>
      </c>
    </row>
    <row r="58" customFormat="false" ht="15" hidden="false" customHeight="false" outlineLevel="0" collapsed="false">
      <c r="A58" s="23" t="str">
        <f aca="false">IF(IFERROR(INDEX(tsk_Name,(ROW()-ROW(MSPTasks[[#Headers],[ID]])))="",TRUE()),"",INDEX(tsk_ID,(ROW()-ROW(MSPTasks[[#Headers],[ID]]))))</f>
        <v/>
      </c>
      <c r="B58" s="23" t="str">
        <f aca="false">IF(IFERROR(INDEX(tsk_Name,(ROW()-ROW(MSPTasks[[#Headers],[ID]])))="",TRUE()),"",INDEX(tsk_UID,(ROW()-ROW(MSPTasks[[#Headers],[ID]]))))</f>
        <v/>
      </c>
      <c r="C58" s="23" t="str">
        <f aca="false">IF(IFERROR(INDEX(tsk_Name,(ROW()-ROW(MSPTasks[[#Headers],[ID]])))="",TRUE()),"",INDEX(tsk_Name,(ROW()-ROW(MSPTasks[[#Headers],[ID]]))))</f>
        <v/>
      </c>
      <c r="D58" s="23" t="str">
        <f aca="false">IF(IFERROR(INDEX(tsk_Name,(ROW()-ROW(MSPTasks[[#Headers],[ID]])))="",TRUE()),"",INDEX(tsk_Level,(ROW()-ROW(MSPTasks[[#Headers],[ID]]))))</f>
        <v/>
      </c>
      <c r="E58" s="23" t="str">
        <f aca="false">IF(IFERROR(INDEX(tsk_Name,(ROW()-ROW(MSPTasks[[#Headers],[ID]])))="",TRUE()),"",IF(INDEX(tsk_Mode,(ROW()-ROW(MSPTasks[[#Headers],[ID]])))="Manual","Manually Scheduled","Auto Scheduled"))</f>
        <v/>
      </c>
      <c r="F5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8" s="80" t="str">
        <f aca="false">IF(IFERROR(INDEX(tsk_Name,(ROW()-ROW(MSPTasks[[#Headers],[ID]])))="",TRUE()),"",INDEX(tsk_FcStart,(ROW()-ROW(MSPTasks[[#Headers],[ID]]))))</f>
        <v/>
      </c>
      <c r="H58" s="80" t="str">
        <f aca="false">IF(IFERROR(INDEX(tsk_Name,(ROW()-ROW(MSPTasks[[#Headers],[ID]])))="",TRUE()),"",INDEX(tsk_FcFinish,(ROW()-ROW(MSPTasks[[#Headers],[ID]]))))</f>
        <v/>
      </c>
      <c r="I5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8" s="80" t="str">
        <f aca="false">IF(IFERROR(INDEX(tsk_Name,(ROW()-ROW(MSPTasks[[#Headers],[ID]])))="",TRUE()),"",INDEX(tsk_PlanStart,(ROW()-ROW(MSPTasks[[#Headers],[ID]]))))</f>
        <v/>
      </c>
      <c r="P58" s="80" t="str">
        <f aca="false">IF(IFERROR(INDEX(tsk_Name,(ROW()-ROW(MSPTasks[[#Headers],[ID]])))="",TRUE()),"",INDEX(tsk_PlanFinish,(ROW()-ROW(MSPTasks[[#Headers],[ID]]))))</f>
        <v/>
      </c>
      <c r="Q5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8" s="23" t="str">
        <f aca="false">IF(IFERROR(INDEX(tsk_Name,(ROW()-ROW(MSPTasks[[#Headers],[ID]])))="",TRUE()),"",INDEX(tsk_Notes,(ROW()-ROW(MSPTasks[[#Headers],[ID]])))&amp;"")</f>
        <v/>
      </c>
    </row>
    <row r="59" customFormat="false" ht="15" hidden="false" customHeight="false" outlineLevel="0" collapsed="false">
      <c r="A59" s="23" t="str">
        <f aca="false">IF(IFERROR(INDEX(tsk_Name,(ROW()-ROW(MSPTasks[[#Headers],[ID]])))="",TRUE()),"",INDEX(tsk_ID,(ROW()-ROW(MSPTasks[[#Headers],[ID]]))))</f>
        <v/>
      </c>
      <c r="B59" s="23" t="str">
        <f aca="false">IF(IFERROR(INDEX(tsk_Name,(ROW()-ROW(MSPTasks[[#Headers],[ID]])))="",TRUE()),"",INDEX(tsk_UID,(ROW()-ROW(MSPTasks[[#Headers],[ID]]))))</f>
        <v/>
      </c>
      <c r="C59" s="23" t="str">
        <f aca="false">IF(IFERROR(INDEX(tsk_Name,(ROW()-ROW(MSPTasks[[#Headers],[ID]])))="",TRUE()),"",INDEX(tsk_Name,(ROW()-ROW(MSPTasks[[#Headers],[ID]]))))</f>
        <v/>
      </c>
      <c r="D59" s="23" t="str">
        <f aca="false">IF(IFERROR(INDEX(tsk_Name,(ROW()-ROW(MSPTasks[[#Headers],[ID]])))="",TRUE()),"",INDEX(tsk_Level,(ROW()-ROW(MSPTasks[[#Headers],[ID]]))))</f>
        <v/>
      </c>
      <c r="E59" s="23" t="str">
        <f aca="false">IF(IFERROR(INDEX(tsk_Name,(ROW()-ROW(MSPTasks[[#Headers],[ID]])))="",TRUE()),"",IF(INDEX(tsk_Mode,(ROW()-ROW(MSPTasks[[#Headers],[ID]])))="Manual","Manually Scheduled","Auto Scheduled"))</f>
        <v/>
      </c>
      <c r="F5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9" s="80" t="str">
        <f aca="false">IF(IFERROR(INDEX(tsk_Name,(ROW()-ROW(MSPTasks[[#Headers],[ID]])))="",TRUE()),"",INDEX(tsk_FcStart,(ROW()-ROW(MSPTasks[[#Headers],[ID]]))))</f>
        <v/>
      </c>
      <c r="H59" s="80" t="str">
        <f aca="false">IF(IFERROR(INDEX(tsk_Name,(ROW()-ROW(MSPTasks[[#Headers],[ID]])))="",TRUE()),"",INDEX(tsk_FcFinish,(ROW()-ROW(MSPTasks[[#Headers],[ID]]))))</f>
        <v/>
      </c>
      <c r="I5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9" s="80" t="str">
        <f aca="false">IF(IFERROR(INDEX(tsk_Name,(ROW()-ROW(MSPTasks[[#Headers],[ID]])))="",TRUE()),"",INDEX(tsk_PlanStart,(ROW()-ROW(MSPTasks[[#Headers],[ID]]))))</f>
        <v/>
      </c>
      <c r="P59" s="80" t="str">
        <f aca="false">IF(IFERROR(INDEX(tsk_Name,(ROW()-ROW(MSPTasks[[#Headers],[ID]])))="",TRUE()),"",INDEX(tsk_PlanFinish,(ROW()-ROW(MSPTasks[[#Headers],[ID]]))))</f>
        <v/>
      </c>
      <c r="Q5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9" s="23" t="str">
        <f aca="false">IF(IFERROR(INDEX(tsk_Name,(ROW()-ROW(MSPTasks[[#Headers],[ID]])))="",TRUE()),"",INDEX(tsk_Notes,(ROW()-ROW(MSPTasks[[#Headers],[ID]])))&amp;"")</f>
        <v/>
      </c>
    </row>
    <row r="60" customFormat="false" ht="15" hidden="false" customHeight="false" outlineLevel="0" collapsed="false">
      <c r="A60" s="23" t="str">
        <f aca="false">IF(IFERROR(INDEX(tsk_Name,(ROW()-ROW(MSPTasks[[#Headers],[ID]])))="",TRUE()),"",INDEX(tsk_ID,(ROW()-ROW(MSPTasks[[#Headers],[ID]]))))</f>
        <v/>
      </c>
      <c r="B60" s="23" t="str">
        <f aca="false">IF(IFERROR(INDEX(tsk_Name,(ROW()-ROW(MSPTasks[[#Headers],[ID]])))="",TRUE()),"",INDEX(tsk_UID,(ROW()-ROW(MSPTasks[[#Headers],[ID]]))))</f>
        <v/>
      </c>
      <c r="C60" s="23" t="str">
        <f aca="false">IF(IFERROR(INDEX(tsk_Name,(ROW()-ROW(MSPTasks[[#Headers],[ID]])))="",TRUE()),"",INDEX(tsk_Name,(ROW()-ROW(MSPTasks[[#Headers],[ID]]))))</f>
        <v/>
      </c>
      <c r="D60" s="23" t="str">
        <f aca="false">IF(IFERROR(INDEX(tsk_Name,(ROW()-ROW(MSPTasks[[#Headers],[ID]])))="",TRUE()),"",INDEX(tsk_Level,(ROW()-ROW(MSPTasks[[#Headers],[ID]]))))</f>
        <v/>
      </c>
      <c r="E60" s="23" t="str">
        <f aca="false">IF(IFERROR(INDEX(tsk_Name,(ROW()-ROW(MSPTasks[[#Headers],[ID]])))="",TRUE()),"",IF(INDEX(tsk_Mode,(ROW()-ROW(MSPTasks[[#Headers],[ID]])))="Manual","Manually Scheduled","Auto Scheduled"))</f>
        <v/>
      </c>
      <c r="F6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0" s="80" t="str">
        <f aca="false">IF(IFERROR(INDEX(tsk_Name,(ROW()-ROW(MSPTasks[[#Headers],[ID]])))="",TRUE()),"",INDEX(tsk_FcStart,(ROW()-ROW(MSPTasks[[#Headers],[ID]]))))</f>
        <v/>
      </c>
      <c r="H60" s="80" t="str">
        <f aca="false">IF(IFERROR(INDEX(tsk_Name,(ROW()-ROW(MSPTasks[[#Headers],[ID]])))="",TRUE()),"",INDEX(tsk_FcFinish,(ROW()-ROW(MSPTasks[[#Headers],[ID]]))))</f>
        <v/>
      </c>
      <c r="I6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0" s="80" t="str">
        <f aca="false">IF(IFERROR(INDEX(tsk_Name,(ROW()-ROW(MSPTasks[[#Headers],[ID]])))="",TRUE()),"",INDEX(tsk_PlanStart,(ROW()-ROW(MSPTasks[[#Headers],[ID]]))))</f>
        <v/>
      </c>
      <c r="P60" s="80" t="str">
        <f aca="false">IF(IFERROR(INDEX(tsk_Name,(ROW()-ROW(MSPTasks[[#Headers],[ID]])))="",TRUE()),"",INDEX(tsk_PlanFinish,(ROW()-ROW(MSPTasks[[#Headers],[ID]]))))</f>
        <v/>
      </c>
      <c r="Q6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0" s="23" t="str">
        <f aca="false">IF(IFERROR(INDEX(tsk_Name,(ROW()-ROW(MSPTasks[[#Headers],[ID]])))="",TRUE()),"",INDEX(tsk_Notes,(ROW()-ROW(MSPTasks[[#Headers],[ID]])))&amp;"")</f>
        <v/>
      </c>
    </row>
    <row r="61" customFormat="false" ht="15" hidden="false" customHeight="false" outlineLevel="0" collapsed="false">
      <c r="A61" s="23" t="str">
        <f aca="false">IF(IFERROR(INDEX(tsk_Name,(ROW()-ROW(MSPTasks[[#Headers],[ID]])))="",TRUE()),"",INDEX(tsk_ID,(ROW()-ROW(MSPTasks[[#Headers],[ID]]))))</f>
        <v/>
      </c>
      <c r="B61" s="23" t="str">
        <f aca="false">IF(IFERROR(INDEX(tsk_Name,(ROW()-ROW(MSPTasks[[#Headers],[ID]])))="",TRUE()),"",INDEX(tsk_UID,(ROW()-ROW(MSPTasks[[#Headers],[ID]]))))</f>
        <v/>
      </c>
      <c r="C61" s="23" t="str">
        <f aca="false">IF(IFERROR(INDEX(tsk_Name,(ROW()-ROW(MSPTasks[[#Headers],[ID]])))="",TRUE()),"",INDEX(tsk_Name,(ROW()-ROW(MSPTasks[[#Headers],[ID]]))))</f>
        <v/>
      </c>
      <c r="D61" s="23" t="str">
        <f aca="false">IF(IFERROR(INDEX(tsk_Name,(ROW()-ROW(MSPTasks[[#Headers],[ID]])))="",TRUE()),"",INDEX(tsk_Level,(ROW()-ROW(MSPTasks[[#Headers],[ID]]))))</f>
        <v/>
      </c>
      <c r="E61" s="23" t="str">
        <f aca="false">IF(IFERROR(INDEX(tsk_Name,(ROW()-ROW(MSPTasks[[#Headers],[ID]])))="",TRUE()),"",IF(INDEX(tsk_Mode,(ROW()-ROW(MSPTasks[[#Headers],[ID]])))="Manual","Manually Scheduled","Auto Scheduled"))</f>
        <v/>
      </c>
      <c r="F6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1" s="80" t="str">
        <f aca="false">IF(IFERROR(INDEX(tsk_Name,(ROW()-ROW(MSPTasks[[#Headers],[ID]])))="",TRUE()),"",INDEX(tsk_FcStart,(ROW()-ROW(MSPTasks[[#Headers],[ID]]))))</f>
        <v/>
      </c>
      <c r="H61" s="80" t="str">
        <f aca="false">IF(IFERROR(INDEX(tsk_Name,(ROW()-ROW(MSPTasks[[#Headers],[ID]])))="",TRUE()),"",INDEX(tsk_FcFinish,(ROW()-ROW(MSPTasks[[#Headers],[ID]]))))</f>
        <v/>
      </c>
      <c r="I6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1" s="80" t="str">
        <f aca="false">IF(IFERROR(INDEX(tsk_Name,(ROW()-ROW(MSPTasks[[#Headers],[ID]])))="",TRUE()),"",INDEX(tsk_PlanStart,(ROW()-ROW(MSPTasks[[#Headers],[ID]]))))</f>
        <v/>
      </c>
      <c r="P61" s="80" t="str">
        <f aca="false">IF(IFERROR(INDEX(tsk_Name,(ROW()-ROW(MSPTasks[[#Headers],[ID]])))="",TRUE()),"",INDEX(tsk_PlanFinish,(ROW()-ROW(MSPTasks[[#Headers],[ID]]))))</f>
        <v/>
      </c>
      <c r="Q6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1" s="23" t="str">
        <f aca="false">IF(IFERROR(INDEX(tsk_Name,(ROW()-ROW(MSPTasks[[#Headers],[ID]])))="",TRUE()),"",INDEX(tsk_Notes,(ROW()-ROW(MSPTasks[[#Headers],[ID]])))&amp;"")</f>
        <v/>
      </c>
    </row>
    <row r="62" customFormat="false" ht="15" hidden="false" customHeight="false" outlineLevel="0" collapsed="false">
      <c r="A62" s="23" t="str">
        <f aca="false">IF(IFERROR(INDEX(tsk_Name,(ROW()-ROW(MSPTasks[[#Headers],[ID]])))="",TRUE()),"",INDEX(tsk_ID,(ROW()-ROW(MSPTasks[[#Headers],[ID]]))))</f>
        <v/>
      </c>
      <c r="B62" s="23" t="str">
        <f aca="false">IF(IFERROR(INDEX(tsk_Name,(ROW()-ROW(MSPTasks[[#Headers],[ID]])))="",TRUE()),"",INDEX(tsk_UID,(ROW()-ROW(MSPTasks[[#Headers],[ID]]))))</f>
        <v/>
      </c>
      <c r="C62" s="23" t="str">
        <f aca="false">IF(IFERROR(INDEX(tsk_Name,(ROW()-ROW(MSPTasks[[#Headers],[ID]])))="",TRUE()),"",INDEX(tsk_Name,(ROW()-ROW(MSPTasks[[#Headers],[ID]]))))</f>
        <v/>
      </c>
      <c r="D62" s="23" t="str">
        <f aca="false">IF(IFERROR(INDEX(tsk_Name,(ROW()-ROW(MSPTasks[[#Headers],[ID]])))="",TRUE()),"",INDEX(tsk_Level,(ROW()-ROW(MSPTasks[[#Headers],[ID]]))))</f>
        <v/>
      </c>
      <c r="E62" s="23" t="str">
        <f aca="false">IF(IFERROR(INDEX(tsk_Name,(ROW()-ROW(MSPTasks[[#Headers],[ID]])))="",TRUE()),"",IF(INDEX(tsk_Mode,(ROW()-ROW(MSPTasks[[#Headers],[ID]])))="Manual","Manually Scheduled","Auto Scheduled"))</f>
        <v/>
      </c>
      <c r="F6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2" s="80" t="str">
        <f aca="false">IF(IFERROR(INDEX(tsk_Name,(ROW()-ROW(MSPTasks[[#Headers],[ID]])))="",TRUE()),"",INDEX(tsk_FcStart,(ROW()-ROW(MSPTasks[[#Headers],[ID]]))))</f>
        <v/>
      </c>
      <c r="H62" s="80" t="str">
        <f aca="false">IF(IFERROR(INDEX(tsk_Name,(ROW()-ROW(MSPTasks[[#Headers],[ID]])))="",TRUE()),"",INDEX(tsk_FcFinish,(ROW()-ROW(MSPTasks[[#Headers],[ID]]))))</f>
        <v/>
      </c>
      <c r="I6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2" s="80" t="str">
        <f aca="false">IF(IFERROR(INDEX(tsk_Name,(ROW()-ROW(MSPTasks[[#Headers],[ID]])))="",TRUE()),"",INDEX(tsk_PlanStart,(ROW()-ROW(MSPTasks[[#Headers],[ID]]))))</f>
        <v/>
      </c>
      <c r="P62" s="80" t="str">
        <f aca="false">IF(IFERROR(INDEX(tsk_Name,(ROW()-ROW(MSPTasks[[#Headers],[ID]])))="",TRUE()),"",INDEX(tsk_PlanFinish,(ROW()-ROW(MSPTasks[[#Headers],[ID]]))))</f>
        <v/>
      </c>
      <c r="Q6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2" s="23" t="str">
        <f aca="false">IF(IFERROR(INDEX(tsk_Name,(ROW()-ROW(MSPTasks[[#Headers],[ID]])))="",TRUE()),"",INDEX(tsk_Notes,(ROW()-ROW(MSPTasks[[#Headers],[ID]])))&amp;"")</f>
        <v/>
      </c>
    </row>
    <row r="63" customFormat="false" ht="15" hidden="false" customHeight="false" outlineLevel="0" collapsed="false">
      <c r="A63" s="23" t="str">
        <f aca="false">IF(IFERROR(INDEX(tsk_Name,(ROW()-ROW(MSPTasks[[#Headers],[ID]])))="",TRUE()),"",INDEX(tsk_ID,(ROW()-ROW(MSPTasks[[#Headers],[ID]]))))</f>
        <v/>
      </c>
      <c r="B63" s="23" t="str">
        <f aca="false">IF(IFERROR(INDEX(tsk_Name,(ROW()-ROW(MSPTasks[[#Headers],[ID]])))="",TRUE()),"",INDEX(tsk_UID,(ROW()-ROW(MSPTasks[[#Headers],[ID]]))))</f>
        <v/>
      </c>
      <c r="C63" s="23" t="str">
        <f aca="false">IF(IFERROR(INDEX(tsk_Name,(ROW()-ROW(MSPTasks[[#Headers],[ID]])))="",TRUE()),"",INDEX(tsk_Name,(ROW()-ROW(MSPTasks[[#Headers],[ID]]))))</f>
        <v/>
      </c>
      <c r="D63" s="23" t="str">
        <f aca="false">IF(IFERROR(INDEX(tsk_Name,(ROW()-ROW(MSPTasks[[#Headers],[ID]])))="",TRUE()),"",INDEX(tsk_Level,(ROW()-ROW(MSPTasks[[#Headers],[ID]]))))</f>
        <v/>
      </c>
      <c r="E63" s="23" t="str">
        <f aca="false">IF(IFERROR(INDEX(tsk_Name,(ROW()-ROW(MSPTasks[[#Headers],[ID]])))="",TRUE()),"",IF(INDEX(tsk_Mode,(ROW()-ROW(MSPTasks[[#Headers],[ID]])))="Manual","Manually Scheduled","Auto Scheduled"))</f>
        <v/>
      </c>
      <c r="F6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3" s="80" t="str">
        <f aca="false">IF(IFERROR(INDEX(tsk_Name,(ROW()-ROW(MSPTasks[[#Headers],[ID]])))="",TRUE()),"",INDEX(tsk_FcStart,(ROW()-ROW(MSPTasks[[#Headers],[ID]]))))</f>
        <v/>
      </c>
      <c r="H63" s="80" t="str">
        <f aca="false">IF(IFERROR(INDEX(tsk_Name,(ROW()-ROW(MSPTasks[[#Headers],[ID]])))="",TRUE()),"",INDEX(tsk_FcFinish,(ROW()-ROW(MSPTasks[[#Headers],[ID]]))))</f>
        <v/>
      </c>
      <c r="I6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3" s="80" t="str">
        <f aca="false">IF(IFERROR(INDEX(tsk_Name,(ROW()-ROW(MSPTasks[[#Headers],[ID]])))="",TRUE()),"",INDEX(tsk_PlanStart,(ROW()-ROW(MSPTasks[[#Headers],[ID]]))))</f>
        <v/>
      </c>
      <c r="P63" s="80" t="str">
        <f aca="false">IF(IFERROR(INDEX(tsk_Name,(ROW()-ROW(MSPTasks[[#Headers],[ID]])))="",TRUE()),"",INDEX(tsk_PlanFinish,(ROW()-ROW(MSPTasks[[#Headers],[ID]]))))</f>
        <v/>
      </c>
      <c r="Q6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3" s="23" t="str">
        <f aca="false">IF(IFERROR(INDEX(tsk_Name,(ROW()-ROW(MSPTasks[[#Headers],[ID]])))="",TRUE()),"",INDEX(tsk_Notes,(ROW()-ROW(MSPTasks[[#Headers],[ID]])))&amp;"")</f>
        <v/>
      </c>
    </row>
    <row r="64" customFormat="false" ht="15" hidden="false" customHeight="false" outlineLevel="0" collapsed="false">
      <c r="A64" s="23" t="str">
        <f aca="false">IF(IFERROR(INDEX(tsk_Name,(ROW()-ROW(MSPTasks[[#Headers],[ID]])))="",TRUE()),"",INDEX(tsk_ID,(ROW()-ROW(MSPTasks[[#Headers],[ID]]))))</f>
        <v/>
      </c>
      <c r="B64" s="23" t="str">
        <f aca="false">IF(IFERROR(INDEX(tsk_Name,(ROW()-ROW(MSPTasks[[#Headers],[ID]])))="",TRUE()),"",INDEX(tsk_UID,(ROW()-ROW(MSPTasks[[#Headers],[ID]]))))</f>
        <v/>
      </c>
      <c r="C64" s="23" t="str">
        <f aca="false">IF(IFERROR(INDEX(tsk_Name,(ROW()-ROW(MSPTasks[[#Headers],[ID]])))="",TRUE()),"",INDEX(tsk_Name,(ROW()-ROW(MSPTasks[[#Headers],[ID]]))))</f>
        <v/>
      </c>
      <c r="D64" s="23" t="str">
        <f aca="false">IF(IFERROR(INDEX(tsk_Name,(ROW()-ROW(MSPTasks[[#Headers],[ID]])))="",TRUE()),"",INDEX(tsk_Level,(ROW()-ROW(MSPTasks[[#Headers],[ID]]))))</f>
        <v/>
      </c>
      <c r="E64" s="23" t="str">
        <f aca="false">IF(IFERROR(INDEX(tsk_Name,(ROW()-ROW(MSPTasks[[#Headers],[ID]])))="",TRUE()),"",IF(INDEX(tsk_Mode,(ROW()-ROW(MSPTasks[[#Headers],[ID]])))="Manual","Manually Scheduled","Auto Scheduled"))</f>
        <v/>
      </c>
      <c r="F6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4" s="80" t="str">
        <f aca="false">IF(IFERROR(INDEX(tsk_Name,(ROW()-ROW(MSPTasks[[#Headers],[ID]])))="",TRUE()),"",INDEX(tsk_FcStart,(ROW()-ROW(MSPTasks[[#Headers],[ID]]))))</f>
        <v/>
      </c>
      <c r="H64" s="80" t="str">
        <f aca="false">IF(IFERROR(INDEX(tsk_Name,(ROW()-ROW(MSPTasks[[#Headers],[ID]])))="",TRUE()),"",INDEX(tsk_FcFinish,(ROW()-ROW(MSPTasks[[#Headers],[ID]]))))</f>
        <v/>
      </c>
      <c r="I6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4" s="80" t="str">
        <f aca="false">IF(IFERROR(INDEX(tsk_Name,(ROW()-ROW(MSPTasks[[#Headers],[ID]])))="",TRUE()),"",INDEX(tsk_PlanStart,(ROW()-ROW(MSPTasks[[#Headers],[ID]]))))</f>
        <v/>
      </c>
      <c r="P64" s="80" t="str">
        <f aca="false">IF(IFERROR(INDEX(tsk_Name,(ROW()-ROW(MSPTasks[[#Headers],[ID]])))="",TRUE()),"",INDEX(tsk_PlanFinish,(ROW()-ROW(MSPTasks[[#Headers],[ID]]))))</f>
        <v/>
      </c>
      <c r="Q6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4" s="23" t="str">
        <f aca="false">IF(IFERROR(INDEX(tsk_Name,(ROW()-ROW(MSPTasks[[#Headers],[ID]])))="",TRUE()),"",INDEX(tsk_Notes,(ROW()-ROW(MSPTasks[[#Headers],[ID]])))&amp;"")</f>
        <v/>
      </c>
    </row>
    <row r="65" customFormat="false" ht="15" hidden="false" customHeight="false" outlineLevel="0" collapsed="false">
      <c r="A65" s="23" t="str">
        <f aca="false">IF(IFERROR(INDEX(tsk_Name,(ROW()-ROW(MSPTasks[[#Headers],[ID]])))="",TRUE()),"",INDEX(tsk_ID,(ROW()-ROW(MSPTasks[[#Headers],[ID]]))))</f>
        <v/>
      </c>
      <c r="B65" s="23" t="str">
        <f aca="false">IF(IFERROR(INDEX(tsk_Name,(ROW()-ROW(MSPTasks[[#Headers],[ID]])))="",TRUE()),"",INDEX(tsk_UID,(ROW()-ROW(MSPTasks[[#Headers],[ID]]))))</f>
        <v/>
      </c>
      <c r="C65" s="23" t="str">
        <f aca="false">IF(IFERROR(INDEX(tsk_Name,(ROW()-ROW(MSPTasks[[#Headers],[ID]])))="",TRUE()),"",INDEX(tsk_Name,(ROW()-ROW(MSPTasks[[#Headers],[ID]]))))</f>
        <v/>
      </c>
      <c r="D65" s="23" t="str">
        <f aca="false">IF(IFERROR(INDEX(tsk_Name,(ROW()-ROW(MSPTasks[[#Headers],[ID]])))="",TRUE()),"",INDEX(tsk_Level,(ROW()-ROW(MSPTasks[[#Headers],[ID]]))))</f>
        <v/>
      </c>
      <c r="E65" s="23" t="str">
        <f aca="false">IF(IFERROR(INDEX(tsk_Name,(ROW()-ROW(MSPTasks[[#Headers],[ID]])))="",TRUE()),"",IF(INDEX(tsk_Mode,(ROW()-ROW(MSPTasks[[#Headers],[ID]])))="Manual","Manually Scheduled","Auto Scheduled"))</f>
        <v/>
      </c>
      <c r="F6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5" s="80" t="str">
        <f aca="false">IF(IFERROR(INDEX(tsk_Name,(ROW()-ROW(MSPTasks[[#Headers],[ID]])))="",TRUE()),"",INDEX(tsk_FcStart,(ROW()-ROW(MSPTasks[[#Headers],[ID]]))))</f>
        <v/>
      </c>
      <c r="H65" s="80" t="str">
        <f aca="false">IF(IFERROR(INDEX(tsk_Name,(ROW()-ROW(MSPTasks[[#Headers],[ID]])))="",TRUE()),"",INDEX(tsk_FcFinish,(ROW()-ROW(MSPTasks[[#Headers],[ID]]))))</f>
        <v/>
      </c>
      <c r="I6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5" s="80" t="str">
        <f aca="false">IF(IFERROR(INDEX(tsk_Name,(ROW()-ROW(MSPTasks[[#Headers],[ID]])))="",TRUE()),"",INDEX(tsk_PlanStart,(ROW()-ROW(MSPTasks[[#Headers],[ID]]))))</f>
        <v/>
      </c>
      <c r="P65" s="80" t="str">
        <f aca="false">IF(IFERROR(INDEX(tsk_Name,(ROW()-ROW(MSPTasks[[#Headers],[ID]])))="",TRUE()),"",INDEX(tsk_PlanFinish,(ROW()-ROW(MSPTasks[[#Headers],[ID]]))))</f>
        <v/>
      </c>
      <c r="Q6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5" s="23" t="str">
        <f aca="false">IF(IFERROR(INDEX(tsk_Name,(ROW()-ROW(MSPTasks[[#Headers],[ID]])))="",TRUE()),"",INDEX(tsk_Notes,(ROW()-ROW(MSPTasks[[#Headers],[ID]])))&amp;"")</f>
        <v/>
      </c>
    </row>
    <row r="66" customFormat="false" ht="15" hidden="false" customHeight="false" outlineLevel="0" collapsed="false">
      <c r="A66" s="23" t="str">
        <f aca="false">IF(IFERROR(INDEX(tsk_Name,(ROW()-ROW(MSPTasks[[#Headers],[ID]])))="",TRUE()),"",INDEX(tsk_ID,(ROW()-ROW(MSPTasks[[#Headers],[ID]]))))</f>
        <v/>
      </c>
      <c r="B66" s="23" t="str">
        <f aca="false">IF(IFERROR(INDEX(tsk_Name,(ROW()-ROW(MSPTasks[[#Headers],[ID]])))="",TRUE()),"",INDEX(tsk_UID,(ROW()-ROW(MSPTasks[[#Headers],[ID]]))))</f>
        <v/>
      </c>
      <c r="C66" s="23" t="str">
        <f aca="false">IF(IFERROR(INDEX(tsk_Name,(ROW()-ROW(MSPTasks[[#Headers],[ID]])))="",TRUE()),"",INDEX(tsk_Name,(ROW()-ROW(MSPTasks[[#Headers],[ID]]))))</f>
        <v/>
      </c>
      <c r="D66" s="23" t="str">
        <f aca="false">IF(IFERROR(INDEX(tsk_Name,(ROW()-ROW(MSPTasks[[#Headers],[ID]])))="",TRUE()),"",INDEX(tsk_Level,(ROW()-ROW(MSPTasks[[#Headers],[ID]]))))</f>
        <v/>
      </c>
      <c r="E66" s="23" t="str">
        <f aca="false">IF(IFERROR(INDEX(tsk_Name,(ROW()-ROW(MSPTasks[[#Headers],[ID]])))="",TRUE()),"",IF(INDEX(tsk_Mode,(ROW()-ROW(MSPTasks[[#Headers],[ID]])))="Manual","Manually Scheduled","Auto Scheduled"))</f>
        <v/>
      </c>
      <c r="F6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6" s="80" t="str">
        <f aca="false">IF(IFERROR(INDEX(tsk_Name,(ROW()-ROW(MSPTasks[[#Headers],[ID]])))="",TRUE()),"",INDEX(tsk_FcStart,(ROW()-ROW(MSPTasks[[#Headers],[ID]]))))</f>
        <v/>
      </c>
      <c r="H66" s="80" t="str">
        <f aca="false">IF(IFERROR(INDEX(tsk_Name,(ROW()-ROW(MSPTasks[[#Headers],[ID]])))="",TRUE()),"",INDEX(tsk_FcFinish,(ROW()-ROW(MSPTasks[[#Headers],[ID]]))))</f>
        <v/>
      </c>
      <c r="I6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6" s="80" t="str">
        <f aca="false">IF(IFERROR(INDEX(tsk_Name,(ROW()-ROW(MSPTasks[[#Headers],[ID]])))="",TRUE()),"",INDEX(tsk_PlanStart,(ROW()-ROW(MSPTasks[[#Headers],[ID]]))))</f>
        <v/>
      </c>
      <c r="P66" s="80" t="str">
        <f aca="false">IF(IFERROR(INDEX(tsk_Name,(ROW()-ROW(MSPTasks[[#Headers],[ID]])))="",TRUE()),"",INDEX(tsk_PlanFinish,(ROW()-ROW(MSPTasks[[#Headers],[ID]]))))</f>
        <v/>
      </c>
      <c r="Q6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6" s="23" t="str">
        <f aca="false">IF(IFERROR(INDEX(tsk_Name,(ROW()-ROW(MSPTasks[[#Headers],[ID]])))="",TRUE()),"",INDEX(tsk_Notes,(ROW()-ROW(MSPTasks[[#Headers],[ID]])))&amp;"")</f>
        <v/>
      </c>
    </row>
    <row r="67" customFormat="false" ht="15" hidden="false" customHeight="false" outlineLevel="0" collapsed="false">
      <c r="A67" s="23" t="str">
        <f aca="false">IF(IFERROR(INDEX(tsk_Name,(ROW()-ROW(MSPTasks[[#Headers],[ID]])))="",TRUE()),"",INDEX(tsk_ID,(ROW()-ROW(MSPTasks[[#Headers],[ID]]))))</f>
        <v/>
      </c>
      <c r="B67" s="23" t="str">
        <f aca="false">IF(IFERROR(INDEX(tsk_Name,(ROW()-ROW(MSPTasks[[#Headers],[ID]])))="",TRUE()),"",INDEX(tsk_UID,(ROW()-ROW(MSPTasks[[#Headers],[ID]]))))</f>
        <v/>
      </c>
      <c r="C67" s="23" t="str">
        <f aca="false">IF(IFERROR(INDEX(tsk_Name,(ROW()-ROW(MSPTasks[[#Headers],[ID]])))="",TRUE()),"",INDEX(tsk_Name,(ROW()-ROW(MSPTasks[[#Headers],[ID]]))))</f>
        <v/>
      </c>
      <c r="D67" s="23" t="str">
        <f aca="false">IF(IFERROR(INDEX(tsk_Name,(ROW()-ROW(MSPTasks[[#Headers],[ID]])))="",TRUE()),"",INDEX(tsk_Level,(ROW()-ROW(MSPTasks[[#Headers],[ID]]))))</f>
        <v/>
      </c>
      <c r="E67" s="23" t="str">
        <f aca="false">IF(IFERROR(INDEX(tsk_Name,(ROW()-ROW(MSPTasks[[#Headers],[ID]])))="",TRUE()),"",IF(INDEX(tsk_Mode,(ROW()-ROW(MSPTasks[[#Headers],[ID]])))="Manual","Manually Scheduled","Auto Scheduled"))</f>
        <v/>
      </c>
      <c r="F6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7" s="80" t="str">
        <f aca="false">IF(IFERROR(INDEX(tsk_Name,(ROW()-ROW(MSPTasks[[#Headers],[ID]])))="",TRUE()),"",INDEX(tsk_FcStart,(ROW()-ROW(MSPTasks[[#Headers],[ID]]))))</f>
        <v/>
      </c>
      <c r="H67" s="80" t="str">
        <f aca="false">IF(IFERROR(INDEX(tsk_Name,(ROW()-ROW(MSPTasks[[#Headers],[ID]])))="",TRUE()),"",INDEX(tsk_FcFinish,(ROW()-ROW(MSPTasks[[#Headers],[ID]]))))</f>
        <v/>
      </c>
      <c r="I6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7" s="80" t="str">
        <f aca="false">IF(IFERROR(INDEX(tsk_Name,(ROW()-ROW(MSPTasks[[#Headers],[ID]])))="",TRUE()),"",INDEX(tsk_PlanStart,(ROW()-ROW(MSPTasks[[#Headers],[ID]]))))</f>
        <v/>
      </c>
      <c r="P67" s="80" t="str">
        <f aca="false">IF(IFERROR(INDEX(tsk_Name,(ROW()-ROW(MSPTasks[[#Headers],[ID]])))="",TRUE()),"",INDEX(tsk_PlanFinish,(ROW()-ROW(MSPTasks[[#Headers],[ID]]))))</f>
        <v/>
      </c>
      <c r="Q6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7" s="23" t="str">
        <f aca="false">IF(IFERROR(INDEX(tsk_Name,(ROW()-ROW(MSPTasks[[#Headers],[ID]])))="",TRUE()),"",INDEX(tsk_Notes,(ROW()-ROW(MSPTasks[[#Headers],[ID]])))&amp;"")</f>
        <v/>
      </c>
    </row>
    <row r="68" customFormat="false" ht="15" hidden="false" customHeight="false" outlineLevel="0" collapsed="false">
      <c r="A68" s="23" t="str">
        <f aca="false">IF(IFERROR(INDEX(tsk_Name,(ROW()-ROW(MSPTasks[[#Headers],[ID]])))="",TRUE()),"",INDEX(tsk_ID,(ROW()-ROW(MSPTasks[[#Headers],[ID]]))))</f>
        <v/>
      </c>
      <c r="B68" s="23" t="str">
        <f aca="false">IF(IFERROR(INDEX(tsk_Name,(ROW()-ROW(MSPTasks[[#Headers],[ID]])))="",TRUE()),"",INDEX(tsk_UID,(ROW()-ROW(MSPTasks[[#Headers],[ID]]))))</f>
        <v/>
      </c>
      <c r="C68" s="23" t="str">
        <f aca="false">IF(IFERROR(INDEX(tsk_Name,(ROW()-ROW(MSPTasks[[#Headers],[ID]])))="",TRUE()),"",INDEX(tsk_Name,(ROW()-ROW(MSPTasks[[#Headers],[ID]]))))</f>
        <v/>
      </c>
      <c r="D68" s="23" t="str">
        <f aca="false">IF(IFERROR(INDEX(tsk_Name,(ROW()-ROW(MSPTasks[[#Headers],[ID]])))="",TRUE()),"",INDEX(tsk_Level,(ROW()-ROW(MSPTasks[[#Headers],[ID]]))))</f>
        <v/>
      </c>
      <c r="E68" s="23" t="str">
        <f aca="false">IF(IFERROR(INDEX(tsk_Name,(ROW()-ROW(MSPTasks[[#Headers],[ID]])))="",TRUE()),"",IF(INDEX(tsk_Mode,(ROW()-ROW(MSPTasks[[#Headers],[ID]])))="Manual","Manually Scheduled","Auto Scheduled"))</f>
        <v/>
      </c>
      <c r="F6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8" s="80" t="str">
        <f aca="false">IF(IFERROR(INDEX(tsk_Name,(ROW()-ROW(MSPTasks[[#Headers],[ID]])))="",TRUE()),"",INDEX(tsk_FcStart,(ROW()-ROW(MSPTasks[[#Headers],[ID]]))))</f>
        <v/>
      </c>
      <c r="H68" s="80" t="str">
        <f aca="false">IF(IFERROR(INDEX(tsk_Name,(ROW()-ROW(MSPTasks[[#Headers],[ID]])))="",TRUE()),"",INDEX(tsk_FcFinish,(ROW()-ROW(MSPTasks[[#Headers],[ID]]))))</f>
        <v/>
      </c>
      <c r="I6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8" s="80" t="str">
        <f aca="false">IF(IFERROR(INDEX(tsk_Name,(ROW()-ROW(MSPTasks[[#Headers],[ID]])))="",TRUE()),"",INDEX(tsk_PlanStart,(ROW()-ROW(MSPTasks[[#Headers],[ID]]))))</f>
        <v/>
      </c>
      <c r="P68" s="80" t="str">
        <f aca="false">IF(IFERROR(INDEX(tsk_Name,(ROW()-ROW(MSPTasks[[#Headers],[ID]])))="",TRUE()),"",INDEX(tsk_PlanFinish,(ROW()-ROW(MSPTasks[[#Headers],[ID]]))))</f>
        <v/>
      </c>
      <c r="Q6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8" s="23" t="str">
        <f aca="false">IF(IFERROR(INDEX(tsk_Name,(ROW()-ROW(MSPTasks[[#Headers],[ID]])))="",TRUE()),"",INDEX(tsk_Notes,(ROW()-ROW(MSPTasks[[#Headers],[ID]])))&amp;"")</f>
        <v/>
      </c>
    </row>
    <row r="69" customFormat="false" ht="15" hidden="false" customHeight="false" outlineLevel="0" collapsed="false">
      <c r="A69" s="23" t="str">
        <f aca="false">IF(IFERROR(INDEX(tsk_Name,(ROW()-ROW(MSPTasks[[#Headers],[ID]])))="",TRUE()),"",INDEX(tsk_ID,(ROW()-ROW(MSPTasks[[#Headers],[ID]]))))</f>
        <v/>
      </c>
      <c r="B69" s="23" t="str">
        <f aca="false">IF(IFERROR(INDEX(tsk_Name,(ROW()-ROW(MSPTasks[[#Headers],[ID]])))="",TRUE()),"",INDEX(tsk_UID,(ROW()-ROW(MSPTasks[[#Headers],[ID]]))))</f>
        <v/>
      </c>
      <c r="C69" s="23" t="str">
        <f aca="false">IF(IFERROR(INDEX(tsk_Name,(ROW()-ROW(MSPTasks[[#Headers],[ID]])))="",TRUE()),"",INDEX(tsk_Name,(ROW()-ROW(MSPTasks[[#Headers],[ID]]))))</f>
        <v/>
      </c>
      <c r="D69" s="23" t="str">
        <f aca="false">IF(IFERROR(INDEX(tsk_Name,(ROW()-ROW(MSPTasks[[#Headers],[ID]])))="",TRUE()),"",INDEX(tsk_Level,(ROW()-ROW(MSPTasks[[#Headers],[ID]]))))</f>
        <v/>
      </c>
      <c r="E69" s="23" t="str">
        <f aca="false">IF(IFERROR(INDEX(tsk_Name,(ROW()-ROW(MSPTasks[[#Headers],[ID]])))="",TRUE()),"",IF(INDEX(tsk_Mode,(ROW()-ROW(MSPTasks[[#Headers],[ID]])))="Manual","Manually Scheduled","Auto Scheduled"))</f>
        <v/>
      </c>
      <c r="F6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9" s="80" t="str">
        <f aca="false">IF(IFERROR(INDEX(tsk_Name,(ROW()-ROW(MSPTasks[[#Headers],[ID]])))="",TRUE()),"",INDEX(tsk_FcStart,(ROW()-ROW(MSPTasks[[#Headers],[ID]]))))</f>
        <v/>
      </c>
      <c r="H69" s="80" t="str">
        <f aca="false">IF(IFERROR(INDEX(tsk_Name,(ROW()-ROW(MSPTasks[[#Headers],[ID]])))="",TRUE()),"",INDEX(tsk_FcFinish,(ROW()-ROW(MSPTasks[[#Headers],[ID]]))))</f>
        <v/>
      </c>
      <c r="I6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9" s="80" t="str">
        <f aca="false">IF(IFERROR(INDEX(tsk_Name,(ROW()-ROW(MSPTasks[[#Headers],[ID]])))="",TRUE()),"",INDEX(tsk_PlanStart,(ROW()-ROW(MSPTasks[[#Headers],[ID]]))))</f>
        <v/>
      </c>
      <c r="P69" s="80" t="str">
        <f aca="false">IF(IFERROR(INDEX(tsk_Name,(ROW()-ROW(MSPTasks[[#Headers],[ID]])))="",TRUE()),"",INDEX(tsk_PlanFinish,(ROW()-ROW(MSPTasks[[#Headers],[ID]]))))</f>
        <v/>
      </c>
      <c r="Q6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9" s="23" t="str">
        <f aca="false">IF(IFERROR(INDEX(tsk_Name,(ROW()-ROW(MSPTasks[[#Headers],[ID]])))="",TRUE()),"",INDEX(tsk_Notes,(ROW()-ROW(MSPTasks[[#Headers],[ID]])))&amp;"")</f>
        <v/>
      </c>
    </row>
    <row r="70" customFormat="false" ht="15" hidden="false" customHeight="false" outlineLevel="0" collapsed="false">
      <c r="A70" s="23" t="str">
        <f aca="false">IF(IFERROR(INDEX(tsk_Name,(ROW()-ROW(MSPTasks[[#Headers],[ID]])))="",TRUE()),"",INDEX(tsk_ID,(ROW()-ROW(MSPTasks[[#Headers],[ID]]))))</f>
        <v/>
      </c>
      <c r="B70" s="23" t="str">
        <f aca="false">IF(IFERROR(INDEX(tsk_Name,(ROW()-ROW(MSPTasks[[#Headers],[ID]])))="",TRUE()),"",INDEX(tsk_UID,(ROW()-ROW(MSPTasks[[#Headers],[ID]]))))</f>
        <v/>
      </c>
      <c r="C70" s="23" t="str">
        <f aca="false">IF(IFERROR(INDEX(tsk_Name,(ROW()-ROW(MSPTasks[[#Headers],[ID]])))="",TRUE()),"",INDEX(tsk_Name,(ROW()-ROW(MSPTasks[[#Headers],[ID]]))))</f>
        <v/>
      </c>
      <c r="D70" s="23" t="str">
        <f aca="false">IF(IFERROR(INDEX(tsk_Name,(ROW()-ROW(MSPTasks[[#Headers],[ID]])))="",TRUE()),"",INDEX(tsk_Level,(ROW()-ROW(MSPTasks[[#Headers],[ID]]))))</f>
        <v/>
      </c>
      <c r="E70" s="23" t="str">
        <f aca="false">IF(IFERROR(INDEX(tsk_Name,(ROW()-ROW(MSPTasks[[#Headers],[ID]])))="",TRUE()),"",IF(INDEX(tsk_Mode,(ROW()-ROW(MSPTasks[[#Headers],[ID]])))="Manual","Manually Scheduled","Auto Scheduled"))</f>
        <v/>
      </c>
      <c r="F7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0" s="80" t="str">
        <f aca="false">IF(IFERROR(INDEX(tsk_Name,(ROW()-ROW(MSPTasks[[#Headers],[ID]])))="",TRUE()),"",INDEX(tsk_FcStart,(ROW()-ROW(MSPTasks[[#Headers],[ID]]))))</f>
        <v/>
      </c>
      <c r="H70" s="80" t="str">
        <f aca="false">IF(IFERROR(INDEX(tsk_Name,(ROW()-ROW(MSPTasks[[#Headers],[ID]])))="",TRUE()),"",INDEX(tsk_FcFinish,(ROW()-ROW(MSPTasks[[#Headers],[ID]]))))</f>
        <v/>
      </c>
      <c r="I7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0" s="80" t="str">
        <f aca="false">IF(IFERROR(INDEX(tsk_Name,(ROW()-ROW(MSPTasks[[#Headers],[ID]])))="",TRUE()),"",INDEX(tsk_PlanStart,(ROW()-ROW(MSPTasks[[#Headers],[ID]]))))</f>
        <v/>
      </c>
      <c r="P70" s="80" t="str">
        <f aca="false">IF(IFERROR(INDEX(tsk_Name,(ROW()-ROW(MSPTasks[[#Headers],[ID]])))="",TRUE()),"",INDEX(tsk_PlanFinish,(ROW()-ROW(MSPTasks[[#Headers],[ID]]))))</f>
        <v/>
      </c>
      <c r="Q7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0" s="23" t="str">
        <f aca="false">IF(IFERROR(INDEX(tsk_Name,(ROW()-ROW(MSPTasks[[#Headers],[ID]])))="",TRUE()),"",INDEX(tsk_Notes,(ROW()-ROW(MSPTasks[[#Headers],[ID]])))&amp;"")</f>
        <v/>
      </c>
    </row>
    <row r="71" customFormat="false" ht="15" hidden="false" customHeight="false" outlineLevel="0" collapsed="false">
      <c r="A71" s="23" t="str">
        <f aca="false">IF(IFERROR(INDEX(tsk_Name,(ROW()-ROW(MSPTasks[[#Headers],[ID]])))="",TRUE()),"",INDEX(tsk_ID,(ROW()-ROW(MSPTasks[[#Headers],[ID]]))))</f>
        <v/>
      </c>
      <c r="B71" s="23" t="str">
        <f aca="false">IF(IFERROR(INDEX(tsk_Name,(ROW()-ROW(MSPTasks[[#Headers],[ID]])))="",TRUE()),"",INDEX(tsk_UID,(ROW()-ROW(MSPTasks[[#Headers],[ID]]))))</f>
        <v/>
      </c>
      <c r="C71" s="23" t="str">
        <f aca="false">IF(IFERROR(INDEX(tsk_Name,(ROW()-ROW(MSPTasks[[#Headers],[ID]])))="",TRUE()),"",INDEX(tsk_Name,(ROW()-ROW(MSPTasks[[#Headers],[ID]]))))</f>
        <v/>
      </c>
      <c r="D71" s="23" t="str">
        <f aca="false">IF(IFERROR(INDEX(tsk_Name,(ROW()-ROW(MSPTasks[[#Headers],[ID]])))="",TRUE()),"",INDEX(tsk_Level,(ROW()-ROW(MSPTasks[[#Headers],[ID]]))))</f>
        <v/>
      </c>
      <c r="E71" s="23" t="str">
        <f aca="false">IF(IFERROR(INDEX(tsk_Name,(ROW()-ROW(MSPTasks[[#Headers],[ID]])))="",TRUE()),"",IF(INDEX(tsk_Mode,(ROW()-ROW(MSPTasks[[#Headers],[ID]])))="Manual","Manually Scheduled","Auto Scheduled"))</f>
        <v/>
      </c>
      <c r="F7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1" s="80" t="str">
        <f aca="false">IF(IFERROR(INDEX(tsk_Name,(ROW()-ROW(MSPTasks[[#Headers],[ID]])))="",TRUE()),"",INDEX(tsk_FcStart,(ROW()-ROW(MSPTasks[[#Headers],[ID]]))))</f>
        <v/>
      </c>
      <c r="H71" s="80" t="str">
        <f aca="false">IF(IFERROR(INDEX(tsk_Name,(ROW()-ROW(MSPTasks[[#Headers],[ID]])))="",TRUE()),"",INDEX(tsk_FcFinish,(ROW()-ROW(MSPTasks[[#Headers],[ID]]))))</f>
        <v/>
      </c>
      <c r="I7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1" s="80" t="str">
        <f aca="false">IF(IFERROR(INDEX(tsk_Name,(ROW()-ROW(MSPTasks[[#Headers],[ID]])))="",TRUE()),"",INDEX(tsk_PlanStart,(ROW()-ROW(MSPTasks[[#Headers],[ID]]))))</f>
        <v/>
      </c>
      <c r="P71" s="80" t="str">
        <f aca="false">IF(IFERROR(INDEX(tsk_Name,(ROW()-ROW(MSPTasks[[#Headers],[ID]])))="",TRUE()),"",INDEX(tsk_PlanFinish,(ROW()-ROW(MSPTasks[[#Headers],[ID]]))))</f>
        <v/>
      </c>
      <c r="Q7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1" s="23" t="str">
        <f aca="false">IF(IFERROR(INDEX(tsk_Name,(ROW()-ROW(MSPTasks[[#Headers],[ID]])))="",TRUE()),"",INDEX(tsk_Notes,(ROW()-ROW(MSPTasks[[#Headers],[ID]])))&amp;"")</f>
        <v/>
      </c>
    </row>
    <row r="72" customFormat="false" ht="15" hidden="false" customHeight="false" outlineLevel="0" collapsed="false">
      <c r="A72" s="23" t="str">
        <f aca="false">IF(IFERROR(INDEX(tsk_Name,(ROW()-ROW(MSPTasks[[#Headers],[ID]])))="",TRUE()),"",INDEX(tsk_ID,(ROW()-ROW(MSPTasks[[#Headers],[ID]]))))</f>
        <v/>
      </c>
      <c r="B72" s="23" t="str">
        <f aca="false">IF(IFERROR(INDEX(tsk_Name,(ROW()-ROW(MSPTasks[[#Headers],[ID]])))="",TRUE()),"",INDEX(tsk_UID,(ROW()-ROW(MSPTasks[[#Headers],[ID]]))))</f>
        <v/>
      </c>
      <c r="C72" s="23" t="str">
        <f aca="false">IF(IFERROR(INDEX(tsk_Name,(ROW()-ROW(MSPTasks[[#Headers],[ID]])))="",TRUE()),"",INDEX(tsk_Name,(ROW()-ROW(MSPTasks[[#Headers],[ID]]))))</f>
        <v/>
      </c>
      <c r="D72" s="23" t="str">
        <f aca="false">IF(IFERROR(INDEX(tsk_Name,(ROW()-ROW(MSPTasks[[#Headers],[ID]])))="",TRUE()),"",INDEX(tsk_Level,(ROW()-ROW(MSPTasks[[#Headers],[ID]]))))</f>
        <v/>
      </c>
      <c r="E72" s="23" t="str">
        <f aca="false">IF(IFERROR(INDEX(tsk_Name,(ROW()-ROW(MSPTasks[[#Headers],[ID]])))="",TRUE()),"",IF(INDEX(tsk_Mode,(ROW()-ROW(MSPTasks[[#Headers],[ID]])))="Manual","Manually Scheduled","Auto Scheduled"))</f>
        <v/>
      </c>
      <c r="F7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2" s="80" t="str">
        <f aca="false">IF(IFERROR(INDEX(tsk_Name,(ROW()-ROW(MSPTasks[[#Headers],[ID]])))="",TRUE()),"",INDEX(tsk_FcStart,(ROW()-ROW(MSPTasks[[#Headers],[ID]]))))</f>
        <v/>
      </c>
      <c r="H72" s="80" t="str">
        <f aca="false">IF(IFERROR(INDEX(tsk_Name,(ROW()-ROW(MSPTasks[[#Headers],[ID]])))="",TRUE()),"",INDEX(tsk_FcFinish,(ROW()-ROW(MSPTasks[[#Headers],[ID]]))))</f>
        <v/>
      </c>
      <c r="I7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2" s="80" t="str">
        <f aca="false">IF(IFERROR(INDEX(tsk_Name,(ROW()-ROW(MSPTasks[[#Headers],[ID]])))="",TRUE()),"",INDEX(tsk_PlanStart,(ROW()-ROW(MSPTasks[[#Headers],[ID]]))))</f>
        <v/>
      </c>
      <c r="P72" s="80" t="str">
        <f aca="false">IF(IFERROR(INDEX(tsk_Name,(ROW()-ROW(MSPTasks[[#Headers],[ID]])))="",TRUE()),"",INDEX(tsk_PlanFinish,(ROW()-ROW(MSPTasks[[#Headers],[ID]]))))</f>
        <v/>
      </c>
      <c r="Q7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2" s="23" t="str">
        <f aca="false">IF(IFERROR(INDEX(tsk_Name,(ROW()-ROW(MSPTasks[[#Headers],[ID]])))="",TRUE()),"",INDEX(tsk_Notes,(ROW()-ROW(MSPTasks[[#Headers],[ID]])))&amp;"")</f>
        <v/>
      </c>
    </row>
    <row r="73" customFormat="false" ht="15" hidden="false" customHeight="false" outlineLevel="0" collapsed="false">
      <c r="A73" s="23" t="str">
        <f aca="false">IF(IFERROR(INDEX(tsk_Name,(ROW()-ROW(MSPTasks[[#Headers],[ID]])))="",TRUE()),"",INDEX(tsk_ID,(ROW()-ROW(MSPTasks[[#Headers],[ID]]))))</f>
        <v/>
      </c>
      <c r="B73" s="23" t="str">
        <f aca="false">IF(IFERROR(INDEX(tsk_Name,(ROW()-ROW(MSPTasks[[#Headers],[ID]])))="",TRUE()),"",INDEX(tsk_UID,(ROW()-ROW(MSPTasks[[#Headers],[ID]]))))</f>
        <v/>
      </c>
      <c r="C73" s="23" t="str">
        <f aca="false">IF(IFERROR(INDEX(tsk_Name,(ROW()-ROW(MSPTasks[[#Headers],[ID]])))="",TRUE()),"",INDEX(tsk_Name,(ROW()-ROW(MSPTasks[[#Headers],[ID]]))))</f>
        <v/>
      </c>
      <c r="D73" s="23" t="str">
        <f aca="false">IF(IFERROR(INDEX(tsk_Name,(ROW()-ROW(MSPTasks[[#Headers],[ID]])))="",TRUE()),"",INDEX(tsk_Level,(ROW()-ROW(MSPTasks[[#Headers],[ID]]))))</f>
        <v/>
      </c>
      <c r="E73" s="23" t="str">
        <f aca="false">IF(IFERROR(INDEX(tsk_Name,(ROW()-ROW(MSPTasks[[#Headers],[ID]])))="",TRUE()),"",IF(INDEX(tsk_Mode,(ROW()-ROW(MSPTasks[[#Headers],[ID]])))="Manual","Manually Scheduled","Auto Scheduled"))</f>
        <v/>
      </c>
      <c r="F7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3" s="80" t="str">
        <f aca="false">IF(IFERROR(INDEX(tsk_Name,(ROW()-ROW(MSPTasks[[#Headers],[ID]])))="",TRUE()),"",INDEX(tsk_FcStart,(ROW()-ROW(MSPTasks[[#Headers],[ID]]))))</f>
        <v/>
      </c>
      <c r="H73" s="80" t="str">
        <f aca="false">IF(IFERROR(INDEX(tsk_Name,(ROW()-ROW(MSPTasks[[#Headers],[ID]])))="",TRUE()),"",INDEX(tsk_FcFinish,(ROW()-ROW(MSPTasks[[#Headers],[ID]]))))</f>
        <v/>
      </c>
      <c r="I7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3" s="80" t="str">
        <f aca="false">IF(IFERROR(INDEX(tsk_Name,(ROW()-ROW(MSPTasks[[#Headers],[ID]])))="",TRUE()),"",INDEX(tsk_PlanStart,(ROW()-ROW(MSPTasks[[#Headers],[ID]]))))</f>
        <v/>
      </c>
      <c r="P73" s="80" t="str">
        <f aca="false">IF(IFERROR(INDEX(tsk_Name,(ROW()-ROW(MSPTasks[[#Headers],[ID]])))="",TRUE()),"",INDEX(tsk_PlanFinish,(ROW()-ROW(MSPTasks[[#Headers],[ID]]))))</f>
        <v/>
      </c>
      <c r="Q7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3" s="23" t="str">
        <f aca="false">IF(IFERROR(INDEX(tsk_Name,(ROW()-ROW(MSPTasks[[#Headers],[ID]])))="",TRUE()),"",INDEX(tsk_Notes,(ROW()-ROW(MSPTasks[[#Headers],[ID]])))&amp;"")</f>
        <v/>
      </c>
    </row>
    <row r="74" customFormat="false" ht="15" hidden="false" customHeight="false" outlineLevel="0" collapsed="false">
      <c r="A74" s="23" t="str">
        <f aca="false">IF(IFERROR(INDEX(tsk_Name,(ROW()-ROW(MSPTasks[[#Headers],[ID]])))="",TRUE()),"",INDEX(tsk_ID,(ROW()-ROW(MSPTasks[[#Headers],[ID]]))))</f>
        <v/>
      </c>
      <c r="B74" s="23" t="str">
        <f aca="false">IF(IFERROR(INDEX(tsk_Name,(ROW()-ROW(MSPTasks[[#Headers],[ID]])))="",TRUE()),"",INDEX(tsk_UID,(ROW()-ROW(MSPTasks[[#Headers],[ID]]))))</f>
        <v/>
      </c>
      <c r="C74" s="23" t="str">
        <f aca="false">IF(IFERROR(INDEX(tsk_Name,(ROW()-ROW(MSPTasks[[#Headers],[ID]])))="",TRUE()),"",INDEX(tsk_Name,(ROW()-ROW(MSPTasks[[#Headers],[ID]]))))</f>
        <v/>
      </c>
      <c r="D74" s="23" t="str">
        <f aca="false">IF(IFERROR(INDEX(tsk_Name,(ROW()-ROW(MSPTasks[[#Headers],[ID]])))="",TRUE()),"",INDEX(tsk_Level,(ROW()-ROW(MSPTasks[[#Headers],[ID]]))))</f>
        <v/>
      </c>
      <c r="E74" s="23" t="str">
        <f aca="false">IF(IFERROR(INDEX(tsk_Name,(ROW()-ROW(MSPTasks[[#Headers],[ID]])))="",TRUE()),"",IF(INDEX(tsk_Mode,(ROW()-ROW(MSPTasks[[#Headers],[ID]])))="Manual","Manually Scheduled","Auto Scheduled"))</f>
        <v/>
      </c>
      <c r="F7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4" s="80" t="str">
        <f aca="false">IF(IFERROR(INDEX(tsk_Name,(ROW()-ROW(MSPTasks[[#Headers],[ID]])))="",TRUE()),"",INDEX(tsk_FcStart,(ROW()-ROW(MSPTasks[[#Headers],[ID]]))))</f>
        <v/>
      </c>
      <c r="H74" s="80" t="str">
        <f aca="false">IF(IFERROR(INDEX(tsk_Name,(ROW()-ROW(MSPTasks[[#Headers],[ID]])))="",TRUE()),"",INDEX(tsk_FcFinish,(ROW()-ROW(MSPTasks[[#Headers],[ID]]))))</f>
        <v/>
      </c>
      <c r="I7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4" s="80" t="str">
        <f aca="false">IF(IFERROR(INDEX(tsk_Name,(ROW()-ROW(MSPTasks[[#Headers],[ID]])))="",TRUE()),"",INDEX(tsk_PlanStart,(ROW()-ROW(MSPTasks[[#Headers],[ID]]))))</f>
        <v/>
      </c>
      <c r="P74" s="80" t="str">
        <f aca="false">IF(IFERROR(INDEX(tsk_Name,(ROW()-ROW(MSPTasks[[#Headers],[ID]])))="",TRUE()),"",INDEX(tsk_PlanFinish,(ROW()-ROW(MSPTasks[[#Headers],[ID]]))))</f>
        <v/>
      </c>
      <c r="Q7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4" s="23" t="str">
        <f aca="false">IF(IFERROR(INDEX(tsk_Name,(ROW()-ROW(MSPTasks[[#Headers],[ID]])))="",TRUE()),"",INDEX(tsk_Notes,(ROW()-ROW(MSPTasks[[#Headers],[ID]])))&amp;"")</f>
        <v/>
      </c>
    </row>
    <row r="75" customFormat="false" ht="15" hidden="false" customHeight="false" outlineLevel="0" collapsed="false">
      <c r="A75" s="23" t="str">
        <f aca="false">IF(IFERROR(INDEX(tsk_Name,(ROW()-ROW(MSPTasks[[#Headers],[ID]])))="",TRUE()),"",INDEX(tsk_ID,(ROW()-ROW(MSPTasks[[#Headers],[ID]]))))</f>
        <v/>
      </c>
      <c r="B75" s="23" t="str">
        <f aca="false">IF(IFERROR(INDEX(tsk_Name,(ROW()-ROW(MSPTasks[[#Headers],[ID]])))="",TRUE()),"",INDEX(tsk_UID,(ROW()-ROW(MSPTasks[[#Headers],[ID]]))))</f>
        <v/>
      </c>
      <c r="C75" s="23" t="str">
        <f aca="false">IF(IFERROR(INDEX(tsk_Name,(ROW()-ROW(MSPTasks[[#Headers],[ID]])))="",TRUE()),"",INDEX(tsk_Name,(ROW()-ROW(MSPTasks[[#Headers],[ID]]))))</f>
        <v/>
      </c>
      <c r="D75" s="23" t="str">
        <f aca="false">IF(IFERROR(INDEX(tsk_Name,(ROW()-ROW(MSPTasks[[#Headers],[ID]])))="",TRUE()),"",INDEX(tsk_Level,(ROW()-ROW(MSPTasks[[#Headers],[ID]]))))</f>
        <v/>
      </c>
      <c r="E75" s="23" t="str">
        <f aca="false">IF(IFERROR(INDEX(tsk_Name,(ROW()-ROW(MSPTasks[[#Headers],[ID]])))="",TRUE()),"",IF(INDEX(tsk_Mode,(ROW()-ROW(MSPTasks[[#Headers],[ID]])))="Manual","Manually Scheduled","Auto Scheduled"))</f>
        <v/>
      </c>
      <c r="F7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5" s="80" t="str">
        <f aca="false">IF(IFERROR(INDEX(tsk_Name,(ROW()-ROW(MSPTasks[[#Headers],[ID]])))="",TRUE()),"",INDEX(tsk_FcStart,(ROW()-ROW(MSPTasks[[#Headers],[ID]]))))</f>
        <v/>
      </c>
      <c r="H75" s="80" t="str">
        <f aca="false">IF(IFERROR(INDEX(tsk_Name,(ROW()-ROW(MSPTasks[[#Headers],[ID]])))="",TRUE()),"",INDEX(tsk_FcFinish,(ROW()-ROW(MSPTasks[[#Headers],[ID]]))))</f>
        <v/>
      </c>
      <c r="I7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5" s="80" t="str">
        <f aca="false">IF(IFERROR(INDEX(tsk_Name,(ROW()-ROW(MSPTasks[[#Headers],[ID]])))="",TRUE()),"",INDEX(tsk_PlanStart,(ROW()-ROW(MSPTasks[[#Headers],[ID]]))))</f>
        <v/>
      </c>
      <c r="P75" s="80" t="str">
        <f aca="false">IF(IFERROR(INDEX(tsk_Name,(ROW()-ROW(MSPTasks[[#Headers],[ID]])))="",TRUE()),"",INDEX(tsk_PlanFinish,(ROW()-ROW(MSPTasks[[#Headers],[ID]]))))</f>
        <v/>
      </c>
      <c r="Q7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5" s="23" t="str">
        <f aca="false">IF(IFERROR(INDEX(tsk_Name,(ROW()-ROW(MSPTasks[[#Headers],[ID]])))="",TRUE()),"",INDEX(tsk_Notes,(ROW()-ROW(MSPTasks[[#Headers],[ID]])))&amp;"")</f>
        <v/>
      </c>
    </row>
    <row r="76" customFormat="false" ht="15" hidden="false" customHeight="false" outlineLevel="0" collapsed="false">
      <c r="A76" s="23" t="str">
        <f aca="false">IF(IFERROR(INDEX(tsk_Name,(ROW()-ROW(MSPTasks[[#Headers],[ID]])))="",TRUE()),"",INDEX(tsk_ID,(ROW()-ROW(MSPTasks[[#Headers],[ID]]))))</f>
        <v/>
      </c>
      <c r="B76" s="23" t="str">
        <f aca="false">IF(IFERROR(INDEX(tsk_Name,(ROW()-ROW(MSPTasks[[#Headers],[ID]])))="",TRUE()),"",INDEX(tsk_UID,(ROW()-ROW(MSPTasks[[#Headers],[ID]]))))</f>
        <v/>
      </c>
      <c r="C76" s="23" t="str">
        <f aca="false">IF(IFERROR(INDEX(tsk_Name,(ROW()-ROW(MSPTasks[[#Headers],[ID]])))="",TRUE()),"",INDEX(tsk_Name,(ROW()-ROW(MSPTasks[[#Headers],[ID]]))))</f>
        <v/>
      </c>
      <c r="D76" s="23" t="str">
        <f aca="false">IF(IFERROR(INDEX(tsk_Name,(ROW()-ROW(MSPTasks[[#Headers],[ID]])))="",TRUE()),"",INDEX(tsk_Level,(ROW()-ROW(MSPTasks[[#Headers],[ID]]))))</f>
        <v/>
      </c>
      <c r="E76" s="23" t="str">
        <f aca="false">IF(IFERROR(INDEX(tsk_Name,(ROW()-ROW(MSPTasks[[#Headers],[ID]])))="",TRUE()),"",IF(INDEX(tsk_Mode,(ROW()-ROW(MSPTasks[[#Headers],[ID]])))="Manual","Manually Scheduled","Auto Scheduled"))</f>
        <v/>
      </c>
      <c r="F7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6" s="80" t="str">
        <f aca="false">IF(IFERROR(INDEX(tsk_Name,(ROW()-ROW(MSPTasks[[#Headers],[ID]])))="",TRUE()),"",INDEX(tsk_FcStart,(ROW()-ROW(MSPTasks[[#Headers],[ID]]))))</f>
        <v/>
      </c>
      <c r="H76" s="80" t="str">
        <f aca="false">IF(IFERROR(INDEX(tsk_Name,(ROW()-ROW(MSPTasks[[#Headers],[ID]])))="",TRUE()),"",INDEX(tsk_FcFinish,(ROW()-ROW(MSPTasks[[#Headers],[ID]]))))</f>
        <v/>
      </c>
      <c r="I7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6" s="80" t="str">
        <f aca="false">IF(IFERROR(INDEX(tsk_Name,(ROW()-ROW(MSPTasks[[#Headers],[ID]])))="",TRUE()),"",INDEX(tsk_PlanStart,(ROW()-ROW(MSPTasks[[#Headers],[ID]]))))</f>
        <v/>
      </c>
      <c r="P76" s="80" t="str">
        <f aca="false">IF(IFERROR(INDEX(tsk_Name,(ROW()-ROW(MSPTasks[[#Headers],[ID]])))="",TRUE()),"",INDEX(tsk_PlanFinish,(ROW()-ROW(MSPTasks[[#Headers],[ID]]))))</f>
        <v/>
      </c>
      <c r="Q7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6" s="23" t="str">
        <f aca="false">IF(IFERROR(INDEX(tsk_Name,(ROW()-ROW(MSPTasks[[#Headers],[ID]])))="",TRUE()),"",INDEX(tsk_Notes,(ROW()-ROW(MSPTasks[[#Headers],[ID]])))&amp;"")</f>
        <v/>
      </c>
    </row>
    <row r="77" customFormat="false" ht="15" hidden="false" customHeight="false" outlineLevel="0" collapsed="false">
      <c r="A77" s="23" t="str">
        <f aca="false">IF(IFERROR(INDEX(tsk_Name,(ROW()-ROW(MSPTasks[[#Headers],[ID]])))="",TRUE()),"",INDEX(tsk_ID,(ROW()-ROW(MSPTasks[[#Headers],[ID]]))))</f>
        <v/>
      </c>
      <c r="B77" s="23" t="str">
        <f aca="false">IF(IFERROR(INDEX(tsk_Name,(ROW()-ROW(MSPTasks[[#Headers],[ID]])))="",TRUE()),"",INDEX(tsk_UID,(ROW()-ROW(MSPTasks[[#Headers],[ID]]))))</f>
        <v/>
      </c>
      <c r="C77" s="23" t="str">
        <f aca="false">IF(IFERROR(INDEX(tsk_Name,(ROW()-ROW(MSPTasks[[#Headers],[ID]])))="",TRUE()),"",INDEX(tsk_Name,(ROW()-ROW(MSPTasks[[#Headers],[ID]]))))</f>
        <v/>
      </c>
      <c r="D77" s="23" t="str">
        <f aca="false">IF(IFERROR(INDEX(tsk_Name,(ROW()-ROW(MSPTasks[[#Headers],[ID]])))="",TRUE()),"",INDEX(tsk_Level,(ROW()-ROW(MSPTasks[[#Headers],[ID]]))))</f>
        <v/>
      </c>
      <c r="E77" s="23" t="str">
        <f aca="false">IF(IFERROR(INDEX(tsk_Name,(ROW()-ROW(MSPTasks[[#Headers],[ID]])))="",TRUE()),"",IF(INDEX(tsk_Mode,(ROW()-ROW(MSPTasks[[#Headers],[ID]])))="Manual","Manually Scheduled","Auto Scheduled"))</f>
        <v/>
      </c>
      <c r="F7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7" s="80" t="str">
        <f aca="false">IF(IFERROR(INDEX(tsk_Name,(ROW()-ROW(MSPTasks[[#Headers],[ID]])))="",TRUE()),"",INDEX(tsk_FcStart,(ROW()-ROW(MSPTasks[[#Headers],[ID]]))))</f>
        <v/>
      </c>
      <c r="H77" s="80" t="str">
        <f aca="false">IF(IFERROR(INDEX(tsk_Name,(ROW()-ROW(MSPTasks[[#Headers],[ID]])))="",TRUE()),"",INDEX(tsk_FcFinish,(ROW()-ROW(MSPTasks[[#Headers],[ID]]))))</f>
        <v/>
      </c>
      <c r="I7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7" s="80" t="str">
        <f aca="false">IF(IFERROR(INDEX(tsk_Name,(ROW()-ROW(MSPTasks[[#Headers],[ID]])))="",TRUE()),"",INDEX(tsk_PlanStart,(ROW()-ROW(MSPTasks[[#Headers],[ID]]))))</f>
        <v/>
      </c>
      <c r="P77" s="80" t="str">
        <f aca="false">IF(IFERROR(INDEX(tsk_Name,(ROW()-ROW(MSPTasks[[#Headers],[ID]])))="",TRUE()),"",INDEX(tsk_PlanFinish,(ROW()-ROW(MSPTasks[[#Headers],[ID]]))))</f>
        <v/>
      </c>
      <c r="Q7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7" s="23" t="str">
        <f aca="false">IF(IFERROR(INDEX(tsk_Name,(ROW()-ROW(MSPTasks[[#Headers],[ID]])))="",TRUE()),"",INDEX(tsk_Notes,(ROW()-ROW(MSPTasks[[#Headers],[ID]])))&amp;"")</f>
        <v/>
      </c>
    </row>
    <row r="78" customFormat="false" ht="15" hidden="false" customHeight="false" outlineLevel="0" collapsed="false">
      <c r="A78" s="23" t="str">
        <f aca="false">IF(IFERROR(INDEX(tsk_Name,(ROW()-ROW(MSPTasks[[#Headers],[ID]])))="",TRUE()),"",INDEX(tsk_ID,(ROW()-ROW(MSPTasks[[#Headers],[ID]]))))</f>
        <v/>
      </c>
      <c r="B78" s="23" t="str">
        <f aca="false">IF(IFERROR(INDEX(tsk_Name,(ROW()-ROW(MSPTasks[[#Headers],[ID]])))="",TRUE()),"",INDEX(tsk_UID,(ROW()-ROW(MSPTasks[[#Headers],[ID]]))))</f>
        <v/>
      </c>
      <c r="C78" s="23" t="str">
        <f aca="false">IF(IFERROR(INDEX(tsk_Name,(ROW()-ROW(MSPTasks[[#Headers],[ID]])))="",TRUE()),"",INDEX(tsk_Name,(ROW()-ROW(MSPTasks[[#Headers],[ID]]))))</f>
        <v/>
      </c>
      <c r="D78" s="23" t="str">
        <f aca="false">IF(IFERROR(INDEX(tsk_Name,(ROW()-ROW(MSPTasks[[#Headers],[ID]])))="",TRUE()),"",INDEX(tsk_Level,(ROW()-ROW(MSPTasks[[#Headers],[ID]]))))</f>
        <v/>
      </c>
      <c r="E78" s="23" t="str">
        <f aca="false">IF(IFERROR(INDEX(tsk_Name,(ROW()-ROW(MSPTasks[[#Headers],[ID]])))="",TRUE()),"",IF(INDEX(tsk_Mode,(ROW()-ROW(MSPTasks[[#Headers],[ID]])))="Manual","Manually Scheduled","Auto Scheduled"))</f>
        <v/>
      </c>
      <c r="F7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8" s="80" t="str">
        <f aca="false">IF(IFERROR(INDEX(tsk_Name,(ROW()-ROW(MSPTasks[[#Headers],[ID]])))="",TRUE()),"",INDEX(tsk_FcStart,(ROW()-ROW(MSPTasks[[#Headers],[ID]]))))</f>
        <v/>
      </c>
      <c r="H78" s="80" t="str">
        <f aca="false">IF(IFERROR(INDEX(tsk_Name,(ROW()-ROW(MSPTasks[[#Headers],[ID]])))="",TRUE()),"",INDEX(tsk_FcFinish,(ROW()-ROW(MSPTasks[[#Headers],[ID]]))))</f>
        <v/>
      </c>
      <c r="I7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8" s="80" t="str">
        <f aca="false">IF(IFERROR(INDEX(tsk_Name,(ROW()-ROW(MSPTasks[[#Headers],[ID]])))="",TRUE()),"",INDEX(tsk_PlanStart,(ROW()-ROW(MSPTasks[[#Headers],[ID]]))))</f>
        <v/>
      </c>
      <c r="P78" s="80" t="str">
        <f aca="false">IF(IFERROR(INDEX(tsk_Name,(ROW()-ROW(MSPTasks[[#Headers],[ID]])))="",TRUE()),"",INDEX(tsk_PlanFinish,(ROW()-ROW(MSPTasks[[#Headers],[ID]]))))</f>
        <v/>
      </c>
      <c r="Q7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8" s="23" t="str">
        <f aca="false">IF(IFERROR(INDEX(tsk_Name,(ROW()-ROW(MSPTasks[[#Headers],[ID]])))="",TRUE()),"",INDEX(tsk_Notes,(ROW()-ROW(MSPTasks[[#Headers],[ID]])))&amp;"")</f>
        <v/>
      </c>
    </row>
    <row r="79" customFormat="false" ht="15" hidden="false" customHeight="false" outlineLevel="0" collapsed="false">
      <c r="A79" s="23" t="str">
        <f aca="false">IF(IFERROR(INDEX(tsk_Name,(ROW()-ROW(MSPTasks[[#Headers],[ID]])))="",TRUE()),"",INDEX(tsk_ID,(ROW()-ROW(MSPTasks[[#Headers],[ID]]))))</f>
        <v/>
      </c>
      <c r="B79" s="23" t="str">
        <f aca="false">IF(IFERROR(INDEX(tsk_Name,(ROW()-ROW(MSPTasks[[#Headers],[ID]])))="",TRUE()),"",INDEX(tsk_UID,(ROW()-ROW(MSPTasks[[#Headers],[ID]]))))</f>
        <v/>
      </c>
      <c r="C79" s="23" t="str">
        <f aca="false">IF(IFERROR(INDEX(tsk_Name,(ROW()-ROW(MSPTasks[[#Headers],[ID]])))="",TRUE()),"",INDEX(tsk_Name,(ROW()-ROW(MSPTasks[[#Headers],[ID]]))))</f>
        <v/>
      </c>
      <c r="D79" s="23" t="str">
        <f aca="false">IF(IFERROR(INDEX(tsk_Name,(ROW()-ROW(MSPTasks[[#Headers],[ID]])))="",TRUE()),"",INDEX(tsk_Level,(ROW()-ROW(MSPTasks[[#Headers],[ID]]))))</f>
        <v/>
      </c>
      <c r="E79" s="23" t="str">
        <f aca="false">IF(IFERROR(INDEX(tsk_Name,(ROW()-ROW(MSPTasks[[#Headers],[ID]])))="",TRUE()),"",IF(INDEX(tsk_Mode,(ROW()-ROW(MSPTasks[[#Headers],[ID]])))="Manual","Manually Scheduled","Auto Scheduled"))</f>
        <v/>
      </c>
      <c r="F7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9" s="80" t="str">
        <f aca="false">IF(IFERROR(INDEX(tsk_Name,(ROW()-ROW(MSPTasks[[#Headers],[ID]])))="",TRUE()),"",INDEX(tsk_FcStart,(ROW()-ROW(MSPTasks[[#Headers],[ID]]))))</f>
        <v/>
      </c>
      <c r="H79" s="80" t="str">
        <f aca="false">IF(IFERROR(INDEX(tsk_Name,(ROW()-ROW(MSPTasks[[#Headers],[ID]])))="",TRUE()),"",INDEX(tsk_FcFinish,(ROW()-ROW(MSPTasks[[#Headers],[ID]]))))</f>
        <v/>
      </c>
      <c r="I7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9" s="80" t="str">
        <f aca="false">IF(IFERROR(INDEX(tsk_Name,(ROW()-ROW(MSPTasks[[#Headers],[ID]])))="",TRUE()),"",INDEX(tsk_PlanStart,(ROW()-ROW(MSPTasks[[#Headers],[ID]]))))</f>
        <v/>
      </c>
      <c r="P79" s="80" t="str">
        <f aca="false">IF(IFERROR(INDEX(tsk_Name,(ROW()-ROW(MSPTasks[[#Headers],[ID]])))="",TRUE()),"",INDEX(tsk_PlanFinish,(ROW()-ROW(MSPTasks[[#Headers],[ID]]))))</f>
        <v/>
      </c>
      <c r="Q7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9" s="23" t="str">
        <f aca="false">IF(IFERROR(INDEX(tsk_Name,(ROW()-ROW(MSPTasks[[#Headers],[ID]])))="",TRUE()),"",INDEX(tsk_Notes,(ROW()-ROW(MSPTasks[[#Headers],[ID]])))&amp;"")</f>
        <v/>
      </c>
    </row>
    <row r="80" customFormat="false" ht="15" hidden="false" customHeight="false" outlineLevel="0" collapsed="false">
      <c r="A80" s="23" t="str">
        <f aca="false">IF(IFERROR(INDEX(tsk_Name,(ROW()-ROW(MSPTasks[[#Headers],[ID]])))="",TRUE()),"",INDEX(tsk_ID,(ROW()-ROW(MSPTasks[[#Headers],[ID]]))))</f>
        <v/>
      </c>
      <c r="B80" s="23" t="str">
        <f aca="false">IF(IFERROR(INDEX(tsk_Name,(ROW()-ROW(MSPTasks[[#Headers],[ID]])))="",TRUE()),"",INDEX(tsk_UID,(ROW()-ROW(MSPTasks[[#Headers],[ID]]))))</f>
        <v/>
      </c>
      <c r="C80" s="23" t="str">
        <f aca="false">IF(IFERROR(INDEX(tsk_Name,(ROW()-ROW(MSPTasks[[#Headers],[ID]])))="",TRUE()),"",INDEX(tsk_Name,(ROW()-ROW(MSPTasks[[#Headers],[ID]]))))</f>
        <v/>
      </c>
      <c r="D80" s="23" t="str">
        <f aca="false">IF(IFERROR(INDEX(tsk_Name,(ROW()-ROW(MSPTasks[[#Headers],[ID]])))="",TRUE()),"",INDEX(tsk_Level,(ROW()-ROW(MSPTasks[[#Headers],[ID]]))))</f>
        <v/>
      </c>
      <c r="E80" s="23" t="str">
        <f aca="false">IF(IFERROR(INDEX(tsk_Name,(ROW()-ROW(MSPTasks[[#Headers],[ID]])))="",TRUE()),"",IF(INDEX(tsk_Mode,(ROW()-ROW(MSPTasks[[#Headers],[ID]])))="Manual","Manually Scheduled","Auto Scheduled"))</f>
        <v/>
      </c>
      <c r="F8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0" s="80" t="str">
        <f aca="false">IF(IFERROR(INDEX(tsk_Name,(ROW()-ROW(MSPTasks[[#Headers],[ID]])))="",TRUE()),"",INDEX(tsk_FcStart,(ROW()-ROW(MSPTasks[[#Headers],[ID]]))))</f>
        <v/>
      </c>
      <c r="H80" s="80" t="str">
        <f aca="false">IF(IFERROR(INDEX(tsk_Name,(ROW()-ROW(MSPTasks[[#Headers],[ID]])))="",TRUE()),"",INDEX(tsk_FcFinish,(ROW()-ROW(MSPTasks[[#Headers],[ID]]))))</f>
        <v/>
      </c>
      <c r="I8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0" s="80" t="str">
        <f aca="false">IF(IFERROR(INDEX(tsk_Name,(ROW()-ROW(MSPTasks[[#Headers],[ID]])))="",TRUE()),"",INDEX(tsk_PlanStart,(ROW()-ROW(MSPTasks[[#Headers],[ID]]))))</f>
        <v/>
      </c>
      <c r="P80" s="80" t="str">
        <f aca="false">IF(IFERROR(INDEX(tsk_Name,(ROW()-ROW(MSPTasks[[#Headers],[ID]])))="",TRUE()),"",INDEX(tsk_PlanFinish,(ROW()-ROW(MSPTasks[[#Headers],[ID]]))))</f>
        <v/>
      </c>
      <c r="Q8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0" s="23" t="str">
        <f aca="false">IF(IFERROR(INDEX(tsk_Name,(ROW()-ROW(MSPTasks[[#Headers],[ID]])))="",TRUE()),"",INDEX(tsk_Notes,(ROW()-ROW(MSPTasks[[#Headers],[ID]])))&amp;"")</f>
        <v/>
      </c>
    </row>
    <row r="81" customFormat="false" ht="15" hidden="false" customHeight="false" outlineLevel="0" collapsed="false">
      <c r="A81" s="23" t="str">
        <f aca="false">IF(IFERROR(INDEX(tsk_Name,(ROW()-ROW(MSPTasks[[#Headers],[ID]])))="",TRUE()),"",INDEX(tsk_ID,(ROW()-ROW(MSPTasks[[#Headers],[ID]]))))</f>
        <v/>
      </c>
      <c r="B81" s="23" t="str">
        <f aca="false">IF(IFERROR(INDEX(tsk_Name,(ROW()-ROW(MSPTasks[[#Headers],[ID]])))="",TRUE()),"",INDEX(tsk_UID,(ROW()-ROW(MSPTasks[[#Headers],[ID]]))))</f>
        <v/>
      </c>
      <c r="C81" s="23" t="str">
        <f aca="false">IF(IFERROR(INDEX(tsk_Name,(ROW()-ROW(MSPTasks[[#Headers],[ID]])))="",TRUE()),"",INDEX(tsk_Name,(ROW()-ROW(MSPTasks[[#Headers],[ID]]))))</f>
        <v/>
      </c>
      <c r="D81" s="23" t="str">
        <f aca="false">IF(IFERROR(INDEX(tsk_Name,(ROW()-ROW(MSPTasks[[#Headers],[ID]])))="",TRUE()),"",INDEX(tsk_Level,(ROW()-ROW(MSPTasks[[#Headers],[ID]]))))</f>
        <v/>
      </c>
      <c r="E81" s="23" t="str">
        <f aca="false">IF(IFERROR(INDEX(tsk_Name,(ROW()-ROW(MSPTasks[[#Headers],[ID]])))="",TRUE()),"",IF(INDEX(tsk_Mode,(ROW()-ROW(MSPTasks[[#Headers],[ID]])))="Manual","Manually Scheduled","Auto Scheduled"))</f>
        <v/>
      </c>
      <c r="F8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1" s="80" t="str">
        <f aca="false">IF(IFERROR(INDEX(tsk_Name,(ROW()-ROW(MSPTasks[[#Headers],[ID]])))="",TRUE()),"",INDEX(tsk_FcStart,(ROW()-ROW(MSPTasks[[#Headers],[ID]]))))</f>
        <v/>
      </c>
      <c r="H81" s="80" t="str">
        <f aca="false">IF(IFERROR(INDEX(tsk_Name,(ROW()-ROW(MSPTasks[[#Headers],[ID]])))="",TRUE()),"",INDEX(tsk_FcFinish,(ROW()-ROW(MSPTasks[[#Headers],[ID]]))))</f>
        <v/>
      </c>
      <c r="I8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1" s="80" t="str">
        <f aca="false">IF(IFERROR(INDEX(tsk_Name,(ROW()-ROW(MSPTasks[[#Headers],[ID]])))="",TRUE()),"",INDEX(tsk_PlanStart,(ROW()-ROW(MSPTasks[[#Headers],[ID]]))))</f>
        <v/>
      </c>
      <c r="P81" s="80" t="str">
        <f aca="false">IF(IFERROR(INDEX(tsk_Name,(ROW()-ROW(MSPTasks[[#Headers],[ID]])))="",TRUE()),"",INDEX(tsk_PlanFinish,(ROW()-ROW(MSPTasks[[#Headers],[ID]]))))</f>
        <v/>
      </c>
      <c r="Q8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1" s="23" t="str">
        <f aca="false">IF(IFERROR(INDEX(tsk_Name,(ROW()-ROW(MSPTasks[[#Headers],[ID]])))="",TRUE()),"",INDEX(tsk_Notes,(ROW()-ROW(MSPTasks[[#Headers],[ID]])))&amp;"")</f>
        <v/>
      </c>
    </row>
    <row r="82" customFormat="false" ht="15" hidden="false" customHeight="false" outlineLevel="0" collapsed="false">
      <c r="A82" s="23" t="str">
        <f aca="false">IF(IFERROR(INDEX(tsk_Name,(ROW()-ROW(MSPTasks[[#Headers],[ID]])))="",TRUE()),"",INDEX(tsk_ID,(ROW()-ROW(MSPTasks[[#Headers],[ID]]))))</f>
        <v/>
      </c>
      <c r="B82" s="23" t="str">
        <f aca="false">IF(IFERROR(INDEX(tsk_Name,(ROW()-ROW(MSPTasks[[#Headers],[ID]])))="",TRUE()),"",INDEX(tsk_UID,(ROW()-ROW(MSPTasks[[#Headers],[ID]]))))</f>
        <v/>
      </c>
      <c r="C82" s="23" t="str">
        <f aca="false">IF(IFERROR(INDEX(tsk_Name,(ROW()-ROW(MSPTasks[[#Headers],[ID]])))="",TRUE()),"",INDEX(tsk_Name,(ROW()-ROW(MSPTasks[[#Headers],[ID]]))))</f>
        <v/>
      </c>
      <c r="D82" s="23" t="str">
        <f aca="false">IF(IFERROR(INDEX(tsk_Name,(ROW()-ROW(MSPTasks[[#Headers],[ID]])))="",TRUE()),"",INDEX(tsk_Level,(ROW()-ROW(MSPTasks[[#Headers],[ID]]))))</f>
        <v/>
      </c>
      <c r="E82" s="23" t="str">
        <f aca="false">IF(IFERROR(INDEX(tsk_Name,(ROW()-ROW(MSPTasks[[#Headers],[ID]])))="",TRUE()),"",IF(INDEX(tsk_Mode,(ROW()-ROW(MSPTasks[[#Headers],[ID]])))="Manual","Manually Scheduled","Auto Scheduled"))</f>
        <v/>
      </c>
      <c r="F8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2" s="80" t="str">
        <f aca="false">IF(IFERROR(INDEX(tsk_Name,(ROW()-ROW(MSPTasks[[#Headers],[ID]])))="",TRUE()),"",INDEX(tsk_FcStart,(ROW()-ROW(MSPTasks[[#Headers],[ID]]))))</f>
        <v/>
      </c>
      <c r="H82" s="80" t="str">
        <f aca="false">IF(IFERROR(INDEX(tsk_Name,(ROW()-ROW(MSPTasks[[#Headers],[ID]])))="",TRUE()),"",INDEX(tsk_FcFinish,(ROW()-ROW(MSPTasks[[#Headers],[ID]]))))</f>
        <v/>
      </c>
      <c r="I8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2" s="80" t="str">
        <f aca="false">IF(IFERROR(INDEX(tsk_Name,(ROW()-ROW(MSPTasks[[#Headers],[ID]])))="",TRUE()),"",INDEX(tsk_PlanStart,(ROW()-ROW(MSPTasks[[#Headers],[ID]]))))</f>
        <v/>
      </c>
      <c r="P82" s="80" t="str">
        <f aca="false">IF(IFERROR(INDEX(tsk_Name,(ROW()-ROW(MSPTasks[[#Headers],[ID]])))="",TRUE()),"",INDEX(tsk_PlanFinish,(ROW()-ROW(MSPTasks[[#Headers],[ID]]))))</f>
        <v/>
      </c>
      <c r="Q8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2" s="23" t="str">
        <f aca="false">IF(IFERROR(INDEX(tsk_Name,(ROW()-ROW(MSPTasks[[#Headers],[ID]])))="",TRUE()),"",INDEX(tsk_Notes,(ROW()-ROW(MSPTasks[[#Headers],[ID]])))&amp;"")</f>
        <v/>
      </c>
    </row>
    <row r="83" customFormat="false" ht="15" hidden="false" customHeight="false" outlineLevel="0" collapsed="false">
      <c r="A83" s="23" t="str">
        <f aca="false">IF(IFERROR(INDEX(tsk_Name,(ROW()-ROW(MSPTasks[[#Headers],[ID]])))="",TRUE()),"",INDEX(tsk_ID,(ROW()-ROW(MSPTasks[[#Headers],[ID]]))))</f>
        <v/>
      </c>
      <c r="B83" s="23" t="str">
        <f aca="false">IF(IFERROR(INDEX(tsk_Name,(ROW()-ROW(MSPTasks[[#Headers],[ID]])))="",TRUE()),"",INDEX(tsk_UID,(ROW()-ROW(MSPTasks[[#Headers],[ID]]))))</f>
        <v/>
      </c>
      <c r="C83" s="23" t="str">
        <f aca="false">IF(IFERROR(INDEX(tsk_Name,(ROW()-ROW(MSPTasks[[#Headers],[ID]])))="",TRUE()),"",INDEX(tsk_Name,(ROW()-ROW(MSPTasks[[#Headers],[ID]]))))</f>
        <v/>
      </c>
      <c r="D83" s="23" t="str">
        <f aca="false">IF(IFERROR(INDEX(tsk_Name,(ROW()-ROW(MSPTasks[[#Headers],[ID]])))="",TRUE()),"",INDEX(tsk_Level,(ROW()-ROW(MSPTasks[[#Headers],[ID]]))))</f>
        <v/>
      </c>
      <c r="E83" s="23" t="str">
        <f aca="false">IF(IFERROR(INDEX(tsk_Name,(ROW()-ROW(MSPTasks[[#Headers],[ID]])))="",TRUE()),"",IF(INDEX(tsk_Mode,(ROW()-ROW(MSPTasks[[#Headers],[ID]])))="Manual","Manually Scheduled","Auto Scheduled"))</f>
        <v/>
      </c>
      <c r="F8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3" s="80" t="str">
        <f aca="false">IF(IFERROR(INDEX(tsk_Name,(ROW()-ROW(MSPTasks[[#Headers],[ID]])))="",TRUE()),"",INDEX(tsk_FcStart,(ROW()-ROW(MSPTasks[[#Headers],[ID]]))))</f>
        <v/>
      </c>
      <c r="H83" s="80" t="str">
        <f aca="false">IF(IFERROR(INDEX(tsk_Name,(ROW()-ROW(MSPTasks[[#Headers],[ID]])))="",TRUE()),"",INDEX(tsk_FcFinish,(ROW()-ROW(MSPTasks[[#Headers],[ID]]))))</f>
        <v/>
      </c>
      <c r="I8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3" s="80" t="str">
        <f aca="false">IF(IFERROR(INDEX(tsk_Name,(ROW()-ROW(MSPTasks[[#Headers],[ID]])))="",TRUE()),"",INDEX(tsk_PlanStart,(ROW()-ROW(MSPTasks[[#Headers],[ID]]))))</f>
        <v/>
      </c>
      <c r="P83" s="80" t="str">
        <f aca="false">IF(IFERROR(INDEX(tsk_Name,(ROW()-ROW(MSPTasks[[#Headers],[ID]])))="",TRUE()),"",INDEX(tsk_PlanFinish,(ROW()-ROW(MSPTasks[[#Headers],[ID]]))))</f>
        <v/>
      </c>
      <c r="Q8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3" s="23" t="str">
        <f aca="false">IF(IFERROR(INDEX(tsk_Name,(ROW()-ROW(MSPTasks[[#Headers],[ID]])))="",TRUE()),"",INDEX(tsk_Notes,(ROW()-ROW(MSPTasks[[#Headers],[ID]])))&amp;"")</f>
        <v/>
      </c>
    </row>
    <row r="84" customFormat="false" ht="15" hidden="false" customHeight="false" outlineLevel="0" collapsed="false">
      <c r="A84" s="23" t="str">
        <f aca="false">IF(IFERROR(INDEX(tsk_Name,(ROW()-ROW(MSPTasks[[#Headers],[ID]])))="",TRUE()),"",INDEX(tsk_ID,(ROW()-ROW(MSPTasks[[#Headers],[ID]]))))</f>
        <v/>
      </c>
      <c r="B84" s="23" t="str">
        <f aca="false">IF(IFERROR(INDEX(tsk_Name,(ROW()-ROW(MSPTasks[[#Headers],[ID]])))="",TRUE()),"",INDEX(tsk_UID,(ROW()-ROW(MSPTasks[[#Headers],[ID]]))))</f>
        <v/>
      </c>
      <c r="C84" s="23" t="str">
        <f aca="false">IF(IFERROR(INDEX(tsk_Name,(ROW()-ROW(MSPTasks[[#Headers],[ID]])))="",TRUE()),"",INDEX(tsk_Name,(ROW()-ROW(MSPTasks[[#Headers],[ID]]))))</f>
        <v/>
      </c>
      <c r="D84" s="23" t="str">
        <f aca="false">IF(IFERROR(INDEX(tsk_Name,(ROW()-ROW(MSPTasks[[#Headers],[ID]])))="",TRUE()),"",INDEX(tsk_Level,(ROW()-ROW(MSPTasks[[#Headers],[ID]]))))</f>
        <v/>
      </c>
      <c r="E84" s="23" t="str">
        <f aca="false">IF(IFERROR(INDEX(tsk_Name,(ROW()-ROW(MSPTasks[[#Headers],[ID]])))="",TRUE()),"",IF(INDEX(tsk_Mode,(ROW()-ROW(MSPTasks[[#Headers],[ID]])))="Manual","Manually Scheduled","Auto Scheduled"))</f>
        <v/>
      </c>
      <c r="F8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4" s="80" t="str">
        <f aca="false">IF(IFERROR(INDEX(tsk_Name,(ROW()-ROW(MSPTasks[[#Headers],[ID]])))="",TRUE()),"",INDEX(tsk_FcStart,(ROW()-ROW(MSPTasks[[#Headers],[ID]]))))</f>
        <v/>
      </c>
      <c r="H84" s="80" t="str">
        <f aca="false">IF(IFERROR(INDEX(tsk_Name,(ROW()-ROW(MSPTasks[[#Headers],[ID]])))="",TRUE()),"",INDEX(tsk_FcFinish,(ROW()-ROW(MSPTasks[[#Headers],[ID]]))))</f>
        <v/>
      </c>
      <c r="I8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4" s="80" t="str">
        <f aca="false">IF(IFERROR(INDEX(tsk_Name,(ROW()-ROW(MSPTasks[[#Headers],[ID]])))="",TRUE()),"",INDEX(tsk_PlanStart,(ROW()-ROW(MSPTasks[[#Headers],[ID]]))))</f>
        <v/>
      </c>
      <c r="P84" s="80" t="str">
        <f aca="false">IF(IFERROR(INDEX(tsk_Name,(ROW()-ROW(MSPTasks[[#Headers],[ID]])))="",TRUE()),"",INDEX(tsk_PlanFinish,(ROW()-ROW(MSPTasks[[#Headers],[ID]]))))</f>
        <v/>
      </c>
      <c r="Q8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4" s="23" t="str">
        <f aca="false">IF(IFERROR(INDEX(tsk_Name,(ROW()-ROW(MSPTasks[[#Headers],[ID]])))="",TRUE()),"",INDEX(tsk_Notes,(ROW()-ROW(MSPTasks[[#Headers],[ID]])))&amp;"")</f>
        <v/>
      </c>
    </row>
    <row r="85" customFormat="false" ht="15" hidden="false" customHeight="false" outlineLevel="0" collapsed="false">
      <c r="A85" s="23" t="str">
        <f aca="false">IF(IFERROR(INDEX(tsk_Name,(ROW()-ROW(MSPTasks[[#Headers],[ID]])))="",TRUE()),"",INDEX(tsk_ID,(ROW()-ROW(MSPTasks[[#Headers],[ID]]))))</f>
        <v/>
      </c>
      <c r="B85" s="23" t="str">
        <f aca="false">IF(IFERROR(INDEX(tsk_Name,(ROW()-ROW(MSPTasks[[#Headers],[ID]])))="",TRUE()),"",INDEX(tsk_UID,(ROW()-ROW(MSPTasks[[#Headers],[ID]]))))</f>
        <v/>
      </c>
      <c r="C85" s="23" t="str">
        <f aca="false">IF(IFERROR(INDEX(tsk_Name,(ROW()-ROW(MSPTasks[[#Headers],[ID]])))="",TRUE()),"",INDEX(tsk_Name,(ROW()-ROW(MSPTasks[[#Headers],[ID]]))))</f>
        <v/>
      </c>
      <c r="D85" s="23" t="str">
        <f aca="false">IF(IFERROR(INDEX(tsk_Name,(ROW()-ROW(MSPTasks[[#Headers],[ID]])))="",TRUE()),"",INDEX(tsk_Level,(ROW()-ROW(MSPTasks[[#Headers],[ID]]))))</f>
        <v/>
      </c>
      <c r="E85" s="23" t="str">
        <f aca="false">IF(IFERROR(INDEX(tsk_Name,(ROW()-ROW(MSPTasks[[#Headers],[ID]])))="",TRUE()),"",IF(INDEX(tsk_Mode,(ROW()-ROW(MSPTasks[[#Headers],[ID]])))="Manual","Manually Scheduled","Auto Scheduled"))</f>
        <v/>
      </c>
      <c r="F8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5" s="80" t="str">
        <f aca="false">IF(IFERROR(INDEX(tsk_Name,(ROW()-ROW(MSPTasks[[#Headers],[ID]])))="",TRUE()),"",INDEX(tsk_FcStart,(ROW()-ROW(MSPTasks[[#Headers],[ID]]))))</f>
        <v/>
      </c>
      <c r="H85" s="80" t="str">
        <f aca="false">IF(IFERROR(INDEX(tsk_Name,(ROW()-ROW(MSPTasks[[#Headers],[ID]])))="",TRUE()),"",INDEX(tsk_FcFinish,(ROW()-ROW(MSPTasks[[#Headers],[ID]]))))</f>
        <v/>
      </c>
      <c r="I8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5" s="80" t="str">
        <f aca="false">IF(IFERROR(INDEX(tsk_Name,(ROW()-ROW(MSPTasks[[#Headers],[ID]])))="",TRUE()),"",INDEX(tsk_PlanStart,(ROW()-ROW(MSPTasks[[#Headers],[ID]]))))</f>
        <v/>
      </c>
      <c r="P85" s="80" t="str">
        <f aca="false">IF(IFERROR(INDEX(tsk_Name,(ROW()-ROW(MSPTasks[[#Headers],[ID]])))="",TRUE()),"",INDEX(tsk_PlanFinish,(ROW()-ROW(MSPTasks[[#Headers],[ID]]))))</f>
        <v/>
      </c>
      <c r="Q8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5" s="23" t="str">
        <f aca="false">IF(IFERROR(INDEX(tsk_Name,(ROW()-ROW(MSPTasks[[#Headers],[ID]])))="",TRUE()),"",INDEX(tsk_Notes,(ROW()-ROW(MSPTasks[[#Headers],[ID]])))&amp;"")</f>
        <v/>
      </c>
    </row>
    <row r="86" customFormat="false" ht="15" hidden="false" customHeight="false" outlineLevel="0" collapsed="false">
      <c r="A86" s="23" t="str">
        <f aca="false">IF(IFERROR(INDEX(tsk_Name,(ROW()-ROW(MSPTasks[[#Headers],[ID]])))="",TRUE()),"",INDEX(tsk_ID,(ROW()-ROW(MSPTasks[[#Headers],[ID]]))))</f>
        <v/>
      </c>
      <c r="B86" s="23" t="str">
        <f aca="false">IF(IFERROR(INDEX(tsk_Name,(ROW()-ROW(MSPTasks[[#Headers],[ID]])))="",TRUE()),"",INDEX(tsk_UID,(ROW()-ROW(MSPTasks[[#Headers],[ID]]))))</f>
        <v/>
      </c>
      <c r="C86" s="23" t="str">
        <f aca="false">IF(IFERROR(INDEX(tsk_Name,(ROW()-ROW(MSPTasks[[#Headers],[ID]])))="",TRUE()),"",INDEX(tsk_Name,(ROW()-ROW(MSPTasks[[#Headers],[ID]]))))</f>
        <v/>
      </c>
      <c r="D86" s="23" t="str">
        <f aca="false">IF(IFERROR(INDEX(tsk_Name,(ROW()-ROW(MSPTasks[[#Headers],[ID]])))="",TRUE()),"",INDEX(tsk_Level,(ROW()-ROW(MSPTasks[[#Headers],[ID]]))))</f>
        <v/>
      </c>
      <c r="E86" s="23" t="str">
        <f aca="false">IF(IFERROR(INDEX(tsk_Name,(ROW()-ROW(MSPTasks[[#Headers],[ID]])))="",TRUE()),"",IF(INDEX(tsk_Mode,(ROW()-ROW(MSPTasks[[#Headers],[ID]])))="Manual","Manually Scheduled","Auto Scheduled"))</f>
        <v/>
      </c>
      <c r="F8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6" s="80" t="str">
        <f aca="false">IF(IFERROR(INDEX(tsk_Name,(ROW()-ROW(MSPTasks[[#Headers],[ID]])))="",TRUE()),"",INDEX(tsk_FcStart,(ROW()-ROW(MSPTasks[[#Headers],[ID]]))))</f>
        <v/>
      </c>
      <c r="H86" s="80" t="str">
        <f aca="false">IF(IFERROR(INDEX(tsk_Name,(ROW()-ROW(MSPTasks[[#Headers],[ID]])))="",TRUE()),"",INDEX(tsk_FcFinish,(ROW()-ROW(MSPTasks[[#Headers],[ID]]))))</f>
        <v/>
      </c>
      <c r="I8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6" s="80" t="str">
        <f aca="false">IF(IFERROR(INDEX(tsk_Name,(ROW()-ROW(MSPTasks[[#Headers],[ID]])))="",TRUE()),"",INDEX(tsk_PlanStart,(ROW()-ROW(MSPTasks[[#Headers],[ID]]))))</f>
        <v/>
      </c>
      <c r="P86" s="80" t="str">
        <f aca="false">IF(IFERROR(INDEX(tsk_Name,(ROW()-ROW(MSPTasks[[#Headers],[ID]])))="",TRUE()),"",INDEX(tsk_PlanFinish,(ROW()-ROW(MSPTasks[[#Headers],[ID]]))))</f>
        <v/>
      </c>
      <c r="Q8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6" s="23" t="str">
        <f aca="false">IF(IFERROR(INDEX(tsk_Name,(ROW()-ROW(MSPTasks[[#Headers],[ID]])))="",TRUE()),"",INDEX(tsk_Notes,(ROW()-ROW(MSPTasks[[#Headers],[ID]])))&amp;"")</f>
        <v/>
      </c>
    </row>
    <row r="87" customFormat="false" ht="15" hidden="false" customHeight="false" outlineLevel="0" collapsed="false">
      <c r="A87" s="23" t="str">
        <f aca="false">IF(IFERROR(INDEX(tsk_Name,(ROW()-ROW(MSPTasks[[#Headers],[ID]])))="",TRUE()),"",INDEX(tsk_ID,(ROW()-ROW(MSPTasks[[#Headers],[ID]]))))</f>
        <v/>
      </c>
      <c r="B87" s="23" t="str">
        <f aca="false">IF(IFERROR(INDEX(tsk_Name,(ROW()-ROW(MSPTasks[[#Headers],[ID]])))="",TRUE()),"",INDEX(tsk_UID,(ROW()-ROW(MSPTasks[[#Headers],[ID]]))))</f>
        <v/>
      </c>
      <c r="C87" s="23" t="str">
        <f aca="false">IF(IFERROR(INDEX(tsk_Name,(ROW()-ROW(MSPTasks[[#Headers],[ID]])))="",TRUE()),"",INDEX(tsk_Name,(ROW()-ROW(MSPTasks[[#Headers],[ID]]))))</f>
        <v/>
      </c>
      <c r="D87" s="23" t="str">
        <f aca="false">IF(IFERROR(INDEX(tsk_Name,(ROW()-ROW(MSPTasks[[#Headers],[ID]])))="",TRUE()),"",INDEX(tsk_Level,(ROW()-ROW(MSPTasks[[#Headers],[ID]]))))</f>
        <v/>
      </c>
      <c r="E87" s="23" t="str">
        <f aca="false">IF(IFERROR(INDEX(tsk_Name,(ROW()-ROW(MSPTasks[[#Headers],[ID]])))="",TRUE()),"",IF(INDEX(tsk_Mode,(ROW()-ROW(MSPTasks[[#Headers],[ID]])))="Manual","Manually Scheduled","Auto Scheduled"))</f>
        <v/>
      </c>
      <c r="F8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7" s="80" t="str">
        <f aca="false">IF(IFERROR(INDEX(tsk_Name,(ROW()-ROW(MSPTasks[[#Headers],[ID]])))="",TRUE()),"",INDEX(tsk_FcStart,(ROW()-ROW(MSPTasks[[#Headers],[ID]]))))</f>
        <v/>
      </c>
      <c r="H87" s="80" t="str">
        <f aca="false">IF(IFERROR(INDEX(tsk_Name,(ROW()-ROW(MSPTasks[[#Headers],[ID]])))="",TRUE()),"",INDEX(tsk_FcFinish,(ROW()-ROW(MSPTasks[[#Headers],[ID]]))))</f>
        <v/>
      </c>
      <c r="I8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7" s="80" t="str">
        <f aca="false">IF(IFERROR(INDEX(tsk_Name,(ROW()-ROW(MSPTasks[[#Headers],[ID]])))="",TRUE()),"",INDEX(tsk_PlanStart,(ROW()-ROW(MSPTasks[[#Headers],[ID]]))))</f>
        <v/>
      </c>
      <c r="P87" s="80" t="str">
        <f aca="false">IF(IFERROR(INDEX(tsk_Name,(ROW()-ROW(MSPTasks[[#Headers],[ID]])))="",TRUE()),"",INDEX(tsk_PlanFinish,(ROW()-ROW(MSPTasks[[#Headers],[ID]]))))</f>
        <v/>
      </c>
      <c r="Q8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7" s="23" t="str">
        <f aca="false">IF(IFERROR(INDEX(tsk_Name,(ROW()-ROW(MSPTasks[[#Headers],[ID]])))="",TRUE()),"",INDEX(tsk_Notes,(ROW()-ROW(MSPTasks[[#Headers],[ID]])))&amp;"")</f>
        <v/>
      </c>
    </row>
    <row r="88" customFormat="false" ht="15" hidden="false" customHeight="false" outlineLevel="0" collapsed="false">
      <c r="A88" s="23" t="str">
        <f aca="false">IF(IFERROR(INDEX(tsk_Name,(ROW()-ROW(MSPTasks[[#Headers],[ID]])))="",TRUE()),"",INDEX(tsk_ID,(ROW()-ROW(MSPTasks[[#Headers],[ID]]))))</f>
        <v/>
      </c>
      <c r="B88" s="23" t="str">
        <f aca="false">IF(IFERROR(INDEX(tsk_Name,(ROW()-ROW(MSPTasks[[#Headers],[ID]])))="",TRUE()),"",INDEX(tsk_UID,(ROW()-ROW(MSPTasks[[#Headers],[ID]]))))</f>
        <v/>
      </c>
      <c r="C88" s="23" t="str">
        <f aca="false">IF(IFERROR(INDEX(tsk_Name,(ROW()-ROW(MSPTasks[[#Headers],[ID]])))="",TRUE()),"",INDEX(tsk_Name,(ROW()-ROW(MSPTasks[[#Headers],[ID]]))))</f>
        <v/>
      </c>
      <c r="D88" s="23" t="str">
        <f aca="false">IF(IFERROR(INDEX(tsk_Name,(ROW()-ROW(MSPTasks[[#Headers],[ID]])))="",TRUE()),"",INDEX(tsk_Level,(ROW()-ROW(MSPTasks[[#Headers],[ID]]))))</f>
        <v/>
      </c>
      <c r="E88" s="23" t="str">
        <f aca="false">IF(IFERROR(INDEX(tsk_Name,(ROW()-ROW(MSPTasks[[#Headers],[ID]])))="",TRUE()),"",IF(INDEX(tsk_Mode,(ROW()-ROW(MSPTasks[[#Headers],[ID]])))="Manual","Manually Scheduled","Auto Scheduled"))</f>
        <v/>
      </c>
      <c r="F8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8" s="80" t="str">
        <f aca="false">IF(IFERROR(INDEX(tsk_Name,(ROW()-ROW(MSPTasks[[#Headers],[ID]])))="",TRUE()),"",INDEX(tsk_FcStart,(ROW()-ROW(MSPTasks[[#Headers],[ID]]))))</f>
        <v/>
      </c>
      <c r="H88" s="80" t="str">
        <f aca="false">IF(IFERROR(INDEX(tsk_Name,(ROW()-ROW(MSPTasks[[#Headers],[ID]])))="",TRUE()),"",INDEX(tsk_FcFinish,(ROW()-ROW(MSPTasks[[#Headers],[ID]]))))</f>
        <v/>
      </c>
      <c r="I8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8" s="80" t="str">
        <f aca="false">IF(IFERROR(INDEX(tsk_Name,(ROW()-ROW(MSPTasks[[#Headers],[ID]])))="",TRUE()),"",INDEX(tsk_PlanStart,(ROW()-ROW(MSPTasks[[#Headers],[ID]]))))</f>
        <v/>
      </c>
      <c r="P88" s="80" t="str">
        <f aca="false">IF(IFERROR(INDEX(tsk_Name,(ROW()-ROW(MSPTasks[[#Headers],[ID]])))="",TRUE()),"",INDEX(tsk_PlanFinish,(ROW()-ROW(MSPTasks[[#Headers],[ID]]))))</f>
        <v/>
      </c>
      <c r="Q8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8" s="23" t="str">
        <f aca="false">IF(IFERROR(INDEX(tsk_Name,(ROW()-ROW(MSPTasks[[#Headers],[ID]])))="",TRUE()),"",INDEX(tsk_Notes,(ROW()-ROW(MSPTasks[[#Headers],[ID]])))&amp;"")</f>
        <v/>
      </c>
    </row>
    <row r="89" customFormat="false" ht="15" hidden="false" customHeight="false" outlineLevel="0" collapsed="false">
      <c r="A89" s="23" t="str">
        <f aca="false">IF(IFERROR(INDEX(tsk_Name,(ROW()-ROW(MSPTasks[[#Headers],[ID]])))="",TRUE()),"",INDEX(tsk_ID,(ROW()-ROW(MSPTasks[[#Headers],[ID]]))))</f>
        <v/>
      </c>
      <c r="B89" s="23" t="str">
        <f aca="false">IF(IFERROR(INDEX(tsk_Name,(ROW()-ROW(MSPTasks[[#Headers],[ID]])))="",TRUE()),"",INDEX(tsk_UID,(ROW()-ROW(MSPTasks[[#Headers],[ID]]))))</f>
        <v/>
      </c>
      <c r="C89" s="23" t="str">
        <f aca="false">IF(IFERROR(INDEX(tsk_Name,(ROW()-ROW(MSPTasks[[#Headers],[ID]])))="",TRUE()),"",INDEX(tsk_Name,(ROW()-ROW(MSPTasks[[#Headers],[ID]]))))</f>
        <v/>
      </c>
      <c r="D89" s="23" t="str">
        <f aca="false">IF(IFERROR(INDEX(tsk_Name,(ROW()-ROW(MSPTasks[[#Headers],[ID]])))="",TRUE()),"",INDEX(tsk_Level,(ROW()-ROW(MSPTasks[[#Headers],[ID]]))))</f>
        <v/>
      </c>
      <c r="E89" s="23" t="str">
        <f aca="false">IF(IFERROR(INDEX(tsk_Name,(ROW()-ROW(MSPTasks[[#Headers],[ID]])))="",TRUE()),"",IF(INDEX(tsk_Mode,(ROW()-ROW(MSPTasks[[#Headers],[ID]])))="Manual","Manually Scheduled","Auto Scheduled"))</f>
        <v/>
      </c>
      <c r="F8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9" s="80" t="str">
        <f aca="false">IF(IFERROR(INDEX(tsk_Name,(ROW()-ROW(MSPTasks[[#Headers],[ID]])))="",TRUE()),"",INDEX(tsk_FcStart,(ROW()-ROW(MSPTasks[[#Headers],[ID]]))))</f>
        <v/>
      </c>
      <c r="H89" s="80" t="str">
        <f aca="false">IF(IFERROR(INDEX(tsk_Name,(ROW()-ROW(MSPTasks[[#Headers],[ID]])))="",TRUE()),"",INDEX(tsk_FcFinish,(ROW()-ROW(MSPTasks[[#Headers],[ID]]))))</f>
        <v/>
      </c>
      <c r="I8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9" s="80" t="str">
        <f aca="false">IF(IFERROR(INDEX(tsk_Name,(ROW()-ROW(MSPTasks[[#Headers],[ID]])))="",TRUE()),"",INDEX(tsk_PlanStart,(ROW()-ROW(MSPTasks[[#Headers],[ID]]))))</f>
        <v/>
      </c>
      <c r="P89" s="80" t="str">
        <f aca="false">IF(IFERROR(INDEX(tsk_Name,(ROW()-ROW(MSPTasks[[#Headers],[ID]])))="",TRUE()),"",INDEX(tsk_PlanFinish,(ROW()-ROW(MSPTasks[[#Headers],[ID]]))))</f>
        <v/>
      </c>
      <c r="Q8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9" s="23" t="str">
        <f aca="false">IF(IFERROR(INDEX(tsk_Name,(ROW()-ROW(MSPTasks[[#Headers],[ID]])))="",TRUE()),"",INDEX(tsk_Notes,(ROW()-ROW(MSPTasks[[#Headers],[ID]])))&amp;"")</f>
        <v/>
      </c>
    </row>
    <row r="90" customFormat="false" ht="15" hidden="false" customHeight="false" outlineLevel="0" collapsed="false">
      <c r="A90" s="23" t="str">
        <f aca="false">IF(IFERROR(INDEX(tsk_Name,(ROW()-ROW(MSPTasks[[#Headers],[ID]])))="",TRUE()),"",INDEX(tsk_ID,(ROW()-ROW(MSPTasks[[#Headers],[ID]]))))</f>
        <v/>
      </c>
      <c r="B90" s="23" t="str">
        <f aca="false">IF(IFERROR(INDEX(tsk_Name,(ROW()-ROW(MSPTasks[[#Headers],[ID]])))="",TRUE()),"",INDEX(tsk_UID,(ROW()-ROW(MSPTasks[[#Headers],[ID]]))))</f>
        <v/>
      </c>
      <c r="C90" s="23" t="str">
        <f aca="false">IF(IFERROR(INDEX(tsk_Name,(ROW()-ROW(MSPTasks[[#Headers],[ID]])))="",TRUE()),"",INDEX(tsk_Name,(ROW()-ROW(MSPTasks[[#Headers],[ID]]))))</f>
        <v/>
      </c>
      <c r="D90" s="23" t="str">
        <f aca="false">IF(IFERROR(INDEX(tsk_Name,(ROW()-ROW(MSPTasks[[#Headers],[ID]])))="",TRUE()),"",INDEX(tsk_Level,(ROW()-ROW(MSPTasks[[#Headers],[ID]]))))</f>
        <v/>
      </c>
      <c r="E90" s="23" t="str">
        <f aca="false">IF(IFERROR(INDEX(tsk_Name,(ROW()-ROW(MSPTasks[[#Headers],[ID]])))="",TRUE()),"",IF(INDEX(tsk_Mode,(ROW()-ROW(MSPTasks[[#Headers],[ID]])))="Manual","Manually Scheduled","Auto Scheduled"))</f>
        <v/>
      </c>
      <c r="F9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0" s="80" t="str">
        <f aca="false">IF(IFERROR(INDEX(tsk_Name,(ROW()-ROW(MSPTasks[[#Headers],[ID]])))="",TRUE()),"",INDEX(tsk_FcStart,(ROW()-ROW(MSPTasks[[#Headers],[ID]]))))</f>
        <v/>
      </c>
      <c r="H90" s="80" t="str">
        <f aca="false">IF(IFERROR(INDEX(tsk_Name,(ROW()-ROW(MSPTasks[[#Headers],[ID]])))="",TRUE()),"",INDEX(tsk_FcFinish,(ROW()-ROW(MSPTasks[[#Headers],[ID]]))))</f>
        <v/>
      </c>
      <c r="I9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0" s="80" t="str">
        <f aca="false">IF(IFERROR(INDEX(tsk_Name,(ROW()-ROW(MSPTasks[[#Headers],[ID]])))="",TRUE()),"",INDEX(tsk_PlanStart,(ROW()-ROW(MSPTasks[[#Headers],[ID]]))))</f>
        <v/>
      </c>
      <c r="P90" s="80" t="str">
        <f aca="false">IF(IFERROR(INDEX(tsk_Name,(ROW()-ROW(MSPTasks[[#Headers],[ID]])))="",TRUE()),"",INDEX(tsk_PlanFinish,(ROW()-ROW(MSPTasks[[#Headers],[ID]]))))</f>
        <v/>
      </c>
      <c r="Q9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0" s="23" t="str">
        <f aca="false">IF(IFERROR(INDEX(tsk_Name,(ROW()-ROW(MSPTasks[[#Headers],[ID]])))="",TRUE()),"",INDEX(tsk_Notes,(ROW()-ROW(MSPTasks[[#Headers],[ID]])))&amp;"")</f>
        <v/>
      </c>
    </row>
    <row r="91" customFormat="false" ht="15" hidden="false" customHeight="false" outlineLevel="0" collapsed="false">
      <c r="A91" s="23" t="str">
        <f aca="false">IF(IFERROR(INDEX(tsk_Name,(ROW()-ROW(MSPTasks[[#Headers],[ID]])))="",TRUE()),"",INDEX(tsk_ID,(ROW()-ROW(MSPTasks[[#Headers],[ID]]))))</f>
        <v/>
      </c>
      <c r="B91" s="23" t="str">
        <f aca="false">IF(IFERROR(INDEX(tsk_Name,(ROW()-ROW(MSPTasks[[#Headers],[ID]])))="",TRUE()),"",INDEX(tsk_UID,(ROW()-ROW(MSPTasks[[#Headers],[ID]]))))</f>
        <v/>
      </c>
      <c r="C91" s="23" t="str">
        <f aca="false">IF(IFERROR(INDEX(tsk_Name,(ROW()-ROW(MSPTasks[[#Headers],[ID]])))="",TRUE()),"",INDEX(tsk_Name,(ROW()-ROW(MSPTasks[[#Headers],[ID]]))))</f>
        <v/>
      </c>
      <c r="D91" s="23" t="str">
        <f aca="false">IF(IFERROR(INDEX(tsk_Name,(ROW()-ROW(MSPTasks[[#Headers],[ID]])))="",TRUE()),"",INDEX(tsk_Level,(ROW()-ROW(MSPTasks[[#Headers],[ID]]))))</f>
        <v/>
      </c>
      <c r="E91" s="23" t="str">
        <f aca="false">IF(IFERROR(INDEX(tsk_Name,(ROW()-ROW(MSPTasks[[#Headers],[ID]])))="",TRUE()),"",IF(INDEX(tsk_Mode,(ROW()-ROW(MSPTasks[[#Headers],[ID]])))="Manual","Manually Scheduled","Auto Scheduled"))</f>
        <v/>
      </c>
      <c r="F9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1" s="80" t="str">
        <f aca="false">IF(IFERROR(INDEX(tsk_Name,(ROW()-ROW(MSPTasks[[#Headers],[ID]])))="",TRUE()),"",INDEX(tsk_FcStart,(ROW()-ROW(MSPTasks[[#Headers],[ID]]))))</f>
        <v/>
      </c>
      <c r="H91" s="80" t="str">
        <f aca="false">IF(IFERROR(INDEX(tsk_Name,(ROW()-ROW(MSPTasks[[#Headers],[ID]])))="",TRUE()),"",INDEX(tsk_FcFinish,(ROW()-ROW(MSPTasks[[#Headers],[ID]]))))</f>
        <v/>
      </c>
      <c r="I9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1" s="80" t="str">
        <f aca="false">IF(IFERROR(INDEX(tsk_Name,(ROW()-ROW(MSPTasks[[#Headers],[ID]])))="",TRUE()),"",INDEX(tsk_PlanStart,(ROW()-ROW(MSPTasks[[#Headers],[ID]]))))</f>
        <v/>
      </c>
      <c r="P91" s="80" t="str">
        <f aca="false">IF(IFERROR(INDEX(tsk_Name,(ROW()-ROW(MSPTasks[[#Headers],[ID]])))="",TRUE()),"",INDEX(tsk_PlanFinish,(ROW()-ROW(MSPTasks[[#Headers],[ID]]))))</f>
        <v/>
      </c>
      <c r="Q9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1" s="23" t="str">
        <f aca="false">IF(IFERROR(INDEX(tsk_Name,(ROW()-ROW(MSPTasks[[#Headers],[ID]])))="",TRUE()),"",INDEX(tsk_Notes,(ROW()-ROW(MSPTasks[[#Headers],[ID]])))&amp;"")</f>
        <v/>
      </c>
    </row>
    <row r="92" customFormat="false" ht="15" hidden="false" customHeight="false" outlineLevel="0" collapsed="false">
      <c r="A92" s="23" t="str">
        <f aca="false">IF(IFERROR(INDEX(tsk_Name,(ROW()-ROW(MSPTasks[[#Headers],[ID]])))="",TRUE()),"",INDEX(tsk_ID,(ROW()-ROW(MSPTasks[[#Headers],[ID]]))))</f>
        <v/>
      </c>
      <c r="B92" s="23" t="str">
        <f aca="false">IF(IFERROR(INDEX(tsk_Name,(ROW()-ROW(MSPTasks[[#Headers],[ID]])))="",TRUE()),"",INDEX(tsk_UID,(ROW()-ROW(MSPTasks[[#Headers],[ID]]))))</f>
        <v/>
      </c>
      <c r="C92" s="23" t="str">
        <f aca="false">IF(IFERROR(INDEX(tsk_Name,(ROW()-ROW(MSPTasks[[#Headers],[ID]])))="",TRUE()),"",INDEX(tsk_Name,(ROW()-ROW(MSPTasks[[#Headers],[ID]]))))</f>
        <v/>
      </c>
      <c r="D92" s="23" t="str">
        <f aca="false">IF(IFERROR(INDEX(tsk_Name,(ROW()-ROW(MSPTasks[[#Headers],[ID]])))="",TRUE()),"",INDEX(tsk_Level,(ROW()-ROW(MSPTasks[[#Headers],[ID]]))))</f>
        <v/>
      </c>
      <c r="E92" s="23" t="str">
        <f aca="false">IF(IFERROR(INDEX(tsk_Name,(ROW()-ROW(MSPTasks[[#Headers],[ID]])))="",TRUE()),"",IF(INDEX(tsk_Mode,(ROW()-ROW(MSPTasks[[#Headers],[ID]])))="Manual","Manually Scheduled","Auto Scheduled"))</f>
        <v/>
      </c>
      <c r="F9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2" s="80" t="str">
        <f aca="false">IF(IFERROR(INDEX(tsk_Name,(ROW()-ROW(MSPTasks[[#Headers],[ID]])))="",TRUE()),"",INDEX(tsk_FcStart,(ROW()-ROW(MSPTasks[[#Headers],[ID]]))))</f>
        <v/>
      </c>
      <c r="H92" s="80" t="str">
        <f aca="false">IF(IFERROR(INDEX(tsk_Name,(ROW()-ROW(MSPTasks[[#Headers],[ID]])))="",TRUE()),"",INDEX(tsk_FcFinish,(ROW()-ROW(MSPTasks[[#Headers],[ID]]))))</f>
        <v/>
      </c>
      <c r="I9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2" s="80" t="str">
        <f aca="false">IF(IFERROR(INDEX(tsk_Name,(ROW()-ROW(MSPTasks[[#Headers],[ID]])))="",TRUE()),"",INDEX(tsk_PlanStart,(ROW()-ROW(MSPTasks[[#Headers],[ID]]))))</f>
        <v/>
      </c>
      <c r="P92" s="80" t="str">
        <f aca="false">IF(IFERROR(INDEX(tsk_Name,(ROW()-ROW(MSPTasks[[#Headers],[ID]])))="",TRUE()),"",INDEX(tsk_PlanFinish,(ROW()-ROW(MSPTasks[[#Headers],[ID]]))))</f>
        <v/>
      </c>
      <c r="Q9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2" s="23" t="str">
        <f aca="false">IF(IFERROR(INDEX(tsk_Name,(ROW()-ROW(MSPTasks[[#Headers],[ID]])))="",TRUE()),"",INDEX(tsk_Notes,(ROW()-ROW(MSPTasks[[#Headers],[ID]])))&amp;"")</f>
        <v/>
      </c>
    </row>
    <row r="93" customFormat="false" ht="15" hidden="false" customHeight="false" outlineLevel="0" collapsed="false">
      <c r="A93" s="23" t="str">
        <f aca="false">IF(IFERROR(INDEX(tsk_Name,(ROW()-ROW(MSPTasks[[#Headers],[ID]])))="",TRUE()),"",INDEX(tsk_ID,(ROW()-ROW(MSPTasks[[#Headers],[ID]]))))</f>
        <v/>
      </c>
      <c r="B93" s="23" t="str">
        <f aca="false">IF(IFERROR(INDEX(tsk_Name,(ROW()-ROW(MSPTasks[[#Headers],[ID]])))="",TRUE()),"",INDEX(tsk_UID,(ROW()-ROW(MSPTasks[[#Headers],[ID]]))))</f>
        <v/>
      </c>
      <c r="C93" s="23" t="str">
        <f aca="false">IF(IFERROR(INDEX(tsk_Name,(ROW()-ROW(MSPTasks[[#Headers],[ID]])))="",TRUE()),"",INDEX(tsk_Name,(ROW()-ROW(MSPTasks[[#Headers],[ID]]))))</f>
        <v/>
      </c>
      <c r="D93" s="23" t="str">
        <f aca="false">IF(IFERROR(INDEX(tsk_Name,(ROW()-ROW(MSPTasks[[#Headers],[ID]])))="",TRUE()),"",INDEX(tsk_Level,(ROW()-ROW(MSPTasks[[#Headers],[ID]]))))</f>
        <v/>
      </c>
      <c r="E93" s="23" t="str">
        <f aca="false">IF(IFERROR(INDEX(tsk_Name,(ROW()-ROW(MSPTasks[[#Headers],[ID]])))="",TRUE()),"",IF(INDEX(tsk_Mode,(ROW()-ROW(MSPTasks[[#Headers],[ID]])))="Manual","Manually Scheduled","Auto Scheduled"))</f>
        <v/>
      </c>
      <c r="F9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3" s="80" t="str">
        <f aca="false">IF(IFERROR(INDEX(tsk_Name,(ROW()-ROW(MSPTasks[[#Headers],[ID]])))="",TRUE()),"",INDEX(tsk_FcStart,(ROW()-ROW(MSPTasks[[#Headers],[ID]]))))</f>
        <v/>
      </c>
      <c r="H93" s="80" t="str">
        <f aca="false">IF(IFERROR(INDEX(tsk_Name,(ROW()-ROW(MSPTasks[[#Headers],[ID]])))="",TRUE()),"",INDEX(tsk_FcFinish,(ROW()-ROW(MSPTasks[[#Headers],[ID]]))))</f>
        <v/>
      </c>
      <c r="I9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3" s="80" t="str">
        <f aca="false">IF(IFERROR(INDEX(tsk_Name,(ROW()-ROW(MSPTasks[[#Headers],[ID]])))="",TRUE()),"",INDEX(tsk_PlanStart,(ROW()-ROW(MSPTasks[[#Headers],[ID]]))))</f>
        <v/>
      </c>
      <c r="P93" s="80" t="str">
        <f aca="false">IF(IFERROR(INDEX(tsk_Name,(ROW()-ROW(MSPTasks[[#Headers],[ID]])))="",TRUE()),"",INDEX(tsk_PlanFinish,(ROW()-ROW(MSPTasks[[#Headers],[ID]]))))</f>
        <v/>
      </c>
      <c r="Q9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3" s="23" t="str">
        <f aca="false">IF(IFERROR(INDEX(tsk_Name,(ROW()-ROW(MSPTasks[[#Headers],[ID]])))="",TRUE()),"",INDEX(tsk_Notes,(ROW()-ROW(MSPTasks[[#Headers],[ID]])))&amp;"")</f>
        <v/>
      </c>
    </row>
    <row r="94" customFormat="false" ht="15" hidden="false" customHeight="false" outlineLevel="0" collapsed="false">
      <c r="A94" s="23" t="str">
        <f aca="false">IF(IFERROR(INDEX(tsk_Name,(ROW()-ROW(MSPTasks[[#Headers],[ID]])))="",TRUE()),"",INDEX(tsk_ID,(ROW()-ROW(MSPTasks[[#Headers],[ID]]))))</f>
        <v/>
      </c>
      <c r="B94" s="23" t="str">
        <f aca="false">IF(IFERROR(INDEX(tsk_Name,(ROW()-ROW(MSPTasks[[#Headers],[ID]])))="",TRUE()),"",INDEX(tsk_UID,(ROW()-ROW(MSPTasks[[#Headers],[ID]]))))</f>
        <v/>
      </c>
      <c r="C94" s="23" t="str">
        <f aca="false">IF(IFERROR(INDEX(tsk_Name,(ROW()-ROW(MSPTasks[[#Headers],[ID]])))="",TRUE()),"",INDEX(tsk_Name,(ROW()-ROW(MSPTasks[[#Headers],[ID]]))))</f>
        <v/>
      </c>
      <c r="D94" s="23" t="str">
        <f aca="false">IF(IFERROR(INDEX(tsk_Name,(ROW()-ROW(MSPTasks[[#Headers],[ID]])))="",TRUE()),"",INDEX(tsk_Level,(ROW()-ROW(MSPTasks[[#Headers],[ID]]))))</f>
        <v/>
      </c>
      <c r="E94" s="23" t="str">
        <f aca="false">IF(IFERROR(INDEX(tsk_Name,(ROW()-ROW(MSPTasks[[#Headers],[ID]])))="",TRUE()),"",IF(INDEX(tsk_Mode,(ROW()-ROW(MSPTasks[[#Headers],[ID]])))="Manual","Manually Scheduled","Auto Scheduled"))</f>
        <v/>
      </c>
      <c r="F9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4" s="80" t="str">
        <f aca="false">IF(IFERROR(INDEX(tsk_Name,(ROW()-ROW(MSPTasks[[#Headers],[ID]])))="",TRUE()),"",INDEX(tsk_FcStart,(ROW()-ROW(MSPTasks[[#Headers],[ID]]))))</f>
        <v/>
      </c>
      <c r="H94" s="80" t="str">
        <f aca="false">IF(IFERROR(INDEX(tsk_Name,(ROW()-ROW(MSPTasks[[#Headers],[ID]])))="",TRUE()),"",INDEX(tsk_FcFinish,(ROW()-ROW(MSPTasks[[#Headers],[ID]]))))</f>
        <v/>
      </c>
      <c r="I9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4" s="80" t="str">
        <f aca="false">IF(IFERROR(INDEX(tsk_Name,(ROW()-ROW(MSPTasks[[#Headers],[ID]])))="",TRUE()),"",INDEX(tsk_PlanStart,(ROW()-ROW(MSPTasks[[#Headers],[ID]]))))</f>
        <v/>
      </c>
      <c r="P94" s="80" t="str">
        <f aca="false">IF(IFERROR(INDEX(tsk_Name,(ROW()-ROW(MSPTasks[[#Headers],[ID]])))="",TRUE()),"",INDEX(tsk_PlanFinish,(ROW()-ROW(MSPTasks[[#Headers],[ID]]))))</f>
        <v/>
      </c>
      <c r="Q9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4" s="23" t="str">
        <f aca="false">IF(IFERROR(INDEX(tsk_Name,(ROW()-ROW(MSPTasks[[#Headers],[ID]])))="",TRUE()),"",INDEX(tsk_Notes,(ROW()-ROW(MSPTasks[[#Headers],[ID]])))&amp;"")</f>
        <v/>
      </c>
    </row>
    <row r="95" customFormat="false" ht="15" hidden="false" customHeight="false" outlineLevel="0" collapsed="false">
      <c r="A95" s="23" t="str">
        <f aca="false">IF(IFERROR(INDEX(tsk_Name,(ROW()-ROW(MSPTasks[[#Headers],[ID]])))="",TRUE()),"",INDEX(tsk_ID,(ROW()-ROW(MSPTasks[[#Headers],[ID]]))))</f>
        <v/>
      </c>
      <c r="B95" s="23" t="str">
        <f aca="false">IF(IFERROR(INDEX(tsk_Name,(ROW()-ROW(MSPTasks[[#Headers],[ID]])))="",TRUE()),"",INDEX(tsk_UID,(ROW()-ROW(MSPTasks[[#Headers],[ID]]))))</f>
        <v/>
      </c>
      <c r="C95" s="23" t="str">
        <f aca="false">IF(IFERROR(INDEX(tsk_Name,(ROW()-ROW(MSPTasks[[#Headers],[ID]])))="",TRUE()),"",INDEX(tsk_Name,(ROW()-ROW(MSPTasks[[#Headers],[ID]]))))</f>
        <v/>
      </c>
      <c r="D95" s="23" t="str">
        <f aca="false">IF(IFERROR(INDEX(tsk_Name,(ROW()-ROW(MSPTasks[[#Headers],[ID]])))="",TRUE()),"",INDEX(tsk_Level,(ROW()-ROW(MSPTasks[[#Headers],[ID]]))))</f>
        <v/>
      </c>
      <c r="E95" s="23" t="str">
        <f aca="false">IF(IFERROR(INDEX(tsk_Name,(ROW()-ROW(MSPTasks[[#Headers],[ID]])))="",TRUE()),"",IF(INDEX(tsk_Mode,(ROW()-ROW(MSPTasks[[#Headers],[ID]])))="Manual","Manually Scheduled","Auto Scheduled"))</f>
        <v/>
      </c>
      <c r="F9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5" s="80" t="str">
        <f aca="false">IF(IFERROR(INDEX(tsk_Name,(ROW()-ROW(MSPTasks[[#Headers],[ID]])))="",TRUE()),"",INDEX(tsk_FcStart,(ROW()-ROW(MSPTasks[[#Headers],[ID]]))))</f>
        <v/>
      </c>
      <c r="H95" s="80" t="str">
        <f aca="false">IF(IFERROR(INDEX(tsk_Name,(ROW()-ROW(MSPTasks[[#Headers],[ID]])))="",TRUE()),"",INDEX(tsk_FcFinish,(ROW()-ROW(MSPTasks[[#Headers],[ID]]))))</f>
        <v/>
      </c>
      <c r="I9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5" s="80" t="str">
        <f aca="false">IF(IFERROR(INDEX(tsk_Name,(ROW()-ROW(MSPTasks[[#Headers],[ID]])))="",TRUE()),"",INDEX(tsk_PlanStart,(ROW()-ROW(MSPTasks[[#Headers],[ID]]))))</f>
        <v/>
      </c>
      <c r="P95" s="80" t="str">
        <f aca="false">IF(IFERROR(INDEX(tsk_Name,(ROW()-ROW(MSPTasks[[#Headers],[ID]])))="",TRUE()),"",INDEX(tsk_PlanFinish,(ROW()-ROW(MSPTasks[[#Headers],[ID]]))))</f>
        <v/>
      </c>
      <c r="Q9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5" s="23" t="str">
        <f aca="false">IF(IFERROR(INDEX(tsk_Name,(ROW()-ROW(MSPTasks[[#Headers],[ID]])))="",TRUE()),"",INDEX(tsk_Notes,(ROW()-ROW(MSPTasks[[#Headers],[ID]])))&amp;"")</f>
        <v/>
      </c>
    </row>
    <row r="96" customFormat="false" ht="15" hidden="false" customHeight="false" outlineLevel="0" collapsed="false">
      <c r="A96" s="23" t="str">
        <f aca="false">IF(IFERROR(INDEX(tsk_Name,(ROW()-ROW(MSPTasks[[#Headers],[ID]])))="",TRUE()),"",INDEX(tsk_ID,(ROW()-ROW(MSPTasks[[#Headers],[ID]]))))</f>
        <v/>
      </c>
      <c r="B96" s="23" t="str">
        <f aca="false">IF(IFERROR(INDEX(tsk_Name,(ROW()-ROW(MSPTasks[[#Headers],[ID]])))="",TRUE()),"",INDEX(tsk_UID,(ROW()-ROW(MSPTasks[[#Headers],[ID]]))))</f>
        <v/>
      </c>
      <c r="C96" s="23" t="str">
        <f aca="false">IF(IFERROR(INDEX(tsk_Name,(ROW()-ROW(MSPTasks[[#Headers],[ID]])))="",TRUE()),"",INDEX(tsk_Name,(ROW()-ROW(MSPTasks[[#Headers],[ID]]))))</f>
        <v/>
      </c>
      <c r="D96" s="23" t="str">
        <f aca="false">IF(IFERROR(INDEX(tsk_Name,(ROW()-ROW(MSPTasks[[#Headers],[ID]])))="",TRUE()),"",INDEX(tsk_Level,(ROW()-ROW(MSPTasks[[#Headers],[ID]]))))</f>
        <v/>
      </c>
      <c r="E96" s="23" t="str">
        <f aca="false">IF(IFERROR(INDEX(tsk_Name,(ROW()-ROW(MSPTasks[[#Headers],[ID]])))="",TRUE()),"",IF(INDEX(tsk_Mode,(ROW()-ROW(MSPTasks[[#Headers],[ID]])))="Manual","Manually Scheduled","Auto Scheduled"))</f>
        <v/>
      </c>
      <c r="F9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6" s="80" t="str">
        <f aca="false">IF(IFERROR(INDEX(tsk_Name,(ROW()-ROW(MSPTasks[[#Headers],[ID]])))="",TRUE()),"",INDEX(tsk_FcStart,(ROW()-ROW(MSPTasks[[#Headers],[ID]]))))</f>
        <v/>
      </c>
      <c r="H96" s="80" t="str">
        <f aca="false">IF(IFERROR(INDEX(tsk_Name,(ROW()-ROW(MSPTasks[[#Headers],[ID]])))="",TRUE()),"",INDEX(tsk_FcFinish,(ROW()-ROW(MSPTasks[[#Headers],[ID]]))))</f>
        <v/>
      </c>
      <c r="I9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6" s="80" t="str">
        <f aca="false">IF(IFERROR(INDEX(tsk_Name,(ROW()-ROW(MSPTasks[[#Headers],[ID]])))="",TRUE()),"",INDEX(tsk_PlanStart,(ROW()-ROW(MSPTasks[[#Headers],[ID]]))))</f>
        <v/>
      </c>
      <c r="P96" s="80" t="str">
        <f aca="false">IF(IFERROR(INDEX(tsk_Name,(ROW()-ROW(MSPTasks[[#Headers],[ID]])))="",TRUE()),"",INDEX(tsk_PlanFinish,(ROW()-ROW(MSPTasks[[#Headers],[ID]]))))</f>
        <v/>
      </c>
      <c r="Q9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6" s="23" t="str">
        <f aca="false">IF(IFERROR(INDEX(tsk_Name,(ROW()-ROW(MSPTasks[[#Headers],[ID]])))="",TRUE()),"",INDEX(tsk_Notes,(ROW()-ROW(MSPTasks[[#Headers],[ID]])))&amp;"")</f>
        <v/>
      </c>
    </row>
    <row r="97" customFormat="false" ht="15" hidden="false" customHeight="false" outlineLevel="0" collapsed="false">
      <c r="A97" s="23" t="str">
        <f aca="false">IF(IFERROR(INDEX(tsk_Name,(ROW()-ROW(MSPTasks[[#Headers],[ID]])))="",TRUE()),"",INDEX(tsk_ID,(ROW()-ROW(MSPTasks[[#Headers],[ID]]))))</f>
        <v/>
      </c>
      <c r="B97" s="23" t="str">
        <f aca="false">IF(IFERROR(INDEX(tsk_Name,(ROW()-ROW(MSPTasks[[#Headers],[ID]])))="",TRUE()),"",INDEX(tsk_UID,(ROW()-ROW(MSPTasks[[#Headers],[ID]]))))</f>
        <v/>
      </c>
      <c r="C97" s="23" t="str">
        <f aca="false">IF(IFERROR(INDEX(tsk_Name,(ROW()-ROW(MSPTasks[[#Headers],[ID]])))="",TRUE()),"",INDEX(tsk_Name,(ROW()-ROW(MSPTasks[[#Headers],[ID]]))))</f>
        <v/>
      </c>
      <c r="D97" s="23" t="str">
        <f aca="false">IF(IFERROR(INDEX(tsk_Name,(ROW()-ROW(MSPTasks[[#Headers],[ID]])))="",TRUE()),"",INDEX(tsk_Level,(ROW()-ROW(MSPTasks[[#Headers],[ID]]))))</f>
        <v/>
      </c>
      <c r="E97" s="23" t="str">
        <f aca="false">IF(IFERROR(INDEX(tsk_Name,(ROW()-ROW(MSPTasks[[#Headers],[ID]])))="",TRUE()),"",IF(INDEX(tsk_Mode,(ROW()-ROW(MSPTasks[[#Headers],[ID]])))="Manual","Manually Scheduled","Auto Scheduled"))</f>
        <v/>
      </c>
      <c r="F9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7" s="80" t="str">
        <f aca="false">IF(IFERROR(INDEX(tsk_Name,(ROW()-ROW(MSPTasks[[#Headers],[ID]])))="",TRUE()),"",INDEX(tsk_FcStart,(ROW()-ROW(MSPTasks[[#Headers],[ID]]))))</f>
        <v/>
      </c>
      <c r="H97" s="80" t="str">
        <f aca="false">IF(IFERROR(INDEX(tsk_Name,(ROW()-ROW(MSPTasks[[#Headers],[ID]])))="",TRUE()),"",INDEX(tsk_FcFinish,(ROW()-ROW(MSPTasks[[#Headers],[ID]]))))</f>
        <v/>
      </c>
      <c r="I9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7" s="80" t="str">
        <f aca="false">IF(IFERROR(INDEX(tsk_Name,(ROW()-ROW(MSPTasks[[#Headers],[ID]])))="",TRUE()),"",INDEX(tsk_PlanStart,(ROW()-ROW(MSPTasks[[#Headers],[ID]]))))</f>
        <v/>
      </c>
      <c r="P97" s="80" t="str">
        <f aca="false">IF(IFERROR(INDEX(tsk_Name,(ROW()-ROW(MSPTasks[[#Headers],[ID]])))="",TRUE()),"",INDEX(tsk_PlanFinish,(ROW()-ROW(MSPTasks[[#Headers],[ID]]))))</f>
        <v/>
      </c>
      <c r="Q9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7" s="23" t="str">
        <f aca="false">IF(IFERROR(INDEX(tsk_Name,(ROW()-ROW(MSPTasks[[#Headers],[ID]])))="",TRUE()),"",INDEX(tsk_Notes,(ROW()-ROW(MSPTasks[[#Headers],[ID]])))&amp;"")</f>
        <v/>
      </c>
    </row>
    <row r="98" customFormat="false" ht="15" hidden="false" customHeight="false" outlineLevel="0" collapsed="false">
      <c r="A98" s="23" t="str">
        <f aca="false">IF(IFERROR(INDEX(tsk_Name,(ROW()-ROW(MSPTasks[[#Headers],[ID]])))="",TRUE()),"",INDEX(tsk_ID,(ROW()-ROW(MSPTasks[[#Headers],[ID]]))))</f>
        <v/>
      </c>
      <c r="B98" s="23" t="str">
        <f aca="false">IF(IFERROR(INDEX(tsk_Name,(ROW()-ROW(MSPTasks[[#Headers],[ID]])))="",TRUE()),"",INDEX(tsk_UID,(ROW()-ROW(MSPTasks[[#Headers],[ID]]))))</f>
        <v/>
      </c>
      <c r="C98" s="23" t="str">
        <f aca="false">IF(IFERROR(INDEX(tsk_Name,(ROW()-ROW(MSPTasks[[#Headers],[ID]])))="",TRUE()),"",INDEX(tsk_Name,(ROW()-ROW(MSPTasks[[#Headers],[ID]]))))</f>
        <v/>
      </c>
      <c r="D98" s="23" t="str">
        <f aca="false">IF(IFERROR(INDEX(tsk_Name,(ROW()-ROW(MSPTasks[[#Headers],[ID]])))="",TRUE()),"",INDEX(tsk_Level,(ROW()-ROW(MSPTasks[[#Headers],[ID]]))))</f>
        <v/>
      </c>
      <c r="E98" s="23" t="str">
        <f aca="false">IF(IFERROR(INDEX(tsk_Name,(ROW()-ROW(MSPTasks[[#Headers],[ID]])))="",TRUE()),"",IF(INDEX(tsk_Mode,(ROW()-ROW(MSPTasks[[#Headers],[ID]])))="Manual","Manually Scheduled","Auto Scheduled"))</f>
        <v/>
      </c>
      <c r="F9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8" s="80" t="str">
        <f aca="false">IF(IFERROR(INDEX(tsk_Name,(ROW()-ROW(MSPTasks[[#Headers],[ID]])))="",TRUE()),"",INDEX(tsk_FcStart,(ROW()-ROW(MSPTasks[[#Headers],[ID]]))))</f>
        <v/>
      </c>
      <c r="H98" s="80" t="str">
        <f aca="false">IF(IFERROR(INDEX(tsk_Name,(ROW()-ROW(MSPTasks[[#Headers],[ID]])))="",TRUE()),"",INDEX(tsk_FcFinish,(ROW()-ROW(MSPTasks[[#Headers],[ID]]))))</f>
        <v/>
      </c>
      <c r="I9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8" s="80" t="str">
        <f aca="false">IF(IFERROR(INDEX(tsk_Name,(ROW()-ROW(MSPTasks[[#Headers],[ID]])))="",TRUE()),"",INDEX(tsk_PlanStart,(ROW()-ROW(MSPTasks[[#Headers],[ID]]))))</f>
        <v/>
      </c>
      <c r="P98" s="80" t="str">
        <f aca="false">IF(IFERROR(INDEX(tsk_Name,(ROW()-ROW(MSPTasks[[#Headers],[ID]])))="",TRUE()),"",INDEX(tsk_PlanFinish,(ROW()-ROW(MSPTasks[[#Headers],[ID]]))))</f>
        <v/>
      </c>
      <c r="Q9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8" s="23" t="str">
        <f aca="false">IF(IFERROR(INDEX(tsk_Name,(ROW()-ROW(MSPTasks[[#Headers],[ID]])))="",TRUE()),"",INDEX(tsk_Notes,(ROW()-ROW(MSPTasks[[#Headers],[ID]])))&amp;"")</f>
        <v/>
      </c>
    </row>
    <row r="99" customFormat="false" ht="15" hidden="false" customHeight="false" outlineLevel="0" collapsed="false">
      <c r="A99" s="23" t="str">
        <f aca="false">IF(IFERROR(INDEX(tsk_Name,(ROW()-ROW(MSPTasks[[#Headers],[ID]])))="",TRUE()),"",INDEX(tsk_ID,(ROW()-ROW(MSPTasks[[#Headers],[ID]]))))</f>
        <v/>
      </c>
      <c r="B99" s="23" t="str">
        <f aca="false">IF(IFERROR(INDEX(tsk_Name,(ROW()-ROW(MSPTasks[[#Headers],[ID]])))="",TRUE()),"",INDEX(tsk_UID,(ROW()-ROW(MSPTasks[[#Headers],[ID]]))))</f>
        <v/>
      </c>
      <c r="C99" s="23" t="str">
        <f aca="false">IF(IFERROR(INDEX(tsk_Name,(ROW()-ROW(MSPTasks[[#Headers],[ID]])))="",TRUE()),"",INDEX(tsk_Name,(ROW()-ROW(MSPTasks[[#Headers],[ID]]))))</f>
        <v/>
      </c>
      <c r="D99" s="23" t="str">
        <f aca="false">IF(IFERROR(INDEX(tsk_Name,(ROW()-ROW(MSPTasks[[#Headers],[ID]])))="",TRUE()),"",INDEX(tsk_Level,(ROW()-ROW(MSPTasks[[#Headers],[ID]]))))</f>
        <v/>
      </c>
      <c r="E99" s="23" t="str">
        <f aca="false">IF(IFERROR(INDEX(tsk_Name,(ROW()-ROW(MSPTasks[[#Headers],[ID]])))="",TRUE()),"",IF(INDEX(tsk_Mode,(ROW()-ROW(MSPTasks[[#Headers],[ID]])))="Manual","Manually Scheduled","Auto Scheduled"))</f>
        <v/>
      </c>
      <c r="F9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9" s="80" t="str">
        <f aca="false">IF(IFERROR(INDEX(tsk_Name,(ROW()-ROW(MSPTasks[[#Headers],[ID]])))="",TRUE()),"",INDEX(tsk_FcStart,(ROW()-ROW(MSPTasks[[#Headers],[ID]]))))</f>
        <v/>
      </c>
      <c r="H99" s="80" t="str">
        <f aca="false">IF(IFERROR(INDEX(tsk_Name,(ROW()-ROW(MSPTasks[[#Headers],[ID]])))="",TRUE()),"",INDEX(tsk_FcFinish,(ROW()-ROW(MSPTasks[[#Headers],[ID]]))))</f>
        <v/>
      </c>
      <c r="I9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9" s="80" t="str">
        <f aca="false">IF(IFERROR(INDEX(tsk_Name,(ROW()-ROW(MSPTasks[[#Headers],[ID]])))="",TRUE()),"",INDEX(tsk_PlanStart,(ROW()-ROW(MSPTasks[[#Headers],[ID]]))))</f>
        <v/>
      </c>
      <c r="P99" s="80" t="str">
        <f aca="false">IF(IFERROR(INDEX(tsk_Name,(ROW()-ROW(MSPTasks[[#Headers],[ID]])))="",TRUE()),"",INDEX(tsk_PlanFinish,(ROW()-ROW(MSPTasks[[#Headers],[ID]]))))</f>
        <v/>
      </c>
      <c r="Q9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9" s="23" t="str">
        <f aca="false">IF(IFERROR(INDEX(tsk_Name,(ROW()-ROW(MSPTasks[[#Headers],[ID]])))="",TRUE()),"",INDEX(tsk_Notes,(ROW()-ROW(MSPTasks[[#Headers],[ID]])))&amp;"")</f>
        <v/>
      </c>
    </row>
    <row r="100" customFormat="false" ht="15" hidden="false" customHeight="false" outlineLevel="0" collapsed="false">
      <c r="A100" s="23" t="str">
        <f aca="false">IF(IFERROR(INDEX(tsk_Name,(ROW()-ROW(MSPTasks[[#Headers],[ID]])))="",TRUE()),"",INDEX(tsk_ID,(ROW()-ROW(MSPTasks[[#Headers],[ID]]))))</f>
        <v/>
      </c>
      <c r="B100" s="23" t="str">
        <f aca="false">IF(IFERROR(INDEX(tsk_Name,(ROW()-ROW(MSPTasks[[#Headers],[ID]])))="",TRUE()),"",INDEX(tsk_UID,(ROW()-ROW(MSPTasks[[#Headers],[ID]]))))</f>
        <v/>
      </c>
      <c r="C100" s="23" t="str">
        <f aca="false">IF(IFERROR(INDEX(tsk_Name,(ROW()-ROW(MSPTasks[[#Headers],[ID]])))="",TRUE()),"",INDEX(tsk_Name,(ROW()-ROW(MSPTasks[[#Headers],[ID]]))))</f>
        <v/>
      </c>
      <c r="D100" s="23" t="str">
        <f aca="false">IF(IFERROR(INDEX(tsk_Name,(ROW()-ROW(MSPTasks[[#Headers],[ID]])))="",TRUE()),"",INDEX(tsk_Level,(ROW()-ROW(MSPTasks[[#Headers],[ID]]))))</f>
        <v/>
      </c>
      <c r="E100" s="23" t="str">
        <f aca="false">IF(IFERROR(INDEX(tsk_Name,(ROW()-ROW(MSPTasks[[#Headers],[ID]])))="",TRUE()),"",IF(INDEX(tsk_Mode,(ROW()-ROW(MSPTasks[[#Headers],[ID]])))="Manual","Manually Scheduled","Auto Scheduled"))</f>
        <v/>
      </c>
      <c r="F10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0" s="80" t="str">
        <f aca="false">IF(IFERROR(INDEX(tsk_Name,(ROW()-ROW(MSPTasks[[#Headers],[ID]])))="",TRUE()),"",INDEX(tsk_FcStart,(ROW()-ROW(MSPTasks[[#Headers],[ID]]))))</f>
        <v/>
      </c>
      <c r="H100" s="80" t="str">
        <f aca="false">IF(IFERROR(INDEX(tsk_Name,(ROW()-ROW(MSPTasks[[#Headers],[ID]])))="",TRUE()),"",INDEX(tsk_FcFinish,(ROW()-ROW(MSPTasks[[#Headers],[ID]]))))</f>
        <v/>
      </c>
      <c r="I10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0" s="80" t="str">
        <f aca="false">IF(IFERROR(INDEX(tsk_Name,(ROW()-ROW(MSPTasks[[#Headers],[ID]])))="",TRUE()),"",INDEX(tsk_PlanStart,(ROW()-ROW(MSPTasks[[#Headers],[ID]]))))</f>
        <v/>
      </c>
      <c r="P100" s="80" t="str">
        <f aca="false">IF(IFERROR(INDEX(tsk_Name,(ROW()-ROW(MSPTasks[[#Headers],[ID]])))="",TRUE()),"",INDEX(tsk_PlanFinish,(ROW()-ROW(MSPTasks[[#Headers],[ID]]))))</f>
        <v/>
      </c>
      <c r="Q10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0" s="23" t="str">
        <f aca="false">IF(IFERROR(INDEX(tsk_Name,(ROW()-ROW(MSPTasks[[#Headers],[ID]])))="",TRUE()),"",INDEX(tsk_Notes,(ROW()-ROW(MSPTasks[[#Headers],[ID]])))&amp;"")</f>
        <v/>
      </c>
    </row>
    <row r="101" customFormat="false" ht="15" hidden="false" customHeight="false" outlineLevel="0" collapsed="false">
      <c r="A101" s="23" t="str">
        <f aca="false">IF(IFERROR(INDEX(tsk_Name,(ROW()-ROW(MSPTasks[[#Headers],[ID]])))="",TRUE()),"",INDEX(tsk_ID,(ROW()-ROW(MSPTasks[[#Headers],[ID]]))))</f>
        <v/>
      </c>
      <c r="B101" s="23" t="str">
        <f aca="false">IF(IFERROR(INDEX(tsk_Name,(ROW()-ROW(MSPTasks[[#Headers],[ID]])))="",TRUE()),"",INDEX(tsk_UID,(ROW()-ROW(MSPTasks[[#Headers],[ID]]))))</f>
        <v/>
      </c>
      <c r="C101" s="23" t="str">
        <f aca="false">IF(IFERROR(INDEX(tsk_Name,(ROW()-ROW(MSPTasks[[#Headers],[ID]])))="",TRUE()),"",INDEX(tsk_Name,(ROW()-ROW(MSPTasks[[#Headers],[ID]]))))</f>
        <v/>
      </c>
      <c r="D101" s="23" t="str">
        <f aca="false">IF(IFERROR(INDEX(tsk_Name,(ROW()-ROW(MSPTasks[[#Headers],[ID]])))="",TRUE()),"",INDEX(tsk_Level,(ROW()-ROW(MSPTasks[[#Headers],[ID]]))))</f>
        <v/>
      </c>
      <c r="E101" s="23" t="str">
        <f aca="false">IF(IFERROR(INDEX(tsk_Name,(ROW()-ROW(MSPTasks[[#Headers],[ID]])))="",TRUE()),"",IF(INDEX(tsk_Mode,(ROW()-ROW(MSPTasks[[#Headers],[ID]])))="Manual","Manually Scheduled","Auto Scheduled"))</f>
        <v/>
      </c>
      <c r="F10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1" s="80" t="str">
        <f aca="false">IF(IFERROR(INDEX(tsk_Name,(ROW()-ROW(MSPTasks[[#Headers],[ID]])))="",TRUE()),"",INDEX(tsk_FcStart,(ROW()-ROW(MSPTasks[[#Headers],[ID]]))))</f>
        <v/>
      </c>
      <c r="H101" s="80" t="str">
        <f aca="false">IF(IFERROR(INDEX(tsk_Name,(ROW()-ROW(MSPTasks[[#Headers],[ID]])))="",TRUE()),"",INDEX(tsk_FcFinish,(ROW()-ROW(MSPTasks[[#Headers],[ID]]))))</f>
        <v/>
      </c>
      <c r="I10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1" s="80" t="str">
        <f aca="false">IF(IFERROR(INDEX(tsk_Name,(ROW()-ROW(MSPTasks[[#Headers],[ID]])))="",TRUE()),"",INDEX(tsk_PlanStart,(ROW()-ROW(MSPTasks[[#Headers],[ID]]))))</f>
        <v/>
      </c>
      <c r="P101" s="80" t="str">
        <f aca="false">IF(IFERROR(INDEX(tsk_Name,(ROW()-ROW(MSPTasks[[#Headers],[ID]])))="",TRUE()),"",INDEX(tsk_PlanFinish,(ROW()-ROW(MSPTasks[[#Headers],[ID]]))))</f>
        <v/>
      </c>
      <c r="Q10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1" s="23" t="str">
        <f aca="false">IF(IFERROR(INDEX(tsk_Name,(ROW()-ROW(MSPTasks[[#Headers],[ID]])))="",TRUE()),"",INDEX(tsk_Notes,(ROW()-ROW(MSPTasks[[#Headers],[ID]])))&amp;"")</f>
        <v/>
      </c>
    </row>
    <row r="102" customFormat="false" ht="15" hidden="false" customHeight="false" outlineLevel="0" collapsed="false">
      <c r="A102" s="23" t="str">
        <f aca="false">IF(IFERROR(INDEX(tsk_Name,(ROW()-ROW(MSPTasks[[#Headers],[ID]])))="",TRUE()),"",INDEX(tsk_ID,(ROW()-ROW(MSPTasks[[#Headers],[ID]]))))</f>
        <v/>
      </c>
      <c r="B102" s="23" t="str">
        <f aca="false">IF(IFERROR(INDEX(tsk_Name,(ROW()-ROW(MSPTasks[[#Headers],[ID]])))="",TRUE()),"",INDEX(tsk_UID,(ROW()-ROW(MSPTasks[[#Headers],[ID]]))))</f>
        <v/>
      </c>
      <c r="C102" s="23" t="str">
        <f aca="false">IF(IFERROR(INDEX(tsk_Name,(ROW()-ROW(MSPTasks[[#Headers],[ID]])))="",TRUE()),"",INDEX(tsk_Name,(ROW()-ROW(MSPTasks[[#Headers],[ID]]))))</f>
        <v/>
      </c>
      <c r="D102" s="23" t="str">
        <f aca="false">IF(IFERROR(INDEX(tsk_Name,(ROW()-ROW(MSPTasks[[#Headers],[ID]])))="",TRUE()),"",INDEX(tsk_Level,(ROW()-ROW(MSPTasks[[#Headers],[ID]]))))</f>
        <v/>
      </c>
      <c r="E102" s="23" t="str">
        <f aca="false">IF(IFERROR(INDEX(tsk_Name,(ROW()-ROW(MSPTasks[[#Headers],[ID]])))="",TRUE()),"",IF(INDEX(tsk_Mode,(ROW()-ROW(MSPTasks[[#Headers],[ID]])))="Manual","Manually Scheduled","Auto Scheduled"))</f>
        <v/>
      </c>
      <c r="F10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2" s="80" t="str">
        <f aca="false">IF(IFERROR(INDEX(tsk_Name,(ROW()-ROW(MSPTasks[[#Headers],[ID]])))="",TRUE()),"",INDEX(tsk_FcStart,(ROW()-ROW(MSPTasks[[#Headers],[ID]]))))</f>
        <v/>
      </c>
      <c r="H102" s="80" t="str">
        <f aca="false">IF(IFERROR(INDEX(tsk_Name,(ROW()-ROW(MSPTasks[[#Headers],[ID]])))="",TRUE()),"",INDEX(tsk_FcFinish,(ROW()-ROW(MSPTasks[[#Headers],[ID]]))))</f>
        <v/>
      </c>
      <c r="I10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2" s="80" t="str">
        <f aca="false">IF(IFERROR(INDEX(tsk_Name,(ROW()-ROW(MSPTasks[[#Headers],[ID]])))="",TRUE()),"",INDEX(tsk_PlanStart,(ROW()-ROW(MSPTasks[[#Headers],[ID]]))))</f>
        <v/>
      </c>
      <c r="P102" s="80" t="str">
        <f aca="false">IF(IFERROR(INDEX(tsk_Name,(ROW()-ROW(MSPTasks[[#Headers],[ID]])))="",TRUE()),"",INDEX(tsk_PlanFinish,(ROW()-ROW(MSPTasks[[#Headers],[ID]]))))</f>
        <v/>
      </c>
      <c r="Q10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2" s="23" t="str">
        <f aca="false">IF(IFERROR(INDEX(tsk_Name,(ROW()-ROW(MSPTasks[[#Headers],[ID]])))="",TRUE()),"",INDEX(tsk_Notes,(ROW()-ROW(MSPTasks[[#Headers],[ID]])))&amp;"")</f>
        <v/>
      </c>
    </row>
    <row r="103" customFormat="false" ht="15" hidden="false" customHeight="false" outlineLevel="0" collapsed="false">
      <c r="A103" s="23" t="str">
        <f aca="false">IF(IFERROR(INDEX(tsk_Name,(ROW()-ROW(MSPTasks[[#Headers],[ID]])))="",TRUE()),"",INDEX(tsk_ID,(ROW()-ROW(MSPTasks[[#Headers],[ID]]))))</f>
        <v/>
      </c>
      <c r="B103" s="23" t="str">
        <f aca="false">IF(IFERROR(INDEX(tsk_Name,(ROW()-ROW(MSPTasks[[#Headers],[ID]])))="",TRUE()),"",INDEX(tsk_UID,(ROW()-ROW(MSPTasks[[#Headers],[ID]]))))</f>
        <v/>
      </c>
      <c r="C103" s="23" t="str">
        <f aca="false">IF(IFERROR(INDEX(tsk_Name,(ROW()-ROW(MSPTasks[[#Headers],[ID]])))="",TRUE()),"",INDEX(tsk_Name,(ROW()-ROW(MSPTasks[[#Headers],[ID]]))))</f>
        <v/>
      </c>
      <c r="D103" s="23" t="str">
        <f aca="false">IF(IFERROR(INDEX(tsk_Name,(ROW()-ROW(MSPTasks[[#Headers],[ID]])))="",TRUE()),"",INDEX(tsk_Level,(ROW()-ROW(MSPTasks[[#Headers],[ID]]))))</f>
        <v/>
      </c>
      <c r="E103" s="23" t="str">
        <f aca="false">IF(IFERROR(INDEX(tsk_Name,(ROW()-ROW(MSPTasks[[#Headers],[ID]])))="",TRUE()),"",IF(INDEX(tsk_Mode,(ROW()-ROW(MSPTasks[[#Headers],[ID]])))="Manual","Manually Scheduled","Auto Scheduled"))</f>
        <v/>
      </c>
      <c r="F10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3" s="80" t="str">
        <f aca="false">IF(IFERROR(INDEX(tsk_Name,(ROW()-ROW(MSPTasks[[#Headers],[ID]])))="",TRUE()),"",INDEX(tsk_FcStart,(ROW()-ROW(MSPTasks[[#Headers],[ID]]))))</f>
        <v/>
      </c>
      <c r="H103" s="80" t="str">
        <f aca="false">IF(IFERROR(INDEX(tsk_Name,(ROW()-ROW(MSPTasks[[#Headers],[ID]])))="",TRUE()),"",INDEX(tsk_FcFinish,(ROW()-ROW(MSPTasks[[#Headers],[ID]]))))</f>
        <v/>
      </c>
      <c r="I10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3" s="80" t="str">
        <f aca="false">IF(IFERROR(INDEX(tsk_Name,(ROW()-ROW(MSPTasks[[#Headers],[ID]])))="",TRUE()),"",INDEX(tsk_PlanStart,(ROW()-ROW(MSPTasks[[#Headers],[ID]]))))</f>
        <v/>
      </c>
      <c r="P103" s="80" t="str">
        <f aca="false">IF(IFERROR(INDEX(tsk_Name,(ROW()-ROW(MSPTasks[[#Headers],[ID]])))="",TRUE()),"",INDEX(tsk_PlanFinish,(ROW()-ROW(MSPTasks[[#Headers],[ID]]))))</f>
        <v/>
      </c>
      <c r="Q10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3" s="23" t="str">
        <f aca="false">IF(IFERROR(INDEX(tsk_Name,(ROW()-ROW(MSPTasks[[#Headers],[ID]])))="",TRUE()),"",INDEX(tsk_Notes,(ROW()-ROW(MSPTasks[[#Headers],[ID]])))&amp;"")</f>
        <v/>
      </c>
    </row>
    <row r="104" customFormat="false" ht="15" hidden="false" customHeight="false" outlineLevel="0" collapsed="false">
      <c r="A104" s="23" t="str">
        <f aca="false">IF(IFERROR(INDEX(tsk_Name,(ROW()-ROW(MSPTasks[[#Headers],[ID]])))="",TRUE()),"",INDEX(tsk_ID,(ROW()-ROW(MSPTasks[[#Headers],[ID]]))))</f>
        <v/>
      </c>
      <c r="B104" s="23" t="str">
        <f aca="false">IF(IFERROR(INDEX(tsk_Name,(ROW()-ROW(MSPTasks[[#Headers],[ID]])))="",TRUE()),"",INDEX(tsk_UID,(ROW()-ROW(MSPTasks[[#Headers],[ID]]))))</f>
        <v/>
      </c>
      <c r="C104" s="23" t="str">
        <f aca="false">IF(IFERROR(INDEX(tsk_Name,(ROW()-ROW(MSPTasks[[#Headers],[ID]])))="",TRUE()),"",INDEX(tsk_Name,(ROW()-ROW(MSPTasks[[#Headers],[ID]]))))</f>
        <v/>
      </c>
      <c r="D104" s="23" t="str">
        <f aca="false">IF(IFERROR(INDEX(tsk_Name,(ROW()-ROW(MSPTasks[[#Headers],[ID]])))="",TRUE()),"",INDEX(tsk_Level,(ROW()-ROW(MSPTasks[[#Headers],[ID]]))))</f>
        <v/>
      </c>
      <c r="E104" s="23" t="str">
        <f aca="false">IF(IFERROR(INDEX(tsk_Name,(ROW()-ROW(MSPTasks[[#Headers],[ID]])))="",TRUE()),"",IF(INDEX(tsk_Mode,(ROW()-ROW(MSPTasks[[#Headers],[ID]])))="Manual","Manually Scheduled","Auto Scheduled"))</f>
        <v/>
      </c>
      <c r="F10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4" s="80" t="str">
        <f aca="false">IF(IFERROR(INDEX(tsk_Name,(ROW()-ROW(MSPTasks[[#Headers],[ID]])))="",TRUE()),"",INDEX(tsk_FcStart,(ROW()-ROW(MSPTasks[[#Headers],[ID]]))))</f>
        <v/>
      </c>
      <c r="H104" s="80" t="str">
        <f aca="false">IF(IFERROR(INDEX(tsk_Name,(ROW()-ROW(MSPTasks[[#Headers],[ID]])))="",TRUE()),"",INDEX(tsk_FcFinish,(ROW()-ROW(MSPTasks[[#Headers],[ID]]))))</f>
        <v/>
      </c>
      <c r="I10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4" s="80" t="str">
        <f aca="false">IF(IFERROR(INDEX(tsk_Name,(ROW()-ROW(MSPTasks[[#Headers],[ID]])))="",TRUE()),"",INDEX(tsk_PlanStart,(ROW()-ROW(MSPTasks[[#Headers],[ID]]))))</f>
        <v/>
      </c>
      <c r="P104" s="80" t="str">
        <f aca="false">IF(IFERROR(INDEX(tsk_Name,(ROW()-ROW(MSPTasks[[#Headers],[ID]])))="",TRUE()),"",INDEX(tsk_PlanFinish,(ROW()-ROW(MSPTasks[[#Headers],[ID]]))))</f>
        <v/>
      </c>
      <c r="Q10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4" s="23" t="str">
        <f aca="false">IF(IFERROR(INDEX(tsk_Name,(ROW()-ROW(MSPTasks[[#Headers],[ID]])))="",TRUE()),"",INDEX(tsk_Notes,(ROW()-ROW(MSPTasks[[#Headers],[ID]])))&amp;"")</f>
        <v/>
      </c>
    </row>
    <row r="105" customFormat="false" ht="15" hidden="false" customHeight="false" outlineLevel="0" collapsed="false">
      <c r="A105" s="23" t="str">
        <f aca="false">IF(IFERROR(INDEX(tsk_Name,(ROW()-ROW(MSPTasks[[#Headers],[ID]])))="",TRUE()),"",INDEX(tsk_ID,(ROW()-ROW(MSPTasks[[#Headers],[ID]]))))</f>
        <v/>
      </c>
      <c r="B105" s="23" t="str">
        <f aca="false">IF(IFERROR(INDEX(tsk_Name,(ROW()-ROW(MSPTasks[[#Headers],[ID]])))="",TRUE()),"",INDEX(tsk_UID,(ROW()-ROW(MSPTasks[[#Headers],[ID]]))))</f>
        <v/>
      </c>
      <c r="C105" s="23" t="str">
        <f aca="false">IF(IFERROR(INDEX(tsk_Name,(ROW()-ROW(MSPTasks[[#Headers],[ID]])))="",TRUE()),"",INDEX(tsk_Name,(ROW()-ROW(MSPTasks[[#Headers],[ID]]))))</f>
        <v/>
      </c>
      <c r="D105" s="23" t="str">
        <f aca="false">IF(IFERROR(INDEX(tsk_Name,(ROW()-ROW(MSPTasks[[#Headers],[ID]])))="",TRUE()),"",INDEX(tsk_Level,(ROW()-ROW(MSPTasks[[#Headers],[ID]]))))</f>
        <v/>
      </c>
      <c r="E105" s="23" t="str">
        <f aca="false">IF(IFERROR(INDEX(tsk_Name,(ROW()-ROW(MSPTasks[[#Headers],[ID]])))="",TRUE()),"",IF(INDEX(tsk_Mode,(ROW()-ROW(MSPTasks[[#Headers],[ID]])))="Manual","Manually Scheduled","Auto Scheduled"))</f>
        <v/>
      </c>
      <c r="F10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5" s="80" t="str">
        <f aca="false">IF(IFERROR(INDEX(tsk_Name,(ROW()-ROW(MSPTasks[[#Headers],[ID]])))="",TRUE()),"",INDEX(tsk_FcStart,(ROW()-ROW(MSPTasks[[#Headers],[ID]]))))</f>
        <v/>
      </c>
      <c r="H105" s="80" t="str">
        <f aca="false">IF(IFERROR(INDEX(tsk_Name,(ROW()-ROW(MSPTasks[[#Headers],[ID]])))="",TRUE()),"",INDEX(tsk_FcFinish,(ROW()-ROW(MSPTasks[[#Headers],[ID]]))))</f>
        <v/>
      </c>
      <c r="I10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5" s="80" t="str">
        <f aca="false">IF(IFERROR(INDEX(tsk_Name,(ROW()-ROW(MSPTasks[[#Headers],[ID]])))="",TRUE()),"",INDEX(tsk_PlanStart,(ROW()-ROW(MSPTasks[[#Headers],[ID]]))))</f>
        <v/>
      </c>
      <c r="P105" s="80" t="str">
        <f aca="false">IF(IFERROR(INDEX(tsk_Name,(ROW()-ROW(MSPTasks[[#Headers],[ID]])))="",TRUE()),"",INDEX(tsk_PlanFinish,(ROW()-ROW(MSPTasks[[#Headers],[ID]]))))</f>
        <v/>
      </c>
      <c r="Q10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5" s="23" t="str">
        <f aca="false">IF(IFERROR(INDEX(tsk_Name,(ROW()-ROW(MSPTasks[[#Headers],[ID]])))="",TRUE()),"",INDEX(tsk_Notes,(ROW()-ROW(MSPTasks[[#Headers],[ID]])))&amp;"")</f>
        <v/>
      </c>
    </row>
    <row r="106" customFormat="false" ht="15" hidden="false" customHeight="false" outlineLevel="0" collapsed="false">
      <c r="A106" s="23" t="str">
        <f aca="false">IF(IFERROR(INDEX(tsk_Name,(ROW()-ROW(MSPTasks[[#Headers],[ID]])))="",TRUE()),"",INDEX(tsk_ID,(ROW()-ROW(MSPTasks[[#Headers],[ID]]))))</f>
        <v/>
      </c>
      <c r="B106" s="23" t="str">
        <f aca="false">IF(IFERROR(INDEX(tsk_Name,(ROW()-ROW(MSPTasks[[#Headers],[ID]])))="",TRUE()),"",INDEX(tsk_UID,(ROW()-ROW(MSPTasks[[#Headers],[ID]]))))</f>
        <v/>
      </c>
      <c r="C106" s="23" t="str">
        <f aca="false">IF(IFERROR(INDEX(tsk_Name,(ROW()-ROW(MSPTasks[[#Headers],[ID]])))="",TRUE()),"",INDEX(tsk_Name,(ROW()-ROW(MSPTasks[[#Headers],[ID]]))))</f>
        <v/>
      </c>
      <c r="D106" s="23" t="str">
        <f aca="false">IF(IFERROR(INDEX(tsk_Name,(ROW()-ROW(MSPTasks[[#Headers],[ID]])))="",TRUE()),"",INDEX(tsk_Level,(ROW()-ROW(MSPTasks[[#Headers],[ID]]))))</f>
        <v/>
      </c>
      <c r="E106" s="23" t="str">
        <f aca="false">IF(IFERROR(INDEX(tsk_Name,(ROW()-ROW(MSPTasks[[#Headers],[ID]])))="",TRUE()),"",IF(INDEX(tsk_Mode,(ROW()-ROW(MSPTasks[[#Headers],[ID]])))="Manual","Manually Scheduled","Auto Scheduled"))</f>
        <v/>
      </c>
      <c r="F10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6" s="80" t="str">
        <f aca="false">IF(IFERROR(INDEX(tsk_Name,(ROW()-ROW(MSPTasks[[#Headers],[ID]])))="",TRUE()),"",INDEX(tsk_FcStart,(ROW()-ROW(MSPTasks[[#Headers],[ID]]))))</f>
        <v/>
      </c>
      <c r="H106" s="80" t="str">
        <f aca="false">IF(IFERROR(INDEX(tsk_Name,(ROW()-ROW(MSPTasks[[#Headers],[ID]])))="",TRUE()),"",INDEX(tsk_FcFinish,(ROW()-ROW(MSPTasks[[#Headers],[ID]]))))</f>
        <v/>
      </c>
      <c r="I10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6" s="80" t="str">
        <f aca="false">IF(IFERROR(INDEX(tsk_Name,(ROW()-ROW(MSPTasks[[#Headers],[ID]])))="",TRUE()),"",INDEX(tsk_PlanStart,(ROW()-ROW(MSPTasks[[#Headers],[ID]]))))</f>
        <v/>
      </c>
      <c r="P106" s="80" t="str">
        <f aca="false">IF(IFERROR(INDEX(tsk_Name,(ROW()-ROW(MSPTasks[[#Headers],[ID]])))="",TRUE()),"",INDEX(tsk_PlanFinish,(ROW()-ROW(MSPTasks[[#Headers],[ID]]))))</f>
        <v/>
      </c>
      <c r="Q10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6" s="23" t="str">
        <f aca="false">IF(IFERROR(INDEX(tsk_Name,(ROW()-ROW(MSPTasks[[#Headers],[ID]])))="",TRUE()),"",INDEX(tsk_Notes,(ROW()-ROW(MSPTasks[[#Headers],[ID]])))&amp;"")</f>
        <v/>
      </c>
    </row>
    <row r="107" customFormat="false" ht="15" hidden="false" customHeight="false" outlineLevel="0" collapsed="false">
      <c r="A107" s="23" t="str">
        <f aca="false">IF(IFERROR(INDEX(tsk_Name,(ROW()-ROW(MSPTasks[[#Headers],[ID]])))="",TRUE()),"",INDEX(tsk_ID,(ROW()-ROW(MSPTasks[[#Headers],[ID]]))))</f>
        <v/>
      </c>
      <c r="B107" s="23" t="str">
        <f aca="false">IF(IFERROR(INDEX(tsk_Name,(ROW()-ROW(MSPTasks[[#Headers],[ID]])))="",TRUE()),"",INDEX(tsk_UID,(ROW()-ROW(MSPTasks[[#Headers],[ID]]))))</f>
        <v/>
      </c>
      <c r="C107" s="23" t="str">
        <f aca="false">IF(IFERROR(INDEX(tsk_Name,(ROW()-ROW(MSPTasks[[#Headers],[ID]])))="",TRUE()),"",INDEX(tsk_Name,(ROW()-ROW(MSPTasks[[#Headers],[ID]]))))</f>
        <v/>
      </c>
      <c r="D107" s="23" t="str">
        <f aca="false">IF(IFERROR(INDEX(tsk_Name,(ROW()-ROW(MSPTasks[[#Headers],[ID]])))="",TRUE()),"",INDEX(tsk_Level,(ROW()-ROW(MSPTasks[[#Headers],[ID]]))))</f>
        <v/>
      </c>
      <c r="E107" s="23" t="str">
        <f aca="false">IF(IFERROR(INDEX(tsk_Name,(ROW()-ROW(MSPTasks[[#Headers],[ID]])))="",TRUE()),"",IF(INDEX(tsk_Mode,(ROW()-ROW(MSPTasks[[#Headers],[ID]])))="Manual","Manually Scheduled","Auto Scheduled"))</f>
        <v/>
      </c>
      <c r="F10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7" s="80" t="str">
        <f aca="false">IF(IFERROR(INDEX(tsk_Name,(ROW()-ROW(MSPTasks[[#Headers],[ID]])))="",TRUE()),"",INDEX(tsk_FcStart,(ROW()-ROW(MSPTasks[[#Headers],[ID]]))))</f>
        <v/>
      </c>
      <c r="H107" s="80" t="str">
        <f aca="false">IF(IFERROR(INDEX(tsk_Name,(ROW()-ROW(MSPTasks[[#Headers],[ID]])))="",TRUE()),"",INDEX(tsk_FcFinish,(ROW()-ROW(MSPTasks[[#Headers],[ID]]))))</f>
        <v/>
      </c>
      <c r="I10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7" s="80" t="str">
        <f aca="false">IF(IFERROR(INDEX(tsk_Name,(ROW()-ROW(MSPTasks[[#Headers],[ID]])))="",TRUE()),"",INDEX(tsk_PlanStart,(ROW()-ROW(MSPTasks[[#Headers],[ID]]))))</f>
        <v/>
      </c>
      <c r="P107" s="80" t="str">
        <f aca="false">IF(IFERROR(INDEX(tsk_Name,(ROW()-ROW(MSPTasks[[#Headers],[ID]])))="",TRUE()),"",INDEX(tsk_PlanFinish,(ROW()-ROW(MSPTasks[[#Headers],[ID]]))))</f>
        <v/>
      </c>
      <c r="Q10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7" s="23" t="str">
        <f aca="false">IF(IFERROR(INDEX(tsk_Name,(ROW()-ROW(MSPTasks[[#Headers],[ID]])))="",TRUE()),"",INDEX(tsk_Notes,(ROW()-ROW(MSPTasks[[#Headers],[ID]])))&amp;"")</f>
        <v/>
      </c>
    </row>
    <row r="108" customFormat="false" ht="15" hidden="false" customHeight="false" outlineLevel="0" collapsed="false">
      <c r="A108" s="23" t="str">
        <f aca="false">IF(IFERROR(INDEX(tsk_Name,(ROW()-ROW(MSPTasks[[#Headers],[ID]])))="",TRUE()),"",INDEX(tsk_ID,(ROW()-ROW(MSPTasks[[#Headers],[ID]]))))</f>
        <v/>
      </c>
      <c r="B108" s="23" t="str">
        <f aca="false">IF(IFERROR(INDEX(tsk_Name,(ROW()-ROW(MSPTasks[[#Headers],[ID]])))="",TRUE()),"",INDEX(tsk_UID,(ROW()-ROW(MSPTasks[[#Headers],[ID]]))))</f>
        <v/>
      </c>
      <c r="C108" s="23" t="str">
        <f aca="false">IF(IFERROR(INDEX(tsk_Name,(ROW()-ROW(MSPTasks[[#Headers],[ID]])))="",TRUE()),"",INDEX(tsk_Name,(ROW()-ROW(MSPTasks[[#Headers],[ID]]))))</f>
        <v/>
      </c>
      <c r="D108" s="23" t="str">
        <f aca="false">IF(IFERROR(INDEX(tsk_Name,(ROW()-ROW(MSPTasks[[#Headers],[ID]])))="",TRUE()),"",INDEX(tsk_Level,(ROW()-ROW(MSPTasks[[#Headers],[ID]]))))</f>
        <v/>
      </c>
      <c r="E108" s="23" t="str">
        <f aca="false">IF(IFERROR(INDEX(tsk_Name,(ROW()-ROW(MSPTasks[[#Headers],[ID]])))="",TRUE()),"",IF(INDEX(tsk_Mode,(ROW()-ROW(MSPTasks[[#Headers],[ID]])))="Manual","Manually Scheduled","Auto Scheduled"))</f>
        <v/>
      </c>
      <c r="F10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8" s="80" t="str">
        <f aca="false">IF(IFERROR(INDEX(tsk_Name,(ROW()-ROW(MSPTasks[[#Headers],[ID]])))="",TRUE()),"",INDEX(tsk_FcStart,(ROW()-ROW(MSPTasks[[#Headers],[ID]]))))</f>
        <v/>
      </c>
      <c r="H108" s="80" t="str">
        <f aca="false">IF(IFERROR(INDEX(tsk_Name,(ROW()-ROW(MSPTasks[[#Headers],[ID]])))="",TRUE()),"",INDEX(tsk_FcFinish,(ROW()-ROW(MSPTasks[[#Headers],[ID]]))))</f>
        <v/>
      </c>
      <c r="I10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8" s="80" t="str">
        <f aca="false">IF(IFERROR(INDEX(tsk_Name,(ROW()-ROW(MSPTasks[[#Headers],[ID]])))="",TRUE()),"",INDEX(tsk_PlanStart,(ROW()-ROW(MSPTasks[[#Headers],[ID]]))))</f>
        <v/>
      </c>
      <c r="P108" s="80" t="str">
        <f aca="false">IF(IFERROR(INDEX(tsk_Name,(ROW()-ROW(MSPTasks[[#Headers],[ID]])))="",TRUE()),"",INDEX(tsk_PlanFinish,(ROW()-ROW(MSPTasks[[#Headers],[ID]]))))</f>
        <v/>
      </c>
      <c r="Q10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8" s="23" t="str">
        <f aca="false">IF(IFERROR(INDEX(tsk_Name,(ROW()-ROW(MSPTasks[[#Headers],[ID]])))="",TRUE()),"",INDEX(tsk_Notes,(ROW()-ROW(MSPTasks[[#Headers],[ID]])))&amp;"")</f>
        <v/>
      </c>
    </row>
    <row r="109" customFormat="false" ht="15" hidden="false" customHeight="false" outlineLevel="0" collapsed="false">
      <c r="A109" s="23" t="str">
        <f aca="false">IF(IFERROR(INDEX(tsk_Name,(ROW()-ROW(MSPTasks[[#Headers],[ID]])))="",TRUE()),"",INDEX(tsk_ID,(ROW()-ROW(MSPTasks[[#Headers],[ID]]))))</f>
        <v/>
      </c>
      <c r="B109" s="23" t="str">
        <f aca="false">IF(IFERROR(INDEX(tsk_Name,(ROW()-ROW(MSPTasks[[#Headers],[ID]])))="",TRUE()),"",INDEX(tsk_UID,(ROW()-ROW(MSPTasks[[#Headers],[ID]]))))</f>
        <v/>
      </c>
      <c r="C109" s="23" t="str">
        <f aca="false">IF(IFERROR(INDEX(tsk_Name,(ROW()-ROW(MSPTasks[[#Headers],[ID]])))="",TRUE()),"",INDEX(tsk_Name,(ROW()-ROW(MSPTasks[[#Headers],[ID]]))))</f>
        <v/>
      </c>
      <c r="D109" s="23" t="str">
        <f aca="false">IF(IFERROR(INDEX(tsk_Name,(ROW()-ROW(MSPTasks[[#Headers],[ID]])))="",TRUE()),"",INDEX(tsk_Level,(ROW()-ROW(MSPTasks[[#Headers],[ID]]))))</f>
        <v/>
      </c>
      <c r="E109" s="23" t="str">
        <f aca="false">IF(IFERROR(INDEX(tsk_Name,(ROW()-ROW(MSPTasks[[#Headers],[ID]])))="",TRUE()),"",IF(INDEX(tsk_Mode,(ROW()-ROW(MSPTasks[[#Headers],[ID]])))="Manual","Manually Scheduled","Auto Scheduled"))</f>
        <v/>
      </c>
      <c r="F10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9" s="80" t="str">
        <f aca="false">IF(IFERROR(INDEX(tsk_Name,(ROW()-ROW(MSPTasks[[#Headers],[ID]])))="",TRUE()),"",INDEX(tsk_FcStart,(ROW()-ROW(MSPTasks[[#Headers],[ID]]))))</f>
        <v/>
      </c>
      <c r="H109" s="80" t="str">
        <f aca="false">IF(IFERROR(INDEX(tsk_Name,(ROW()-ROW(MSPTasks[[#Headers],[ID]])))="",TRUE()),"",INDEX(tsk_FcFinish,(ROW()-ROW(MSPTasks[[#Headers],[ID]]))))</f>
        <v/>
      </c>
      <c r="I10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9" s="80" t="str">
        <f aca="false">IF(IFERROR(INDEX(tsk_Name,(ROW()-ROW(MSPTasks[[#Headers],[ID]])))="",TRUE()),"",INDEX(tsk_PlanStart,(ROW()-ROW(MSPTasks[[#Headers],[ID]]))))</f>
        <v/>
      </c>
      <c r="P109" s="80" t="str">
        <f aca="false">IF(IFERROR(INDEX(tsk_Name,(ROW()-ROW(MSPTasks[[#Headers],[ID]])))="",TRUE()),"",INDEX(tsk_PlanFinish,(ROW()-ROW(MSPTasks[[#Headers],[ID]]))))</f>
        <v/>
      </c>
      <c r="Q10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9" s="23" t="str">
        <f aca="false">IF(IFERROR(INDEX(tsk_Name,(ROW()-ROW(MSPTasks[[#Headers],[ID]])))="",TRUE()),"",INDEX(tsk_Notes,(ROW()-ROW(MSPTasks[[#Headers],[ID]])))&amp;"")</f>
        <v/>
      </c>
    </row>
    <row r="110" customFormat="false" ht="15" hidden="false" customHeight="false" outlineLevel="0" collapsed="false">
      <c r="A110" s="23" t="str">
        <f aca="false">IF(IFERROR(INDEX(tsk_Name,(ROW()-ROW(MSPTasks[[#Headers],[ID]])))="",TRUE()),"",INDEX(tsk_ID,(ROW()-ROW(MSPTasks[[#Headers],[ID]]))))</f>
        <v/>
      </c>
      <c r="B110" s="23" t="str">
        <f aca="false">IF(IFERROR(INDEX(tsk_Name,(ROW()-ROW(MSPTasks[[#Headers],[ID]])))="",TRUE()),"",INDEX(tsk_UID,(ROW()-ROW(MSPTasks[[#Headers],[ID]]))))</f>
        <v/>
      </c>
      <c r="C110" s="23" t="str">
        <f aca="false">IF(IFERROR(INDEX(tsk_Name,(ROW()-ROW(MSPTasks[[#Headers],[ID]])))="",TRUE()),"",INDEX(tsk_Name,(ROW()-ROW(MSPTasks[[#Headers],[ID]]))))</f>
        <v/>
      </c>
      <c r="D110" s="23" t="str">
        <f aca="false">IF(IFERROR(INDEX(tsk_Name,(ROW()-ROW(MSPTasks[[#Headers],[ID]])))="",TRUE()),"",INDEX(tsk_Level,(ROW()-ROW(MSPTasks[[#Headers],[ID]]))))</f>
        <v/>
      </c>
      <c r="E110" s="23" t="str">
        <f aca="false">IF(IFERROR(INDEX(tsk_Name,(ROW()-ROW(MSPTasks[[#Headers],[ID]])))="",TRUE()),"",IF(INDEX(tsk_Mode,(ROW()-ROW(MSPTasks[[#Headers],[ID]])))="Manual","Manually Scheduled","Auto Scheduled"))</f>
        <v/>
      </c>
      <c r="F11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0" s="80" t="str">
        <f aca="false">IF(IFERROR(INDEX(tsk_Name,(ROW()-ROW(MSPTasks[[#Headers],[ID]])))="",TRUE()),"",INDEX(tsk_FcStart,(ROW()-ROW(MSPTasks[[#Headers],[ID]]))))</f>
        <v/>
      </c>
      <c r="H110" s="80" t="str">
        <f aca="false">IF(IFERROR(INDEX(tsk_Name,(ROW()-ROW(MSPTasks[[#Headers],[ID]])))="",TRUE()),"",INDEX(tsk_FcFinish,(ROW()-ROW(MSPTasks[[#Headers],[ID]]))))</f>
        <v/>
      </c>
      <c r="I11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0" s="80" t="str">
        <f aca="false">IF(IFERROR(INDEX(tsk_Name,(ROW()-ROW(MSPTasks[[#Headers],[ID]])))="",TRUE()),"",INDEX(tsk_PlanStart,(ROW()-ROW(MSPTasks[[#Headers],[ID]]))))</f>
        <v/>
      </c>
      <c r="P110" s="80" t="str">
        <f aca="false">IF(IFERROR(INDEX(tsk_Name,(ROW()-ROW(MSPTasks[[#Headers],[ID]])))="",TRUE()),"",INDEX(tsk_PlanFinish,(ROW()-ROW(MSPTasks[[#Headers],[ID]]))))</f>
        <v/>
      </c>
      <c r="Q11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0" s="23" t="str">
        <f aca="false">IF(IFERROR(INDEX(tsk_Name,(ROW()-ROW(MSPTasks[[#Headers],[ID]])))="",TRUE()),"",INDEX(tsk_Notes,(ROW()-ROW(MSPTasks[[#Headers],[ID]])))&amp;"")</f>
        <v/>
      </c>
    </row>
    <row r="111" customFormat="false" ht="15" hidden="false" customHeight="false" outlineLevel="0" collapsed="false">
      <c r="A111" s="23" t="str">
        <f aca="false">IF(IFERROR(INDEX(tsk_Name,(ROW()-ROW(MSPTasks[[#Headers],[ID]])))="",TRUE()),"",INDEX(tsk_ID,(ROW()-ROW(MSPTasks[[#Headers],[ID]]))))</f>
        <v/>
      </c>
      <c r="B111" s="23" t="str">
        <f aca="false">IF(IFERROR(INDEX(tsk_Name,(ROW()-ROW(MSPTasks[[#Headers],[ID]])))="",TRUE()),"",INDEX(tsk_UID,(ROW()-ROW(MSPTasks[[#Headers],[ID]]))))</f>
        <v/>
      </c>
      <c r="C111" s="23" t="str">
        <f aca="false">IF(IFERROR(INDEX(tsk_Name,(ROW()-ROW(MSPTasks[[#Headers],[ID]])))="",TRUE()),"",INDEX(tsk_Name,(ROW()-ROW(MSPTasks[[#Headers],[ID]]))))</f>
        <v/>
      </c>
      <c r="D111" s="23" t="str">
        <f aca="false">IF(IFERROR(INDEX(tsk_Name,(ROW()-ROW(MSPTasks[[#Headers],[ID]])))="",TRUE()),"",INDEX(tsk_Level,(ROW()-ROW(MSPTasks[[#Headers],[ID]]))))</f>
        <v/>
      </c>
      <c r="E111" s="23" t="str">
        <f aca="false">IF(IFERROR(INDEX(tsk_Name,(ROW()-ROW(MSPTasks[[#Headers],[ID]])))="",TRUE()),"",IF(INDEX(tsk_Mode,(ROW()-ROW(MSPTasks[[#Headers],[ID]])))="Manual","Manually Scheduled","Auto Scheduled"))</f>
        <v/>
      </c>
      <c r="F11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1" s="80" t="str">
        <f aca="false">IF(IFERROR(INDEX(tsk_Name,(ROW()-ROW(MSPTasks[[#Headers],[ID]])))="",TRUE()),"",INDEX(tsk_FcStart,(ROW()-ROW(MSPTasks[[#Headers],[ID]]))))</f>
        <v/>
      </c>
      <c r="H111" s="80" t="str">
        <f aca="false">IF(IFERROR(INDEX(tsk_Name,(ROW()-ROW(MSPTasks[[#Headers],[ID]])))="",TRUE()),"",INDEX(tsk_FcFinish,(ROW()-ROW(MSPTasks[[#Headers],[ID]]))))</f>
        <v/>
      </c>
      <c r="I11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1" s="80" t="str">
        <f aca="false">IF(IFERROR(INDEX(tsk_Name,(ROW()-ROW(MSPTasks[[#Headers],[ID]])))="",TRUE()),"",INDEX(tsk_PlanStart,(ROW()-ROW(MSPTasks[[#Headers],[ID]]))))</f>
        <v/>
      </c>
      <c r="P111" s="80" t="str">
        <f aca="false">IF(IFERROR(INDEX(tsk_Name,(ROW()-ROW(MSPTasks[[#Headers],[ID]])))="",TRUE()),"",INDEX(tsk_PlanFinish,(ROW()-ROW(MSPTasks[[#Headers],[ID]]))))</f>
        <v/>
      </c>
      <c r="Q11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1" s="23" t="str">
        <f aca="false">IF(IFERROR(INDEX(tsk_Name,(ROW()-ROW(MSPTasks[[#Headers],[ID]])))="",TRUE()),"",INDEX(tsk_Notes,(ROW()-ROW(MSPTasks[[#Headers],[ID]])))&amp;"")</f>
        <v/>
      </c>
    </row>
    <row r="112" customFormat="false" ht="15" hidden="false" customHeight="false" outlineLevel="0" collapsed="false">
      <c r="A112" s="23" t="str">
        <f aca="false">IF(IFERROR(INDEX(tsk_Name,(ROW()-ROW(MSPTasks[[#Headers],[ID]])))="",TRUE()),"",INDEX(tsk_ID,(ROW()-ROW(MSPTasks[[#Headers],[ID]]))))</f>
        <v/>
      </c>
      <c r="B112" s="23" t="str">
        <f aca="false">IF(IFERROR(INDEX(tsk_Name,(ROW()-ROW(MSPTasks[[#Headers],[ID]])))="",TRUE()),"",INDEX(tsk_UID,(ROW()-ROW(MSPTasks[[#Headers],[ID]]))))</f>
        <v/>
      </c>
      <c r="C112" s="23" t="str">
        <f aca="false">IF(IFERROR(INDEX(tsk_Name,(ROW()-ROW(MSPTasks[[#Headers],[ID]])))="",TRUE()),"",INDEX(tsk_Name,(ROW()-ROW(MSPTasks[[#Headers],[ID]]))))</f>
        <v/>
      </c>
      <c r="D112" s="23" t="str">
        <f aca="false">IF(IFERROR(INDEX(tsk_Name,(ROW()-ROW(MSPTasks[[#Headers],[ID]])))="",TRUE()),"",INDEX(tsk_Level,(ROW()-ROW(MSPTasks[[#Headers],[ID]]))))</f>
        <v/>
      </c>
      <c r="E112" s="23" t="str">
        <f aca="false">IF(IFERROR(INDEX(tsk_Name,(ROW()-ROW(MSPTasks[[#Headers],[ID]])))="",TRUE()),"",IF(INDEX(tsk_Mode,(ROW()-ROW(MSPTasks[[#Headers],[ID]])))="Manual","Manually Scheduled","Auto Scheduled"))</f>
        <v/>
      </c>
      <c r="F11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2" s="80" t="str">
        <f aca="false">IF(IFERROR(INDEX(tsk_Name,(ROW()-ROW(MSPTasks[[#Headers],[ID]])))="",TRUE()),"",INDEX(tsk_FcStart,(ROW()-ROW(MSPTasks[[#Headers],[ID]]))))</f>
        <v/>
      </c>
      <c r="H112" s="80" t="str">
        <f aca="false">IF(IFERROR(INDEX(tsk_Name,(ROW()-ROW(MSPTasks[[#Headers],[ID]])))="",TRUE()),"",INDEX(tsk_FcFinish,(ROW()-ROW(MSPTasks[[#Headers],[ID]]))))</f>
        <v/>
      </c>
      <c r="I11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2" s="80" t="str">
        <f aca="false">IF(IFERROR(INDEX(tsk_Name,(ROW()-ROW(MSPTasks[[#Headers],[ID]])))="",TRUE()),"",INDEX(tsk_PlanStart,(ROW()-ROW(MSPTasks[[#Headers],[ID]]))))</f>
        <v/>
      </c>
      <c r="P112" s="80" t="str">
        <f aca="false">IF(IFERROR(INDEX(tsk_Name,(ROW()-ROW(MSPTasks[[#Headers],[ID]])))="",TRUE()),"",INDEX(tsk_PlanFinish,(ROW()-ROW(MSPTasks[[#Headers],[ID]]))))</f>
        <v/>
      </c>
      <c r="Q11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2" s="23" t="str">
        <f aca="false">IF(IFERROR(INDEX(tsk_Name,(ROW()-ROW(MSPTasks[[#Headers],[ID]])))="",TRUE()),"",INDEX(tsk_Notes,(ROW()-ROW(MSPTasks[[#Headers],[ID]])))&amp;"")</f>
        <v/>
      </c>
    </row>
    <row r="113" customFormat="false" ht="15" hidden="false" customHeight="false" outlineLevel="0" collapsed="false">
      <c r="A113" s="23" t="str">
        <f aca="false">IF(IFERROR(INDEX(tsk_Name,(ROW()-ROW(MSPTasks[[#Headers],[ID]])))="",TRUE()),"",INDEX(tsk_ID,(ROW()-ROW(MSPTasks[[#Headers],[ID]]))))</f>
        <v/>
      </c>
      <c r="B113" s="23" t="str">
        <f aca="false">IF(IFERROR(INDEX(tsk_Name,(ROW()-ROW(MSPTasks[[#Headers],[ID]])))="",TRUE()),"",INDEX(tsk_UID,(ROW()-ROW(MSPTasks[[#Headers],[ID]]))))</f>
        <v/>
      </c>
      <c r="C113" s="23" t="str">
        <f aca="false">IF(IFERROR(INDEX(tsk_Name,(ROW()-ROW(MSPTasks[[#Headers],[ID]])))="",TRUE()),"",INDEX(tsk_Name,(ROW()-ROW(MSPTasks[[#Headers],[ID]]))))</f>
        <v/>
      </c>
      <c r="D113" s="23" t="str">
        <f aca="false">IF(IFERROR(INDEX(tsk_Name,(ROW()-ROW(MSPTasks[[#Headers],[ID]])))="",TRUE()),"",INDEX(tsk_Level,(ROW()-ROW(MSPTasks[[#Headers],[ID]]))))</f>
        <v/>
      </c>
      <c r="E113" s="23" t="str">
        <f aca="false">IF(IFERROR(INDEX(tsk_Name,(ROW()-ROW(MSPTasks[[#Headers],[ID]])))="",TRUE()),"",IF(INDEX(tsk_Mode,(ROW()-ROW(MSPTasks[[#Headers],[ID]])))="Manual","Manually Scheduled","Auto Scheduled"))</f>
        <v/>
      </c>
      <c r="F11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3" s="80" t="str">
        <f aca="false">IF(IFERROR(INDEX(tsk_Name,(ROW()-ROW(MSPTasks[[#Headers],[ID]])))="",TRUE()),"",INDEX(tsk_FcStart,(ROW()-ROW(MSPTasks[[#Headers],[ID]]))))</f>
        <v/>
      </c>
      <c r="H113" s="80" t="str">
        <f aca="false">IF(IFERROR(INDEX(tsk_Name,(ROW()-ROW(MSPTasks[[#Headers],[ID]])))="",TRUE()),"",INDEX(tsk_FcFinish,(ROW()-ROW(MSPTasks[[#Headers],[ID]]))))</f>
        <v/>
      </c>
      <c r="I11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3" s="80" t="str">
        <f aca="false">IF(IFERROR(INDEX(tsk_Name,(ROW()-ROW(MSPTasks[[#Headers],[ID]])))="",TRUE()),"",INDEX(tsk_PlanStart,(ROW()-ROW(MSPTasks[[#Headers],[ID]]))))</f>
        <v/>
      </c>
      <c r="P113" s="80" t="str">
        <f aca="false">IF(IFERROR(INDEX(tsk_Name,(ROW()-ROW(MSPTasks[[#Headers],[ID]])))="",TRUE()),"",INDEX(tsk_PlanFinish,(ROW()-ROW(MSPTasks[[#Headers],[ID]]))))</f>
        <v/>
      </c>
      <c r="Q11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3" s="23" t="str">
        <f aca="false">IF(IFERROR(INDEX(tsk_Name,(ROW()-ROW(MSPTasks[[#Headers],[ID]])))="",TRUE()),"",INDEX(tsk_Notes,(ROW()-ROW(MSPTasks[[#Headers],[ID]])))&amp;"")</f>
        <v/>
      </c>
    </row>
    <row r="114" customFormat="false" ht="15" hidden="false" customHeight="false" outlineLevel="0" collapsed="false">
      <c r="A114" s="23" t="str">
        <f aca="false">IF(IFERROR(INDEX(tsk_Name,(ROW()-ROW(MSPTasks[[#Headers],[ID]])))="",TRUE()),"",INDEX(tsk_ID,(ROW()-ROW(MSPTasks[[#Headers],[ID]]))))</f>
        <v/>
      </c>
      <c r="B114" s="23" t="str">
        <f aca="false">IF(IFERROR(INDEX(tsk_Name,(ROW()-ROW(MSPTasks[[#Headers],[ID]])))="",TRUE()),"",INDEX(tsk_UID,(ROW()-ROW(MSPTasks[[#Headers],[ID]]))))</f>
        <v/>
      </c>
      <c r="C114" s="23" t="str">
        <f aca="false">IF(IFERROR(INDEX(tsk_Name,(ROW()-ROW(MSPTasks[[#Headers],[ID]])))="",TRUE()),"",INDEX(tsk_Name,(ROW()-ROW(MSPTasks[[#Headers],[ID]]))))</f>
        <v/>
      </c>
      <c r="D114" s="23" t="str">
        <f aca="false">IF(IFERROR(INDEX(tsk_Name,(ROW()-ROW(MSPTasks[[#Headers],[ID]])))="",TRUE()),"",INDEX(tsk_Level,(ROW()-ROW(MSPTasks[[#Headers],[ID]]))))</f>
        <v/>
      </c>
      <c r="E114" s="23" t="str">
        <f aca="false">IF(IFERROR(INDEX(tsk_Name,(ROW()-ROW(MSPTasks[[#Headers],[ID]])))="",TRUE()),"",IF(INDEX(tsk_Mode,(ROW()-ROW(MSPTasks[[#Headers],[ID]])))="Manual","Manually Scheduled","Auto Scheduled"))</f>
        <v/>
      </c>
      <c r="F11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4" s="80" t="str">
        <f aca="false">IF(IFERROR(INDEX(tsk_Name,(ROW()-ROW(MSPTasks[[#Headers],[ID]])))="",TRUE()),"",INDEX(tsk_FcStart,(ROW()-ROW(MSPTasks[[#Headers],[ID]]))))</f>
        <v/>
      </c>
      <c r="H114" s="80" t="str">
        <f aca="false">IF(IFERROR(INDEX(tsk_Name,(ROW()-ROW(MSPTasks[[#Headers],[ID]])))="",TRUE()),"",INDEX(tsk_FcFinish,(ROW()-ROW(MSPTasks[[#Headers],[ID]]))))</f>
        <v/>
      </c>
      <c r="I11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4" s="80" t="str">
        <f aca="false">IF(IFERROR(INDEX(tsk_Name,(ROW()-ROW(MSPTasks[[#Headers],[ID]])))="",TRUE()),"",INDEX(tsk_PlanStart,(ROW()-ROW(MSPTasks[[#Headers],[ID]]))))</f>
        <v/>
      </c>
      <c r="P114" s="80" t="str">
        <f aca="false">IF(IFERROR(INDEX(tsk_Name,(ROW()-ROW(MSPTasks[[#Headers],[ID]])))="",TRUE()),"",INDEX(tsk_PlanFinish,(ROW()-ROW(MSPTasks[[#Headers],[ID]]))))</f>
        <v/>
      </c>
      <c r="Q11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4" s="23" t="str">
        <f aca="false">IF(IFERROR(INDEX(tsk_Name,(ROW()-ROW(MSPTasks[[#Headers],[ID]])))="",TRUE()),"",INDEX(tsk_Notes,(ROW()-ROW(MSPTasks[[#Headers],[ID]])))&amp;"")</f>
        <v/>
      </c>
    </row>
    <row r="115" customFormat="false" ht="15" hidden="false" customHeight="false" outlineLevel="0" collapsed="false">
      <c r="A115" s="23" t="str">
        <f aca="false">IF(IFERROR(INDEX(tsk_Name,(ROW()-ROW(MSPTasks[[#Headers],[ID]])))="",TRUE()),"",INDEX(tsk_ID,(ROW()-ROW(MSPTasks[[#Headers],[ID]]))))</f>
        <v/>
      </c>
      <c r="B115" s="23" t="str">
        <f aca="false">IF(IFERROR(INDEX(tsk_Name,(ROW()-ROW(MSPTasks[[#Headers],[ID]])))="",TRUE()),"",INDEX(tsk_UID,(ROW()-ROW(MSPTasks[[#Headers],[ID]]))))</f>
        <v/>
      </c>
      <c r="C115" s="23" t="str">
        <f aca="false">IF(IFERROR(INDEX(tsk_Name,(ROW()-ROW(MSPTasks[[#Headers],[ID]])))="",TRUE()),"",INDEX(tsk_Name,(ROW()-ROW(MSPTasks[[#Headers],[ID]]))))</f>
        <v/>
      </c>
      <c r="D115" s="23" t="str">
        <f aca="false">IF(IFERROR(INDEX(tsk_Name,(ROW()-ROW(MSPTasks[[#Headers],[ID]])))="",TRUE()),"",INDEX(tsk_Level,(ROW()-ROW(MSPTasks[[#Headers],[ID]]))))</f>
        <v/>
      </c>
      <c r="E115" s="23" t="str">
        <f aca="false">IF(IFERROR(INDEX(tsk_Name,(ROW()-ROW(MSPTasks[[#Headers],[ID]])))="",TRUE()),"",IF(INDEX(tsk_Mode,(ROW()-ROW(MSPTasks[[#Headers],[ID]])))="Manual","Manually Scheduled","Auto Scheduled"))</f>
        <v/>
      </c>
      <c r="F11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5" s="80" t="str">
        <f aca="false">IF(IFERROR(INDEX(tsk_Name,(ROW()-ROW(MSPTasks[[#Headers],[ID]])))="",TRUE()),"",INDEX(tsk_FcStart,(ROW()-ROW(MSPTasks[[#Headers],[ID]]))))</f>
        <v/>
      </c>
      <c r="H115" s="80" t="str">
        <f aca="false">IF(IFERROR(INDEX(tsk_Name,(ROW()-ROW(MSPTasks[[#Headers],[ID]])))="",TRUE()),"",INDEX(tsk_FcFinish,(ROW()-ROW(MSPTasks[[#Headers],[ID]]))))</f>
        <v/>
      </c>
      <c r="I11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5" s="80" t="str">
        <f aca="false">IF(IFERROR(INDEX(tsk_Name,(ROW()-ROW(MSPTasks[[#Headers],[ID]])))="",TRUE()),"",INDEX(tsk_PlanStart,(ROW()-ROW(MSPTasks[[#Headers],[ID]]))))</f>
        <v/>
      </c>
      <c r="P115" s="80" t="str">
        <f aca="false">IF(IFERROR(INDEX(tsk_Name,(ROW()-ROW(MSPTasks[[#Headers],[ID]])))="",TRUE()),"",INDEX(tsk_PlanFinish,(ROW()-ROW(MSPTasks[[#Headers],[ID]]))))</f>
        <v/>
      </c>
      <c r="Q11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5" s="23" t="str">
        <f aca="false">IF(IFERROR(INDEX(tsk_Name,(ROW()-ROW(MSPTasks[[#Headers],[ID]])))="",TRUE()),"",INDEX(tsk_Notes,(ROW()-ROW(MSPTasks[[#Headers],[ID]])))&amp;"")</f>
        <v/>
      </c>
    </row>
    <row r="116" customFormat="false" ht="15" hidden="false" customHeight="false" outlineLevel="0" collapsed="false">
      <c r="A116" s="23" t="str">
        <f aca="false">IF(IFERROR(INDEX(tsk_Name,(ROW()-ROW(MSPTasks[[#Headers],[ID]])))="",TRUE()),"",INDEX(tsk_ID,(ROW()-ROW(MSPTasks[[#Headers],[ID]]))))</f>
        <v/>
      </c>
      <c r="B116" s="23" t="str">
        <f aca="false">IF(IFERROR(INDEX(tsk_Name,(ROW()-ROW(MSPTasks[[#Headers],[ID]])))="",TRUE()),"",INDEX(tsk_UID,(ROW()-ROW(MSPTasks[[#Headers],[ID]]))))</f>
        <v/>
      </c>
      <c r="C116" s="23" t="str">
        <f aca="false">IF(IFERROR(INDEX(tsk_Name,(ROW()-ROW(MSPTasks[[#Headers],[ID]])))="",TRUE()),"",INDEX(tsk_Name,(ROW()-ROW(MSPTasks[[#Headers],[ID]]))))</f>
        <v/>
      </c>
      <c r="D116" s="23" t="str">
        <f aca="false">IF(IFERROR(INDEX(tsk_Name,(ROW()-ROW(MSPTasks[[#Headers],[ID]])))="",TRUE()),"",INDEX(tsk_Level,(ROW()-ROW(MSPTasks[[#Headers],[ID]]))))</f>
        <v/>
      </c>
      <c r="E116" s="23" t="str">
        <f aca="false">IF(IFERROR(INDEX(tsk_Name,(ROW()-ROW(MSPTasks[[#Headers],[ID]])))="",TRUE()),"",IF(INDEX(tsk_Mode,(ROW()-ROW(MSPTasks[[#Headers],[ID]])))="Manual","Manually Scheduled","Auto Scheduled"))</f>
        <v/>
      </c>
      <c r="F11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6" s="80" t="str">
        <f aca="false">IF(IFERROR(INDEX(tsk_Name,(ROW()-ROW(MSPTasks[[#Headers],[ID]])))="",TRUE()),"",INDEX(tsk_FcStart,(ROW()-ROW(MSPTasks[[#Headers],[ID]]))))</f>
        <v/>
      </c>
      <c r="H116" s="80" t="str">
        <f aca="false">IF(IFERROR(INDEX(tsk_Name,(ROW()-ROW(MSPTasks[[#Headers],[ID]])))="",TRUE()),"",INDEX(tsk_FcFinish,(ROW()-ROW(MSPTasks[[#Headers],[ID]]))))</f>
        <v/>
      </c>
      <c r="I11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6" s="80" t="str">
        <f aca="false">IF(IFERROR(INDEX(tsk_Name,(ROW()-ROW(MSPTasks[[#Headers],[ID]])))="",TRUE()),"",INDEX(tsk_PlanStart,(ROW()-ROW(MSPTasks[[#Headers],[ID]]))))</f>
        <v/>
      </c>
      <c r="P116" s="80" t="str">
        <f aca="false">IF(IFERROR(INDEX(tsk_Name,(ROW()-ROW(MSPTasks[[#Headers],[ID]])))="",TRUE()),"",INDEX(tsk_PlanFinish,(ROW()-ROW(MSPTasks[[#Headers],[ID]]))))</f>
        <v/>
      </c>
      <c r="Q11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6" s="23" t="str">
        <f aca="false">IF(IFERROR(INDEX(tsk_Name,(ROW()-ROW(MSPTasks[[#Headers],[ID]])))="",TRUE()),"",INDEX(tsk_Notes,(ROW()-ROW(MSPTasks[[#Headers],[ID]])))&amp;"")</f>
        <v/>
      </c>
    </row>
    <row r="117" customFormat="false" ht="15" hidden="false" customHeight="false" outlineLevel="0" collapsed="false">
      <c r="A117" s="23" t="str">
        <f aca="false">IF(IFERROR(INDEX(tsk_Name,(ROW()-ROW(MSPTasks[[#Headers],[ID]])))="",TRUE()),"",INDEX(tsk_ID,(ROW()-ROW(MSPTasks[[#Headers],[ID]]))))</f>
        <v/>
      </c>
      <c r="B117" s="23" t="str">
        <f aca="false">IF(IFERROR(INDEX(tsk_Name,(ROW()-ROW(MSPTasks[[#Headers],[ID]])))="",TRUE()),"",INDEX(tsk_UID,(ROW()-ROW(MSPTasks[[#Headers],[ID]]))))</f>
        <v/>
      </c>
      <c r="C117" s="23" t="str">
        <f aca="false">IF(IFERROR(INDEX(tsk_Name,(ROW()-ROW(MSPTasks[[#Headers],[ID]])))="",TRUE()),"",INDEX(tsk_Name,(ROW()-ROW(MSPTasks[[#Headers],[ID]]))))</f>
        <v/>
      </c>
      <c r="D117" s="23" t="str">
        <f aca="false">IF(IFERROR(INDEX(tsk_Name,(ROW()-ROW(MSPTasks[[#Headers],[ID]])))="",TRUE()),"",INDEX(tsk_Level,(ROW()-ROW(MSPTasks[[#Headers],[ID]]))))</f>
        <v/>
      </c>
      <c r="E117" s="23" t="str">
        <f aca="false">IF(IFERROR(INDEX(tsk_Name,(ROW()-ROW(MSPTasks[[#Headers],[ID]])))="",TRUE()),"",IF(INDEX(tsk_Mode,(ROW()-ROW(MSPTasks[[#Headers],[ID]])))="Manual","Manually Scheduled","Auto Scheduled"))</f>
        <v/>
      </c>
      <c r="F11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7" s="80" t="str">
        <f aca="false">IF(IFERROR(INDEX(tsk_Name,(ROW()-ROW(MSPTasks[[#Headers],[ID]])))="",TRUE()),"",INDEX(tsk_FcStart,(ROW()-ROW(MSPTasks[[#Headers],[ID]]))))</f>
        <v/>
      </c>
      <c r="H117" s="80" t="str">
        <f aca="false">IF(IFERROR(INDEX(tsk_Name,(ROW()-ROW(MSPTasks[[#Headers],[ID]])))="",TRUE()),"",INDEX(tsk_FcFinish,(ROW()-ROW(MSPTasks[[#Headers],[ID]]))))</f>
        <v/>
      </c>
      <c r="I11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7" s="80" t="str">
        <f aca="false">IF(IFERROR(INDEX(tsk_Name,(ROW()-ROW(MSPTasks[[#Headers],[ID]])))="",TRUE()),"",INDEX(tsk_PlanStart,(ROW()-ROW(MSPTasks[[#Headers],[ID]]))))</f>
        <v/>
      </c>
      <c r="P117" s="80" t="str">
        <f aca="false">IF(IFERROR(INDEX(tsk_Name,(ROW()-ROW(MSPTasks[[#Headers],[ID]])))="",TRUE()),"",INDEX(tsk_PlanFinish,(ROW()-ROW(MSPTasks[[#Headers],[ID]]))))</f>
        <v/>
      </c>
      <c r="Q11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7" s="23" t="str">
        <f aca="false">IF(IFERROR(INDEX(tsk_Name,(ROW()-ROW(MSPTasks[[#Headers],[ID]])))="",TRUE()),"",INDEX(tsk_Notes,(ROW()-ROW(MSPTasks[[#Headers],[ID]])))&amp;"")</f>
        <v/>
      </c>
    </row>
    <row r="118" customFormat="false" ht="15" hidden="false" customHeight="false" outlineLevel="0" collapsed="false">
      <c r="A118" s="23" t="str">
        <f aca="false">IF(IFERROR(INDEX(tsk_Name,(ROW()-ROW(MSPTasks[[#Headers],[ID]])))="",TRUE()),"",INDEX(tsk_ID,(ROW()-ROW(MSPTasks[[#Headers],[ID]]))))</f>
        <v/>
      </c>
      <c r="B118" s="23" t="str">
        <f aca="false">IF(IFERROR(INDEX(tsk_Name,(ROW()-ROW(MSPTasks[[#Headers],[ID]])))="",TRUE()),"",INDEX(tsk_UID,(ROW()-ROW(MSPTasks[[#Headers],[ID]]))))</f>
        <v/>
      </c>
      <c r="C118" s="23" t="str">
        <f aca="false">IF(IFERROR(INDEX(tsk_Name,(ROW()-ROW(MSPTasks[[#Headers],[ID]])))="",TRUE()),"",INDEX(tsk_Name,(ROW()-ROW(MSPTasks[[#Headers],[ID]]))))</f>
        <v/>
      </c>
      <c r="D118" s="23" t="str">
        <f aca="false">IF(IFERROR(INDEX(tsk_Name,(ROW()-ROW(MSPTasks[[#Headers],[ID]])))="",TRUE()),"",INDEX(tsk_Level,(ROW()-ROW(MSPTasks[[#Headers],[ID]]))))</f>
        <v/>
      </c>
      <c r="E118" s="23" t="str">
        <f aca="false">IF(IFERROR(INDEX(tsk_Name,(ROW()-ROW(MSPTasks[[#Headers],[ID]])))="",TRUE()),"",IF(INDEX(tsk_Mode,(ROW()-ROW(MSPTasks[[#Headers],[ID]])))="Manual","Manually Scheduled","Auto Scheduled"))</f>
        <v/>
      </c>
      <c r="F11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8" s="80" t="str">
        <f aca="false">IF(IFERROR(INDEX(tsk_Name,(ROW()-ROW(MSPTasks[[#Headers],[ID]])))="",TRUE()),"",INDEX(tsk_FcStart,(ROW()-ROW(MSPTasks[[#Headers],[ID]]))))</f>
        <v/>
      </c>
      <c r="H118" s="80" t="str">
        <f aca="false">IF(IFERROR(INDEX(tsk_Name,(ROW()-ROW(MSPTasks[[#Headers],[ID]])))="",TRUE()),"",INDEX(tsk_FcFinish,(ROW()-ROW(MSPTasks[[#Headers],[ID]]))))</f>
        <v/>
      </c>
      <c r="I11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8" s="80" t="str">
        <f aca="false">IF(IFERROR(INDEX(tsk_Name,(ROW()-ROW(MSPTasks[[#Headers],[ID]])))="",TRUE()),"",INDEX(tsk_PlanStart,(ROW()-ROW(MSPTasks[[#Headers],[ID]]))))</f>
        <v/>
      </c>
      <c r="P118" s="80" t="str">
        <f aca="false">IF(IFERROR(INDEX(tsk_Name,(ROW()-ROW(MSPTasks[[#Headers],[ID]])))="",TRUE()),"",INDEX(tsk_PlanFinish,(ROW()-ROW(MSPTasks[[#Headers],[ID]]))))</f>
        <v/>
      </c>
      <c r="Q11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8" s="23" t="str">
        <f aca="false">IF(IFERROR(INDEX(tsk_Name,(ROW()-ROW(MSPTasks[[#Headers],[ID]])))="",TRUE()),"",INDEX(tsk_Notes,(ROW()-ROW(MSPTasks[[#Headers],[ID]])))&amp;"")</f>
        <v/>
      </c>
    </row>
    <row r="119" customFormat="false" ht="15" hidden="false" customHeight="false" outlineLevel="0" collapsed="false">
      <c r="A119" s="23" t="str">
        <f aca="false">IF(IFERROR(INDEX(tsk_Name,(ROW()-ROW(MSPTasks[[#Headers],[ID]])))="",TRUE()),"",INDEX(tsk_ID,(ROW()-ROW(MSPTasks[[#Headers],[ID]]))))</f>
        <v/>
      </c>
      <c r="B119" s="23" t="str">
        <f aca="false">IF(IFERROR(INDEX(tsk_Name,(ROW()-ROW(MSPTasks[[#Headers],[ID]])))="",TRUE()),"",INDEX(tsk_UID,(ROW()-ROW(MSPTasks[[#Headers],[ID]]))))</f>
        <v/>
      </c>
      <c r="C119" s="23" t="str">
        <f aca="false">IF(IFERROR(INDEX(tsk_Name,(ROW()-ROW(MSPTasks[[#Headers],[ID]])))="",TRUE()),"",INDEX(tsk_Name,(ROW()-ROW(MSPTasks[[#Headers],[ID]]))))</f>
        <v/>
      </c>
      <c r="D119" s="23" t="str">
        <f aca="false">IF(IFERROR(INDEX(tsk_Name,(ROW()-ROW(MSPTasks[[#Headers],[ID]])))="",TRUE()),"",INDEX(tsk_Level,(ROW()-ROW(MSPTasks[[#Headers],[ID]]))))</f>
        <v/>
      </c>
      <c r="E119" s="23" t="str">
        <f aca="false">IF(IFERROR(INDEX(tsk_Name,(ROW()-ROW(MSPTasks[[#Headers],[ID]])))="",TRUE()),"",IF(INDEX(tsk_Mode,(ROW()-ROW(MSPTasks[[#Headers],[ID]])))="Manual","Manually Scheduled","Auto Scheduled"))</f>
        <v/>
      </c>
      <c r="F11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9" s="80" t="str">
        <f aca="false">IF(IFERROR(INDEX(tsk_Name,(ROW()-ROW(MSPTasks[[#Headers],[ID]])))="",TRUE()),"",INDEX(tsk_FcStart,(ROW()-ROW(MSPTasks[[#Headers],[ID]]))))</f>
        <v/>
      </c>
      <c r="H119" s="80" t="str">
        <f aca="false">IF(IFERROR(INDEX(tsk_Name,(ROW()-ROW(MSPTasks[[#Headers],[ID]])))="",TRUE()),"",INDEX(tsk_FcFinish,(ROW()-ROW(MSPTasks[[#Headers],[ID]]))))</f>
        <v/>
      </c>
      <c r="I11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9" s="80" t="str">
        <f aca="false">IF(IFERROR(INDEX(tsk_Name,(ROW()-ROW(MSPTasks[[#Headers],[ID]])))="",TRUE()),"",INDEX(tsk_PlanStart,(ROW()-ROW(MSPTasks[[#Headers],[ID]]))))</f>
        <v/>
      </c>
      <c r="P119" s="80" t="str">
        <f aca="false">IF(IFERROR(INDEX(tsk_Name,(ROW()-ROW(MSPTasks[[#Headers],[ID]])))="",TRUE()),"",INDEX(tsk_PlanFinish,(ROW()-ROW(MSPTasks[[#Headers],[ID]]))))</f>
        <v/>
      </c>
      <c r="Q11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9" s="23" t="str">
        <f aca="false">IF(IFERROR(INDEX(tsk_Name,(ROW()-ROW(MSPTasks[[#Headers],[ID]])))="",TRUE()),"",INDEX(tsk_Notes,(ROW()-ROW(MSPTasks[[#Headers],[ID]])))&amp;"")</f>
        <v/>
      </c>
    </row>
    <row r="120" customFormat="false" ht="15" hidden="false" customHeight="false" outlineLevel="0" collapsed="false">
      <c r="A120" s="23" t="str">
        <f aca="false">IF(IFERROR(INDEX(tsk_Name,(ROW()-ROW(MSPTasks[[#Headers],[ID]])))="",TRUE()),"",INDEX(tsk_ID,(ROW()-ROW(MSPTasks[[#Headers],[ID]]))))</f>
        <v/>
      </c>
      <c r="B120" s="23" t="str">
        <f aca="false">IF(IFERROR(INDEX(tsk_Name,(ROW()-ROW(MSPTasks[[#Headers],[ID]])))="",TRUE()),"",INDEX(tsk_UID,(ROW()-ROW(MSPTasks[[#Headers],[ID]]))))</f>
        <v/>
      </c>
      <c r="C120" s="23" t="str">
        <f aca="false">IF(IFERROR(INDEX(tsk_Name,(ROW()-ROW(MSPTasks[[#Headers],[ID]])))="",TRUE()),"",INDEX(tsk_Name,(ROW()-ROW(MSPTasks[[#Headers],[ID]]))))</f>
        <v/>
      </c>
      <c r="D120" s="23" t="str">
        <f aca="false">IF(IFERROR(INDEX(tsk_Name,(ROW()-ROW(MSPTasks[[#Headers],[ID]])))="",TRUE()),"",INDEX(tsk_Level,(ROW()-ROW(MSPTasks[[#Headers],[ID]]))))</f>
        <v/>
      </c>
      <c r="E120" s="23" t="str">
        <f aca="false">IF(IFERROR(INDEX(tsk_Name,(ROW()-ROW(MSPTasks[[#Headers],[ID]])))="",TRUE()),"",IF(INDEX(tsk_Mode,(ROW()-ROW(MSPTasks[[#Headers],[ID]])))="Manual","Manually Scheduled","Auto Scheduled"))</f>
        <v/>
      </c>
      <c r="F12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0" s="80" t="str">
        <f aca="false">IF(IFERROR(INDEX(tsk_Name,(ROW()-ROW(MSPTasks[[#Headers],[ID]])))="",TRUE()),"",INDEX(tsk_FcStart,(ROW()-ROW(MSPTasks[[#Headers],[ID]]))))</f>
        <v/>
      </c>
      <c r="H120" s="80" t="str">
        <f aca="false">IF(IFERROR(INDEX(tsk_Name,(ROW()-ROW(MSPTasks[[#Headers],[ID]])))="",TRUE()),"",INDEX(tsk_FcFinish,(ROW()-ROW(MSPTasks[[#Headers],[ID]]))))</f>
        <v/>
      </c>
      <c r="I12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0" s="80" t="str">
        <f aca="false">IF(IFERROR(INDEX(tsk_Name,(ROW()-ROW(MSPTasks[[#Headers],[ID]])))="",TRUE()),"",INDEX(tsk_PlanStart,(ROW()-ROW(MSPTasks[[#Headers],[ID]]))))</f>
        <v/>
      </c>
      <c r="P120" s="80" t="str">
        <f aca="false">IF(IFERROR(INDEX(tsk_Name,(ROW()-ROW(MSPTasks[[#Headers],[ID]])))="",TRUE()),"",INDEX(tsk_PlanFinish,(ROW()-ROW(MSPTasks[[#Headers],[ID]]))))</f>
        <v/>
      </c>
      <c r="Q12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0" s="23" t="str">
        <f aca="false">IF(IFERROR(INDEX(tsk_Name,(ROW()-ROW(MSPTasks[[#Headers],[ID]])))="",TRUE()),"",INDEX(tsk_Notes,(ROW()-ROW(MSPTasks[[#Headers],[ID]])))&amp;"")</f>
        <v/>
      </c>
    </row>
    <row r="121" customFormat="false" ht="15" hidden="false" customHeight="false" outlineLevel="0" collapsed="false">
      <c r="A121" s="23" t="str">
        <f aca="false">IF(IFERROR(INDEX(tsk_Name,(ROW()-ROW(MSPTasks[[#Headers],[ID]])))="",TRUE()),"",INDEX(tsk_ID,(ROW()-ROW(MSPTasks[[#Headers],[ID]]))))</f>
        <v/>
      </c>
      <c r="B121" s="23" t="str">
        <f aca="false">IF(IFERROR(INDEX(tsk_Name,(ROW()-ROW(MSPTasks[[#Headers],[ID]])))="",TRUE()),"",INDEX(tsk_UID,(ROW()-ROW(MSPTasks[[#Headers],[ID]]))))</f>
        <v/>
      </c>
      <c r="C121" s="23" t="str">
        <f aca="false">IF(IFERROR(INDEX(tsk_Name,(ROW()-ROW(MSPTasks[[#Headers],[ID]])))="",TRUE()),"",INDEX(tsk_Name,(ROW()-ROW(MSPTasks[[#Headers],[ID]]))))</f>
        <v/>
      </c>
      <c r="D121" s="23" t="str">
        <f aca="false">IF(IFERROR(INDEX(tsk_Name,(ROW()-ROW(MSPTasks[[#Headers],[ID]])))="",TRUE()),"",INDEX(tsk_Level,(ROW()-ROW(MSPTasks[[#Headers],[ID]]))))</f>
        <v/>
      </c>
      <c r="E121" s="23" t="str">
        <f aca="false">IF(IFERROR(INDEX(tsk_Name,(ROW()-ROW(MSPTasks[[#Headers],[ID]])))="",TRUE()),"",IF(INDEX(tsk_Mode,(ROW()-ROW(MSPTasks[[#Headers],[ID]])))="Manual","Manually Scheduled","Auto Scheduled"))</f>
        <v/>
      </c>
      <c r="F12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1" s="80" t="str">
        <f aca="false">IF(IFERROR(INDEX(tsk_Name,(ROW()-ROW(MSPTasks[[#Headers],[ID]])))="",TRUE()),"",INDEX(tsk_FcStart,(ROW()-ROW(MSPTasks[[#Headers],[ID]]))))</f>
        <v/>
      </c>
      <c r="H121" s="80" t="str">
        <f aca="false">IF(IFERROR(INDEX(tsk_Name,(ROW()-ROW(MSPTasks[[#Headers],[ID]])))="",TRUE()),"",INDEX(tsk_FcFinish,(ROW()-ROW(MSPTasks[[#Headers],[ID]]))))</f>
        <v/>
      </c>
      <c r="I12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1" s="80" t="str">
        <f aca="false">IF(IFERROR(INDEX(tsk_Name,(ROW()-ROW(MSPTasks[[#Headers],[ID]])))="",TRUE()),"",INDEX(tsk_PlanStart,(ROW()-ROW(MSPTasks[[#Headers],[ID]]))))</f>
        <v/>
      </c>
      <c r="P121" s="80" t="str">
        <f aca="false">IF(IFERROR(INDEX(tsk_Name,(ROW()-ROW(MSPTasks[[#Headers],[ID]])))="",TRUE()),"",INDEX(tsk_PlanFinish,(ROW()-ROW(MSPTasks[[#Headers],[ID]]))))</f>
        <v/>
      </c>
      <c r="Q12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1" s="23" t="str">
        <f aca="false">IF(IFERROR(INDEX(tsk_Name,(ROW()-ROW(MSPTasks[[#Headers],[ID]])))="",TRUE()),"",INDEX(tsk_Notes,(ROW()-ROW(MSPTasks[[#Headers],[ID]])))&amp;"")</f>
        <v/>
      </c>
    </row>
    <row r="122" customFormat="false" ht="15" hidden="false" customHeight="false" outlineLevel="0" collapsed="false">
      <c r="A122" s="23" t="str">
        <f aca="false">IF(IFERROR(INDEX(tsk_Name,(ROW()-ROW(MSPTasks[[#Headers],[ID]])))="",TRUE()),"",INDEX(tsk_ID,(ROW()-ROW(MSPTasks[[#Headers],[ID]]))))</f>
        <v/>
      </c>
      <c r="B122" s="23" t="str">
        <f aca="false">IF(IFERROR(INDEX(tsk_Name,(ROW()-ROW(MSPTasks[[#Headers],[ID]])))="",TRUE()),"",INDEX(tsk_UID,(ROW()-ROW(MSPTasks[[#Headers],[ID]]))))</f>
        <v/>
      </c>
      <c r="C122" s="23" t="str">
        <f aca="false">IF(IFERROR(INDEX(tsk_Name,(ROW()-ROW(MSPTasks[[#Headers],[ID]])))="",TRUE()),"",INDEX(tsk_Name,(ROW()-ROW(MSPTasks[[#Headers],[ID]]))))</f>
        <v/>
      </c>
      <c r="D122" s="23" t="str">
        <f aca="false">IF(IFERROR(INDEX(tsk_Name,(ROW()-ROW(MSPTasks[[#Headers],[ID]])))="",TRUE()),"",INDEX(tsk_Level,(ROW()-ROW(MSPTasks[[#Headers],[ID]]))))</f>
        <v/>
      </c>
      <c r="E122" s="23" t="str">
        <f aca="false">IF(IFERROR(INDEX(tsk_Name,(ROW()-ROW(MSPTasks[[#Headers],[ID]])))="",TRUE()),"",IF(INDEX(tsk_Mode,(ROW()-ROW(MSPTasks[[#Headers],[ID]])))="Manual","Manually Scheduled","Auto Scheduled"))</f>
        <v/>
      </c>
      <c r="F12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2" s="80" t="str">
        <f aca="false">IF(IFERROR(INDEX(tsk_Name,(ROW()-ROW(MSPTasks[[#Headers],[ID]])))="",TRUE()),"",INDEX(tsk_FcStart,(ROW()-ROW(MSPTasks[[#Headers],[ID]]))))</f>
        <v/>
      </c>
      <c r="H122" s="80" t="str">
        <f aca="false">IF(IFERROR(INDEX(tsk_Name,(ROW()-ROW(MSPTasks[[#Headers],[ID]])))="",TRUE()),"",INDEX(tsk_FcFinish,(ROW()-ROW(MSPTasks[[#Headers],[ID]]))))</f>
        <v/>
      </c>
      <c r="I12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2" s="80" t="str">
        <f aca="false">IF(IFERROR(INDEX(tsk_Name,(ROW()-ROW(MSPTasks[[#Headers],[ID]])))="",TRUE()),"",INDEX(tsk_PlanStart,(ROW()-ROW(MSPTasks[[#Headers],[ID]]))))</f>
        <v/>
      </c>
      <c r="P122" s="80" t="str">
        <f aca="false">IF(IFERROR(INDEX(tsk_Name,(ROW()-ROW(MSPTasks[[#Headers],[ID]])))="",TRUE()),"",INDEX(tsk_PlanFinish,(ROW()-ROW(MSPTasks[[#Headers],[ID]]))))</f>
        <v/>
      </c>
      <c r="Q12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2" s="23" t="str">
        <f aca="false">IF(IFERROR(INDEX(tsk_Name,(ROW()-ROW(MSPTasks[[#Headers],[ID]])))="",TRUE()),"",INDEX(tsk_Notes,(ROW()-ROW(MSPTasks[[#Headers],[ID]])))&amp;"")</f>
        <v/>
      </c>
    </row>
    <row r="123" customFormat="false" ht="15" hidden="false" customHeight="false" outlineLevel="0" collapsed="false">
      <c r="A123" s="23" t="str">
        <f aca="false">IF(IFERROR(INDEX(tsk_Name,(ROW()-ROW(MSPTasks[[#Headers],[ID]])))="",TRUE()),"",INDEX(tsk_ID,(ROW()-ROW(MSPTasks[[#Headers],[ID]]))))</f>
        <v/>
      </c>
      <c r="B123" s="23" t="str">
        <f aca="false">IF(IFERROR(INDEX(tsk_Name,(ROW()-ROW(MSPTasks[[#Headers],[ID]])))="",TRUE()),"",INDEX(tsk_UID,(ROW()-ROW(MSPTasks[[#Headers],[ID]]))))</f>
        <v/>
      </c>
      <c r="C123" s="23" t="str">
        <f aca="false">IF(IFERROR(INDEX(tsk_Name,(ROW()-ROW(MSPTasks[[#Headers],[ID]])))="",TRUE()),"",INDEX(tsk_Name,(ROW()-ROW(MSPTasks[[#Headers],[ID]]))))</f>
        <v/>
      </c>
      <c r="D123" s="23" t="str">
        <f aca="false">IF(IFERROR(INDEX(tsk_Name,(ROW()-ROW(MSPTasks[[#Headers],[ID]])))="",TRUE()),"",INDEX(tsk_Level,(ROW()-ROW(MSPTasks[[#Headers],[ID]]))))</f>
        <v/>
      </c>
      <c r="E123" s="23" t="str">
        <f aca="false">IF(IFERROR(INDEX(tsk_Name,(ROW()-ROW(MSPTasks[[#Headers],[ID]])))="",TRUE()),"",IF(INDEX(tsk_Mode,(ROW()-ROW(MSPTasks[[#Headers],[ID]])))="Manual","Manually Scheduled","Auto Scheduled"))</f>
        <v/>
      </c>
      <c r="F12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3" s="80" t="str">
        <f aca="false">IF(IFERROR(INDEX(tsk_Name,(ROW()-ROW(MSPTasks[[#Headers],[ID]])))="",TRUE()),"",INDEX(tsk_FcStart,(ROW()-ROW(MSPTasks[[#Headers],[ID]]))))</f>
        <v/>
      </c>
      <c r="H123" s="80" t="str">
        <f aca="false">IF(IFERROR(INDEX(tsk_Name,(ROW()-ROW(MSPTasks[[#Headers],[ID]])))="",TRUE()),"",INDEX(tsk_FcFinish,(ROW()-ROW(MSPTasks[[#Headers],[ID]]))))</f>
        <v/>
      </c>
      <c r="I12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3" s="80" t="str">
        <f aca="false">IF(IFERROR(INDEX(tsk_Name,(ROW()-ROW(MSPTasks[[#Headers],[ID]])))="",TRUE()),"",INDEX(tsk_PlanStart,(ROW()-ROW(MSPTasks[[#Headers],[ID]]))))</f>
        <v/>
      </c>
      <c r="P123" s="80" t="str">
        <f aca="false">IF(IFERROR(INDEX(tsk_Name,(ROW()-ROW(MSPTasks[[#Headers],[ID]])))="",TRUE()),"",INDEX(tsk_PlanFinish,(ROW()-ROW(MSPTasks[[#Headers],[ID]]))))</f>
        <v/>
      </c>
      <c r="Q12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3" s="23" t="str">
        <f aca="false">IF(IFERROR(INDEX(tsk_Name,(ROW()-ROW(MSPTasks[[#Headers],[ID]])))="",TRUE()),"",INDEX(tsk_Notes,(ROW()-ROW(MSPTasks[[#Headers],[ID]])))&amp;"")</f>
        <v/>
      </c>
    </row>
    <row r="124" customFormat="false" ht="15" hidden="false" customHeight="false" outlineLevel="0" collapsed="false">
      <c r="A124" s="23" t="str">
        <f aca="false">IF(IFERROR(INDEX(tsk_Name,(ROW()-ROW(MSPTasks[[#Headers],[ID]])))="",TRUE()),"",INDEX(tsk_ID,(ROW()-ROW(MSPTasks[[#Headers],[ID]]))))</f>
        <v/>
      </c>
      <c r="B124" s="23" t="str">
        <f aca="false">IF(IFERROR(INDEX(tsk_Name,(ROW()-ROW(MSPTasks[[#Headers],[ID]])))="",TRUE()),"",INDEX(tsk_UID,(ROW()-ROW(MSPTasks[[#Headers],[ID]]))))</f>
        <v/>
      </c>
      <c r="C124" s="23" t="str">
        <f aca="false">IF(IFERROR(INDEX(tsk_Name,(ROW()-ROW(MSPTasks[[#Headers],[ID]])))="",TRUE()),"",INDEX(tsk_Name,(ROW()-ROW(MSPTasks[[#Headers],[ID]]))))</f>
        <v/>
      </c>
      <c r="D124" s="23" t="str">
        <f aca="false">IF(IFERROR(INDEX(tsk_Name,(ROW()-ROW(MSPTasks[[#Headers],[ID]])))="",TRUE()),"",INDEX(tsk_Level,(ROW()-ROW(MSPTasks[[#Headers],[ID]]))))</f>
        <v/>
      </c>
      <c r="E124" s="23" t="str">
        <f aca="false">IF(IFERROR(INDEX(tsk_Name,(ROW()-ROW(MSPTasks[[#Headers],[ID]])))="",TRUE()),"",IF(INDEX(tsk_Mode,(ROW()-ROW(MSPTasks[[#Headers],[ID]])))="Manual","Manually Scheduled","Auto Scheduled"))</f>
        <v/>
      </c>
      <c r="F12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4" s="80" t="str">
        <f aca="false">IF(IFERROR(INDEX(tsk_Name,(ROW()-ROW(MSPTasks[[#Headers],[ID]])))="",TRUE()),"",INDEX(tsk_FcStart,(ROW()-ROW(MSPTasks[[#Headers],[ID]]))))</f>
        <v/>
      </c>
      <c r="H124" s="80" t="str">
        <f aca="false">IF(IFERROR(INDEX(tsk_Name,(ROW()-ROW(MSPTasks[[#Headers],[ID]])))="",TRUE()),"",INDEX(tsk_FcFinish,(ROW()-ROW(MSPTasks[[#Headers],[ID]]))))</f>
        <v/>
      </c>
      <c r="I12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4" s="80" t="str">
        <f aca="false">IF(IFERROR(INDEX(tsk_Name,(ROW()-ROW(MSPTasks[[#Headers],[ID]])))="",TRUE()),"",INDEX(tsk_PlanStart,(ROW()-ROW(MSPTasks[[#Headers],[ID]]))))</f>
        <v/>
      </c>
      <c r="P124" s="80" t="str">
        <f aca="false">IF(IFERROR(INDEX(tsk_Name,(ROW()-ROW(MSPTasks[[#Headers],[ID]])))="",TRUE()),"",INDEX(tsk_PlanFinish,(ROW()-ROW(MSPTasks[[#Headers],[ID]]))))</f>
        <v/>
      </c>
      <c r="Q12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4" s="23" t="str">
        <f aca="false">IF(IFERROR(INDEX(tsk_Name,(ROW()-ROW(MSPTasks[[#Headers],[ID]])))="",TRUE()),"",INDEX(tsk_Notes,(ROW()-ROW(MSPTasks[[#Headers],[ID]])))&amp;"")</f>
        <v/>
      </c>
    </row>
    <row r="125" customFormat="false" ht="15" hidden="false" customHeight="false" outlineLevel="0" collapsed="false">
      <c r="A125" s="23" t="str">
        <f aca="false">IF(IFERROR(INDEX(tsk_Name,(ROW()-ROW(MSPTasks[[#Headers],[ID]])))="",TRUE()),"",INDEX(tsk_ID,(ROW()-ROW(MSPTasks[[#Headers],[ID]]))))</f>
        <v/>
      </c>
      <c r="B125" s="23" t="str">
        <f aca="false">IF(IFERROR(INDEX(tsk_Name,(ROW()-ROW(MSPTasks[[#Headers],[ID]])))="",TRUE()),"",INDEX(tsk_UID,(ROW()-ROW(MSPTasks[[#Headers],[ID]]))))</f>
        <v/>
      </c>
      <c r="C125" s="23" t="str">
        <f aca="false">IF(IFERROR(INDEX(tsk_Name,(ROW()-ROW(MSPTasks[[#Headers],[ID]])))="",TRUE()),"",INDEX(tsk_Name,(ROW()-ROW(MSPTasks[[#Headers],[ID]]))))</f>
        <v/>
      </c>
      <c r="D125" s="23" t="str">
        <f aca="false">IF(IFERROR(INDEX(tsk_Name,(ROW()-ROW(MSPTasks[[#Headers],[ID]])))="",TRUE()),"",INDEX(tsk_Level,(ROW()-ROW(MSPTasks[[#Headers],[ID]]))))</f>
        <v/>
      </c>
      <c r="E125" s="23" t="str">
        <f aca="false">IF(IFERROR(INDEX(tsk_Name,(ROW()-ROW(MSPTasks[[#Headers],[ID]])))="",TRUE()),"",IF(INDEX(tsk_Mode,(ROW()-ROW(MSPTasks[[#Headers],[ID]])))="Manual","Manually Scheduled","Auto Scheduled"))</f>
        <v/>
      </c>
      <c r="F12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5" s="80" t="str">
        <f aca="false">IF(IFERROR(INDEX(tsk_Name,(ROW()-ROW(MSPTasks[[#Headers],[ID]])))="",TRUE()),"",INDEX(tsk_FcStart,(ROW()-ROW(MSPTasks[[#Headers],[ID]]))))</f>
        <v/>
      </c>
      <c r="H125" s="80" t="str">
        <f aca="false">IF(IFERROR(INDEX(tsk_Name,(ROW()-ROW(MSPTasks[[#Headers],[ID]])))="",TRUE()),"",INDEX(tsk_FcFinish,(ROW()-ROW(MSPTasks[[#Headers],[ID]]))))</f>
        <v/>
      </c>
      <c r="I12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5" s="80" t="str">
        <f aca="false">IF(IFERROR(INDEX(tsk_Name,(ROW()-ROW(MSPTasks[[#Headers],[ID]])))="",TRUE()),"",INDEX(tsk_PlanStart,(ROW()-ROW(MSPTasks[[#Headers],[ID]]))))</f>
        <v/>
      </c>
      <c r="P125" s="80" t="str">
        <f aca="false">IF(IFERROR(INDEX(tsk_Name,(ROW()-ROW(MSPTasks[[#Headers],[ID]])))="",TRUE()),"",INDEX(tsk_PlanFinish,(ROW()-ROW(MSPTasks[[#Headers],[ID]]))))</f>
        <v/>
      </c>
      <c r="Q12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5" s="23" t="str">
        <f aca="false">IF(IFERROR(INDEX(tsk_Name,(ROW()-ROW(MSPTasks[[#Headers],[ID]])))="",TRUE()),"",INDEX(tsk_Notes,(ROW()-ROW(MSPTasks[[#Headers],[ID]])))&amp;"")</f>
        <v/>
      </c>
    </row>
    <row r="126" customFormat="false" ht="15" hidden="false" customHeight="false" outlineLevel="0" collapsed="false">
      <c r="A126" s="23" t="str">
        <f aca="false">IF(IFERROR(INDEX(tsk_Name,(ROW()-ROW(MSPTasks[[#Headers],[ID]])))="",TRUE()),"",INDEX(tsk_ID,(ROW()-ROW(MSPTasks[[#Headers],[ID]]))))</f>
        <v/>
      </c>
      <c r="B126" s="23" t="str">
        <f aca="false">IF(IFERROR(INDEX(tsk_Name,(ROW()-ROW(MSPTasks[[#Headers],[ID]])))="",TRUE()),"",INDEX(tsk_UID,(ROW()-ROW(MSPTasks[[#Headers],[ID]]))))</f>
        <v/>
      </c>
      <c r="C126" s="23" t="str">
        <f aca="false">IF(IFERROR(INDEX(tsk_Name,(ROW()-ROW(MSPTasks[[#Headers],[ID]])))="",TRUE()),"",INDEX(tsk_Name,(ROW()-ROW(MSPTasks[[#Headers],[ID]]))))</f>
        <v/>
      </c>
      <c r="D126" s="23" t="str">
        <f aca="false">IF(IFERROR(INDEX(tsk_Name,(ROW()-ROW(MSPTasks[[#Headers],[ID]])))="",TRUE()),"",INDEX(tsk_Level,(ROW()-ROW(MSPTasks[[#Headers],[ID]]))))</f>
        <v/>
      </c>
      <c r="E126" s="23" t="str">
        <f aca="false">IF(IFERROR(INDEX(tsk_Name,(ROW()-ROW(MSPTasks[[#Headers],[ID]])))="",TRUE()),"",IF(INDEX(tsk_Mode,(ROW()-ROW(MSPTasks[[#Headers],[ID]])))="Manual","Manually Scheduled","Auto Scheduled"))</f>
        <v/>
      </c>
      <c r="F12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6" s="80" t="str">
        <f aca="false">IF(IFERROR(INDEX(tsk_Name,(ROW()-ROW(MSPTasks[[#Headers],[ID]])))="",TRUE()),"",INDEX(tsk_FcStart,(ROW()-ROW(MSPTasks[[#Headers],[ID]]))))</f>
        <v/>
      </c>
      <c r="H126" s="80" t="str">
        <f aca="false">IF(IFERROR(INDEX(tsk_Name,(ROW()-ROW(MSPTasks[[#Headers],[ID]])))="",TRUE()),"",INDEX(tsk_FcFinish,(ROW()-ROW(MSPTasks[[#Headers],[ID]]))))</f>
        <v/>
      </c>
      <c r="I12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6" s="80" t="str">
        <f aca="false">IF(IFERROR(INDEX(tsk_Name,(ROW()-ROW(MSPTasks[[#Headers],[ID]])))="",TRUE()),"",INDEX(tsk_PlanStart,(ROW()-ROW(MSPTasks[[#Headers],[ID]]))))</f>
        <v/>
      </c>
      <c r="P126" s="80" t="str">
        <f aca="false">IF(IFERROR(INDEX(tsk_Name,(ROW()-ROW(MSPTasks[[#Headers],[ID]])))="",TRUE()),"",INDEX(tsk_PlanFinish,(ROW()-ROW(MSPTasks[[#Headers],[ID]]))))</f>
        <v/>
      </c>
      <c r="Q12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6" s="23" t="str">
        <f aca="false">IF(IFERROR(INDEX(tsk_Name,(ROW()-ROW(MSPTasks[[#Headers],[ID]])))="",TRUE()),"",INDEX(tsk_Notes,(ROW()-ROW(MSPTasks[[#Headers],[ID]])))&amp;"")</f>
        <v/>
      </c>
    </row>
    <row r="127" customFormat="false" ht="15" hidden="false" customHeight="false" outlineLevel="0" collapsed="false">
      <c r="A127" s="23" t="str">
        <f aca="false">IF(IFERROR(INDEX(tsk_Name,(ROW()-ROW(MSPTasks[[#Headers],[ID]])))="",TRUE()),"",INDEX(tsk_ID,(ROW()-ROW(MSPTasks[[#Headers],[ID]]))))</f>
        <v/>
      </c>
      <c r="B127" s="23" t="str">
        <f aca="false">IF(IFERROR(INDEX(tsk_Name,(ROW()-ROW(MSPTasks[[#Headers],[ID]])))="",TRUE()),"",INDEX(tsk_UID,(ROW()-ROW(MSPTasks[[#Headers],[ID]]))))</f>
        <v/>
      </c>
      <c r="C127" s="23" t="str">
        <f aca="false">IF(IFERROR(INDEX(tsk_Name,(ROW()-ROW(MSPTasks[[#Headers],[ID]])))="",TRUE()),"",INDEX(tsk_Name,(ROW()-ROW(MSPTasks[[#Headers],[ID]]))))</f>
        <v/>
      </c>
      <c r="D127" s="23" t="str">
        <f aca="false">IF(IFERROR(INDEX(tsk_Name,(ROW()-ROW(MSPTasks[[#Headers],[ID]])))="",TRUE()),"",INDEX(tsk_Level,(ROW()-ROW(MSPTasks[[#Headers],[ID]]))))</f>
        <v/>
      </c>
      <c r="E127" s="23" t="str">
        <f aca="false">IF(IFERROR(INDEX(tsk_Name,(ROW()-ROW(MSPTasks[[#Headers],[ID]])))="",TRUE()),"",IF(INDEX(tsk_Mode,(ROW()-ROW(MSPTasks[[#Headers],[ID]])))="Manual","Manually Scheduled","Auto Scheduled"))</f>
        <v/>
      </c>
      <c r="F12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7" s="80" t="str">
        <f aca="false">IF(IFERROR(INDEX(tsk_Name,(ROW()-ROW(MSPTasks[[#Headers],[ID]])))="",TRUE()),"",INDEX(tsk_FcStart,(ROW()-ROW(MSPTasks[[#Headers],[ID]]))))</f>
        <v/>
      </c>
      <c r="H127" s="80" t="str">
        <f aca="false">IF(IFERROR(INDEX(tsk_Name,(ROW()-ROW(MSPTasks[[#Headers],[ID]])))="",TRUE()),"",INDEX(tsk_FcFinish,(ROW()-ROW(MSPTasks[[#Headers],[ID]]))))</f>
        <v/>
      </c>
      <c r="I12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7" s="80" t="str">
        <f aca="false">IF(IFERROR(INDEX(tsk_Name,(ROW()-ROW(MSPTasks[[#Headers],[ID]])))="",TRUE()),"",INDEX(tsk_PlanStart,(ROW()-ROW(MSPTasks[[#Headers],[ID]]))))</f>
        <v/>
      </c>
      <c r="P127" s="80" t="str">
        <f aca="false">IF(IFERROR(INDEX(tsk_Name,(ROW()-ROW(MSPTasks[[#Headers],[ID]])))="",TRUE()),"",INDEX(tsk_PlanFinish,(ROW()-ROW(MSPTasks[[#Headers],[ID]]))))</f>
        <v/>
      </c>
      <c r="Q12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7" s="23" t="str">
        <f aca="false">IF(IFERROR(INDEX(tsk_Name,(ROW()-ROW(MSPTasks[[#Headers],[ID]])))="",TRUE()),"",INDEX(tsk_Notes,(ROW()-ROW(MSPTasks[[#Headers],[ID]])))&amp;"")</f>
        <v/>
      </c>
    </row>
    <row r="128" customFormat="false" ht="15" hidden="false" customHeight="false" outlineLevel="0" collapsed="false">
      <c r="A128" s="23" t="str">
        <f aca="false">IF(IFERROR(INDEX(tsk_Name,(ROW()-ROW(MSPTasks[[#Headers],[ID]])))="",TRUE()),"",INDEX(tsk_ID,(ROW()-ROW(MSPTasks[[#Headers],[ID]]))))</f>
        <v/>
      </c>
      <c r="B128" s="23" t="str">
        <f aca="false">IF(IFERROR(INDEX(tsk_Name,(ROW()-ROW(MSPTasks[[#Headers],[ID]])))="",TRUE()),"",INDEX(tsk_UID,(ROW()-ROW(MSPTasks[[#Headers],[ID]]))))</f>
        <v/>
      </c>
      <c r="C128" s="23" t="str">
        <f aca="false">IF(IFERROR(INDEX(tsk_Name,(ROW()-ROW(MSPTasks[[#Headers],[ID]])))="",TRUE()),"",INDEX(tsk_Name,(ROW()-ROW(MSPTasks[[#Headers],[ID]]))))</f>
        <v/>
      </c>
      <c r="D128" s="23" t="str">
        <f aca="false">IF(IFERROR(INDEX(tsk_Name,(ROW()-ROW(MSPTasks[[#Headers],[ID]])))="",TRUE()),"",INDEX(tsk_Level,(ROW()-ROW(MSPTasks[[#Headers],[ID]]))))</f>
        <v/>
      </c>
      <c r="E128" s="23" t="str">
        <f aca="false">IF(IFERROR(INDEX(tsk_Name,(ROW()-ROW(MSPTasks[[#Headers],[ID]])))="",TRUE()),"",IF(INDEX(tsk_Mode,(ROW()-ROW(MSPTasks[[#Headers],[ID]])))="Manual","Manually Scheduled","Auto Scheduled"))</f>
        <v/>
      </c>
      <c r="F12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8" s="80" t="str">
        <f aca="false">IF(IFERROR(INDEX(tsk_Name,(ROW()-ROW(MSPTasks[[#Headers],[ID]])))="",TRUE()),"",INDEX(tsk_FcStart,(ROW()-ROW(MSPTasks[[#Headers],[ID]]))))</f>
        <v/>
      </c>
      <c r="H128" s="80" t="str">
        <f aca="false">IF(IFERROR(INDEX(tsk_Name,(ROW()-ROW(MSPTasks[[#Headers],[ID]])))="",TRUE()),"",INDEX(tsk_FcFinish,(ROW()-ROW(MSPTasks[[#Headers],[ID]]))))</f>
        <v/>
      </c>
      <c r="I12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8" s="80" t="str">
        <f aca="false">IF(IFERROR(INDEX(tsk_Name,(ROW()-ROW(MSPTasks[[#Headers],[ID]])))="",TRUE()),"",INDEX(tsk_PlanStart,(ROW()-ROW(MSPTasks[[#Headers],[ID]]))))</f>
        <v/>
      </c>
      <c r="P128" s="80" t="str">
        <f aca="false">IF(IFERROR(INDEX(tsk_Name,(ROW()-ROW(MSPTasks[[#Headers],[ID]])))="",TRUE()),"",INDEX(tsk_PlanFinish,(ROW()-ROW(MSPTasks[[#Headers],[ID]]))))</f>
        <v/>
      </c>
      <c r="Q12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8" s="23" t="str">
        <f aca="false">IF(IFERROR(INDEX(tsk_Name,(ROW()-ROW(MSPTasks[[#Headers],[ID]])))="",TRUE()),"",INDEX(tsk_Notes,(ROW()-ROW(MSPTasks[[#Headers],[ID]])))&amp;"")</f>
        <v/>
      </c>
    </row>
    <row r="129" customFormat="false" ht="15" hidden="false" customHeight="false" outlineLevel="0" collapsed="false">
      <c r="A129" s="23" t="str">
        <f aca="false">IF(IFERROR(INDEX(tsk_Name,(ROW()-ROW(MSPTasks[[#Headers],[ID]])))="",TRUE()),"",INDEX(tsk_ID,(ROW()-ROW(MSPTasks[[#Headers],[ID]]))))</f>
        <v/>
      </c>
      <c r="B129" s="23" t="str">
        <f aca="false">IF(IFERROR(INDEX(tsk_Name,(ROW()-ROW(MSPTasks[[#Headers],[ID]])))="",TRUE()),"",INDEX(tsk_UID,(ROW()-ROW(MSPTasks[[#Headers],[ID]]))))</f>
        <v/>
      </c>
      <c r="C129" s="23" t="str">
        <f aca="false">IF(IFERROR(INDEX(tsk_Name,(ROW()-ROW(MSPTasks[[#Headers],[ID]])))="",TRUE()),"",INDEX(tsk_Name,(ROW()-ROW(MSPTasks[[#Headers],[ID]]))))</f>
        <v/>
      </c>
      <c r="D129" s="23" t="str">
        <f aca="false">IF(IFERROR(INDEX(tsk_Name,(ROW()-ROW(MSPTasks[[#Headers],[ID]])))="",TRUE()),"",INDEX(tsk_Level,(ROW()-ROW(MSPTasks[[#Headers],[ID]]))))</f>
        <v/>
      </c>
      <c r="E129" s="23" t="str">
        <f aca="false">IF(IFERROR(INDEX(tsk_Name,(ROW()-ROW(MSPTasks[[#Headers],[ID]])))="",TRUE()),"",IF(INDEX(tsk_Mode,(ROW()-ROW(MSPTasks[[#Headers],[ID]])))="Manual","Manually Scheduled","Auto Scheduled"))</f>
        <v/>
      </c>
      <c r="F12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9" s="80" t="str">
        <f aca="false">IF(IFERROR(INDEX(tsk_Name,(ROW()-ROW(MSPTasks[[#Headers],[ID]])))="",TRUE()),"",INDEX(tsk_FcStart,(ROW()-ROW(MSPTasks[[#Headers],[ID]]))))</f>
        <v/>
      </c>
      <c r="H129" s="80" t="str">
        <f aca="false">IF(IFERROR(INDEX(tsk_Name,(ROW()-ROW(MSPTasks[[#Headers],[ID]])))="",TRUE()),"",INDEX(tsk_FcFinish,(ROW()-ROW(MSPTasks[[#Headers],[ID]]))))</f>
        <v/>
      </c>
      <c r="I12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9" s="80" t="str">
        <f aca="false">IF(IFERROR(INDEX(tsk_Name,(ROW()-ROW(MSPTasks[[#Headers],[ID]])))="",TRUE()),"",INDEX(tsk_PlanStart,(ROW()-ROW(MSPTasks[[#Headers],[ID]]))))</f>
        <v/>
      </c>
      <c r="P129" s="80" t="str">
        <f aca="false">IF(IFERROR(INDEX(tsk_Name,(ROW()-ROW(MSPTasks[[#Headers],[ID]])))="",TRUE()),"",INDEX(tsk_PlanFinish,(ROW()-ROW(MSPTasks[[#Headers],[ID]]))))</f>
        <v/>
      </c>
      <c r="Q12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9" s="23" t="str">
        <f aca="false">IF(IFERROR(INDEX(tsk_Name,(ROW()-ROW(MSPTasks[[#Headers],[ID]])))="",TRUE()),"",INDEX(tsk_Notes,(ROW()-ROW(MSPTasks[[#Headers],[ID]])))&amp;"")</f>
        <v/>
      </c>
    </row>
    <row r="130" customFormat="false" ht="15" hidden="false" customHeight="false" outlineLevel="0" collapsed="false">
      <c r="A130" s="23" t="str">
        <f aca="false">IF(IFERROR(INDEX(tsk_Name,(ROW()-ROW(MSPTasks[[#Headers],[ID]])))="",TRUE()),"",INDEX(tsk_ID,(ROW()-ROW(MSPTasks[[#Headers],[ID]]))))</f>
        <v/>
      </c>
      <c r="B130" s="23" t="str">
        <f aca="false">IF(IFERROR(INDEX(tsk_Name,(ROW()-ROW(MSPTasks[[#Headers],[ID]])))="",TRUE()),"",INDEX(tsk_UID,(ROW()-ROW(MSPTasks[[#Headers],[ID]]))))</f>
        <v/>
      </c>
      <c r="C130" s="23" t="str">
        <f aca="false">IF(IFERROR(INDEX(tsk_Name,(ROW()-ROW(MSPTasks[[#Headers],[ID]])))="",TRUE()),"",INDEX(tsk_Name,(ROW()-ROW(MSPTasks[[#Headers],[ID]]))))</f>
        <v/>
      </c>
      <c r="D130" s="23" t="str">
        <f aca="false">IF(IFERROR(INDEX(tsk_Name,(ROW()-ROW(MSPTasks[[#Headers],[ID]])))="",TRUE()),"",INDEX(tsk_Level,(ROW()-ROW(MSPTasks[[#Headers],[ID]]))))</f>
        <v/>
      </c>
      <c r="E130" s="23" t="str">
        <f aca="false">IF(IFERROR(INDEX(tsk_Name,(ROW()-ROW(MSPTasks[[#Headers],[ID]])))="",TRUE()),"",IF(INDEX(tsk_Mode,(ROW()-ROW(MSPTasks[[#Headers],[ID]])))="Manual","Manually Scheduled","Auto Scheduled"))</f>
        <v/>
      </c>
      <c r="F13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0" s="80" t="str">
        <f aca="false">IF(IFERROR(INDEX(tsk_Name,(ROW()-ROW(MSPTasks[[#Headers],[ID]])))="",TRUE()),"",INDEX(tsk_FcStart,(ROW()-ROW(MSPTasks[[#Headers],[ID]]))))</f>
        <v/>
      </c>
      <c r="H130" s="80" t="str">
        <f aca="false">IF(IFERROR(INDEX(tsk_Name,(ROW()-ROW(MSPTasks[[#Headers],[ID]])))="",TRUE()),"",INDEX(tsk_FcFinish,(ROW()-ROW(MSPTasks[[#Headers],[ID]]))))</f>
        <v/>
      </c>
      <c r="I13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0" s="80" t="str">
        <f aca="false">IF(IFERROR(INDEX(tsk_Name,(ROW()-ROW(MSPTasks[[#Headers],[ID]])))="",TRUE()),"",INDEX(tsk_PlanStart,(ROW()-ROW(MSPTasks[[#Headers],[ID]]))))</f>
        <v/>
      </c>
      <c r="P130" s="80" t="str">
        <f aca="false">IF(IFERROR(INDEX(tsk_Name,(ROW()-ROW(MSPTasks[[#Headers],[ID]])))="",TRUE()),"",INDEX(tsk_PlanFinish,(ROW()-ROW(MSPTasks[[#Headers],[ID]]))))</f>
        <v/>
      </c>
      <c r="Q13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0" s="23" t="str">
        <f aca="false">IF(IFERROR(INDEX(tsk_Name,(ROW()-ROW(MSPTasks[[#Headers],[ID]])))="",TRUE()),"",INDEX(tsk_Notes,(ROW()-ROW(MSPTasks[[#Headers],[ID]])))&amp;"")</f>
        <v/>
      </c>
    </row>
    <row r="131" customFormat="false" ht="15" hidden="false" customHeight="false" outlineLevel="0" collapsed="false">
      <c r="A131" s="23" t="str">
        <f aca="false">IF(IFERROR(INDEX(tsk_Name,(ROW()-ROW(MSPTasks[[#Headers],[ID]])))="",TRUE()),"",INDEX(tsk_ID,(ROW()-ROW(MSPTasks[[#Headers],[ID]]))))</f>
        <v/>
      </c>
      <c r="B131" s="23" t="str">
        <f aca="false">IF(IFERROR(INDEX(tsk_Name,(ROW()-ROW(MSPTasks[[#Headers],[ID]])))="",TRUE()),"",INDEX(tsk_UID,(ROW()-ROW(MSPTasks[[#Headers],[ID]]))))</f>
        <v/>
      </c>
      <c r="C131" s="23" t="str">
        <f aca="false">IF(IFERROR(INDEX(tsk_Name,(ROW()-ROW(MSPTasks[[#Headers],[ID]])))="",TRUE()),"",INDEX(tsk_Name,(ROW()-ROW(MSPTasks[[#Headers],[ID]]))))</f>
        <v/>
      </c>
      <c r="D131" s="23" t="str">
        <f aca="false">IF(IFERROR(INDEX(tsk_Name,(ROW()-ROW(MSPTasks[[#Headers],[ID]])))="",TRUE()),"",INDEX(tsk_Level,(ROW()-ROW(MSPTasks[[#Headers],[ID]]))))</f>
        <v/>
      </c>
      <c r="E131" s="23" t="str">
        <f aca="false">IF(IFERROR(INDEX(tsk_Name,(ROW()-ROW(MSPTasks[[#Headers],[ID]])))="",TRUE()),"",IF(INDEX(tsk_Mode,(ROW()-ROW(MSPTasks[[#Headers],[ID]])))="Manual","Manually Scheduled","Auto Scheduled"))</f>
        <v/>
      </c>
      <c r="F13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1" s="80" t="str">
        <f aca="false">IF(IFERROR(INDEX(tsk_Name,(ROW()-ROW(MSPTasks[[#Headers],[ID]])))="",TRUE()),"",INDEX(tsk_FcStart,(ROW()-ROW(MSPTasks[[#Headers],[ID]]))))</f>
        <v/>
      </c>
      <c r="H131" s="80" t="str">
        <f aca="false">IF(IFERROR(INDEX(tsk_Name,(ROW()-ROW(MSPTasks[[#Headers],[ID]])))="",TRUE()),"",INDEX(tsk_FcFinish,(ROW()-ROW(MSPTasks[[#Headers],[ID]]))))</f>
        <v/>
      </c>
      <c r="I13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1" s="80" t="str">
        <f aca="false">IF(IFERROR(INDEX(tsk_Name,(ROW()-ROW(MSPTasks[[#Headers],[ID]])))="",TRUE()),"",INDEX(tsk_PlanStart,(ROW()-ROW(MSPTasks[[#Headers],[ID]]))))</f>
        <v/>
      </c>
      <c r="P131" s="80" t="str">
        <f aca="false">IF(IFERROR(INDEX(tsk_Name,(ROW()-ROW(MSPTasks[[#Headers],[ID]])))="",TRUE()),"",INDEX(tsk_PlanFinish,(ROW()-ROW(MSPTasks[[#Headers],[ID]]))))</f>
        <v/>
      </c>
      <c r="Q13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1" s="23" t="str">
        <f aca="false">IF(IFERROR(INDEX(tsk_Name,(ROW()-ROW(MSPTasks[[#Headers],[ID]])))="",TRUE()),"",INDEX(tsk_Notes,(ROW()-ROW(MSPTasks[[#Headers],[ID]])))&amp;"")</f>
        <v/>
      </c>
    </row>
    <row r="132" customFormat="false" ht="15" hidden="false" customHeight="false" outlineLevel="0" collapsed="false">
      <c r="A132" s="23" t="str">
        <f aca="false">IF(IFERROR(INDEX(tsk_Name,(ROW()-ROW(MSPTasks[[#Headers],[ID]])))="",TRUE()),"",INDEX(tsk_ID,(ROW()-ROW(MSPTasks[[#Headers],[ID]]))))</f>
        <v/>
      </c>
      <c r="B132" s="23" t="str">
        <f aca="false">IF(IFERROR(INDEX(tsk_Name,(ROW()-ROW(MSPTasks[[#Headers],[ID]])))="",TRUE()),"",INDEX(tsk_UID,(ROW()-ROW(MSPTasks[[#Headers],[ID]]))))</f>
        <v/>
      </c>
      <c r="C132" s="23" t="str">
        <f aca="false">IF(IFERROR(INDEX(tsk_Name,(ROW()-ROW(MSPTasks[[#Headers],[ID]])))="",TRUE()),"",INDEX(tsk_Name,(ROW()-ROW(MSPTasks[[#Headers],[ID]]))))</f>
        <v/>
      </c>
      <c r="D132" s="23" t="str">
        <f aca="false">IF(IFERROR(INDEX(tsk_Name,(ROW()-ROW(MSPTasks[[#Headers],[ID]])))="",TRUE()),"",INDEX(tsk_Level,(ROW()-ROW(MSPTasks[[#Headers],[ID]]))))</f>
        <v/>
      </c>
      <c r="E132" s="23" t="str">
        <f aca="false">IF(IFERROR(INDEX(tsk_Name,(ROW()-ROW(MSPTasks[[#Headers],[ID]])))="",TRUE()),"",IF(INDEX(tsk_Mode,(ROW()-ROW(MSPTasks[[#Headers],[ID]])))="Manual","Manually Scheduled","Auto Scheduled"))</f>
        <v/>
      </c>
      <c r="F13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2" s="80" t="str">
        <f aca="false">IF(IFERROR(INDEX(tsk_Name,(ROW()-ROW(MSPTasks[[#Headers],[ID]])))="",TRUE()),"",INDEX(tsk_FcStart,(ROW()-ROW(MSPTasks[[#Headers],[ID]]))))</f>
        <v/>
      </c>
      <c r="H132" s="80" t="str">
        <f aca="false">IF(IFERROR(INDEX(tsk_Name,(ROW()-ROW(MSPTasks[[#Headers],[ID]])))="",TRUE()),"",INDEX(tsk_FcFinish,(ROW()-ROW(MSPTasks[[#Headers],[ID]]))))</f>
        <v/>
      </c>
      <c r="I13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2" s="80" t="str">
        <f aca="false">IF(IFERROR(INDEX(tsk_Name,(ROW()-ROW(MSPTasks[[#Headers],[ID]])))="",TRUE()),"",INDEX(tsk_PlanStart,(ROW()-ROW(MSPTasks[[#Headers],[ID]]))))</f>
        <v/>
      </c>
      <c r="P132" s="80" t="str">
        <f aca="false">IF(IFERROR(INDEX(tsk_Name,(ROW()-ROW(MSPTasks[[#Headers],[ID]])))="",TRUE()),"",INDEX(tsk_PlanFinish,(ROW()-ROW(MSPTasks[[#Headers],[ID]]))))</f>
        <v/>
      </c>
      <c r="Q13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2" s="23" t="str">
        <f aca="false">IF(IFERROR(INDEX(tsk_Name,(ROW()-ROW(MSPTasks[[#Headers],[ID]])))="",TRUE()),"",INDEX(tsk_Notes,(ROW()-ROW(MSPTasks[[#Headers],[ID]])))&amp;"")</f>
        <v/>
      </c>
    </row>
    <row r="133" customFormat="false" ht="15" hidden="false" customHeight="false" outlineLevel="0" collapsed="false">
      <c r="A133" s="23" t="str">
        <f aca="false">IF(IFERROR(INDEX(tsk_Name,(ROW()-ROW(MSPTasks[[#Headers],[ID]])))="",TRUE()),"",INDEX(tsk_ID,(ROW()-ROW(MSPTasks[[#Headers],[ID]]))))</f>
        <v/>
      </c>
      <c r="B133" s="23" t="str">
        <f aca="false">IF(IFERROR(INDEX(tsk_Name,(ROW()-ROW(MSPTasks[[#Headers],[ID]])))="",TRUE()),"",INDEX(tsk_UID,(ROW()-ROW(MSPTasks[[#Headers],[ID]]))))</f>
        <v/>
      </c>
      <c r="C133" s="23" t="str">
        <f aca="false">IF(IFERROR(INDEX(tsk_Name,(ROW()-ROW(MSPTasks[[#Headers],[ID]])))="",TRUE()),"",INDEX(tsk_Name,(ROW()-ROW(MSPTasks[[#Headers],[ID]]))))</f>
        <v/>
      </c>
      <c r="D133" s="23" t="str">
        <f aca="false">IF(IFERROR(INDEX(tsk_Name,(ROW()-ROW(MSPTasks[[#Headers],[ID]])))="",TRUE()),"",INDEX(tsk_Level,(ROW()-ROW(MSPTasks[[#Headers],[ID]]))))</f>
        <v/>
      </c>
      <c r="E133" s="23" t="str">
        <f aca="false">IF(IFERROR(INDEX(tsk_Name,(ROW()-ROW(MSPTasks[[#Headers],[ID]])))="",TRUE()),"",IF(INDEX(tsk_Mode,(ROW()-ROW(MSPTasks[[#Headers],[ID]])))="Manual","Manually Scheduled","Auto Scheduled"))</f>
        <v/>
      </c>
      <c r="F13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3" s="80" t="str">
        <f aca="false">IF(IFERROR(INDEX(tsk_Name,(ROW()-ROW(MSPTasks[[#Headers],[ID]])))="",TRUE()),"",INDEX(tsk_FcStart,(ROW()-ROW(MSPTasks[[#Headers],[ID]]))))</f>
        <v/>
      </c>
      <c r="H133" s="80" t="str">
        <f aca="false">IF(IFERROR(INDEX(tsk_Name,(ROW()-ROW(MSPTasks[[#Headers],[ID]])))="",TRUE()),"",INDEX(tsk_FcFinish,(ROW()-ROW(MSPTasks[[#Headers],[ID]]))))</f>
        <v/>
      </c>
      <c r="I13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3" s="80" t="str">
        <f aca="false">IF(IFERROR(INDEX(tsk_Name,(ROW()-ROW(MSPTasks[[#Headers],[ID]])))="",TRUE()),"",INDEX(tsk_PlanStart,(ROW()-ROW(MSPTasks[[#Headers],[ID]]))))</f>
        <v/>
      </c>
      <c r="P133" s="80" t="str">
        <f aca="false">IF(IFERROR(INDEX(tsk_Name,(ROW()-ROW(MSPTasks[[#Headers],[ID]])))="",TRUE()),"",INDEX(tsk_PlanFinish,(ROW()-ROW(MSPTasks[[#Headers],[ID]]))))</f>
        <v/>
      </c>
      <c r="Q13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3" s="23" t="str">
        <f aca="false">IF(IFERROR(INDEX(tsk_Name,(ROW()-ROW(MSPTasks[[#Headers],[ID]])))="",TRUE()),"",INDEX(tsk_Notes,(ROW()-ROW(MSPTasks[[#Headers],[ID]])))&amp;"")</f>
        <v/>
      </c>
    </row>
    <row r="134" customFormat="false" ht="15" hidden="false" customHeight="false" outlineLevel="0" collapsed="false">
      <c r="A134" s="23" t="str">
        <f aca="false">IF(IFERROR(INDEX(tsk_Name,(ROW()-ROW(MSPTasks[[#Headers],[ID]])))="",TRUE()),"",INDEX(tsk_ID,(ROW()-ROW(MSPTasks[[#Headers],[ID]]))))</f>
        <v/>
      </c>
      <c r="B134" s="23" t="str">
        <f aca="false">IF(IFERROR(INDEX(tsk_Name,(ROW()-ROW(MSPTasks[[#Headers],[ID]])))="",TRUE()),"",INDEX(tsk_UID,(ROW()-ROW(MSPTasks[[#Headers],[ID]]))))</f>
        <v/>
      </c>
      <c r="C134" s="23" t="str">
        <f aca="false">IF(IFERROR(INDEX(tsk_Name,(ROW()-ROW(MSPTasks[[#Headers],[ID]])))="",TRUE()),"",INDEX(tsk_Name,(ROW()-ROW(MSPTasks[[#Headers],[ID]]))))</f>
        <v/>
      </c>
      <c r="D134" s="23" t="str">
        <f aca="false">IF(IFERROR(INDEX(tsk_Name,(ROW()-ROW(MSPTasks[[#Headers],[ID]])))="",TRUE()),"",INDEX(tsk_Level,(ROW()-ROW(MSPTasks[[#Headers],[ID]]))))</f>
        <v/>
      </c>
      <c r="E134" s="23" t="str">
        <f aca="false">IF(IFERROR(INDEX(tsk_Name,(ROW()-ROW(MSPTasks[[#Headers],[ID]])))="",TRUE()),"",IF(INDEX(tsk_Mode,(ROW()-ROW(MSPTasks[[#Headers],[ID]])))="Manual","Manually Scheduled","Auto Scheduled"))</f>
        <v/>
      </c>
      <c r="F13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4" s="80" t="str">
        <f aca="false">IF(IFERROR(INDEX(tsk_Name,(ROW()-ROW(MSPTasks[[#Headers],[ID]])))="",TRUE()),"",INDEX(tsk_FcStart,(ROW()-ROW(MSPTasks[[#Headers],[ID]]))))</f>
        <v/>
      </c>
      <c r="H134" s="80" t="str">
        <f aca="false">IF(IFERROR(INDEX(tsk_Name,(ROW()-ROW(MSPTasks[[#Headers],[ID]])))="",TRUE()),"",INDEX(tsk_FcFinish,(ROW()-ROW(MSPTasks[[#Headers],[ID]]))))</f>
        <v/>
      </c>
      <c r="I13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4" s="80" t="str">
        <f aca="false">IF(IFERROR(INDEX(tsk_Name,(ROW()-ROW(MSPTasks[[#Headers],[ID]])))="",TRUE()),"",INDEX(tsk_PlanStart,(ROW()-ROW(MSPTasks[[#Headers],[ID]]))))</f>
        <v/>
      </c>
      <c r="P134" s="80" t="str">
        <f aca="false">IF(IFERROR(INDEX(tsk_Name,(ROW()-ROW(MSPTasks[[#Headers],[ID]])))="",TRUE()),"",INDEX(tsk_PlanFinish,(ROW()-ROW(MSPTasks[[#Headers],[ID]]))))</f>
        <v/>
      </c>
      <c r="Q13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4" s="23" t="str">
        <f aca="false">IF(IFERROR(INDEX(tsk_Name,(ROW()-ROW(MSPTasks[[#Headers],[ID]])))="",TRUE()),"",INDEX(tsk_Notes,(ROW()-ROW(MSPTasks[[#Headers],[ID]])))&amp;"")</f>
        <v/>
      </c>
    </row>
    <row r="135" customFormat="false" ht="15" hidden="false" customHeight="false" outlineLevel="0" collapsed="false">
      <c r="A135" s="23" t="str">
        <f aca="false">IF(IFERROR(INDEX(tsk_Name,(ROW()-ROW(MSPTasks[[#Headers],[ID]])))="",TRUE()),"",INDEX(tsk_ID,(ROW()-ROW(MSPTasks[[#Headers],[ID]]))))</f>
        <v/>
      </c>
      <c r="B135" s="23" t="str">
        <f aca="false">IF(IFERROR(INDEX(tsk_Name,(ROW()-ROW(MSPTasks[[#Headers],[ID]])))="",TRUE()),"",INDEX(tsk_UID,(ROW()-ROW(MSPTasks[[#Headers],[ID]]))))</f>
        <v/>
      </c>
      <c r="C135" s="23" t="str">
        <f aca="false">IF(IFERROR(INDEX(tsk_Name,(ROW()-ROW(MSPTasks[[#Headers],[ID]])))="",TRUE()),"",INDEX(tsk_Name,(ROW()-ROW(MSPTasks[[#Headers],[ID]]))))</f>
        <v/>
      </c>
      <c r="D135" s="23" t="str">
        <f aca="false">IF(IFERROR(INDEX(tsk_Name,(ROW()-ROW(MSPTasks[[#Headers],[ID]])))="",TRUE()),"",INDEX(tsk_Level,(ROW()-ROW(MSPTasks[[#Headers],[ID]]))))</f>
        <v/>
      </c>
      <c r="E135" s="23" t="str">
        <f aca="false">IF(IFERROR(INDEX(tsk_Name,(ROW()-ROW(MSPTasks[[#Headers],[ID]])))="",TRUE()),"",IF(INDEX(tsk_Mode,(ROW()-ROW(MSPTasks[[#Headers],[ID]])))="Manual","Manually Scheduled","Auto Scheduled"))</f>
        <v/>
      </c>
      <c r="F13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5" s="80" t="str">
        <f aca="false">IF(IFERROR(INDEX(tsk_Name,(ROW()-ROW(MSPTasks[[#Headers],[ID]])))="",TRUE()),"",INDEX(tsk_FcStart,(ROW()-ROW(MSPTasks[[#Headers],[ID]]))))</f>
        <v/>
      </c>
      <c r="H135" s="80" t="str">
        <f aca="false">IF(IFERROR(INDEX(tsk_Name,(ROW()-ROW(MSPTasks[[#Headers],[ID]])))="",TRUE()),"",INDEX(tsk_FcFinish,(ROW()-ROW(MSPTasks[[#Headers],[ID]]))))</f>
        <v/>
      </c>
      <c r="I13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5" s="80" t="str">
        <f aca="false">IF(IFERROR(INDEX(tsk_Name,(ROW()-ROW(MSPTasks[[#Headers],[ID]])))="",TRUE()),"",INDEX(tsk_PlanStart,(ROW()-ROW(MSPTasks[[#Headers],[ID]]))))</f>
        <v/>
      </c>
      <c r="P135" s="80" t="str">
        <f aca="false">IF(IFERROR(INDEX(tsk_Name,(ROW()-ROW(MSPTasks[[#Headers],[ID]])))="",TRUE()),"",INDEX(tsk_PlanFinish,(ROW()-ROW(MSPTasks[[#Headers],[ID]]))))</f>
        <v/>
      </c>
      <c r="Q13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5" s="23" t="str">
        <f aca="false">IF(IFERROR(INDEX(tsk_Name,(ROW()-ROW(MSPTasks[[#Headers],[ID]])))="",TRUE()),"",INDEX(tsk_Notes,(ROW()-ROW(MSPTasks[[#Headers],[ID]])))&amp;"")</f>
        <v/>
      </c>
    </row>
    <row r="136" customFormat="false" ht="15" hidden="false" customHeight="false" outlineLevel="0" collapsed="false">
      <c r="A136" s="23" t="str">
        <f aca="false">IF(IFERROR(INDEX(tsk_Name,(ROW()-ROW(MSPTasks[[#Headers],[ID]])))="",TRUE()),"",INDEX(tsk_ID,(ROW()-ROW(MSPTasks[[#Headers],[ID]]))))</f>
        <v/>
      </c>
      <c r="B136" s="23" t="str">
        <f aca="false">IF(IFERROR(INDEX(tsk_Name,(ROW()-ROW(MSPTasks[[#Headers],[ID]])))="",TRUE()),"",INDEX(tsk_UID,(ROW()-ROW(MSPTasks[[#Headers],[ID]]))))</f>
        <v/>
      </c>
      <c r="C136" s="23" t="str">
        <f aca="false">IF(IFERROR(INDEX(tsk_Name,(ROW()-ROW(MSPTasks[[#Headers],[ID]])))="",TRUE()),"",INDEX(tsk_Name,(ROW()-ROW(MSPTasks[[#Headers],[ID]]))))</f>
        <v/>
      </c>
      <c r="D136" s="23" t="str">
        <f aca="false">IF(IFERROR(INDEX(tsk_Name,(ROW()-ROW(MSPTasks[[#Headers],[ID]])))="",TRUE()),"",INDEX(tsk_Level,(ROW()-ROW(MSPTasks[[#Headers],[ID]]))))</f>
        <v/>
      </c>
      <c r="E136" s="23" t="str">
        <f aca="false">IF(IFERROR(INDEX(tsk_Name,(ROW()-ROW(MSPTasks[[#Headers],[ID]])))="",TRUE()),"",IF(INDEX(tsk_Mode,(ROW()-ROW(MSPTasks[[#Headers],[ID]])))="Manual","Manually Scheduled","Auto Scheduled"))</f>
        <v/>
      </c>
      <c r="F13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6" s="80" t="str">
        <f aca="false">IF(IFERROR(INDEX(tsk_Name,(ROW()-ROW(MSPTasks[[#Headers],[ID]])))="",TRUE()),"",INDEX(tsk_FcStart,(ROW()-ROW(MSPTasks[[#Headers],[ID]]))))</f>
        <v/>
      </c>
      <c r="H136" s="80" t="str">
        <f aca="false">IF(IFERROR(INDEX(tsk_Name,(ROW()-ROW(MSPTasks[[#Headers],[ID]])))="",TRUE()),"",INDEX(tsk_FcFinish,(ROW()-ROW(MSPTasks[[#Headers],[ID]]))))</f>
        <v/>
      </c>
      <c r="I13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6" s="80" t="str">
        <f aca="false">IF(IFERROR(INDEX(tsk_Name,(ROW()-ROW(MSPTasks[[#Headers],[ID]])))="",TRUE()),"",INDEX(tsk_PlanStart,(ROW()-ROW(MSPTasks[[#Headers],[ID]]))))</f>
        <v/>
      </c>
      <c r="P136" s="80" t="str">
        <f aca="false">IF(IFERROR(INDEX(tsk_Name,(ROW()-ROW(MSPTasks[[#Headers],[ID]])))="",TRUE()),"",INDEX(tsk_PlanFinish,(ROW()-ROW(MSPTasks[[#Headers],[ID]]))))</f>
        <v/>
      </c>
      <c r="Q13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6" s="23" t="str">
        <f aca="false">IF(IFERROR(INDEX(tsk_Name,(ROW()-ROW(MSPTasks[[#Headers],[ID]])))="",TRUE()),"",INDEX(tsk_Notes,(ROW()-ROW(MSPTasks[[#Headers],[ID]])))&amp;"")</f>
        <v/>
      </c>
    </row>
    <row r="137" customFormat="false" ht="15" hidden="false" customHeight="false" outlineLevel="0" collapsed="false">
      <c r="A137" s="23" t="str">
        <f aca="false">IF(IFERROR(INDEX(tsk_Name,(ROW()-ROW(MSPTasks[[#Headers],[ID]])))="",TRUE()),"",INDEX(tsk_ID,(ROW()-ROW(MSPTasks[[#Headers],[ID]]))))</f>
        <v/>
      </c>
      <c r="B137" s="23" t="str">
        <f aca="false">IF(IFERROR(INDEX(tsk_Name,(ROW()-ROW(MSPTasks[[#Headers],[ID]])))="",TRUE()),"",INDEX(tsk_UID,(ROW()-ROW(MSPTasks[[#Headers],[ID]]))))</f>
        <v/>
      </c>
      <c r="C137" s="23" t="str">
        <f aca="false">IF(IFERROR(INDEX(tsk_Name,(ROW()-ROW(MSPTasks[[#Headers],[ID]])))="",TRUE()),"",INDEX(tsk_Name,(ROW()-ROW(MSPTasks[[#Headers],[ID]]))))</f>
        <v/>
      </c>
      <c r="D137" s="23" t="str">
        <f aca="false">IF(IFERROR(INDEX(tsk_Name,(ROW()-ROW(MSPTasks[[#Headers],[ID]])))="",TRUE()),"",INDEX(tsk_Level,(ROW()-ROW(MSPTasks[[#Headers],[ID]]))))</f>
        <v/>
      </c>
      <c r="E137" s="23" t="str">
        <f aca="false">IF(IFERROR(INDEX(tsk_Name,(ROW()-ROW(MSPTasks[[#Headers],[ID]])))="",TRUE()),"",IF(INDEX(tsk_Mode,(ROW()-ROW(MSPTasks[[#Headers],[ID]])))="Manual","Manually Scheduled","Auto Scheduled"))</f>
        <v/>
      </c>
      <c r="F13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7" s="80" t="str">
        <f aca="false">IF(IFERROR(INDEX(tsk_Name,(ROW()-ROW(MSPTasks[[#Headers],[ID]])))="",TRUE()),"",INDEX(tsk_FcStart,(ROW()-ROW(MSPTasks[[#Headers],[ID]]))))</f>
        <v/>
      </c>
      <c r="H137" s="80" t="str">
        <f aca="false">IF(IFERROR(INDEX(tsk_Name,(ROW()-ROW(MSPTasks[[#Headers],[ID]])))="",TRUE()),"",INDEX(tsk_FcFinish,(ROW()-ROW(MSPTasks[[#Headers],[ID]]))))</f>
        <v/>
      </c>
      <c r="I13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7" s="80" t="str">
        <f aca="false">IF(IFERROR(INDEX(tsk_Name,(ROW()-ROW(MSPTasks[[#Headers],[ID]])))="",TRUE()),"",INDEX(tsk_PlanStart,(ROW()-ROW(MSPTasks[[#Headers],[ID]]))))</f>
        <v/>
      </c>
      <c r="P137" s="80" t="str">
        <f aca="false">IF(IFERROR(INDEX(tsk_Name,(ROW()-ROW(MSPTasks[[#Headers],[ID]])))="",TRUE()),"",INDEX(tsk_PlanFinish,(ROW()-ROW(MSPTasks[[#Headers],[ID]]))))</f>
        <v/>
      </c>
      <c r="Q13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7" s="23" t="str">
        <f aca="false">IF(IFERROR(INDEX(tsk_Name,(ROW()-ROW(MSPTasks[[#Headers],[ID]])))="",TRUE()),"",INDEX(tsk_Notes,(ROW()-ROW(MSPTasks[[#Headers],[ID]])))&amp;"")</f>
        <v/>
      </c>
    </row>
    <row r="138" customFormat="false" ht="15" hidden="false" customHeight="false" outlineLevel="0" collapsed="false">
      <c r="A138" s="23" t="str">
        <f aca="false">IF(IFERROR(INDEX(tsk_Name,(ROW()-ROW(MSPTasks[[#Headers],[ID]])))="",TRUE()),"",INDEX(tsk_ID,(ROW()-ROW(MSPTasks[[#Headers],[ID]]))))</f>
        <v/>
      </c>
      <c r="B138" s="23" t="str">
        <f aca="false">IF(IFERROR(INDEX(tsk_Name,(ROW()-ROW(MSPTasks[[#Headers],[ID]])))="",TRUE()),"",INDEX(tsk_UID,(ROW()-ROW(MSPTasks[[#Headers],[ID]]))))</f>
        <v/>
      </c>
      <c r="C138" s="23" t="str">
        <f aca="false">IF(IFERROR(INDEX(tsk_Name,(ROW()-ROW(MSPTasks[[#Headers],[ID]])))="",TRUE()),"",INDEX(tsk_Name,(ROW()-ROW(MSPTasks[[#Headers],[ID]]))))</f>
        <v/>
      </c>
      <c r="D138" s="23" t="str">
        <f aca="false">IF(IFERROR(INDEX(tsk_Name,(ROW()-ROW(MSPTasks[[#Headers],[ID]])))="",TRUE()),"",INDEX(tsk_Level,(ROW()-ROW(MSPTasks[[#Headers],[ID]]))))</f>
        <v/>
      </c>
      <c r="E138" s="23" t="str">
        <f aca="false">IF(IFERROR(INDEX(tsk_Name,(ROW()-ROW(MSPTasks[[#Headers],[ID]])))="",TRUE()),"",IF(INDEX(tsk_Mode,(ROW()-ROW(MSPTasks[[#Headers],[ID]])))="Manual","Manually Scheduled","Auto Scheduled"))</f>
        <v/>
      </c>
      <c r="F13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8" s="80" t="str">
        <f aca="false">IF(IFERROR(INDEX(tsk_Name,(ROW()-ROW(MSPTasks[[#Headers],[ID]])))="",TRUE()),"",INDEX(tsk_FcStart,(ROW()-ROW(MSPTasks[[#Headers],[ID]]))))</f>
        <v/>
      </c>
      <c r="H138" s="80" t="str">
        <f aca="false">IF(IFERROR(INDEX(tsk_Name,(ROW()-ROW(MSPTasks[[#Headers],[ID]])))="",TRUE()),"",INDEX(tsk_FcFinish,(ROW()-ROW(MSPTasks[[#Headers],[ID]]))))</f>
        <v/>
      </c>
      <c r="I13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8" s="80" t="str">
        <f aca="false">IF(IFERROR(INDEX(tsk_Name,(ROW()-ROW(MSPTasks[[#Headers],[ID]])))="",TRUE()),"",INDEX(tsk_PlanStart,(ROW()-ROW(MSPTasks[[#Headers],[ID]]))))</f>
        <v/>
      </c>
      <c r="P138" s="80" t="str">
        <f aca="false">IF(IFERROR(INDEX(tsk_Name,(ROW()-ROW(MSPTasks[[#Headers],[ID]])))="",TRUE()),"",INDEX(tsk_PlanFinish,(ROW()-ROW(MSPTasks[[#Headers],[ID]]))))</f>
        <v/>
      </c>
      <c r="Q13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8" s="23" t="str">
        <f aca="false">IF(IFERROR(INDEX(tsk_Name,(ROW()-ROW(MSPTasks[[#Headers],[ID]])))="",TRUE()),"",INDEX(tsk_Notes,(ROW()-ROW(MSPTasks[[#Headers],[ID]])))&amp;"")</f>
        <v/>
      </c>
    </row>
    <row r="139" customFormat="false" ht="15" hidden="false" customHeight="false" outlineLevel="0" collapsed="false">
      <c r="A139" s="23" t="str">
        <f aca="false">IF(IFERROR(INDEX(tsk_Name,(ROW()-ROW(MSPTasks[[#Headers],[ID]])))="",TRUE()),"",INDEX(tsk_ID,(ROW()-ROW(MSPTasks[[#Headers],[ID]]))))</f>
        <v/>
      </c>
      <c r="B139" s="23" t="str">
        <f aca="false">IF(IFERROR(INDEX(tsk_Name,(ROW()-ROW(MSPTasks[[#Headers],[ID]])))="",TRUE()),"",INDEX(tsk_UID,(ROW()-ROW(MSPTasks[[#Headers],[ID]]))))</f>
        <v/>
      </c>
      <c r="C139" s="23" t="str">
        <f aca="false">IF(IFERROR(INDEX(tsk_Name,(ROW()-ROW(MSPTasks[[#Headers],[ID]])))="",TRUE()),"",INDEX(tsk_Name,(ROW()-ROW(MSPTasks[[#Headers],[ID]]))))</f>
        <v/>
      </c>
      <c r="D139" s="23" t="str">
        <f aca="false">IF(IFERROR(INDEX(tsk_Name,(ROW()-ROW(MSPTasks[[#Headers],[ID]])))="",TRUE()),"",INDEX(tsk_Level,(ROW()-ROW(MSPTasks[[#Headers],[ID]]))))</f>
        <v/>
      </c>
      <c r="E139" s="23" t="str">
        <f aca="false">IF(IFERROR(INDEX(tsk_Name,(ROW()-ROW(MSPTasks[[#Headers],[ID]])))="",TRUE()),"",IF(INDEX(tsk_Mode,(ROW()-ROW(MSPTasks[[#Headers],[ID]])))="Manual","Manually Scheduled","Auto Scheduled"))</f>
        <v/>
      </c>
      <c r="F13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9" s="80" t="str">
        <f aca="false">IF(IFERROR(INDEX(tsk_Name,(ROW()-ROW(MSPTasks[[#Headers],[ID]])))="",TRUE()),"",INDEX(tsk_FcStart,(ROW()-ROW(MSPTasks[[#Headers],[ID]]))))</f>
        <v/>
      </c>
      <c r="H139" s="80" t="str">
        <f aca="false">IF(IFERROR(INDEX(tsk_Name,(ROW()-ROW(MSPTasks[[#Headers],[ID]])))="",TRUE()),"",INDEX(tsk_FcFinish,(ROW()-ROW(MSPTasks[[#Headers],[ID]]))))</f>
        <v/>
      </c>
      <c r="I13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9" s="80" t="str">
        <f aca="false">IF(IFERROR(INDEX(tsk_Name,(ROW()-ROW(MSPTasks[[#Headers],[ID]])))="",TRUE()),"",INDEX(tsk_PlanStart,(ROW()-ROW(MSPTasks[[#Headers],[ID]]))))</f>
        <v/>
      </c>
      <c r="P139" s="80" t="str">
        <f aca="false">IF(IFERROR(INDEX(tsk_Name,(ROW()-ROW(MSPTasks[[#Headers],[ID]])))="",TRUE()),"",INDEX(tsk_PlanFinish,(ROW()-ROW(MSPTasks[[#Headers],[ID]]))))</f>
        <v/>
      </c>
      <c r="Q13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9" s="23" t="str">
        <f aca="false">IF(IFERROR(INDEX(tsk_Name,(ROW()-ROW(MSPTasks[[#Headers],[ID]])))="",TRUE()),"",INDEX(tsk_Notes,(ROW()-ROW(MSPTasks[[#Headers],[ID]])))&amp;"")</f>
        <v/>
      </c>
    </row>
    <row r="140" customFormat="false" ht="15" hidden="false" customHeight="false" outlineLevel="0" collapsed="false">
      <c r="A140" s="23" t="str">
        <f aca="false">IF(IFERROR(INDEX(tsk_Name,(ROW()-ROW(MSPTasks[[#Headers],[ID]])))="",TRUE()),"",INDEX(tsk_ID,(ROW()-ROW(MSPTasks[[#Headers],[ID]]))))</f>
        <v/>
      </c>
      <c r="B140" s="23" t="str">
        <f aca="false">IF(IFERROR(INDEX(tsk_Name,(ROW()-ROW(MSPTasks[[#Headers],[ID]])))="",TRUE()),"",INDEX(tsk_UID,(ROW()-ROW(MSPTasks[[#Headers],[ID]]))))</f>
        <v/>
      </c>
      <c r="C140" s="23" t="str">
        <f aca="false">IF(IFERROR(INDEX(tsk_Name,(ROW()-ROW(MSPTasks[[#Headers],[ID]])))="",TRUE()),"",INDEX(tsk_Name,(ROW()-ROW(MSPTasks[[#Headers],[ID]]))))</f>
        <v/>
      </c>
      <c r="D140" s="23" t="str">
        <f aca="false">IF(IFERROR(INDEX(tsk_Name,(ROW()-ROW(MSPTasks[[#Headers],[ID]])))="",TRUE()),"",INDEX(tsk_Level,(ROW()-ROW(MSPTasks[[#Headers],[ID]]))))</f>
        <v/>
      </c>
      <c r="E140" s="23" t="str">
        <f aca="false">IF(IFERROR(INDEX(tsk_Name,(ROW()-ROW(MSPTasks[[#Headers],[ID]])))="",TRUE()),"",IF(INDEX(tsk_Mode,(ROW()-ROW(MSPTasks[[#Headers],[ID]])))="Manual","Manually Scheduled","Auto Scheduled"))</f>
        <v/>
      </c>
      <c r="F14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0" s="80" t="str">
        <f aca="false">IF(IFERROR(INDEX(tsk_Name,(ROW()-ROW(MSPTasks[[#Headers],[ID]])))="",TRUE()),"",INDEX(tsk_FcStart,(ROW()-ROW(MSPTasks[[#Headers],[ID]]))))</f>
        <v/>
      </c>
      <c r="H140" s="80" t="str">
        <f aca="false">IF(IFERROR(INDEX(tsk_Name,(ROW()-ROW(MSPTasks[[#Headers],[ID]])))="",TRUE()),"",INDEX(tsk_FcFinish,(ROW()-ROW(MSPTasks[[#Headers],[ID]]))))</f>
        <v/>
      </c>
      <c r="I14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0" s="80" t="str">
        <f aca="false">IF(IFERROR(INDEX(tsk_Name,(ROW()-ROW(MSPTasks[[#Headers],[ID]])))="",TRUE()),"",INDEX(tsk_PlanStart,(ROW()-ROW(MSPTasks[[#Headers],[ID]]))))</f>
        <v/>
      </c>
      <c r="P140" s="80" t="str">
        <f aca="false">IF(IFERROR(INDEX(tsk_Name,(ROW()-ROW(MSPTasks[[#Headers],[ID]])))="",TRUE()),"",INDEX(tsk_PlanFinish,(ROW()-ROW(MSPTasks[[#Headers],[ID]]))))</f>
        <v/>
      </c>
      <c r="Q14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0" s="23" t="str">
        <f aca="false">IF(IFERROR(INDEX(tsk_Name,(ROW()-ROW(MSPTasks[[#Headers],[ID]])))="",TRUE()),"",INDEX(tsk_Notes,(ROW()-ROW(MSPTasks[[#Headers],[ID]])))&amp;"")</f>
        <v/>
      </c>
    </row>
    <row r="141" customFormat="false" ht="15" hidden="false" customHeight="false" outlineLevel="0" collapsed="false">
      <c r="A141" s="23" t="str">
        <f aca="false">IF(IFERROR(INDEX(tsk_Name,(ROW()-ROW(MSPTasks[[#Headers],[ID]])))="",TRUE()),"",INDEX(tsk_ID,(ROW()-ROW(MSPTasks[[#Headers],[ID]]))))</f>
        <v/>
      </c>
      <c r="B141" s="23" t="str">
        <f aca="false">IF(IFERROR(INDEX(tsk_Name,(ROW()-ROW(MSPTasks[[#Headers],[ID]])))="",TRUE()),"",INDEX(tsk_UID,(ROW()-ROW(MSPTasks[[#Headers],[ID]]))))</f>
        <v/>
      </c>
      <c r="C141" s="23" t="str">
        <f aca="false">IF(IFERROR(INDEX(tsk_Name,(ROW()-ROW(MSPTasks[[#Headers],[ID]])))="",TRUE()),"",INDEX(tsk_Name,(ROW()-ROW(MSPTasks[[#Headers],[ID]]))))</f>
        <v/>
      </c>
      <c r="D141" s="23" t="str">
        <f aca="false">IF(IFERROR(INDEX(tsk_Name,(ROW()-ROW(MSPTasks[[#Headers],[ID]])))="",TRUE()),"",INDEX(tsk_Level,(ROW()-ROW(MSPTasks[[#Headers],[ID]]))))</f>
        <v/>
      </c>
      <c r="E141" s="23" t="str">
        <f aca="false">IF(IFERROR(INDEX(tsk_Name,(ROW()-ROW(MSPTasks[[#Headers],[ID]])))="",TRUE()),"",IF(INDEX(tsk_Mode,(ROW()-ROW(MSPTasks[[#Headers],[ID]])))="Manual","Manually Scheduled","Auto Scheduled"))</f>
        <v/>
      </c>
      <c r="F14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1" s="80" t="str">
        <f aca="false">IF(IFERROR(INDEX(tsk_Name,(ROW()-ROW(MSPTasks[[#Headers],[ID]])))="",TRUE()),"",INDEX(tsk_FcStart,(ROW()-ROW(MSPTasks[[#Headers],[ID]]))))</f>
        <v/>
      </c>
      <c r="H141" s="80" t="str">
        <f aca="false">IF(IFERROR(INDEX(tsk_Name,(ROW()-ROW(MSPTasks[[#Headers],[ID]])))="",TRUE()),"",INDEX(tsk_FcFinish,(ROW()-ROW(MSPTasks[[#Headers],[ID]]))))</f>
        <v/>
      </c>
      <c r="I14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1" s="80" t="str">
        <f aca="false">IF(IFERROR(INDEX(tsk_Name,(ROW()-ROW(MSPTasks[[#Headers],[ID]])))="",TRUE()),"",INDEX(tsk_PlanStart,(ROW()-ROW(MSPTasks[[#Headers],[ID]]))))</f>
        <v/>
      </c>
      <c r="P141" s="80" t="str">
        <f aca="false">IF(IFERROR(INDEX(tsk_Name,(ROW()-ROW(MSPTasks[[#Headers],[ID]])))="",TRUE()),"",INDEX(tsk_PlanFinish,(ROW()-ROW(MSPTasks[[#Headers],[ID]]))))</f>
        <v/>
      </c>
      <c r="Q14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1" s="23" t="str">
        <f aca="false">IF(IFERROR(INDEX(tsk_Name,(ROW()-ROW(MSPTasks[[#Headers],[ID]])))="",TRUE()),"",INDEX(tsk_Notes,(ROW()-ROW(MSPTasks[[#Headers],[ID]])))&amp;"")</f>
        <v/>
      </c>
    </row>
    <row r="142" customFormat="false" ht="15" hidden="false" customHeight="false" outlineLevel="0" collapsed="false">
      <c r="A142" s="23" t="str">
        <f aca="false">IF(IFERROR(INDEX(tsk_Name,(ROW()-ROW(MSPTasks[[#Headers],[ID]])))="",TRUE()),"",INDEX(tsk_ID,(ROW()-ROW(MSPTasks[[#Headers],[ID]]))))</f>
        <v/>
      </c>
      <c r="B142" s="23" t="str">
        <f aca="false">IF(IFERROR(INDEX(tsk_Name,(ROW()-ROW(MSPTasks[[#Headers],[ID]])))="",TRUE()),"",INDEX(tsk_UID,(ROW()-ROW(MSPTasks[[#Headers],[ID]]))))</f>
        <v/>
      </c>
      <c r="C142" s="23" t="str">
        <f aca="false">IF(IFERROR(INDEX(tsk_Name,(ROW()-ROW(MSPTasks[[#Headers],[ID]])))="",TRUE()),"",INDEX(tsk_Name,(ROW()-ROW(MSPTasks[[#Headers],[ID]]))))</f>
        <v/>
      </c>
      <c r="D142" s="23" t="str">
        <f aca="false">IF(IFERROR(INDEX(tsk_Name,(ROW()-ROW(MSPTasks[[#Headers],[ID]])))="",TRUE()),"",INDEX(tsk_Level,(ROW()-ROW(MSPTasks[[#Headers],[ID]]))))</f>
        <v/>
      </c>
      <c r="E142" s="23" t="str">
        <f aca="false">IF(IFERROR(INDEX(tsk_Name,(ROW()-ROW(MSPTasks[[#Headers],[ID]])))="",TRUE()),"",IF(INDEX(tsk_Mode,(ROW()-ROW(MSPTasks[[#Headers],[ID]])))="Manual","Manually Scheduled","Auto Scheduled"))</f>
        <v/>
      </c>
      <c r="F14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2" s="80" t="str">
        <f aca="false">IF(IFERROR(INDEX(tsk_Name,(ROW()-ROW(MSPTasks[[#Headers],[ID]])))="",TRUE()),"",INDEX(tsk_FcStart,(ROW()-ROW(MSPTasks[[#Headers],[ID]]))))</f>
        <v/>
      </c>
      <c r="H142" s="80" t="str">
        <f aca="false">IF(IFERROR(INDEX(tsk_Name,(ROW()-ROW(MSPTasks[[#Headers],[ID]])))="",TRUE()),"",INDEX(tsk_FcFinish,(ROW()-ROW(MSPTasks[[#Headers],[ID]]))))</f>
        <v/>
      </c>
      <c r="I14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2" s="80" t="str">
        <f aca="false">IF(IFERROR(INDEX(tsk_Name,(ROW()-ROW(MSPTasks[[#Headers],[ID]])))="",TRUE()),"",INDEX(tsk_PlanStart,(ROW()-ROW(MSPTasks[[#Headers],[ID]]))))</f>
        <v/>
      </c>
      <c r="P142" s="80" t="str">
        <f aca="false">IF(IFERROR(INDEX(tsk_Name,(ROW()-ROW(MSPTasks[[#Headers],[ID]])))="",TRUE()),"",INDEX(tsk_PlanFinish,(ROW()-ROW(MSPTasks[[#Headers],[ID]]))))</f>
        <v/>
      </c>
      <c r="Q14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2" s="23" t="str">
        <f aca="false">IF(IFERROR(INDEX(tsk_Name,(ROW()-ROW(MSPTasks[[#Headers],[ID]])))="",TRUE()),"",INDEX(tsk_Notes,(ROW()-ROW(MSPTasks[[#Headers],[ID]])))&amp;"")</f>
        <v/>
      </c>
    </row>
    <row r="143" customFormat="false" ht="15" hidden="false" customHeight="false" outlineLevel="0" collapsed="false">
      <c r="A143" s="23" t="str">
        <f aca="false">IF(IFERROR(INDEX(tsk_Name,(ROW()-ROW(MSPTasks[[#Headers],[ID]])))="",TRUE()),"",INDEX(tsk_ID,(ROW()-ROW(MSPTasks[[#Headers],[ID]]))))</f>
        <v/>
      </c>
      <c r="B143" s="23" t="str">
        <f aca="false">IF(IFERROR(INDEX(tsk_Name,(ROW()-ROW(MSPTasks[[#Headers],[ID]])))="",TRUE()),"",INDEX(tsk_UID,(ROW()-ROW(MSPTasks[[#Headers],[ID]]))))</f>
        <v/>
      </c>
      <c r="C143" s="23" t="str">
        <f aca="false">IF(IFERROR(INDEX(tsk_Name,(ROW()-ROW(MSPTasks[[#Headers],[ID]])))="",TRUE()),"",INDEX(tsk_Name,(ROW()-ROW(MSPTasks[[#Headers],[ID]]))))</f>
        <v/>
      </c>
      <c r="D143" s="23" t="str">
        <f aca="false">IF(IFERROR(INDEX(tsk_Name,(ROW()-ROW(MSPTasks[[#Headers],[ID]])))="",TRUE()),"",INDEX(tsk_Level,(ROW()-ROW(MSPTasks[[#Headers],[ID]]))))</f>
        <v/>
      </c>
      <c r="E143" s="23" t="str">
        <f aca="false">IF(IFERROR(INDEX(tsk_Name,(ROW()-ROW(MSPTasks[[#Headers],[ID]])))="",TRUE()),"",IF(INDEX(tsk_Mode,(ROW()-ROW(MSPTasks[[#Headers],[ID]])))="Manual","Manually Scheduled","Auto Scheduled"))</f>
        <v/>
      </c>
      <c r="F14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3" s="80" t="str">
        <f aca="false">IF(IFERROR(INDEX(tsk_Name,(ROW()-ROW(MSPTasks[[#Headers],[ID]])))="",TRUE()),"",INDEX(tsk_FcStart,(ROW()-ROW(MSPTasks[[#Headers],[ID]]))))</f>
        <v/>
      </c>
      <c r="H143" s="80" t="str">
        <f aca="false">IF(IFERROR(INDEX(tsk_Name,(ROW()-ROW(MSPTasks[[#Headers],[ID]])))="",TRUE()),"",INDEX(tsk_FcFinish,(ROW()-ROW(MSPTasks[[#Headers],[ID]]))))</f>
        <v/>
      </c>
      <c r="I14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3" s="80" t="str">
        <f aca="false">IF(IFERROR(INDEX(tsk_Name,(ROW()-ROW(MSPTasks[[#Headers],[ID]])))="",TRUE()),"",INDEX(tsk_PlanStart,(ROW()-ROW(MSPTasks[[#Headers],[ID]]))))</f>
        <v/>
      </c>
      <c r="P143" s="80" t="str">
        <f aca="false">IF(IFERROR(INDEX(tsk_Name,(ROW()-ROW(MSPTasks[[#Headers],[ID]])))="",TRUE()),"",INDEX(tsk_PlanFinish,(ROW()-ROW(MSPTasks[[#Headers],[ID]]))))</f>
        <v/>
      </c>
      <c r="Q14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3" s="23" t="str">
        <f aca="false">IF(IFERROR(INDEX(tsk_Name,(ROW()-ROW(MSPTasks[[#Headers],[ID]])))="",TRUE()),"",INDEX(tsk_Notes,(ROW()-ROW(MSPTasks[[#Headers],[ID]])))&amp;"")</f>
        <v/>
      </c>
    </row>
    <row r="144" customFormat="false" ht="15" hidden="false" customHeight="false" outlineLevel="0" collapsed="false">
      <c r="A144" s="23" t="str">
        <f aca="false">IF(IFERROR(INDEX(tsk_Name,(ROW()-ROW(MSPTasks[[#Headers],[ID]])))="",TRUE()),"",INDEX(tsk_ID,(ROW()-ROW(MSPTasks[[#Headers],[ID]]))))</f>
        <v/>
      </c>
      <c r="B144" s="23" t="str">
        <f aca="false">IF(IFERROR(INDEX(tsk_Name,(ROW()-ROW(MSPTasks[[#Headers],[ID]])))="",TRUE()),"",INDEX(tsk_UID,(ROW()-ROW(MSPTasks[[#Headers],[ID]]))))</f>
        <v/>
      </c>
      <c r="C144" s="23" t="str">
        <f aca="false">IF(IFERROR(INDEX(tsk_Name,(ROW()-ROW(MSPTasks[[#Headers],[ID]])))="",TRUE()),"",INDEX(tsk_Name,(ROW()-ROW(MSPTasks[[#Headers],[ID]]))))</f>
        <v/>
      </c>
      <c r="D144" s="23" t="str">
        <f aca="false">IF(IFERROR(INDEX(tsk_Name,(ROW()-ROW(MSPTasks[[#Headers],[ID]])))="",TRUE()),"",INDEX(tsk_Level,(ROW()-ROW(MSPTasks[[#Headers],[ID]]))))</f>
        <v/>
      </c>
      <c r="E144" s="23" t="str">
        <f aca="false">IF(IFERROR(INDEX(tsk_Name,(ROW()-ROW(MSPTasks[[#Headers],[ID]])))="",TRUE()),"",IF(INDEX(tsk_Mode,(ROW()-ROW(MSPTasks[[#Headers],[ID]])))="Manual","Manually Scheduled","Auto Scheduled"))</f>
        <v/>
      </c>
      <c r="F14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4" s="80" t="str">
        <f aca="false">IF(IFERROR(INDEX(tsk_Name,(ROW()-ROW(MSPTasks[[#Headers],[ID]])))="",TRUE()),"",INDEX(tsk_FcStart,(ROW()-ROW(MSPTasks[[#Headers],[ID]]))))</f>
        <v/>
      </c>
      <c r="H144" s="80" t="str">
        <f aca="false">IF(IFERROR(INDEX(tsk_Name,(ROW()-ROW(MSPTasks[[#Headers],[ID]])))="",TRUE()),"",INDEX(tsk_FcFinish,(ROW()-ROW(MSPTasks[[#Headers],[ID]]))))</f>
        <v/>
      </c>
      <c r="I14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4" s="80" t="str">
        <f aca="false">IF(IFERROR(INDEX(tsk_Name,(ROW()-ROW(MSPTasks[[#Headers],[ID]])))="",TRUE()),"",INDEX(tsk_PlanStart,(ROW()-ROW(MSPTasks[[#Headers],[ID]]))))</f>
        <v/>
      </c>
      <c r="P144" s="80" t="str">
        <f aca="false">IF(IFERROR(INDEX(tsk_Name,(ROW()-ROW(MSPTasks[[#Headers],[ID]])))="",TRUE()),"",INDEX(tsk_PlanFinish,(ROW()-ROW(MSPTasks[[#Headers],[ID]]))))</f>
        <v/>
      </c>
      <c r="Q14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4" s="23" t="str">
        <f aca="false">IF(IFERROR(INDEX(tsk_Name,(ROW()-ROW(MSPTasks[[#Headers],[ID]])))="",TRUE()),"",INDEX(tsk_Notes,(ROW()-ROW(MSPTasks[[#Headers],[ID]])))&amp;"")</f>
        <v/>
      </c>
    </row>
    <row r="145" customFormat="false" ht="15" hidden="false" customHeight="false" outlineLevel="0" collapsed="false">
      <c r="A145" s="23" t="str">
        <f aca="false">IF(IFERROR(INDEX(tsk_Name,(ROW()-ROW(MSPTasks[[#Headers],[ID]])))="",TRUE()),"",INDEX(tsk_ID,(ROW()-ROW(MSPTasks[[#Headers],[ID]]))))</f>
        <v/>
      </c>
      <c r="B145" s="23" t="str">
        <f aca="false">IF(IFERROR(INDEX(tsk_Name,(ROW()-ROW(MSPTasks[[#Headers],[ID]])))="",TRUE()),"",INDEX(tsk_UID,(ROW()-ROW(MSPTasks[[#Headers],[ID]]))))</f>
        <v/>
      </c>
      <c r="C145" s="23" t="str">
        <f aca="false">IF(IFERROR(INDEX(tsk_Name,(ROW()-ROW(MSPTasks[[#Headers],[ID]])))="",TRUE()),"",INDEX(tsk_Name,(ROW()-ROW(MSPTasks[[#Headers],[ID]]))))</f>
        <v/>
      </c>
      <c r="D145" s="23" t="str">
        <f aca="false">IF(IFERROR(INDEX(tsk_Name,(ROW()-ROW(MSPTasks[[#Headers],[ID]])))="",TRUE()),"",INDEX(tsk_Level,(ROW()-ROW(MSPTasks[[#Headers],[ID]]))))</f>
        <v/>
      </c>
      <c r="E145" s="23" t="str">
        <f aca="false">IF(IFERROR(INDEX(tsk_Name,(ROW()-ROW(MSPTasks[[#Headers],[ID]])))="",TRUE()),"",IF(INDEX(tsk_Mode,(ROW()-ROW(MSPTasks[[#Headers],[ID]])))="Manual","Manually Scheduled","Auto Scheduled"))</f>
        <v/>
      </c>
      <c r="F14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5" s="80" t="str">
        <f aca="false">IF(IFERROR(INDEX(tsk_Name,(ROW()-ROW(MSPTasks[[#Headers],[ID]])))="",TRUE()),"",INDEX(tsk_FcStart,(ROW()-ROW(MSPTasks[[#Headers],[ID]]))))</f>
        <v/>
      </c>
      <c r="H145" s="80" t="str">
        <f aca="false">IF(IFERROR(INDEX(tsk_Name,(ROW()-ROW(MSPTasks[[#Headers],[ID]])))="",TRUE()),"",INDEX(tsk_FcFinish,(ROW()-ROW(MSPTasks[[#Headers],[ID]]))))</f>
        <v/>
      </c>
      <c r="I14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5" s="80" t="str">
        <f aca="false">IF(IFERROR(INDEX(tsk_Name,(ROW()-ROW(MSPTasks[[#Headers],[ID]])))="",TRUE()),"",INDEX(tsk_PlanStart,(ROW()-ROW(MSPTasks[[#Headers],[ID]]))))</f>
        <v/>
      </c>
      <c r="P145" s="80" t="str">
        <f aca="false">IF(IFERROR(INDEX(tsk_Name,(ROW()-ROW(MSPTasks[[#Headers],[ID]])))="",TRUE()),"",INDEX(tsk_PlanFinish,(ROW()-ROW(MSPTasks[[#Headers],[ID]]))))</f>
        <v/>
      </c>
      <c r="Q14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5" s="23" t="str">
        <f aca="false">IF(IFERROR(INDEX(tsk_Name,(ROW()-ROW(MSPTasks[[#Headers],[ID]])))="",TRUE()),"",INDEX(tsk_Notes,(ROW()-ROW(MSPTasks[[#Headers],[ID]])))&amp;"")</f>
        <v/>
      </c>
    </row>
    <row r="146" customFormat="false" ht="15" hidden="false" customHeight="false" outlineLevel="0" collapsed="false">
      <c r="A146" s="23" t="str">
        <f aca="false">IF(IFERROR(INDEX(tsk_Name,(ROW()-ROW(MSPTasks[[#Headers],[ID]])))="",TRUE()),"",INDEX(tsk_ID,(ROW()-ROW(MSPTasks[[#Headers],[ID]]))))</f>
        <v/>
      </c>
      <c r="B146" s="23" t="str">
        <f aca="false">IF(IFERROR(INDEX(tsk_Name,(ROW()-ROW(MSPTasks[[#Headers],[ID]])))="",TRUE()),"",INDEX(tsk_UID,(ROW()-ROW(MSPTasks[[#Headers],[ID]]))))</f>
        <v/>
      </c>
      <c r="C146" s="23" t="str">
        <f aca="false">IF(IFERROR(INDEX(tsk_Name,(ROW()-ROW(MSPTasks[[#Headers],[ID]])))="",TRUE()),"",INDEX(tsk_Name,(ROW()-ROW(MSPTasks[[#Headers],[ID]]))))</f>
        <v/>
      </c>
      <c r="D146" s="23" t="str">
        <f aca="false">IF(IFERROR(INDEX(tsk_Name,(ROW()-ROW(MSPTasks[[#Headers],[ID]])))="",TRUE()),"",INDEX(tsk_Level,(ROW()-ROW(MSPTasks[[#Headers],[ID]]))))</f>
        <v/>
      </c>
      <c r="E146" s="23" t="str">
        <f aca="false">IF(IFERROR(INDEX(tsk_Name,(ROW()-ROW(MSPTasks[[#Headers],[ID]])))="",TRUE()),"",IF(INDEX(tsk_Mode,(ROW()-ROW(MSPTasks[[#Headers],[ID]])))="Manual","Manually Scheduled","Auto Scheduled"))</f>
        <v/>
      </c>
      <c r="F14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6" s="80" t="str">
        <f aca="false">IF(IFERROR(INDEX(tsk_Name,(ROW()-ROW(MSPTasks[[#Headers],[ID]])))="",TRUE()),"",INDEX(tsk_FcStart,(ROW()-ROW(MSPTasks[[#Headers],[ID]]))))</f>
        <v/>
      </c>
      <c r="H146" s="80" t="str">
        <f aca="false">IF(IFERROR(INDEX(tsk_Name,(ROW()-ROW(MSPTasks[[#Headers],[ID]])))="",TRUE()),"",INDEX(tsk_FcFinish,(ROW()-ROW(MSPTasks[[#Headers],[ID]]))))</f>
        <v/>
      </c>
      <c r="I14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6" s="80" t="str">
        <f aca="false">IF(IFERROR(INDEX(tsk_Name,(ROW()-ROW(MSPTasks[[#Headers],[ID]])))="",TRUE()),"",INDEX(tsk_PlanStart,(ROW()-ROW(MSPTasks[[#Headers],[ID]]))))</f>
        <v/>
      </c>
      <c r="P146" s="80" t="str">
        <f aca="false">IF(IFERROR(INDEX(tsk_Name,(ROW()-ROW(MSPTasks[[#Headers],[ID]])))="",TRUE()),"",INDEX(tsk_PlanFinish,(ROW()-ROW(MSPTasks[[#Headers],[ID]]))))</f>
        <v/>
      </c>
      <c r="Q14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6" s="23" t="str">
        <f aca="false">IF(IFERROR(INDEX(tsk_Name,(ROW()-ROW(MSPTasks[[#Headers],[ID]])))="",TRUE()),"",INDEX(tsk_Notes,(ROW()-ROW(MSPTasks[[#Headers],[ID]])))&amp;"")</f>
        <v/>
      </c>
    </row>
    <row r="147" customFormat="false" ht="15" hidden="false" customHeight="false" outlineLevel="0" collapsed="false">
      <c r="A147" s="23" t="str">
        <f aca="false">IF(IFERROR(INDEX(tsk_Name,(ROW()-ROW(MSPTasks[[#Headers],[ID]])))="",TRUE()),"",INDEX(tsk_ID,(ROW()-ROW(MSPTasks[[#Headers],[ID]]))))</f>
        <v/>
      </c>
      <c r="B147" s="23" t="str">
        <f aca="false">IF(IFERROR(INDEX(tsk_Name,(ROW()-ROW(MSPTasks[[#Headers],[ID]])))="",TRUE()),"",INDEX(tsk_UID,(ROW()-ROW(MSPTasks[[#Headers],[ID]]))))</f>
        <v/>
      </c>
      <c r="C147" s="23" t="str">
        <f aca="false">IF(IFERROR(INDEX(tsk_Name,(ROW()-ROW(MSPTasks[[#Headers],[ID]])))="",TRUE()),"",INDEX(tsk_Name,(ROW()-ROW(MSPTasks[[#Headers],[ID]]))))</f>
        <v/>
      </c>
      <c r="D147" s="23" t="str">
        <f aca="false">IF(IFERROR(INDEX(tsk_Name,(ROW()-ROW(MSPTasks[[#Headers],[ID]])))="",TRUE()),"",INDEX(tsk_Level,(ROW()-ROW(MSPTasks[[#Headers],[ID]]))))</f>
        <v/>
      </c>
      <c r="E147" s="23" t="str">
        <f aca="false">IF(IFERROR(INDEX(tsk_Name,(ROW()-ROW(MSPTasks[[#Headers],[ID]])))="",TRUE()),"",IF(INDEX(tsk_Mode,(ROW()-ROW(MSPTasks[[#Headers],[ID]])))="Manual","Manually Scheduled","Auto Scheduled"))</f>
        <v/>
      </c>
      <c r="F14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7" s="80" t="str">
        <f aca="false">IF(IFERROR(INDEX(tsk_Name,(ROW()-ROW(MSPTasks[[#Headers],[ID]])))="",TRUE()),"",INDEX(tsk_FcStart,(ROW()-ROW(MSPTasks[[#Headers],[ID]]))))</f>
        <v/>
      </c>
      <c r="H147" s="80" t="str">
        <f aca="false">IF(IFERROR(INDEX(tsk_Name,(ROW()-ROW(MSPTasks[[#Headers],[ID]])))="",TRUE()),"",INDEX(tsk_FcFinish,(ROW()-ROW(MSPTasks[[#Headers],[ID]]))))</f>
        <v/>
      </c>
      <c r="I14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7" s="80" t="str">
        <f aca="false">IF(IFERROR(INDEX(tsk_Name,(ROW()-ROW(MSPTasks[[#Headers],[ID]])))="",TRUE()),"",INDEX(tsk_PlanStart,(ROW()-ROW(MSPTasks[[#Headers],[ID]]))))</f>
        <v/>
      </c>
      <c r="P147" s="80" t="str">
        <f aca="false">IF(IFERROR(INDEX(tsk_Name,(ROW()-ROW(MSPTasks[[#Headers],[ID]])))="",TRUE()),"",INDEX(tsk_PlanFinish,(ROW()-ROW(MSPTasks[[#Headers],[ID]]))))</f>
        <v/>
      </c>
      <c r="Q14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7" s="23" t="str">
        <f aca="false">IF(IFERROR(INDEX(tsk_Name,(ROW()-ROW(MSPTasks[[#Headers],[ID]])))="",TRUE()),"",INDEX(tsk_Notes,(ROW()-ROW(MSPTasks[[#Headers],[ID]])))&amp;"")</f>
        <v/>
      </c>
    </row>
    <row r="148" customFormat="false" ht="15" hidden="false" customHeight="false" outlineLevel="0" collapsed="false">
      <c r="A148" s="23" t="str">
        <f aca="false">IF(IFERROR(INDEX(tsk_Name,(ROW()-ROW(MSPTasks[[#Headers],[ID]])))="",TRUE()),"",INDEX(tsk_ID,(ROW()-ROW(MSPTasks[[#Headers],[ID]]))))</f>
        <v/>
      </c>
      <c r="B148" s="23" t="str">
        <f aca="false">IF(IFERROR(INDEX(tsk_Name,(ROW()-ROW(MSPTasks[[#Headers],[ID]])))="",TRUE()),"",INDEX(tsk_UID,(ROW()-ROW(MSPTasks[[#Headers],[ID]]))))</f>
        <v/>
      </c>
      <c r="C148" s="23" t="str">
        <f aca="false">IF(IFERROR(INDEX(tsk_Name,(ROW()-ROW(MSPTasks[[#Headers],[ID]])))="",TRUE()),"",INDEX(tsk_Name,(ROW()-ROW(MSPTasks[[#Headers],[ID]]))))</f>
        <v/>
      </c>
      <c r="D148" s="23" t="str">
        <f aca="false">IF(IFERROR(INDEX(tsk_Name,(ROW()-ROW(MSPTasks[[#Headers],[ID]])))="",TRUE()),"",INDEX(tsk_Level,(ROW()-ROW(MSPTasks[[#Headers],[ID]]))))</f>
        <v/>
      </c>
      <c r="E148" s="23" t="str">
        <f aca="false">IF(IFERROR(INDEX(tsk_Name,(ROW()-ROW(MSPTasks[[#Headers],[ID]])))="",TRUE()),"",IF(INDEX(tsk_Mode,(ROW()-ROW(MSPTasks[[#Headers],[ID]])))="Manual","Manually Scheduled","Auto Scheduled"))</f>
        <v/>
      </c>
      <c r="F14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8" s="80" t="str">
        <f aca="false">IF(IFERROR(INDEX(tsk_Name,(ROW()-ROW(MSPTasks[[#Headers],[ID]])))="",TRUE()),"",INDEX(tsk_FcStart,(ROW()-ROW(MSPTasks[[#Headers],[ID]]))))</f>
        <v/>
      </c>
      <c r="H148" s="80" t="str">
        <f aca="false">IF(IFERROR(INDEX(tsk_Name,(ROW()-ROW(MSPTasks[[#Headers],[ID]])))="",TRUE()),"",INDEX(tsk_FcFinish,(ROW()-ROW(MSPTasks[[#Headers],[ID]]))))</f>
        <v/>
      </c>
      <c r="I14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8" s="80" t="str">
        <f aca="false">IF(IFERROR(INDEX(tsk_Name,(ROW()-ROW(MSPTasks[[#Headers],[ID]])))="",TRUE()),"",INDEX(tsk_PlanStart,(ROW()-ROW(MSPTasks[[#Headers],[ID]]))))</f>
        <v/>
      </c>
      <c r="P148" s="80" t="str">
        <f aca="false">IF(IFERROR(INDEX(tsk_Name,(ROW()-ROW(MSPTasks[[#Headers],[ID]])))="",TRUE()),"",INDEX(tsk_PlanFinish,(ROW()-ROW(MSPTasks[[#Headers],[ID]]))))</f>
        <v/>
      </c>
      <c r="Q14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8" s="23" t="str">
        <f aca="false">IF(IFERROR(INDEX(tsk_Name,(ROW()-ROW(MSPTasks[[#Headers],[ID]])))="",TRUE()),"",INDEX(tsk_Notes,(ROW()-ROW(MSPTasks[[#Headers],[ID]])))&amp;"")</f>
        <v/>
      </c>
    </row>
    <row r="149" customFormat="false" ht="15" hidden="false" customHeight="false" outlineLevel="0" collapsed="false">
      <c r="A149" s="23" t="str">
        <f aca="false">IF(IFERROR(INDEX(tsk_Name,(ROW()-ROW(MSPTasks[[#Headers],[ID]])))="",TRUE()),"",INDEX(tsk_ID,(ROW()-ROW(MSPTasks[[#Headers],[ID]]))))</f>
        <v/>
      </c>
      <c r="B149" s="23" t="str">
        <f aca="false">IF(IFERROR(INDEX(tsk_Name,(ROW()-ROW(MSPTasks[[#Headers],[ID]])))="",TRUE()),"",INDEX(tsk_UID,(ROW()-ROW(MSPTasks[[#Headers],[ID]]))))</f>
        <v/>
      </c>
      <c r="C149" s="23" t="str">
        <f aca="false">IF(IFERROR(INDEX(tsk_Name,(ROW()-ROW(MSPTasks[[#Headers],[ID]])))="",TRUE()),"",INDEX(tsk_Name,(ROW()-ROW(MSPTasks[[#Headers],[ID]]))))</f>
        <v/>
      </c>
      <c r="D149" s="23" t="str">
        <f aca="false">IF(IFERROR(INDEX(tsk_Name,(ROW()-ROW(MSPTasks[[#Headers],[ID]])))="",TRUE()),"",INDEX(tsk_Level,(ROW()-ROW(MSPTasks[[#Headers],[ID]]))))</f>
        <v/>
      </c>
      <c r="E149" s="23" t="str">
        <f aca="false">IF(IFERROR(INDEX(tsk_Name,(ROW()-ROW(MSPTasks[[#Headers],[ID]])))="",TRUE()),"",IF(INDEX(tsk_Mode,(ROW()-ROW(MSPTasks[[#Headers],[ID]])))="Manual","Manually Scheduled","Auto Scheduled"))</f>
        <v/>
      </c>
      <c r="F14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9" s="80" t="str">
        <f aca="false">IF(IFERROR(INDEX(tsk_Name,(ROW()-ROW(MSPTasks[[#Headers],[ID]])))="",TRUE()),"",INDEX(tsk_FcStart,(ROW()-ROW(MSPTasks[[#Headers],[ID]]))))</f>
        <v/>
      </c>
      <c r="H149" s="80" t="str">
        <f aca="false">IF(IFERROR(INDEX(tsk_Name,(ROW()-ROW(MSPTasks[[#Headers],[ID]])))="",TRUE()),"",INDEX(tsk_FcFinish,(ROW()-ROW(MSPTasks[[#Headers],[ID]]))))</f>
        <v/>
      </c>
      <c r="I14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9" s="80" t="str">
        <f aca="false">IF(IFERROR(INDEX(tsk_Name,(ROW()-ROW(MSPTasks[[#Headers],[ID]])))="",TRUE()),"",INDEX(tsk_PlanStart,(ROW()-ROW(MSPTasks[[#Headers],[ID]]))))</f>
        <v/>
      </c>
      <c r="P149" s="80" t="str">
        <f aca="false">IF(IFERROR(INDEX(tsk_Name,(ROW()-ROW(MSPTasks[[#Headers],[ID]])))="",TRUE()),"",INDEX(tsk_PlanFinish,(ROW()-ROW(MSPTasks[[#Headers],[ID]]))))</f>
        <v/>
      </c>
      <c r="Q14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9" s="23" t="str">
        <f aca="false">IF(IFERROR(INDEX(tsk_Name,(ROW()-ROW(MSPTasks[[#Headers],[ID]])))="",TRUE()),"",INDEX(tsk_Notes,(ROW()-ROW(MSPTasks[[#Headers],[ID]])))&amp;"")</f>
        <v/>
      </c>
    </row>
    <row r="150" customFormat="false" ht="15" hidden="false" customHeight="false" outlineLevel="0" collapsed="false">
      <c r="A150" s="23" t="str">
        <f aca="false">IF(IFERROR(INDEX(tsk_Name,(ROW()-ROW(MSPTasks[[#Headers],[ID]])))="",TRUE()),"",INDEX(tsk_ID,(ROW()-ROW(MSPTasks[[#Headers],[ID]]))))</f>
        <v/>
      </c>
      <c r="B150" s="23" t="str">
        <f aca="false">IF(IFERROR(INDEX(tsk_Name,(ROW()-ROW(MSPTasks[[#Headers],[ID]])))="",TRUE()),"",INDEX(tsk_UID,(ROW()-ROW(MSPTasks[[#Headers],[ID]]))))</f>
        <v/>
      </c>
      <c r="C150" s="23" t="str">
        <f aca="false">IF(IFERROR(INDEX(tsk_Name,(ROW()-ROW(MSPTasks[[#Headers],[ID]])))="",TRUE()),"",INDEX(tsk_Name,(ROW()-ROW(MSPTasks[[#Headers],[ID]]))))</f>
        <v/>
      </c>
      <c r="D150" s="23" t="str">
        <f aca="false">IF(IFERROR(INDEX(tsk_Name,(ROW()-ROW(MSPTasks[[#Headers],[ID]])))="",TRUE()),"",INDEX(tsk_Level,(ROW()-ROW(MSPTasks[[#Headers],[ID]]))))</f>
        <v/>
      </c>
      <c r="E150" s="23" t="str">
        <f aca="false">IF(IFERROR(INDEX(tsk_Name,(ROW()-ROW(MSPTasks[[#Headers],[ID]])))="",TRUE()),"",IF(INDEX(tsk_Mode,(ROW()-ROW(MSPTasks[[#Headers],[ID]])))="Manual","Manually Scheduled","Auto Scheduled"))</f>
        <v/>
      </c>
      <c r="F15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0" s="80" t="str">
        <f aca="false">IF(IFERROR(INDEX(tsk_Name,(ROW()-ROW(MSPTasks[[#Headers],[ID]])))="",TRUE()),"",INDEX(tsk_FcStart,(ROW()-ROW(MSPTasks[[#Headers],[ID]]))))</f>
        <v/>
      </c>
      <c r="H150" s="80" t="str">
        <f aca="false">IF(IFERROR(INDEX(tsk_Name,(ROW()-ROW(MSPTasks[[#Headers],[ID]])))="",TRUE()),"",INDEX(tsk_FcFinish,(ROW()-ROW(MSPTasks[[#Headers],[ID]]))))</f>
        <v/>
      </c>
      <c r="I15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0" s="80" t="str">
        <f aca="false">IF(IFERROR(INDEX(tsk_Name,(ROW()-ROW(MSPTasks[[#Headers],[ID]])))="",TRUE()),"",INDEX(tsk_PlanStart,(ROW()-ROW(MSPTasks[[#Headers],[ID]]))))</f>
        <v/>
      </c>
      <c r="P150" s="80" t="str">
        <f aca="false">IF(IFERROR(INDEX(tsk_Name,(ROW()-ROW(MSPTasks[[#Headers],[ID]])))="",TRUE()),"",INDEX(tsk_PlanFinish,(ROW()-ROW(MSPTasks[[#Headers],[ID]]))))</f>
        <v/>
      </c>
      <c r="Q15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0" s="23" t="str">
        <f aca="false">IF(IFERROR(INDEX(tsk_Name,(ROW()-ROW(MSPTasks[[#Headers],[ID]])))="",TRUE()),"",INDEX(tsk_Notes,(ROW()-ROW(MSPTasks[[#Headers],[ID]])))&amp;"")</f>
        <v/>
      </c>
    </row>
    <row r="151" customFormat="false" ht="15" hidden="false" customHeight="false" outlineLevel="0" collapsed="false">
      <c r="A151" s="23" t="str">
        <f aca="false">IF(IFERROR(INDEX(tsk_Name,(ROW()-ROW(MSPTasks[[#Headers],[ID]])))="",TRUE()),"",INDEX(tsk_ID,(ROW()-ROW(MSPTasks[[#Headers],[ID]]))))</f>
        <v/>
      </c>
      <c r="B151" s="23" t="str">
        <f aca="false">IF(IFERROR(INDEX(tsk_Name,(ROW()-ROW(MSPTasks[[#Headers],[ID]])))="",TRUE()),"",INDEX(tsk_UID,(ROW()-ROW(MSPTasks[[#Headers],[ID]]))))</f>
        <v/>
      </c>
      <c r="C151" s="23" t="str">
        <f aca="false">IF(IFERROR(INDEX(tsk_Name,(ROW()-ROW(MSPTasks[[#Headers],[ID]])))="",TRUE()),"",INDEX(tsk_Name,(ROW()-ROW(MSPTasks[[#Headers],[ID]]))))</f>
        <v/>
      </c>
      <c r="D151" s="23" t="str">
        <f aca="false">IF(IFERROR(INDEX(tsk_Name,(ROW()-ROW(MSPTasks[[#Headers],[ID]])))="",TRUE()),"",INDEX(tsk_Level,(ROW()-ROW(MSPTasks[[#Headers],[ID]]))))</f>
        <v/>
      </c>
      <c r="E151" s="23" t="str">
        <f aca="false">IF(IFERROR(INDEX(tsk_Name,(ROW()-ROW(MSPTasks[[#Headers],[ID]])))="",TRUE()),"",IF(INDEX(tsk_Mode,(ROW()-ROW(MSPTasks[[#Headers],[ID]])))="Manual","Manually Scheduled","Auto Scheduled"))</f>
        <v/>
      </c>
      <c r="F15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1" s="80" t="str">
        <f aca="false">IF(IFERROR(INDEX(tsk_Name,(ROW()-ROW(MSPTasks[[#Headers],[ID]])))="",TRUE()),"",INDEX(tsk_FcStart,(ROW()-ROW(MSPTasks[[#Headers],[ID]]))))</f>
        <v/>
      </c>
      <c r="H151" s="80" t="str">
        <f aca="false">IF(IFERROR(INDEX(tsk_Name,(ROW()-ROW(MSPTasks[[#Headers],[ID]])))="",TRUE()),"",INDEX(tsk_FcFinish,(ROW()-ROW(MSPTasks[[#Headers],[ID]]))))</f>
        <v/>
      </c>
      <c r="I15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1" s="80" t="str">
        <f aca="false">IF(IFERROR(INDEX(tsk_Name,(ROW()-ROW(MSPTasks[[#Headers],[ID]])))="",TRUE()),"",INDEX(tsk_PlanStart,(ROW()-ROW(MSPTasks[[#Headers],[ID]]))))</f>
        <v/>
      </c>
      <c r="P151" s="80" t="str">
        <f aca="false">IF(IFERROR(INDEX(tsk_Name,(ROW()-ROW(MSPTasks[[#Headers],[ID]])))="",TRUE()),"",INDEX(tsk_PlanFinish,(ROW()-ROW(MSPTasks[[#Headers],[ID]]))))</f>
        <v/>
      </c>
      <c r="Q15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1" s="23" t="str">
        <f aca="false">IF(IFERROR(INDEX(tsk_Name,(ROW()-ROW(MSPTasks[[#Headers],[ID]])))="",TRUE()),"",INDEX(tsk_Notes,(ROW()-ROW(MSPTasks[[#Headers],[ID]])))&amp;"")</f>
        <v/>
      </c>
    </row>
    <row r="152" customFormat="false" ht="15" hidden="false" customHeight="false" outlineLevel="0" collapsed="false">
      <c r="A152" s="23" t="str">
        <f aca="false">IF(IFERROR(INDEX(tsk_Name,(ROW()-ROW(MSPTasks[[#Headers],[ID]])))="",TRUE()),"",INDEX(tsk_ID,(ROW()-ROW(MSPTasks[[#Headers],[ID]]))))</f>
        <v/>
      </c>
      <c r="B152" s="23" t="str">
        <f aca="false">IF(IFERROR(INDEX(tsk_Name,(ROW()-ROW(MSPTasks[[#Headers],[ID]])))="",TRUE()),"",INDEX(tsk_UID,(ROW()-ROW(MSPTasks[[#Headers],[ID]]))))</f>
        <v/>
      </c>
      <c r="C152" s="23" t="str">
        <f aca="false">IF(IFERROR(INDEX(tsk_Name,(ROW()-ROW(MSPTasks[[#Headers],[ID]])))="",TRUE()),"",INDEX(tsk_Name,(ROW()-ROW(MSPTasks[[#Headers],[ID]]))))</f>
        <v/>
      </c>
      <c r="D152" s="23" t="str">
        <f aca="false">IF(IFERROR(INDEX(tsk_Name,(ROW()-ROW(MSPTasks[[#Headers],[ID]])))="",TRUE()),"",INDEX(tsk_Level,(ROW()-ROW(MSPTasks[[#Headers],[ID]]))))</f>
        <v/>
      </c>
      <c r="E152" s="23" t="str">
        <f aca="false">IF(IFERROR(INDEX(tsk_Name,(ROW()-ROW(MSPTasks[[#Headers],[ID]])))="",TRUE()),"",IF(INDEX(tsk_Mode,(ROW()-ROW(MSPTasks[[#Headers],[ID]])))="Manual","Manually Scheduled","Auto Scheduled"))</f>
        <v/>
      </c>
      <c r="F15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2" s="80" t="str">
        <f aca="false">IF(IFERROR(INDEX(tsk_Name,(ROW()-ROW(MSPTasks[[#Headers],[ID]])))="",TRUE()),"",INDEX(tsk_FcStart,(ROW()-ROW(MSPTasks[[#Headers],[ID]]))))</f>
        <v/>
      </c>
      <c r="H152" s="80" t="str">
        <f aca="false">IF(IFERROR(INDEX(tsk_Name,(ROW()-ROW(MSPTasks[[#Headers],[ID]])))="",TRUE()),"",INDEX(tsk_FcFinish,(ROW()-ROW(MSPTasks[[#Headers],[ID]]))))</f>
        <v/>
      </c>
      <c r="I15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2" s="80" t="str">
        <f aca="false">IF(IFERROR(INDEX(tsk_Name,(ROW()-ROW(MSPTasks[[#Headers],[ID]])))="",TRUE()),"",INDEX(tsk_PlanStart,(ROW()-ROW(MSPTasks[[#Headers],[ID]]))))</f>
        <v/>
      </c>
      <c r="P152" s="80" t="str">
        <f aca="false">IF(IFERROR(INDEX(tsk_Name,(ROW()-ROW(MSPTasks[[#Headers],[ID]])))="",TRUE()),"",INDEX(tsk_PlanFinish,(ROW()-ROW(MSPTasks[[#Headers],[ID]]))))</f>
        <v/>
      </c>
      <c r="Q15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2" s="23" t="str">
        <f aca="false">IF(IFERROR(INDEX(tsk_Name,(ROW()-ROW(MSPTasks[[#Headers],[ID]])))="",TRUE()),"",INDEX(tsk_Notes,(ROW()-ROW(MSPTasks[[#Headers],[ID]])))&amp;"")</f>
        <v/>
      </c>
    </row>
    <row r="153" customFormat="false" ht="15" hidden="false" customHeight="false" outlineLevel="0" collapsed="false">
      <c r="A153" s="23" t="str">
        <f aca="false">IF(IFERROR(INDEX(tsk_Name,(ROW()-ROW(MSPTasks[[#Headers],[ID]])))="",TRUE()),"",INDEX(tsk_ID,(ROW()-ROW(MSPTasks[[#Headers],[ID]]))))</f>
        <v/>
      </c>
      <c r="B153" s="23" t="str">
        <f aca="false">IF(IFERROR(INDEX(tsk_Name,(ROW()-ROW(MSPTasks[[#Headers],[ID]])))="",TRUE()),"",INDEX(tsk_UID,(ROW()-ROW(MSPTasks[[#Headers],[ID]]))))</f>
        <v/>
      </c>
      <c r="C153" s="23" t="str">
        <f aca="false">IF(IFERROR(INDEX(tsk_Name,(ROW()-ROW(MSPTasks[[#Headers],[ID]])))="",TRUE()),"",INDEX(tsk_Name,(ROW()-ROW(MSPTasks[[#Headers],[ID]]))))</f>
        <v/>
      </c>
      <c r="D153" s="23" t="str">
        <f aca="false">IF(IFERROR(INDEX(tsk_Name,(ROW()-ROW(MSPTasks[[#Headers],[ID]])))="",TRUE()),"",INDEX(tsk_Level,(ROW()-ROW(MSPTasks[[#Headers],[ID]]))))</f>
        <v/>
      </c>
      <c r="E153" s="23" t="str">
        <f aca="false">IF(IFERROR(INDEX(tsk_Name,(ROW()-ROW(MSPTasks[[#Headers],[ID]])))="",TRUE()),"",IF(INDEX(tsk_Mode,(ROW()-ROW(MSPTasks[[#Headers],[ID]])))="Manual","Manually Scheduled","Auto Scheduled"))</f>
        <v/>
      </c>
      <c r="F15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3" s="80" t="str">
        <f aca="false">IF(IFERROR(INDEX(tsk_Name,(ROW()-ROW(MSPTasks[[#Headers],[ID]])))="",TRUE()),"",INDEX(tsk_FcStart,(ROW()-ROW(MSPTasks[[#Headers],[ID]]))))</f>
        <v/>
      </c>
      <c r="H153" s="80" t="str">
        <f aca="false">IF(IFERROR(INDEX(tsk_Name,(ROW()-ROW(MSPTasks[[#Headers],[ID]])))="",TRUE()),"",INDEX(tsk_FcFinish,(ROW()-ROW(MSPTasks[[#Headers],[ID]]))))</f>
        <v/>
      </c>
      <c r="I15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3" s="80" t="str">
        <f aca="false">IF(IFERROR(INDEX(tsk_Name,(ROW()-ROW(MSPTasks[[#Headers],[ID]])))="",TRUE()),"",INDEX(tsk_PlanStart,(ROW()-ROW(MSPTasks[[#Headers],[ID]]))))</f>
        <v/>
      </c>
      <c r="P153" s="80" t="str">
        <f aca="false">IF(IFERROR(INDEX(tsk_Name,(ROW()-ROW(MSPTasks[[#Headers],[ID]])))="",TRUE()),"",INDEX(tsk_PlanFinish,(ROW()-ROW(MSPTasks[[#Headers],[ID]]))))</f>
        <v/>
      </c>
      <c r="Q15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3" s="23" t="str">
        <f aca="false">IF(IFERROR(INDEX(tsk_Name,(ROW()-ROW(MSPTasks[[#Headers],[ID]])))="",TRUE()),"",INDEX(tsk_Notes,(ROW()-ROW(MSPTasks[[#Headers],[ID]])))&amp;"")</f>
        <v/>
      </c>
    </row>
    <row r="154" customFormat="false" ht="15" hidden="false" customHeight="false" outlineLevel="0" collapsed="false">
      <c r="A154" s="23" t="str">
        <f aca="false">IF(IFERROR(INDEX(tsk_Name,(ROW()-ROW(MSPTasks[[#Headers],[ID]])))="",TRUE()),"",INDEX(tsk_ID,(ROW()-ROW(MSPTasks[[#Headers],[ID]]))))</f>
        <v/>
      </c>
      <c r="B154" s="23" t="str">
        <f aca="false">IF(IFERROR(INDEX(tsk_Name,(ROW()-ROW(MSPTasks[[#Headers],[ID]])))="",TRUE()),"",INDEX(tsk_UID,(ROW()-ROW(MSPTasks[[#Headers],[ID]]))))</f>
        <v/>
      </c>
      <c r="C154" s="23" t="str">
        <f aca="false">IF(IFERROR(INDEX(tsk_Name,(ROW()-ROW(MSPTasks[[#Headers],[ID]])))="",TRUE()),"",INDEX(tsk_Name,(ROW()-ROW(MSPTasks[[#Headers],[ID]]))))</f>
        <v/>
      </c>
      <c r="D154" s="23" t="str">
        <f aca="false">IF(IFERROR(INDEX(tsk_Name,(ROW()-ROW(MSPTasks[[#Headers],[ID]])))="",TRUE()),"",INDEX(tsk_Level,(ROW()-ROW(MSPTasks[[#Headers],[ID]]))))</f>
        <v/>
      </c>
      <c r="E154" s="23" t="str">
        <f aca="false">IF(IFERROR(INDEX(tsk_Name,(ROW()-ROW(MSPTasks[[#Headers],[ID]])))="",TRUE()),"",IF(INDEX(tsk_Mode,(ROW()-ROW(MSPTasks[[#Headers],[ID]])))="Manual","Manually Scheduled","Auto Scheduled"))</f>
        <v/>
      </c>
      <c r="F15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4" s="80" t="str">
        <f aca="false">IF(IFERROR(INDEX(tsk_Name,(ROW()-ROW(MSPTasks[[#Headers],[ID]])))="",TRUE()),"",INDEX(tsk_FcStart,(ROW()-ROW(MSPTasks[[#Headers],[ID]]))))</f>
        <v/>
      </c>
      <c r="H154" s="80" t="str">
        <f aca="false">IF(IFERROR(INDEX(tsk_Name,(ROW()-ROW(MSPTasks[[#Headers],[ID]])))="",TRUE()),"",INDEX(tsk_FcFinish,(ROW()-ROW(MSPTasks[[#Headers],[ID]]))))</f>
        <v/>
      </c>
      <c r="I15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4" s="80" t="str">
        <f aca="false">IF(IFERROR(INDEX(tsk_Name,(ROW()-ROW(MSPTasks[[#Headers],[ID]])))="",TRUE()),"",INDEX(tsk_PlanStart,(ROW()-ROW(MSPTasks[[#Headers],[ID]]))))</f>
        <v/>
      </c>
      <c r="P154" s="80" t="str">
        <f aca="false">IF(IFERROR(INDEX(tsk_Name,(ROW()-ROW(MSPTasks[[#Headers],[ID]])))="",TRUE()),"",INDEX(tsk_PlanFinish,(ROW()-ROW(MSPTasks[[#Headers],[ID]]))))</f>
        <v/>
      </c>
      <c r="Q15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4" s="23" t="str">
        <f aca="false">IF(IFERROR(INDEX(tsk_Name,(ROW()-ROW(MSPTasks[[#Headers],[ID]])))="",TRUE()),"",INDEX(tsk_Notes,(ROW()-ROW(MSPTasks[[#Headers],[ID]])))&amp;"")</f>
        <v/>
      </c>
    </row>
    <row r="155" customFormat="false" ht="15" hidden="false" customHeight="false" outlineLevel="0" collapsed="false">
      <c r="A155" s="23" t="str">
        <f aca="false">IF(IFERROR(INDEX(tsk_Name,(ROW()-ROW(MSPTasks[[#Headers],[ID]])))="",TRUE()),"",INDEX(tsk_ID,(ROW()-ROW(MSPTasks[[#Headers],[ID]]))))</f>
        <v/>
      </c>
      <c r="B155" s="23" t="str">
        <f aca="false">IF(IFERROR(INDEX(tsk_Name,(ROW()-ROW(MSPTasks[[#Headers],[ID]])))="",TRUE()),"",INDEX(tsk_UID,(ROW()-ROW(MSPTasks[[#Headers],[ID]]))))</f>
        <v/>
      </c>
      <c r="C155" s="23" t="str">
        <f aca="false">IF(IFERROR(INDEX(tsk_Name,(ROW()-ROW(MSPTasks[[#Headers],[ID]])))="",TRUE()),"",INDEX(tsk_Name,(ROW()-ROW(MSPTasks[[#Headers],[ID]]))))</f>
        <v/>
      </c>
      <c r="D155" s="23" t="str">
        <f aca="false">IF(IFERROR(INDEX(tsk_Name,(ROW()-ROW(MSPTasks[[#Headers],[ID]])))="",TRUE()),"",INDEX(tsk_Level,(ROW()-ROW(MSPTasks[[#Headers],[ID]]))))</f>
        <v/>
      </c>
      <c r="E155" s="23" t="str">
        <f aca="false">IF(IFERROR(INDEX(tsk_Name,(ROW()-ROW(MSPTasks[[#Headers],[ID]])))="",TRUE()),"",IF(INDEX(tsk_Mode,(ROW()-ROW(MSPTasks[[#Headers],[ID]])))="Manual","Manually Scheduled","Auto Scheduled"))</f>
        <v/>
      </c>
      <c r="F15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5" s="80" t="str">
        <f aca="false">IF(IFERROR(INDEX(tsk_Name,(ROW()-ROW(MSPTasks[[#Headers],[ID]])))="",TRUE()),"",INDEX(tsk_FcStart,(ROW()-ROW(MSPTasks[[#Headers],[ID]]))))</f>
        <v/>
      </c>
      <c r="H155" s="80" t="str">
        <f aca="false">IF(IFERROR(INDEX(tsk_Name,(ROW()-ROW(MSPTasks[[#Headers],[ID]])))="",TRUE()),"",INDEX(tsk_FcFinish,(ROW()-ROW(MSPTasks[[#Headers],[ID]]))))</f>
        <v/>
      </c>
      <c r="I15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5" s="80" t="str">
        <f aca="false">IF(IFERROR(INDEX(tsk_Name,(ROW()-ROW(MSPTasks[[#Headers],[ID]])))="",TRUE()),"",INDEX(tsk_PlanStart,(ROW()-ROW(MSPTasks[[#Headers],[ID]]))))</f>
        <v/>
      </c>
      <c r="P155" s="80" t="str">
        <f aca="false">IF(IFERROR(INDEX(tsk_Name,(ROW()-ROW(MSPTasks[[#Headers],[ID]])))="",TRUE()),"",INDEX(tsk_PlanFinish,(ROW()-ROW(MSPTasks[[#Headers],[ID]]))))</f>
        <v/>
      </c>
      <c r="Q15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5" s="23" t="str">
        <f aca="false">IF(IFERROR(INDEX(tsk_Name,(ROW()-ROW(MSPTasks[[#Headers],[ID]])))="",TRUE()),"",INDEX(tsk_Notes,(ROW()-ROW(MSPTasks[[#Headers],[ID]])))&amp;"")</f>
        <v/>
      </c>
    </row>
    <row r="156" customFormat="false" ht="15" hidden="false" customHeight="false" outlineLevel="0" collapsed="false">
      <c r="A156" s="23" t="str">
        <f aca="false">IF(IFERROR(INDEX(tsk_Name,(ROW()-ROW(MSPTasks[[#Headers],[ID]])))="",TRUE()),"",INDEX(tsk_ID,(ROW()-ROW(MSPTasks[[#Headers],[ID]]))))</f>
        <v/>
      </c>
      <c r="B156" s="23" t="str">
        <f aca="false">IF(IFERROR(INDEX(tsk_Name,(ROW()-ROW(MSPTasks[[#Headers],[ID]])))="",TRUE()),"",INDEX(tsk_UID,(ROW()-ROW(MSPTasks[[#Headers],[ID]]))))</f>
        <v/>
      </c>
      <c r="C156" s="23" t="str">
        <f aca="false">IF(IFERROR(INDEX(tsk_Name,(ROW()-ROW(MSPTasks[[#Headers],[ID]])))="",TRUE()),"",INDEX(tsk_Name,(ROW()-ROW(MSPTasks[[#Headers],[ID]]))))</f>
        <v/>
      </c>
      <c r="D156" s="23" t="str">
        <f aca="false">IF(IFERROR(INDEX(tsk_Name,(ROW()-ROW(MSPTasks[[#Headers],[ID]])))="",TRUE()),"",INDEX(tsk_Level,(ROW()-ROW(MSPTasks[[#Headers],[ID]]))))</f>
        <v/>
      </c>
      <c r="E156" s="23" t="str">
        <f aca="false">IF(IFERROR(INDEX(tsk_Name,(ROW()-ROW(MSPTasks[[#Headers],[ID]])))="",TRUE()),"",IF(INDEX(tsk_Mode,(ROW()-ROW(MSPTasks[[#Headers],[ID]])))="Manual","Manually Scheduled","Auto Scheduled"))</f>
        <v/>
      </c>
      <c r="F15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6" s="80" t="str">
        <f aca="false">IF(IFERROR(INDEX(tsk_Name,(ROW()-ROW(MSPTasks[[#Headers],[ID]])))="",TRUE()),"",INDEX(tsk_FcStart,(ROW()-ROW(MSPTasks[[#Headers],[ID]]))))</f>
        <v/>
      </c>
      <c r="H156" s="80" t="str">
        <f aca="false">IF(IFERROR(INDEX(tsk_Name,(ROW()-ROW(MSPTasks[[#Headers],[ID]])))="",TRUE()),"",INDEX(tsk_FcFinish,(ROW()-ROW(MSPTasks[[#Headers],[ID]]))))</f>
        <v/>
      </c>
      <c r="I15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6" s="80" t="str">
        <f aca="false">IF(IFERROR(INDEX(tsk_Name,(ROW()-ROW(MSPTasks[[#Headers],[ID]])))="",TRUE()),"",INDEX(tsk_PlanStart,(ROW()-ROW(MSPTasks[[#Headers],[ID]]))))</f>
        <v/>
      </c>
      <c r="P156" s="80" t="str">
        <f aca="false">IF(IFERROR(INDEX(tsk_Name,(ROW()-ROW(MSPTasks[[#Headers],[ID]])))="",TRUE()),"",INDEX(tsk_PlanFinish,(ROW()-ROW(MSPTasks[[#Headers],[ID]]))))</f>
        <v/>
      </c>
      <c r="Q15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6" s="23" t="str">
        <f aca="false">IF(IFERROR(INDEX(tsk_Name,(ROW()-ROW(MSPTasks[[#Headers],[ID]])))="",TRUE()),"",INDEX(tsk_Notes,(ROW()-ROW(MSPTasks[[#Headers],[ID]])))&amp;"")</f>
        <v/>
      </c>
    </row>
    <row r="157" customFormat="false" ht="15" hidden="false" customHeight="false" outlineLevel="0" collapsed="false">
      <c r="A157" s="23" t="str">
        <f aca="false">IF(IFERROR(INDEX(tsk_Name,(ROW()-ROW(MSPTasks[[#Headers],[ID]])))="",TRUE()),"",INDEX(tsk_ID,(ROW()-ROW(MSPTasks[[#Headers],[ID]]))))</f>
        <v/>
      </c>
      <c r="B157" s="23" t="str">
        <f aca="false">IF(IFERROR(INDEX(tsk_Name,(ROW()-ROW(MSPTasks[[#Headers],[ID]])))="",TRUE()),"",INDEX(tsk_UID,(ROW()-ROW(MSPTasks[[#Headers],[ID]]))))</f>
        <v/>
      </c>
      <c r="C157" s="23" t="str">
        <f aca="false">IF(IFERROR(INDEX(tsk_Name,(ROW()-ROW(MSPTasks[[#Headers],[ID]])))="",TRUE()),"",INDEX(tsk_Name,(ROW()-ROW(MSPTasks[[#Headers],[ID]]))))</f>
        <v/>
      </c>
      <c r="D157" s="23" t="str">
        <f aca="false">IF(IFERROR(INDEX(tsk_Name,(ROW()-ROW(MSPTasks[[#Headers],[ID]])))="",TRUE()),"",INDEX(tsk_Level,(ROW()-ROW(MSPTasks[[#Headers],[ID]]))))</f>
        <v/>
      </c>
      <c r="E157" s="23" t="str">
        <f aca="false">IF(IFERROR(INDEX(tsk_Name,(ROW()-ROW(MSPTasks[[#Headers],[ID]])))="",TRUE()),"",IF(INDEX(tsk_Mode,(ROW()-ROW(MSPTasks[[#Headers],[ID]])))="Manual","Manually Scheduled","Auto Scheduled"))</f>
        <v/>
      </c>
      <c r="F15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7" s="80" t="str">
        <f aca="false">IF(IFERROR(INDEX(tsk_Name,(ROW()-ROW(MSPTasks[[#Headers],[ID]])))="",TRUE()),"",INDEX(tsk_FcStart,(ROW()-ROW(MSPTasks[[#Headers],[ID]]))))</f>
        <v/>
      </c>
      <c r="H157" s="80" t="str">
        <f aca="false">IF(IFERROR(INDEX(tsk_Name,(ROW()-ROW(MSPTasks[[#Headers],[ID]])))="",TRUE()),"",INDEX(tsk_FcFinish,(ROW()-ROW(MSPTasks[[#Headers],[ID]]))))</f>
        <v/>
      </c>
      <c r="I15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7" s="80" t="str">
        <f aca="false">IF(IFERROR(INDEX(tsk_Name,(ROW()-ROW(MSPTasks[[#Headers],[ID]])))="",TRUE()),"",INDEX(tsk_PlanStart,(ROW()-ROW(MSPTasks[[#Headers],[ID]]))))</f>
        <v/>
      </c>
      <c r="P157" s="80" t="str">
        <f aca="false">IF(IFERROR(INDEX(tsk_Name,(ROW()-ROW(MSPTasks[[#Headers],[ID]])))="",TRUE()),"",INDEX(tsk_PlanFinish,(ROW()-ROW(MSPTasks[[#Headers],[ID]]))))</f>
        <v/>
      </c>
      <c r="Q15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7" s="23" t="str">
        <f aca="false">IF(IFERROR(INDEX(tsk_Name,(ROW()-ROW(MSPTasks[[#Headers],[ID]])))="",TRUE()),"",INDEX(tsk_Notes,(ROW()-ROW(MSPTasks[[#Headers],[ID]])))&amp;"")</f>
        <v/>
      </c>
    </row>
    <row r="158" customFormat="false" ht="15" hidden="false" customHeight="false" outlineLevel="0" collapsed="false">
      <c r="A158" s="23" t="str">
        <f aca="false">IF(IFERROR(INDEX(tsk_Name,(ROW()-ROW(MSPTasks[[#Headers],[ID]])))="",TRUE()),"",INDEX(tsk_ID,(ROW()-ROW(MSPTasks[[#Headers],[ID]]))))</f>
        <v/>
      </c>
      <c r="B158" s="23" t="str">
        <f aca="false">IF(IFERROR(INDEX(tsk_Name,(ROW()-ROW(MSPTasks[[#Headers],[ID]])))="",TRUE()),"",INDEX(tsk_UID,(ROW()-ROW(MSPTasks[[#Headers],[ID]]))))</f>
        <v/>
      </c>
      <c r="C158" s="23" t="str">
        <f aca="false">IF(IFERROR(INDEX(tsk_Name,(ROW()-ROW(MSPTasks[[#Headers],[ID]])))="",TRUE()),"",INDEX(tsk_Name,(ROW()-ROW(MSPTasks[[#Headers],[ID]]))))</f>
        <v/>
      </c>
      <c r="D158" s="23" t="str">
        <f aca="false">IF(IFERROR(INDEX(tsk_Name,(ROW()-ROW(MSPTasks[[#Headers],[ID]])))="",TRUE()),"",INDEX(tsk_Level,(ROW()-ROW(MSPTasks[[#Headers],[ID]]))))</f>
        <v/>
      </c>
      <c r="E158" s="23" t="str">
        <f aca="false">IF(IFERROR(INDEX(tsk_Name,(ROW()-ROW(MSPTasks[[#Headers],[ID]])))="",TRUE()),"",IF(INDEX(tsk_Mode,(ROW()-ROW(MSPTasks[[#Headers],[ID]])))="Manual","Manually Scheduled","Auto Scheduled"))</f>
        <v/>
      </c>
      <c r="F15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8" s="80" t="str">
        <f aca="false">IF(IFERROR(INDEX(tsk_Name,(ROW()-ROW(MSPTasks[[#Headers],[ID]])))="",TRUE()),"",INDEX(tsk_FcStart,(ROW()-ROW(MSPTasks[[#Headers],[ID]]))))</f>
        <v/>
      </c>
      <c r="H158" s="80" t="str">
        <f aca="false">IF(IFERROR(INDEX(tsk_Name,(ROW()-ROW(MSPTasks[[#Headers],[ID]])))="",TRUE()),"",INDEX(tsk_FcFinish,(ROW()-ROW(MSPTasks[[#Headers],[ID]]))))</f>
        <v/>
      </c>
      <c r="I15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8" s="80" t="str">
        <f aca="false">IF(IFERROR(INDEX(tsk_Name,(ROW()-ROW(MSPTasks[[#Headers],[ID]])))="",TRUE()),"",INDEX(tsk_PlanStart,(ROW()-ROW(MSPTasks[[#Headers],[ID]]))))</f>
        <v/>
      </c>
      <c r="P158" s="80" t="str">
        <f aca="false">IF(IFERROR(INDEX(tsk_Name,(ROW()-ROW(MSPTasks[[#Headers],[ID]])))="",TRUE()),"",INDEX(tsk_PlanFinish,(ROW()-ROW(MSPTasks[[#Headers],[ID]]))))</f>
        <v/>
      </c>
      <c r="Q15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8" s="23" t="str">
        <f aca="false">IF(IFERROR(INDEX(tsk_Name,(ROW()-ROW(MSPTasks[[#Headers],[ID]])))="",TRUE()),"",INDEX(tsk_Notes,(ROW()-ROW(MSPTasks[[#Headers],[ID]])))&amp;"")</f>
        <v/>
      </c>
    </row>
    <row r="159" customFormat="false" ht="15" hidden="false" customHeight="false" outlineLevel="0" collapsed="false">
      <c r="A159" s="23" t="str">
        <f aca="false">IF(IFERROR(INDEX(tsk_Name,(ROW()-ROW(MSPTasks[[#Headers],[ID]])))="",TRUE()),"",INDEX(tsk_ID,(ROW()-ROW(MSPTasks[[#Headers],[ID]]))))</f>
        <v/>
      </c>
      <c r="B159" s="23" t="str">
        <f aca="false">IF(IFERROR(INDEX(tsk_Name,(ROW()-ROW(MSPTasks[[#Headers],[ID]])))="",TRUE()),"",INDEX(tsk_UID,(ROW()-ROW(MSPTasks[[#Headers],[ID]]))))</f>
        <v/>
      </c>
      <c r="C159" s="23" t="str">
        <f aca="false">IF(IFERROR(INDEX(tsk_Name,(ROW()-ROW(MSPTasks[[#Headers],[ID]])))="",TRUE()),"",INDEX(tsk_Name,(ROW()-ROW(MSPTasks[[#Headers],[ID]]))))</f>
        <v/>
      </c>
      <c r="D159" s="23" t="str">
        <f aca="false">IF(IFERROR(INDEX(tsk_Name,(ROW()-ROW(MSPTasks[[#Headers],[ID]])))="",TRUE()),"",INDEX(tsk_Level,(ROW()-ROW(MSPTasks[[#Headers],[ID]]))))</f>
        <v/>
      </c>
      <c r="E159" s="23" t="str">
        <f aca="false">IF(IFERROR(INDEX(tsk_Name,(ROW()-ROW(MSPTasks[[#Headers],[ID]])))="",TRUE()),"",IF(INDEX(tsk_Mode,(ROW()-ROW(MSPTasks[[#Headers],[ID]])))="Manual","Manually Scheduled","Auto Scheduled"))</f>
        <v/>
      </c>
      <c r="F15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9" s="80" t="str">
        <f aca="false">IF(IFERROR(INDEX(tsk_Name,(ROW()-ROW(MSPTasks[[#Headers],[ID]])))="",TRUE()),"",INDEX(tsk_FcStart,(ROW()-ROW(MSPTasks[[#Headers],[ID]]))))</f>
        <v/>
      </c>
      <c r="H159" s="80" t="str">
        <f aca="false">IF(IFERROR(INDEX(tsk_Name,(ROW()-ROW(MSPTasks[[#Headers],[ID]])))="",TRUE()),"",INDEX(tsk_FcFinish,(ROW()-ROW(MSPTasks[[#Headers],[ID]]))))</f>
        <v/>
      </c>
      <c r="I15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9" s="80" t="str">
        <f aca="false">IF(IFERROR(INDEX(tsk_Name,(ROW()-ROW(MSPTasks[[#Headers],[ID]])))="",TRUE()),"",INDEX(tsk_PlanStart,(ROW()-ROW(MSPTasks[[#Headers],[ID]]))))</f>
        <v/>
      </c>
      <c r="P159" s="80" t="str">
        <f aca="false">IF(IFERROR(INDEX(tsk_Name,(ROW()-ROW(MSPTasks[[#Headers],[ID]])))="",TRUE()),"",INDEX(tsk_PlanFinish,(ROW()-ROW(MSPTasks[[#Headers],[ID]]))))</f>
        <v/>
      </c>
      <c r="Q15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9" s="23" t="str">
        <f aca="false">IF(IFERROR(INDEX(tsk_Name,(ROW()-ROW(MSPTasks[[#Headers],[ID]])))="",TRUE()),"",INDEX(tsk_Notes,(ROW()-ROW(MSPTasks[[#Headers],[ID]])))&amp;"")</f>
        <v/>
      </c>
    </row>
    <row r="160" customFormat="false" ht="15" hidden="false" customHeight="false" outlineLevel="0" collapsed="false">
      <c r="A160" s="23" t="str">
        <f aca="false">IF(IFERROR(INDEX(tsk_Name,(ROW()-ROW(MSPTasks[[#Headers],[ID]])))="",TRUE()),"",INDEX(tsk_ID,(ROW()-ROW(MSPTasks[[#Headers],[ID]]))))</f>
        <v/>
      </c>
      <c r="B160" s="23" t="str">
        <f aca="false">IF(IFERROR(INDEX(tsk_Name,(ROW()-ROW(MSPTasks[[#Headers],[ID]])))="",TRUE()),"",INDEX(tsk_UID,(ROW()-ROW(MSPTasks[[#Headers],[ID]]))))</f>
        <v/>
      </c>
      <c r="C160" s="23" t="str">
        <f aca="false">IF(IFERROR(INDEX(tsk_Name,(ROW()-ROW(MSPTasks[[#Headers],[ID]])))="",TRUE()),"",INDEX(tsk_Name,(ROW()-ROW(MSPTasks[[#Headers],[ID]]))))</f>
        <v/>
      </c>
      <c r="D160" s="23" t="str">
        <f aca="false">IF(IFERROR(INDEX(tsk_Name,(ROW()-ROW(MSPTasks[[#Headers],[ID]])))="",TRUE()),"",INDEX(tsk_Level,(ROW()-ROW(MSPTasks[[#Headers],[ID]]))))</f>
        <v/>
      </c>
      <c r="E160" s="23" t="str">
        <f aca="false">IF(IFERROR(INDEX(tsk_Name,(ROW()-ROW(MSPTasks[[#Headers],[ID]])))="",TRUE()),"",IF(INDEX(tsk_Mode,(ROW()-ROW(MSPTasks[[#Headers],[ID]])))="Manual","Manually Scheduled","Auto Scheduled"))</f>
        <v/>
      </c>
      <c r="F16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0" s="80" t="str">
        <f aca="false">IF(IFERROR(INDEX(tsk_Name,(ROW()-ROW(MSPTasks[[#Headers],[ID]])))="",TRUE()),"",INDEX(tsk_FcStart,(ROW()-ROW(MSPTasks[[#Headers],[ID]]))))</f>
        <v/>
      </c>
      <c r="H160" s="80" t="str">
        <f aca="false">IF(IFERROR(INDEX(tsk_Name,(ROW()-ROW(MSPTasks[[#Headers],[ID]])))="",TRUE()),"",INDEX(tsk_FcFinish,(ROW()-ROW(MSPTasks[[#Headers],[ID]]))))</f>
        <v/>
      </c>
      <c r="I16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0" s="80" t="str">
        <f aca="false">IF(IFERROR(INDEX(tsk_Name,(ROW()-ROW(MSPTasks[[#Headers],[ID]])))="",TRUE()),"",INDEX(tsk_PlanStart,(ROW()-ROW(MSPTasks[[#Headers],[ID]]))))</f>
        <v/>
      </c>
      <c r="P160" s="80" t="str">
        <f aca="false">IF(IFERROR(INDEX(tsk_Name,(ROW()-ROW(MSPTasks[[#Headers],[ID]])))="",TRUE()),"",INDEX(tsk_PlanFinish,(ROW()-ROW(MSPTasks[[#Headers],[ID]]))))</f>
        <v/>
      </c>
      <c r="Q16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0" s="23" t="str">
        <f aca="false">IF(IFERROR(INDEX(tsk_Name,(ROW()-ROW(MSPTasks[[#Headers],[ID]])))="",TRUE()),"",INDEX(tsk_Notes,(ROW()-ROW(MSPTasks[[#Headers],[ID]])))&amp;"")</f>
        <v/>
      </c>
    </row>
    <row r="161" customFormat="false" ht="15" hidden="false" customHeight="false" outlineLevel="0" collapsed="false">
      <c r="A161" s="23" t="str">
        <f aca="false">IF(IFERROR(INDEX(tsk_Name,(ROW()-ROW(MSPTasks[[#Headers],[ID]])))="",TRUE()),"",INDEX(tsk_ID,(ROW()-ROW(MSPTasks[[#Headers],[ID]]))))</f>
        <v/>
      </c>
      <c r="B161" s="23" t="str">
        <f aca="false">IF(IFERROR(INDEX(tsk_Name,(ROW()-ROW(MSPTasks[[#Headers],[ID]])))="",TRUE()),"",INDEX(tsk_UID,(ROW()-ROW(MSPTasks[[#Headers],[ID]]))))</f>
        <v/>
      </c>
      <c r="C161" s="23" t="str">
        <f aca="false">IF(IFERROR(INDEX(tsk_Name,(ROW()-ROW(MSPTasks[[#Headers],[ID]])))="",TRUE()),"",INDEX(tsk_Name,(ROW()-ROW(MSPTasks[[#Headers],[ID]]))))</f>
        <v/>
      </c>
      <c r="D161" s="23" t="str">
        <f aca="false">IF(IFERROR(INDEX(tsk_Name,(ROW()-ROW(MSPTasks[[#Headers],[ID]])))="",TRUE()),"",INDEX(tsk_Level,(ROW()-ROW(MSPTasks[[#Headers],[ID]]))))</f>
        <v/>
      </c>
      <c r="E161" s="23" t="str">
        <f aca="false">IF(IFERROR(INDEX(tsk_Name,(ROW()-ROW(MSPTasks[[#Headers],[ID]])))="",TRUE()),"",IF(INDEX(tsk_Mode,(ROW()-ROW(MSPTasks[[#Headers],[ID]])))="Manual","Manually Scheduled","Auto Scheduled"))</f>
        <v/>
      </c>
      <c r="F16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1" s="80" t="str">
        <f aca="false">IF(IFERROR(INDEX(tsk_Name,(ROW()-ROW(MSPTasks[[#Headers],[ID]])))="",TRUE()),"",INDEX(tsk_FcStart,(ROW()-ROW(MSPTasks[[#Headers],[ID]]))))</f>
        <v/>
      </c>
      <c r="H161" s="80" t="str">
        <f aca="false">IF(IFERROR(INDEX(tsk_Name,(ROW()-ROW(MSPTasks[[#Headers],[ID]])))="",TRUE()),"",INDEX(tsk_FcFinish,(ROW()-ROW(MSPTasks[[#Headers],[ID]]))))</f>
        <v/>
      </c>
      <c r="I16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1" s="80" t="str">
        <f aca="false">IF(IFERROR(INDEX(tsk_Name,(ROW()-ROW(MSPTasks[[#Headers],[ID]])))="",TRUE()),"",INDEX(tsk_PlanStart,(ROW()-ROW(MSPTasks[[#Headers],[ID]]))))</f>
        <v/>
      </c>
      <c r="P161" s="80" t="str">
        <f aca="false">IF(IFERROR(INDEX(tsk_Name,(ROW()-ROW(MSPTasks[[#Headers],[ID]])))="",TRUE()),"",INDEX(tsk_PlanFinish,(ROW()-ROW(MSPTasks[[#Headers],[ID]]))))</f>
        <v/>
      </c>
      <c r="Q16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1" s="23" t="str">
        <f aca="false">IF(IFERROR(INDEX(tsk_Name,(ROW()-ROW(MSPTasks[[#Headers],[ID]])))="",TRUE()),"",INDEX(tsk_Notes,(ROW()-ROW(MSPTasks[[#Headers],[ID]])))&amp;"")</f>
        <v/>
      </c>
    </row>
    <row r="162" customFormat="false" ht="15" hidden="false" customHeight="false" outlineLevel="0" collapsed="false">
      <c r="A162" s="23" t="str">
        <f aca="false">IF(IFERROR(INDEX(tsk_Name,(ROW()-ROW(MSPTasks[[#Headers],[ID]])))="",TRUE()),"",INDEX(tsk_ID,(ROW()-ROW(MSPTasks[[#Headers],[ID]]))))</f>
        <v/>
      </c>
      <c r="B162" s="23" t="str">
        <f aca="false">IF(IFERROR(INDEX(tsk_Name,(ROW()-ROW(MSPTasks[[#Headers],[ID]])))="",TRUE()),"",INDEX(tsk_UID,(ROW()-ROW(MSPTasks[[#Headers],[ID]]))))</f>
        <v/>
      </c>
      <c r="C162" s="23" t="str">
        <f aca="false">IF(IFERROR(INDEX(tsk_Name,(ROW()-ROW(MSPTasks[[#Headers],[ID]])))="",TRUE()),"",INDEX(tsk_Name,(ROW()-ROW(MSPTasks[[#Headers],[ID]]))))</f>
        <v/>
      </c>
      <c r="D162" s="23" t="str">
        <f aca="false">IF(IFERROR(INDEX(tsk_Name,(ROW()-ROW(MSPTasks[[#Headers],[ID]])))="",TRUE()),"",INDEX(tsk_Level,(ROW()-ROW(MSPTasks[[#Headers],[ID]]))))</f>
        <v/>
      </c>
      <c r="E162" s="23" t="str">
        <f aca="false">IF(IFERROR(INDEX(tsk_Name,(ROW()-ROW(MSPTasks[[#Headers],[ID]])))="",TRUE()),"",IF(INDEX(tsk_Mode,(ROW()-ROW(MSPTasks[[#Headers],[ID]])))="Manual","Manually Scheduled","Auto Scheduled"))</f>
        <v/>
      </c>
      <c r="F16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2" s="80" t="str">
        <f aca="false">IF(IFERROR(INDEX(tsk_Name,(ROW()-ROW(MSPTasks[[#Headers],[ID]])))="",TRUE()),"",INDEX(tsk_FcStart,(ROW()-ROW(MSPTasks[[#Headers],[ID]]))))</f>
        <v/>
      </c>
      <c r="H162" s="80" t="str">
        <f aca="false">IF(IFERROR(INDEX(tsk_Name,(ROW()-ROW(MSPTasks[[#Headers],[ID]])))="",TRUE()),"",INDEX(tsk_FcFinish,(ROW()-ROW(MSPTasks[[#Headers],[ID]]))))</f>
        <v/>
      </c>
      <c r="I16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2" s="80" t="str">
        <f aca="false">IF(IFERROR(INDEX(tsk_Name,(ROW()-ROW(MSPTasks[[#Headers],[ID]])))="",TRUE()),"",INDEX(tsk_PlanStart,(ROW()-ROW(MSPTasks[[#Headers],[ID]]))))</f>
        <v/>
      </c>
      <c r="P162" s="80" t="str">
        <f aca="false">IF(IFERROR(INDEX(tsk_Name,(ROW()-ROW(MSPTasks[[#Headers],[ID]])))="",TRUE()),"",INDEX(tsk_PlanFinish,(ROW()-ROW(MSPTasks[[#Headers],[ID]]))))</f>
        <v/>
      </c>
      <c r="Q16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2" s="23" t="str">
        <f aca="false">IF(IFERROR(INDEX(tsk_Name,(ROW()-ROW(MSPTasks[[#Headers],[ID]])))="",TRUE()),"",INDEX(tsk_Notes,(ROW()-ROW(MSPTasks[[#Headers],[ID]])))&amp;"")</f>
        <v/>
      </c>
    </row>
    <row r="163" customFormat="false" ht="15" hidden="false" customHeight="false" outlineLevel="0" collapsed="false">
      <c r="A163" s="23" t="str">
        <f aca="false">IF(IFERROR(INDEX(tsk_Name,(ROW()-ROW(MSPTasks[[#Headers],[ID]])))="",TRUE()),"",INDEX(tsk_ID,(ROW()-ROW(MSPTasks[[#Headers],[ID]]))))</f>
        <v/>
      </c>
      <c r="B163" s="23" t="str">
        <f aca="false">IF(IFERROR(INDEX(tsk_Name,(ROW()-ROW(MSPTasks[[#Headers],[ID]])))="",TRUE()),"",INDEX(tsk_UID,(ROW()-ROW(MSPTasks[[#Headers],[ID]]))))</f>
        <v/>
      </c>
      <c r="C163" s="23" t="str">
        <f aca="false">IF(IFERROR(INDEX(tsk_Name,(ROW()-ROW(MSPTasks[[#Headers],[ID]])))="",TRUE()),"",INDEX(tsk_Name,(ROW()-ROW(MSPTasks[[#Headers],[ID]]))))</f>
        <v/>
      </c>
      <c r="D163" s="23" t="str">
        <f aca="false">IF(IFERROR(INDEX(tsk_Name,(ROW()-ROW(MSPTasks[[#Headers],[ID]])))="",TRUE()),"",INDEX(tsk_Level,(ROW()-ROW(MSPTasks[[#Headers],[ID]]))))</f>
        <v/>
      </c>
      <c r="E163" s="23" t="str">
        <f aca="false">IF(IFERROR(INDEX(tsk_Name,(ROW()-ROW(MSPTasks[[#Headers],[ID]])))="",TRUE()),"",IF(INDEX(tsk_Mode,(ROW()-ROW(MSPTasks[[#Headers],[ID]])))="Manual","Manually Scheduled","Auto Scheduled"))</f>
        <v/>
      </c>
      <c r="F16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3" s="80" t="str">
        <f aca="false">IF(IFERROR(INDEX(tsk_Name,(ROW()-ROW(MSPTasks[[#Headers],[ID]])))="",TRUE()),"",INDEX(tsk_FcStart,(ROW()-ROW(MSPTasks[[#Headers],[ID]]))))</f>
        <v/>
      </c>
      <c r="H163" s="80" t="str">
        <f aca="false">IF(IFERROR(INDEX(tsk_Name,(ROW()-ROW(MSPTasks[[#Headers],[ID]])))="",TRUE()),"",INDEX(tsk_FcFinish,(ROW()-ROW(MSPTasks[[#Headers],[ID]]))))</f>
        <v/>
      </c>
      <c r="I16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3" s="80" t="str">
        <f aca="false">IF(IFERROR(INDEX(tsk_Name,(ROW()-ROW(MSPTasks[[#Headers],[ID]])))="",TRUE()),"",INDEX(tsk_PlanStart,(ROW()-ROW(MSPTasks[[#Headers],[ID]]))))</f>
        <v/>
      </c>
      <c r="P163" s="80" t="str">
        <f aca="false">IF(IFERROR(INDEX(tsk_Name,(ROW()-ROW(MSPTasks[[#Headers],[ID]])))="",TRUE()),"",INDEX(tsk_PlanFinish,(ROW()-ROW(MSPTasks[[#Headers],[ID]]))))</f>
        <v/>
      </c>
      <c r="Q16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3" s="23" t="str">
        <f aca="false">IF(IFERROR(INDEX(tsk_Name,(ROW()-ROW(MSPTasks[[#Headers],[ID]])))="",TRUE()),"",INDEX(tsk_Notes,(ROW()-ROW(MSPTasks[[#Headers],[ID]])))&amp;"")</f>
        <v/>
      </c>
    </row>
    <row r="164" customFormat="false" ht="15" hidden="false" customHeight="false" outlineLevel="0" collapsed="false">
      <c r="A164" s="23" t="str">
        <f aca="false">IF(IFERROR(INDEX(tsk_Name,(ROW()-ROW(MSPTasks[[#Headers],[ID]])))="",TRUE()),"",INDEX(tsk_ID,(ROW()-ROW(MSPTasks[[#Headers],[ID]]))))</f>
        <v/>
      </c>
      <c r="B164" s="23" t="str">
        <f aca="false">IF(IFERROR(INDEX(tsk_Name,(ROW()-ROW(MSPTasks[[#Headers],[ID]])))="",TRUE()),"",INDEX(tsk_UID,(ROW()-ROW(MSPTasks[[#Headers],[ID]]))))</f>
        <v/>
      </c>
      <c r="C164" s="23" t="str">
        <f aca="false">IF(IFERROR(INDEX(tsk_Name,(ROW()-ROW(MSPTasks[[#Headers],[ID]])))="",TRUE()),"",INDEX(tsk_Name,(ROW()-ROW(MSPTasks[[#Headers],[ID]]))))</f>
        <v/>
      </c>
      <c r="D164" s="23" t="str">
        <f aca="false">IF(IFERROR(INDEX(tsk_Name,(ROW()-ROW(MSPTasks[[#Headers],[ID]])))="",TRUE()),"",INDEX(tsk_Level,(ROW()-ROW(MSPTasks[[#Headers],[ID]]))))</f>
        <v/>
      </c>
      <c r="E164" s="23" t="str">
        <f aca="false">IF(IFERROR(INDEX(tsk_Name,(ROW()-ROW(MSPTasks[[#Headers],[ID]])))="",TRUE()),"",IF(INDEX(tsk_Mode,(ROW()-ROW(MSPTasks[[#Headers],[ID]])))="Manual","Manually Scheduled","Auto Scheduled"))</f>
        <v/>
      </c>
      <c r="F16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4" s="80" t="str">
        <f aca="false">IF(IFERROR(INDEX(tsk_Name,(ROW()-ROW(MSPTasks[[#Headers],[ID]])))="",TRUE()),"",INDEX(tsk_FcStart,(ROW()-ROW(MSPTasks[[#Headers],[ID]]))))</f>
        <v/>
      </c>
      <c r="H164" s="80" t="str">
        <f aca="false">IF(IFERROR(INDEX(tsk_Name,(ROW()-ROW(MSPTasks[[#Headers],[ID]])))="",TRUE()),"",INDEX(tsk_FcFinish,(ROW()-ROW(MSPTasks[[#Headers],[ID]]))))</f>
        <v/>
      </c>
      <c r="I16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4" s="80" t="str">
        <f aca="false">IF(IFERROR(INDEX(tsk_Name,(ROW()-ROW(MSPTasks[[#Headers],[ID]])))="",TRUE()),"",INDEX(tsk_PlanStart,(ROW()-ROW(MSPTasks[[#Headers],[ID]]))))</f>
        <v/>
      </c>
      <c r="P164" s="80" t="str">
        <f aca="false">IF(IFERROR(INDEX(tsk_Name,(ROW()-ROW(MSPTasks[[#Headers],[ID]])))="",TRUE()),"",INDEX(tsk_PlanFinish,(ROW()-ROW(MSPTasks[[#Headers],[ID]]))))</f>
        <v/>
      </c>
      <c r="Q16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4" s="23" t="str">
        <f aca="false">IF(IFERROR(INDEX(tsk_Name,(ROW()-ROW(MSPTasks[[#Headers],[ID]])))="",TRUE()),"",INDEX(tsk_Notes,(ROW()-ROW(MSPTasks[[#Headers],[ID]])))&amp;"")</f>
        <v/>
      </c>
    </row>
    <row r="165" customFormat="false" ht="15" hidden="false" customHeight="false" outlineLevel="0" collapsed="false">
      <c r="A165" s="23" t="str">
        <f aca="false">IF(IFERROR(INDEX(tsk_Name,(ROW()-ROW(MSPTasks[[#Headers],[ID]])))="",TRUE()),"",INDEX(tsk_ID,(ROW()-ROW(MSPTasks[[#Headers],[ID]]))))</f>
        <v/>
      </c>
      <c r="B165" s="23" t="str">
        <f aca="false">IF(IFERROR(INDEX(tsk_Name,(ROW()-ROW(MSPTasks[[#Headers],[ID]])))="",TRUE()),"",INDEX(tsk_UID,(ROW()-ROW(MSPTasks[[#Headers],[ID]]))))</f>
        <v/>
      </c>
      <c r="C165" s="23" t="str">
        <f aca="false">IF(IFERROR(INDEX(tsk_Name,(ROW()-ROW(MSPTasks[[#Headers],[ID]])))="",TRUE()),"",INDEX(tsk_Name,(ROW()-ROW(MSPTasks[[#Headers],[ID]]))))</f>
        <v/>
      </c>
      <c r="D165" s="23" t="str">
        <f aca="false">IF(IFERROR(INDEX(tsk_Name,(ROW()-ROW(MSPTasks[[#Headers],[ID]])))="",TRUE()),"",INDEX(tsk_Level,(ROW()-ROW(MSPTasks[[#Headers],[ID]]))))</f>
        <v/>
      </c>
      <c r="E165" s="23" t="str">
        <f aca="false">IF(IFERROR(INDEX(tsk_Name,(ROW()-ROW(MSPTasks[[#Headers],[ID]])))="",TRUE()),"",IF(INDEX(tsk_Mode,(ROW()-ROW(MSPTasks[[#Headers],[ID]])))="Manual","Manually Scheduled","Auto Scheduled"))</f>
        <v/>
      </c>
      <c r="F16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5" s="80" t="str">
        <f aca="false">IF(IFERROR(INDEX(tsk_Name,(ROW()-ROW(MSPTasks[[#Headers],[ID]])))="",TRUE()),"",INDEX(tsk_FcStart,(ROW()-ROW(MSPTasks[[#Headers],[ID]]))))</f>
        <v/>
      </c>
      <c r="H165" s="80" t="str">
        <f aca="false">IF(IFERROR(INDEX(tsk_Name,(ROW()-ROW(MSPTasks[[#Headers],[ID]])))="",TRUE()),"",INDEX(tsk_FcFinish,(ROW()-ROW(MSPTasks[[#Headers],[ID]]))))</f>
        <v/>
      </c>
      <c r="I16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5" s="80" t="str">
        <f aca="false">IF(IFERROR(INDEX(tsk_Name,(ROW()-ROW(MSPTasks[[#Headers],[ID]])))="",TRUE()),"",INDEX(tsk_PlanStart,(ROW()-ROW(MSPTasks[[#Headers],[ID]]))))</f>
        <v/>
      </c>
      <c r="P165" s="80" t="str">
        <f aca="false">IF(IFERROR(INDEX(tsk_Name,(ROW()-ROW(MSPTasks[[#Headers],[ID]])))="",TRUE()),"",INDEX(tsk_PlanFinish,(ROW()-ROW(MSPTasks[[#Headers],[ID]]))))</f>
        <v/>
      </c>
      <c r="Q16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5" s="23" t="str">
        <f aca="false">IF(IFERROR(INDEX(tsk_Name,(ROW()-ROW(MSPTasks[[#Headers],[ID]])))="",TRUE()),"",INDEX(tsk_Notes,(ROW()-ROW(MSPTasks[[#Headers],[ID]])))&amp;"")</f>
        <v/>
      </c>
    </row>
    <row r="166" customFormat="false" ht="15" hidden="false" customHeight="false" outlineLevel="0" collapsed="false">
      <c r="A166" s="23" t="str">
        <f aca="false">IF(IFERROR(INDEX(tsk_Name,(ROW()-ROW(MSPTasks[[#Headers],[ID]])))="",TRUE()),"",INDEX(tsk_ID,(ROW()-ROW(MSPTasks[[#Headers],[ID]]))))</f>
        <v/>
      </c>
      <c r="B166" s="23" t="str">
        <f aca="false">IF(IFERROR(INDEX(tsk_Name,(ROW()-ROW(MSPTasks[[#Headers],[ID]])))="",TRUE()),"",INDEX(tsk_UID,(ROW()-ROW(MSPTasks[[#Headers],[ID]]))))</f>
        <v/>
      </c>
      <c r="C166" s="23" t="str">
        <f aca="false">IF(IFERROR(INDEX(tsk_Name,(ROW()-ROW(MSPTasks[[#Headers],[ID]])))="",TRUE()),"",INDEX(tsk_Name,(ROW()-ROW(MSPTasks[[#Headers],[ID]]))))</f>
        <v/>
      </c>
      <c r="D166" s="23" t="str">
        <f aca="false">IF(IFERROR(INDEX(tsk_Name,(ROW()-ROW(MSPTasks[[#Headers],[ID]])))="",TRUE()),"",INDEX(tsk_Level,(ROW()-ROW(MSPTasks[[#Headers],[ID]]))))</f>
        <v/>
      </c>
      <c r="E166" s="23" t="str">
        <f aca="false">IF(IFERROR(INDEX(tsk_Name,(ROW()-ROW(MSPTasks[[#Headers],[ID]])))="",TRUE()),"",IF(INDEX(tsk_Mode,(ROW()-ROW(MSPTasks[[#Headers],[ID]])))="Manual","Manually Scheduled","Auto Scheduled"))</f>
        <v/>
      </c>
      <c r="F16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6" s="80" t="str">
        <f aca="false">IF(IFERROR(INDEX(tsk_Name,(ROW()-ROW(MSPTasks[[#Headers],[ID]])))="",TRUE()),"",INDEX(tsk_FcStart,(ROW()-ROW(MSPTasks[[#Headers],[ID]]))))</f>
        <v/>
      </c>
      <c r="H166" s="80" t="str">
        <f aca="false">IF(IFERROR(INDEX(tsk_Name,(ROW()-ROW(MSPTasks[[#Headers],[ID]])))="",TRUE()),"",INDEX(tsk_FcFinish,(ROW()-ROW(MSPTasks[[#Headers],[ID]]))))</f>
        <v/>
      </c>
      <c r="I16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6" s="80" t="str">
        <f aca="false">IF(IFERROR(INDEX(tsk_Name,(ROW()-ROW(MSPTasks[[#Headers],[ID]])))="",TRUE()),"",INDEX(tsk_PlanStart,(ROW()-ROW(MSPTasks[[#Headers],[ID]]))))</f>
        <v/>
      </c>
      <c r="P166" s="80" t="str">
        <f aca="false">IF(IFERROR(INDEX(tsk_Name,(ROW()-ROW(MSPTasks[[#Headers],[ID]])))="",TRUE()),"",INDEX(tsk_PlanFinish,(ROW()-ROW(MSPTasks[[#Headers],[ID]]))))</f>
        <v/>
      </c>
      <c r="Q16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6" s="23" t="str">
        <f aca="false">IF(IFERROR(INDEX(tsk_Name,(ROW()-ROW(MSPTasks[[#Headers],[ID]])))="",TRUE()),"",INDEX(tsk_Notes,(ROW()-ROW(MSPTasks[[#Headers],[ID]])))&amp;"")</f>
        <v/>
      </c>
    </row>
    <row r="167" customFormat="false" ht="15" hidden="false" customHeight="false" outlineLevel="0" collapsed="false">
      <c r="A167" s="23" t="str">
        <f aca="false">IF(IFERROR(INDEX(tsk_Name,(ROW()-ROW(MSPTasks[[#Headers],[ID]])))="",TRUE()),"",INDEX(tsk_ID,(ROW()-ROW(MSPTasks[[#Headers],[ID]]))))</f>
        <v/>
      </c>
      <c r="B167" s="23" t="str">
        <f aca="false">IF(IFERROR(INDEX(tsk_Name,(ROW()-ROW(MSPTasks[[#Headers],[ID]])))="",TRUE()),"",INDEX(tsk_UID,(ROW()-ROW(MSPTasks[[#Headers],[ID]]))))</f>
        <v/>
      </c>
      <c r="C167" s="23" t="str">
        <f aca="false">IF(IFERROR(INDEX(tsk_Name,(ROW()-ROW(MSPTasks[[#Headers],[ID]])))="",TRUE()),"",INDEX(tsk_Name,(ROW()-ROW(MSPTasks[[#Headers],[ID]]))))</f>
        <v/>
      </c>
      <c r="D167" s="23" t="str">
        <f aca="false">IF(IFERROR(INDEX(tsk_Name,(ROW()-ROW(MSPTasks[[#Headers],[ID]])))="",TRUE()),"",INDEX(tsk_Level,(ROW()-ROW(MSPTasks[[#Headers],[ID]]))))</f>
        <v/>
      </c>
      <c r="E167" s="23" t="str">
        <f aca="false">IF(IFERROR(INDEX(tsk_Name,(ROW()-ROW(MSPTasks[[#Headers],[ID]])))="",TRUE()),"",IF(INDEX(tsk_Mode,(ROW()-ROW(MSPTasks[[#Headers],[ID]])))="Manual","Manually Scheduled","Auto Scheduled"))</f>
        <v/>
      </c>
      <c r="F16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7" s="80" t="str">
        <f aca="false">IF(IFERROR(INDEX(tsk_Name,(ROW()-ROW(MSPTasks[[#Headers],[ID]])))="",TRUE()),"",INDEX(tsk_FcStart,(ROW()-ROW(MSPTasks[[#Headers],[ID]]))))</f>
        <v/>
      </c>
      <c r="H167" s="80" t="str">
        <f aca="false">IF(IFERROR(INDEX(tsk_Name,(ROW()-ROW(MSPTasks[[#Headers],[ID]])))="",TRUE()),"",INDEX(tsk_FcFinish,(ROW()-ROW(MSPTasks[[#Headers],[ID]]))))</f>
        <v/>
      </c>
      <c r="I16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7" s="80" t="str">
        <f aca="false">IF(IFERROR(INDEX(tsk_Name,(ROW()-ROW(MSPTasks[[#Headers],[ID]])))="",TRUE()),"",INDEX(tsk_PlanStart,(ROW()-ROW(MSPTasks[[#Headers],[ID]]))))</f>
        <v/>
      </c>
      <c r="P167" s="80" t="str">
        <f aca="false">IF(IFERROR(INDEX(tsk_Name,(ROW()-ROW(MSPTasks[[#Headers],[ID]])))="",TRUE()),"",INDEX(tsk_PlanFinish,(ROW()-ROW(MSPTasks[[#Headers],[ID]]))))</f>
        <v/>
      </c>
      <c r="Q16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7" s="23" t="str">
        <f aca="false">IF(IFERROR(INDEX(tsk_Name,(ROW()-ROW(MSPTasks[[#Headers],[ID]])))="",TRUE()),"",INDEX(tsk_Notes,(ROW()-ROW(MSPTasks[[#Headers],[ID]])))&amp;"")</f>
        <v/>
      </c>
    </row>
    <row r="168" customFormat="false" ht="15" hidden="false" customHeight="false" outlineLevel="0" collapsed="false">
      <c r="A168" s="23" t="str">
        <f aca="false">IF(IFERROR(INDEX(tsk_Name,(ROW()-ROW(MSPTasks[[#Headers],[ID]])))="",TRUE()),"",INDEX(tsk_ID,(ROW()-ROW(MSPTasks[[#Headers],[ID]]))))</f>
        <v/>
      </c>
      <c r="B168" s="23" t="str">
        <f aca="false">IF(IFERROR(INDEX(tsk_Name,(ROW()-ROW(MSPTasks[[#Headers],[ID]])))="",TRUE()),"",INDEX(tsk_UID,(ROW()-ROW(MSPTasks[[#Headers],[ID]]))))</f>
        <v/>
      </c>
      <c r="C168" s="23" t="str">
        <f aca="false">IF(IFERROR(INDEX(tsk_Name,(ROW()-ROW(MSPTasks[[#Headers],[ID]])))="",TRUE()),"",INDEX(tsk_Name,(ROW()-ROW(MSPTasks[[#Headers],[ID]]))))</f>
        <v/>
      </c>
      <c r="D168" s="23" t="str">
        <f aca="false">IF(IFERROR(INDEX(tsk_Name,(ROW()-ROW(MSPTasks[[#Headers],[ID]])))="",TRUE()),"",INDEX(tsk_Level,(ROW()-ROW(MSPTasks[[#Headers],[ID]]))))</f>
        <v/>
      </c>
      <c r="E168" s="23" t="str">
        <f aca="false">IF(IFERROR(INDEX(tsk_Name,(ROW()-ROW(MSPTasks[[#Headers],[ID]])))="",TRUE()),"",IF(INDEX(tsk_Mode,(ROW()-ROW(MSPTasks[[#Headers],[ID]])))="Manual","Manually Scheduled","Auto Scheduled"))</f>
        <v/>
      </c>
      <c r="F16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8" s="80" t="str">
        <f aca="false">IF(IFERROR(INDEX(tsk_Name,(ROW()-ROW(MSPTasks[[#Headers],[ID]])))="",TRUE()),"",INDEX(tsk_FcStart,(ROW()-ROW(MSPTasks[[#Headers],[ID]]))))</f>
        <v/>
      </c>
      <c r="H168" s="80" t="str">
        <f aca="false">IF(IFERROR(INDEX(tsk_Name,(ROW()-ROW(MSPTasks[[#Headers],[ID]])))="",TRUE()),"",INDEX(tsk_FcFinish,(ROW()-ROW(MSPTasks[[#Headers],[ID]]))))</f>
        <v/>
      </c>
      <c r="I16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8" s="80" t="str">
        <f aca="false">IF(IFERROR(INDEX(tsk_Name,(ROW()-ROW(MSPTasks[[#Headers],[ID]])))="",TRUE()),"",INDEX(tsk_PlanStart,(ROW()-ROW(MSPTasks[[#Headers],[ID]]))))</f>
        <v/>
      </c>
      <c r="P168" s="80" t="str">
        <f aca="false">IF(IFERROR(INDEX(tsk_Name,(ROW()-ROW(MSPTasks[[#Headers],[ID]])))="",TRUE()),"",INDEX(tsk_PlanFinish,(ROW()-ROW(MSPTasks[[#Headers],[ID]]))))</f>
        <v/>
      </c>
      <c r="Q16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8" s="23" t="str">
        <f aca="false">IF(IFERROR(INDEX(tsk_Name,(ROW()-ROW(MSPTasks[[#Headers],[ID]])))="",TRUE()),"",INDEX(tsk_Notes,(ROW()-ROW(MSPTasks[[#Headers],[ID]])))&amp;"")</f>
        <v/>
      </c>
    </row>
    <row r="169" customFormat="false" ht="15" hidden="false" customHeight="false" outlineLevel="0" collapsed="false">
      <c r="A169" s="23" t="str">
        <f aca="false">IF(IFERROR(INDEX(tsk_Name,(ROW()-ROW(MSPTasks[[#Headers],[ID]])))="",TRUE()),"",INDEX(tsk_ID,(ROW()-ROW(MSPTasks[[#Headers],[ID]]))))</f>
        <v/>
      </c>
      <c r="B169" s="23" t="str">
        <f aca="false">IF(IFERROR(INDEX(tsk_Name,(ROW()-ROW(MSPTasks[[#Headers],[ID]])))="",TRUE()),"",INDEX(tsk_UID,(ROW()-ROW(MSPTasks[[#Headers],[ID]]))))</f>
        <v/>
      </c>
      <c r="C169" s="23" t="str">
        <f aca="false">IF(IFERROR(INDEX(tsk_Name,(ROW()-ROW(MSPTasks[[#Headers],[ID]])))="",TRUE()),"",INDEX(tsk_Name,(ROW()-ROW(MSPTasks[[#Headers],[ID]]))))</f>
        <v/>
      </c>
      <c r="D169" s="23" t="str">
        <f aca="false">IF(IFERROR(INDEX(tsk_Name,(ROW()-ROW(MSPTasks[[#Headers],[ID]])))="",TRUE()),"",INDEX(tsk_Level,(ROW()-ROW(MSPTasks[[#Headers],[ID]]))))</f>
        <v/>
      </c>
      <c r="E169" s="23" t="str">
        <f aca="false">IF(IFERROR(INDEX(tsk_Name,(ROW()-ROW(MSPTasks[[#Headers],[ID]])))="",TRUE()),"",IF(INDEX(tsk_Mode,(ROW()-ROW(MSPTasks[[#Headers],[ID]])))="Manual","Manually Scheduled","Auto Scheduled"))</f>
        <v/>
      </c>
      <c r="F16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9" s="80" t="str">
        <f aca="false">IF(IFERROR(INDEX(tsk_Name,(ROW()-ROW(MSPTasks[[#Headers],[ID]])))="",TRUE()),"",INDEX(tsk_FcStart,(ROW()-ROW(MSPTasks[[#Headers],[ID]]))))</f>
        <v/>
      </c>
      <c r="H169" s="80" t="str">
        <f aca="false">IF(IFERROR(INDEX(tsk_Name,(ROW()-ROW(MSPTasks[[#Headers],[ID]])))="",TRUE()),"",INDEX(tsk_FcFinish,(ROW()-ROW(MSPTasks[[#Headers],[ID]]))))</f>
        <v/>
      </c>
      <c r="I16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9" s="80" t="str">
        <f aca="false">IF(IFERROR(INDEX(tsk_Name,(ROW()-ROW(MSPTasks[[#Headers],[ID]])))="",TRUE()),"",INDEX(tsk_PlanStart,(ROW()-ROW(MSPTasks[[#Headers],[ID]]))))</f>
        <v/>
      </c>
      <c r="P169" s="80" t="str">
        <f aca="false">IF(IFERROR(INDEX(tsk_Name,(ROW()-ROW(MSPTasks[[#Headers],[ID]])))="",TRUE()),"",INDEX(tsk_PlanFinish,(ROW()-ROW(MSPTasks[[#Headers],[ID]]))))</f>
        <v/>
      </c>
      <c r="Q16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9" s="23" t="str">
        <f aca="false">IF(IFERROR(INDEX(tsk_Name,(ROW()-ROW(MSPTasks[[#Headers],[ID]])))="",TRUE()),"",INDEX(tsk_Notes,(ROW()-ROW(MSPTasks[[#Headers],[ID]])))&amp;"")</f>
        <v/>
      </c>
    </row>
    <row r="170" customFormat="false" ht="15" hidden="false" customHeight="false" outlineLevel="0" collapsed="false">
      <c r="A170" s="23" t="str">
        <f aca="false">IF(IFERROR(INDEX(tsk_Name,(ROW()-ROW(MSPTasks[[#Headers],[ID]])))="",TRUE()),"",INDEX(tsk_ID,(ROW()-ROW(MSPTasks[[#Headers],[ID]]))))</f>
        <v/>
      </c>
      <c r="B170" s="23" t="str">
        <f aca="false">IF(IFERROR(INDEX(tsk_Name,(ROW()-ROW(MSPTasks[[#Headers],[ID]])))="",TRUE()),"",INDEX(tsk_UID,(ROW()-ROW(MSPTasks[[#Headers],[ID]]))))</f>
        <v/>
      </c>
      <c r="C170" s="23" t="str">
        <f aca="false">IF(IFERROR(INDEX(tsk_Name,(ROW()-ROW(MSPTasks[[#Headers],[ID]])))="",TRUE()),"",INDEX(tsk_Name,(ROW()-ROW(MSPTasks[[#Headers],[ID]]))))</f>
        <v/>
      </c>
      <c r="D170" s="23" t="str">
        <f aca="false">IF(IFERROR(INDEX(tsk_Name,(ROW()-ROW(MSPTasks[[#Headers],[ID]])))="",TRUE()),"",INDEX(tsk_Level,(ROW()-ROW(MSPTasks[[#Headers],[ID]]))))</f>
        <v/>
      </c>
      <c r="E170" s="23" t="str">
        <f aca="false">IF(IFERROR(INDEX(tsk_Name,(ROW()-ROW(MSPTasks[[#Headers],[ID]])))="",TRUE()),"",IF(INDEX(tsk_Mode,(ROW()-ROW(MSPTasks[[#Headers],[ID]])))="Manual","Manually Scheduled","Auto Scheduled"))</f>
        <v/>
      </c>
      <c r="F17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0" s="80" t="str">
        <f aca="false">IF(IFERROR(INDEX(tsk_Name,(ROW()-ROW(MSPTasks[[#Headers],[ID]])))="",TRUE()),"",INDEX(tsk_FcStart,(ROW()-ROW(MSPTasks[[#Headers],[ID]]))))</f>
        <v/>
      </c>
      <c r="H170" s="80" t="str">
        <f aca="false">IF(IFERROR(INDEX(tsk_Name,(ROW()-ROW(MSPTasks[[#Headers],[ID]])))="",TRUE()),"",INDEX(tsk_FcFinish,(ROW()-ROW(MSPTasks[[#Headers],[ID]]))))</f>
        <v/>
      </c>
      <c r="I17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0" s="80" t="str">
        <f aca="false">IF(IFERROR(INDEX(tsk_Name,(ROW()-ROW(MSPTasks[[#Headers],[ID]])))="",TRUE()),"",INDEX(tsk_PlanStart,(ROW()-ROW(MSPTasks[[#Headers],[ID]]))))</f>
        <v/>
      </c>
      <c r="P170" s="80" t="str">
        <f aca="false">IF(IFERROR(INDEX(tsk_Name,(ROW()-ROW(MSPTasks[[#Headers],[ID]])))="",TRUE()),"",INDEX(tsk_PlanFinish,(ROW()-ROW(MSPTasks[[#Headers],[ID]]))))</f>
        <v/>
      </c>
      <c r="Q17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0" s="23" t="str">
        <f aca="false">IF(IFERROR(INDEX(tsk_Name,(ROW()-ROW(MSPTasks[[#Headers],[ID]])))="",TRUE()),"",INDEX(tsk_Notes,(ROW()-ROW(MSPTasks[[#Headers],[ID]])))&amp;"")</f>
        <v/>
      </c>
    </row>
    <row r="171" customFormat="false" ht="15" hidden="false" customHeight="false" outlineLevel="0" collapsed="false">
      <c r="A171" s="23" t="str">
        <f aca="false">IF(IFERROR(INDEX(tsk_Name,(ROW()-ROW(MSPTasks[[#Headers],[ID]])))="",TRUE()),"",INDEX(tsk_ID,(ROW()-ROW(MSPTasks[[#Headers],[ID]]))))</f>
        <v/>
      </c>
      <c r="B171" s="23" t="str">
        <f aca="false">IF(IFERROR(INDEX(tsk_Name,(ROW()-ROW(MSPTasks[[#Headers],[ID]])))="",TRUE()),"",INDEX(tsk_UID,(ROW()-ROW(MSPTasks[[#Headers],[ID]]))))</f>
        <v/>
      </c>
      <c r="C171" s="23" t="str">
        <f aca="false">IF(IFERROR(INDEX(tsk_Name,(ROW()-ROW(MSPTasks[[#Headers],[ID]])))="",TRUE()),"",INDEX(tsk_Name,(ROW()-ROW(MSPTasks[[#Headers],[ID]]))))</f>
        <v/>
      </c>
      <c r="D171" s="23" t="str">
        <f aca="false">IF(IFERROR(INDEX(tsk_Name,(ROW()-ROW(MSPTasks[[#Headers],[ID]])))="",TRUE()),"",INDEX(tsk_Level,(ROW()-ROW(MSPTasks[[#Headers],[ID]]))))</f>
        <v/>
      </c>
      <c r="E171" s="23" t="str">
        <f aca="false">IF(IFERROR(INDEX(tsk_Name,(ROW()-ROW(MSPTasks[[#Headers],[ID]])))="",TRUE()),"",IF(INDEX(tsk_Mode,(ROW()-ROW(MSPTasks[[#Headers],[ID]])))="Manual","Manually Scheduled","Auto Scheduled"))</f>
        <v/>
      </c>
      <c r="F17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1" s="80" t="str">
        <f aca="false">IF(IFERROR(INDEX(tsk_Name,(ROW()-ROW(MSPTasks[[#Headers],[ID]])))="",TRUE()),"",INDEX(tsk_FcStart,(ROW()-ROW(MSPTasks[[#Headers],[ID]]))))</f>
        <v/>
      </c>
      <c r="H171" s="80" t="str">
        <f aca="false">IF(IFERROR(INDEX(tsk_Name,(ROW()-ROW(MSPTasks[[#Headers],[ID]])))="",TRUE()),"",INDEX(tsk_FcFinish,(ROW()-ROW(MSPTasks[[#Headers],[ID]]))))</f>
        <v/>
      </c>
      <c r="I17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1" s="80" t="str">
        <f aca="false">IF(IFERROR(INDEX(tsk_Name,(ROW()-ROW(MSPTasks[[#Headers],[ID]])))="",TRUE()),"",INDEX(tsk_PlanStart,(ROW()-ROW(MSPTasks[[#Headers],[ID]]))))</f>
        <v/>
      </c>
      <c r="P171" s="80" t="str">
        <f aca="false">IF(IFERROR(INDEX(tsk_Name,(ROW()-ROW(MSPTasks[[#Headers],[ID]])))="",TRUE()),"",INDEX(tsk_PlanFinish,(ROW()-ROW(MSPTasks[[#Headers],[ID]]))))</f>
        <v/>
      </c>
      <c r="Q17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1" s="23" t="str">
        <f aca="false">IF(IFERROR(INDEX(tsk_Name,(ROW()-ROW(MSPTasks[[#Headers],[ID]])))="",TRUE()),"",INDEX(tsk_Notes,(ROW()-ROW(MSPTasks[[#Headers],[ID]])))&amp;"")</f>
        <v/>
      </c>
    </row>
    <row r="172" customFormat="false" ht="15" hidden="false" customHeight="false" outlineLevel="0" collapsed="false">
      <c r="A172" s="23" t="str">
        <f aca="false">IF(IFERROR(INDEX(tsk_Name,(ROW()-ROW(MSPTasks[[#Headers],[ID]])))="",TRUE()),"",INDEX(tsk_ID,(ROW()-ROW(MSPTasks[[#Headers],[ID]]))))</f>
        <v/>
      </c>
      <c r="B172" s="23" t="str">
        <f aca="false">IF(IFERROR(INDEX(tsk_Name,(ROW()-ROW(MSPTasks[[#Headers],[ID]])))="",TRUE()),"",INDEX(tsk_UID,(ROW()-ROW(MSPTasks[[#Headers],[ID]]))))</f>
        <v/>
      </c>
      <c r="C172" s="23" t="str">
        <f aca="false">IF(IFERROR(INDEX(tsk_Name,(ROW()-ROW(MSPTasks[[#Headers],[ID]])))="",TRUE()),"",INDEX(tsk_Name,(ROW()-ROW(MSPTasks[[#Headers],[ID]]))))</f>
        <v/>
      </c>
      <c r="D172" s="23" t="str">
        <f aca="false">IF(IFERROR(INDEX(tsk_Name,(ROW()-ROW(MSPTasks[[#Headers],[ID]])))="",TRUE()),"",INDEX(tsk_Level,(ROW()-ROW(MSPTasks[[#Headers],[ID]]))))</f>
        <v/>
      </c>
      <c r="E172" s="23" t="str">
        <f aca="false">IF(IFERROR(INDEX(tsk_Name,(ROW()-ROW(MSPTasks[[#Headers],[ID]])))="",TRUE()),"",IF(INDEX(tsk_Mode,(ROW()-ROW(MSPTasks[[#Headers],[ID]])))="Manual","Manually Scheduled","Auto Scheduled"))</f>
        <v/>
      </c>
      <c r="F17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2" s="80" t="str">
        <f aca="false">IF(IFERROR(INDEX(tsk_Name,(ROW()-ROW(MSPTasks[[#Headers],[ID]])))="",TRUE()),"",INDEX(tsk_FcStart,(ROW()-ROW(MSPTasks[[#Headers],[ID]]))))</f>
        <v/>
      </c>
      <c r="H172" s="80" t="str">
        <f aca="false">IF(IFERROR(INDEX(tsk_Name,(ROW()-ROW(MSPTasks[[#Headers],[ID]])))="",TRUE()),"",INDEX(tsk_FcFinish,(ROW()-ROW(MSPTasks[[#Headers],[ID]]))))</f>
        <v/>
      </c>
      <c r="I17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2" s="80" t="str">
        <f aca="false">IF(IFERROR(INDEX(tsk_Name,(ROW()-ROW(MSPTasks[[#Headers],[ID]])))="",TRUE()),"",INDEX(tsk_PlanStart,(ROW()-ROW(MSPTasks[[#Headers],[ID]]))))</f>
        <v/>
      </c>
      <c r="P172" s="80" t="str">
        <f aca="false">IF(IFERROR(INDEX(tsk_Name,(ROW()-ROW(MSPTasks[[#Headers],[ID]])))="",TRUE()),"",INDEX(tsk_PlanFinish,(ROW()-ROW(MSPTasks[[#Headers],[ID]]))))</f>
        <v/>
      </c>
      <c r="Q17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2" s="23" t="str">
        <f aca="false">IF(IFERROR(INDEX(tsk_Name,(ROW()-ROW(MSPTasks[[#Headers],[ID]])))="",TRUE()),"",INDEX(tsk_Notes,(ROW()-ROW(MSPTasks[[#Headers],[ID]])))&amp;"")</f>
        <v/>
      </c>
    </row>
    <row r="173" customFormat="false" ht="15" hidden="false" customHeight="false" outlineLevel="0" collapsed="false">
      <c r="A173" s="23" t="str">
        <f aca="false">IF(IFERROR(INDEX(tsk_Name,(ROW()-ROW(MSPTasks[[#Headers],[ID]])))="",TRUE()),"",INDEX(tsk_ID,(ROW()-ROW(MSPTasks[[#Headers],[ID]]))))</f>
        <v/>
      </c>
      <c r="B173" s="23" t="str">
        <f aca="false">IF(IFERROR(INDEX(tsk_Name,(ROW()-ROW(MSPTasks[[#Headers],[ID]])))="",TRUE()),"",INDEX(tsk_UID,(ROW()-ROW(MSPTasks[[#Headers],[ID]]))))</f>
        <v/>
      </c>
      <c r="C173" s="23" t="str">
        <f aca="false">IF(IFERROR(INDEX(tsk_Name,(ROW()-ROW(MSPTasks[[#Headers],[ID]])))="",TRUE()),"",INDEX(tsk_Name,(ROW()-ROW(MSPTasks[[#Headers],[ID]]))))</f>
        <v/>
      </c>
      <c r="D173" s="23" t="str">
        <f aca="false">IF(IFERROR(INDEX(tsk_Name,(ROW()-ROW(MSPTasks[[#Headers],[ID]])))="",TRUE()),"",INDEX(tsk_Level,(ROW()-ROW(MSPTasks[[#Headers],[ID]]))))</f>
        <v/>
      </c>
      <c r="E173" s="23" t="str">
        <f aca="false">IF(IFERROR(INDEX(tsk_Name,(ROW()-ROW(MSPTasks[[#Headers],[ID]])))="",TRUE()),"",IF(INDEX(tsk_Mode,(ROW()-ROW(MSPTasks[[#Headers],[ID]])))="Manual","Manually Scheduled","Auto Scheduled"))</f>
        <v/>
      </c>
      <c r="F17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3" s="80" t="str">
        <f aca="false">IF(IFERROR(INDEX(tsk_Name,(ROW()-ROW(MSPTasks[[#Headers],[ID]])))="",TRUE()),"",INDEX(tsk_FcStart,(ROW()-ROW(MSPTasks[[#Headers],[ID]]))))</f>
        <v/>
      </c>
      <c r="H173" s="80" t="str">
        <f aca="false">IF(IFERROR(INDEX(tsk_Name,(ROW()-ROW(MSPTasks[[#Headers],[ID]])))="",TRUE()),"",INDEX(tsk_FcFinish,(ROW()-ROW(MSPTasks[[#Headers],[ID]]))))</f>
        <v/>
      </c>
      <c r="I17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3" s="80" t="str">
        <f aca="false">IF(IFERROR(INDEX(tsk_Name,(ROW()-ROW(MSPTasks[[#Headers],[ID]])))="",TRUE()),"",INDEX(tsk_PlanStart,(ROW()-ROW(MSPTasks[[#Headers],[ID]]))))</f>
        <v/>
      </c>
      <c r="P173" s="80" t="str">
        <f aca="false">IF(IFERROR(INDEX(tsk_Name,(ROW()-ROW(MSPTasks[[#Headers],[ID]])))="",TRUE()),"",INDEX(tsk_PlanFinish,(ROW()-ROW(MSPTasks[[#Headers],[ID]]))))</f>
        <v/>
      </c>
      <c r="Q17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3" s="23" t="str">
        <f aca="false">IF(IFERROR(INDEX(tsk_Name,(ROW()-ROW(MSPTasks[[#Headers],[ID]])))="",TRUE()),"",INDEX(tsk_Notes,(ROW()-ROW(MSPTasks[[#Headers],[ID]])))&amp;"")</f>
        <v/>
      </c>
    </row>
    <row r="174" customFormat="false" ht="15" hidden="false" customHeight="false" outlineLevel="0" collapsed="false">
      <c r="A174" s="23" t="str">
        <f aca="false">IF(IFERROR(INDEX(tsk_Name,(ROW()-ROW(MSPTasks[[#Headers],[ID]])))="",TRUE()),"",INDEX(tsk_ID,(ROW()-ROW(MSPTasks[[#Headers],[ID]]))))</f>
        <v/>
      </c>
      <c r="B174" s="23" t="str">
        <f aca="false">IF(IFERROR(INDEX(tsk_Name,(ROW()-ROW(MSPTasks[[#Headers],[ID]])))="",TRUE()),"",INDEX(tsk_UID,(ROW()-ROW(MSPTasks[[#Headers],[ID]]))))</f>
        <v/>
      </c>
      <c r="C174" s="23" t="str">
        <f aca="false">IF(IFERROR(INDEX(tsk_Name,(ROW()-ROW(MSPTasks[[#Headers],[ID]])))="",TRUE()),"",INDEX(tsk_Name,(ROW()-ROW(MSPTasks[[#Headers],[ID]]))))</f>
        <v/>
      </c>
      <c r="D174" s="23" t="str">
        <f aca="false">IF(IFERROR(INDEX(tsk_Name,(ROW()-ROW(MSPTasks[[#Headers],[ID]])))="",TRUE()),"",INDEX(tsk_Level,(ROW()-ROW(MSPTasks[[#Headers],[ID]]))))</f>
        <v/>
      </c>
      <c r="E174" s="23" t="str">
        <f aca="false">IF(IFERROR(INDEX(tsk_Name,(ROW()-ROW(MSPTasks[[#Headers],[ID]])))="",TRUE()),"",IF(INDEX(tsk_Mode,(ROW()-ROW(MSPTasks[[#Headers],[ID]])))="Manual","Manually Scheduled","Auto Scheduled"))</f>
        <v/>
      </c>
      <c r="F17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4" s="80" t="str">
        <f aca="false">IF(IFERROR(INDEX(tsk_Name,(ROW()-ROW(MSPTasks[[#Headers],[ID]])))="",TRUE()),"",INDEX(tsk_FcStart,(ROW()-ROW(MSPTasks[[#Headers],[ID]]))))</f>
        <v/>
      </c>
      <c r="H174" s="80" t="str">
        <f aca="false">IF(IFERROR(INDEX(tsk_Name,(ROW()-ROW(MSPTasks[[#Headers],[ID]])))="",TRUE()),"",INDEX(tsk_FcFinish,(ROW()-ROW(MSPTasks[[#Headers],[ID]]))))</f>
        <v/>
      </c>
      <c r="I17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4" s="80" t="str">
        <f aca="false">IF(IFERROR(INDEX(tsk_Name,(ROW()-ROW(MSPTasks[[#Headers],[ID]])))="",TRUE()),"",INDEX(tsk_PlanStart,(ROW()-ROW(MSPTasks[[#Headers],[ID]]))))</f>
        <v/>
      </c>
      <c r="P174" s="80" t="str">
        <f aca="false">IF(IFERROR(INDEX(tsk_Name,(ROW()-ROW(MSPTasks[[#Headers],[ID]])))="",TRUE()),"",INDEX(tsk_PlanFinish,(ROW()-ROW(MSPTasks[[#Headers],[ID]]))))</f>
        <v/>
      </c>
      <c r="Q17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4" s="23" t="str">
        <f aca="false">IF(IFERROR(INDEX(tsk_Name,(ROW()-ROW(MSPTasks[[#Headers],[ID]])))="",TRUE()),"",INDEX(tsk_Notes,(ROW()-ROW(MSPTasks[[#Headers],[ID]])))&amp;"")</f>
        <v/>
      </c>
    </row>
    <row r="175" customFormat="false" ht="15" hidden="false" customHeight="false" outlineLevel="0" collapsed="false">
      <c r="A175" s="23" t="str">
        <f aca="false">IF(IFERROR(INDEX(tsk_Name,(ROW()-ROW(MSPTasks[[#Headers],[ID]])))="",TRUE()),"",INDEX(tsk_ID,(ROW()-ROW(MSPTasks[[#Headers],[ID]]))))</f>
        <v/>
      </c>
      <c r="B175" s="23" t="str">
        <f aca="false">IF(IFERROR(INDEX(tsk_Name,(ROW()-ROW(MSPTasks[[#Headers],[ID]])))="",TRUE()),"",INDEX(tsk_UID,(ROW()-ROW(MSPTasks[[#Headers],[ID]]))))</f>
        <v/>
      </c>
      <c r="C175" s="23" t="str">
        <f aca="false">IF(IFERROR(INDEX(tsk_Name,(ROW()-ROW(MSPTasks[[#Headers],[ID]])))="",TRUE()),"",INDEX(tsk_Name,(ROW()-ROW(MSPTasks[[#Headers],[ID]]))))</f>
        <v/>
      </c>
      <c r="D175" s="23" t="str">
        <f aca="false">IF(IFERROR(INDEX(tsk_Name,(ROW()-ROW(MSPTasks[[#Headers],[ID]])))="",TRUE()),"",INDEX(tsk_Level,(ROW()-ROW(MSPTasks[[#Headers],[ID]]))))</f>
        <v/>
      </c>
      <c r="E175" s="23" t="str">
        <f aca="false">IF(IFERROR(INDEX(tsk_Name,(ROW()-ROW(MSPTasks[[#Headers],[ID]])))="",TRUE()),"",IF(INDEX(tsk_Mode,(ROW()-ROW(MSPTasks[[#Headers],[ID]])))="Manual","Manually Scheduled","Auto Scheduled"))</f>
        <v/>
      </c>
      <c r="F17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5" s="80" t="str">
        <f aca="false">IF(IFERROR(INDEX(tsk_Name,(ROW()-ROW(MSPTasks[[#Headers],[ID]])))="",TRUE()),"",INDEX(tsk_FcStart,(ROW()-ROW(MSPTasks[[#Headers],[ID]]))))</f>
        <v/>
      </c>
      <c r="H175" s="80" t="str">
        <f aca="false">IF(IFERROR(INDEX(tsk_Name,(ROW()-ROW(MSPTasks[[#Headers],[ID]])))="",TRUE()),"",INDEX(tsk_FcFinish,(ROW()-ROW(MSPTasks[[#Headers],[ID]]))))</f>
        <v/>
      </c>
      <c r="I17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5" s="80" t="str">
        <f aca="false">IF(IFERROR(INDEX(tsk_Name,(ROW()-ROW(MSPTasks[[#Headers],[ID]])))="",TRUE()),"",INDEX(tsk_PlanStart,(ROW()-ROW(MSPTasks[[#Headers],[ID]]))))</f>
        <v/>
      </c>
      <c r="P175" s="80" t="str">
        <f aca="false">IF(IFERROR(INDEX(tsk_Name,(ROW()-ROW(MSPTasks[[#Headers],[ID]])))="",TRUE()),"",INDEX(tsk_PlanFinish,(ROW()-ROW(MSPTasks[[#Headers],[ID]]))))</f>
        <v/>
      </c>
      <c r="Q17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5" s="23" t="str">
        <f aca="false">IF(IFERROR(INDEX(tsk_Name,(ROW()-ROW(MSPTasks[[#Headers],[ID]])))="",TRUE()),"",INDEX(tsk_Notes,(ROW()-ROW(MSPTasks[[#Headers],[ID]])))&amp;"")</f>
        <v/>
      </c>
    </row>
    <row r="176" customFormat="false" ht="15" hidden="false" customHeight="false" outlineLevel="0" collapsed="false">
      <c r="A176" s="23" t="str">
        <f aca="false">IF(IFERROR(INDEX(tsk_Name,(ROW()-ROW(MSPTasks[[#Headers],[ID]])))="",TRUE()),"",INDEX(tsk_ID,(ROW()-ROW(MSPTasks[[#Headers],[ID]]))))</f>
        <v/>
      </c>
      <c r="B176" s="23" t="str">
        <f aca="false">IF(IFERROR(INDEX(tsk_Name,(ROW()-ROW(MSPTasks[[#Headers],[ID]])))="",TRUE()),"",INDEX(tsk_UID,(ROW()-ROW(MSPTasks[[#Headers],[ID]]))))</f>
        <v/>
      </c>
      <c r="C176" s="23" t="str">
        <f aca="false">IF(IFERROR(INDEX(tsk_Name,(ROW()-ROW(MSPTasks[[#Headers],[ID]])))="",TRUE()),"",INDEX(tsk_Name,(ROW()-ROW(MSPTasks[[#Headers],[ID]]))))</f>
        <v/>
      </c>
      <c r="D176" s="23" t="str">
        <f aca="false">IF(IFERROR(INDEX(tsk_Name,(ROW()-ROW(MSPTasks[[#Headers],[ID]])))="",TRUE()),"",INDEX(tsk_Level,(ROW()-ROW(MSPTasks[[#Headers],[ID]]))))</f>
        <v/>
      </c>
      <c r="E176" s="23" t="str">
        <f aca="false">IF(IFERROR(INDEX(tsk_Name,(ROW()-ROW(MSPTasks[[#Headers],[ID]])))="",TRUE()),"",IF(INDEX(tsk_Mode,(ROW()-ROW(MSPTasks[[#Headers],[ID]])))="Manual","Manually Scheduled","Auto Scheduled"))</f>
        <v/>
      </c>
      <c r="F17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6" s="80" t="str">
        <f aca="false">IF(IFERROR(INDEX(tsk_Name,(ROW()-ROW(MSPTasks[[#Headers],[ID]])))="",TRUE()),"",INDEX(tsk_FcStart,(ROW()-ROW(MSPTasks[[#Headers],[ID]]))))</f>
        <v/>
      </c>
      <c r="H176" s="80" t="str">
        <f aca="false">IF(IFERROR(INDEX(tsk_Name,(ROW()-ROW(MSPTasks[[#Headers],[ID]])))="",TRUE()),"",INDEX(tsk_FcFinish,(ROW()-ROW(MSPTasks[[#Headers],[ID]]))))</f>
        <v/>
      </c>
      <c r="I17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6" s="80" t="str">
        <f aca="false">IF(IFERROR(INDEX(tsk_Name,(ROW()-ROW(MSPTasks[[#Headers],[ID]])))="",TRUE()),"",INDEX(tsk_PlanStart,(ROW()-ROW(MSPTasks[[#Headers],[ID]]))))</f>
        <v/>
      </c>
      <c r="P176" s="80" t="str">
        <f aca="false">IF(IFERROR(INDEX(tsk_Name,(ROW()-ROW(MSPTasks[[#Headers],[ID]])))="",TRUE()),"",INDEX(tsk_PlanFinish,(ROW()-ROW(MSPTasks[[#Headers],[ID]]))))</f>
        <v/>
      </c>
      <c r="Q17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6" s="23" t="str">
        <f aca="false">IF(IFERROR(INDEX(tsk_Name,(ROW()-ROW(MSPTasks[[#Headers],[ID]])))="",TRUE()),"",INDEX(tsk_Notes,(ROW()-ROW(MSPTasks[[#Headers],[ID]])))&amp;"")</f>
        <v/>
      </c>
    </row>
    <row r="177" customFormat="false" ht="15" hidden="false" customHeight="false" outlineLevel="0" collapsed="false">
      <c r="A177" s="23" t="str">
        <f aca="false">IF(IFERROR(INDEX(tsk_Name,(ROW()-ROW(MSPTasks[[#Headers],[ID]])))="",TRUE()),"",INDEX(tsk_ID,(ROW()-ROW(MSPTasks[[#Headers],[ID]]))))</f>
        <v/>
      </c>
      <c r="B177" s="23" t="str">
        <f aca="false">IF(IFERROR(INDEX(tsk_Name,(ROW()-ROW(MSPTasks[[#Headers],[ID]])))="",TRUE()),"",INDEX(tsk_UID,(ROW()-ROW(MSPTasks[[#Headers],[ID]]))))</f>
        <v/>
      </c>
      <c r="C177" s="23" t="str">
        <f aca="false">IF(IFERROR(INDEX(tsk_Name,(ROW()-ROW(MSPTasks[[#Headers],[ID]])))="",TRUE()),"",INDEX(tsk_Name,(ROW()-ROW(MSPTasks[[#Headers],[ID]]))))</f>
        <v/>
      </c>
      <c r="D177" s="23" t="str">
        <f aca="false">IF(IFERROR(INDEX(tsk_Name,(ROW()-ROW(MSPTasks[[#Headers],[ID]])))="",TRUE()),"",INDEX(tsk_Level,(ROW()-ROW(MSPTasks[[#Headers],[ID]]))))</f>
        <v/>
      </c>
      <c r="E177" s="23" t="str">
        <f aca="false">IF(IFERROR(INDEX(tsk_Name,(ROW()-ROW(MSPTasks[[#Headers],[ID]])))="",TRUE()),"",IF(INDEX(tsk_Mode,(ROW()-ROW(MSPTasks[[#Headers],[ID]])))="Manual","Manually Scheduled","Auto Scheduled"))</f>
        <v/>
      </c>
      <c r="F17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7" s="80" t="str">
        <f aca="false">IF(IFERROR(INDEX(tsk_Name,(ROW()-ROW(MSPTasks[[#Headers],[ID]])))="",TRUE()),"",INDEX(tsk_FcStart,(ROW()-ROW(MSPTasks[[#Headers],[ID]]))))</f>
        <v/>
      </c>
      <c r="H177" s="80" t="str">
        <f aca="false">IF(IFERROR(INDEX(tsk_Name,(ROW()-ROW(MSPTasks[[#Headers],[ID]])))="",TRUE()),"",INDEX(tsk_FcFinish,(ROW()-ROW(MSPTasks[[#Headers],[ID]]))))</f>
        <v/>
      </c>
      <c r="I17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7" s="80" t="str">
        <f aca="false">IF(IFERROR(INDEX(tsk_Name,(ROW()-ROW(MSPTasks[[#Headers],[ID]])))="",TRUE()),"",INDEX(tsk_PlanStart,(ROW()-ROW(MSPTasks[[#Headers],[ID]]))))</f>
        <v/>
      </c>
      <c r="P177" s="80" t="str">
        <f aca="false">IF(IFERROR(INDEX(tsk_Name,(ROW()-ROW(MSPTasks[[#Headers],[ID]])))="",TRUE()),"",INDEX(tsk_PlanFinish,(ROW()-ROW(MSPTasks[[#Headers],[ID]]))))</f>
        <v/>
      </c>
      <c r="Q17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7" s="23" t="str">
        <f aca="false">IF(IFERROR(INDEX(tsk_Name,(ROW()-ROW(MSPTasks[[#Headers],[ID]])))="",TRUE()),"",INDEX(tsk_Notes,(ROW()-ROW(MSPTasks[[#Headers],[ID]])))&amp;"")</f>
        <v/>
      </c>
    </row>
    <row r="178" customFormat="false" ht="15" hidden="false" customHeight="false" outlineLevel="0" collapsed="false">
      <c r="A178" s="23" t="str">
        <f aca="false">IF(IFERROR(INDEX(tsk_Name,(ROW()-ROW(MSPTasks[[#Headers],[ID]])))="",TRUE()),"",INDEX(tsk_ID,(ROW()-ROW(MSPTasks[[#Headers],[ID]]))))</f>
        <v/>
      </c>
      <c r="B178" s="23" t="str">
        <f aca="false">IF(IFERROR(INDEX(tsk_Name,(ROW()-ROW(MSPTasks[[#Headers],[ID]])))="",TRUE()),"",INDEX(tsk_UID,(ROW()-ROW(MSPTasks[[#Headers],[ID]]))))</f>
        <v/>
      </c>
      <c r="C178" s="23" t="str">
        <f aca="false">IF(IFERROR(INDEX(tsk_Name,(ROW()-ROW(MSPTasks[[#Headers],[ID]])))="",TRUE()),"",INDEX(tsk_Name,(ROW()-ROW(MSPTasks[[#Headers],[ID]]))))</f>
        <v/>
      </c>
      <c r="D178" s="23" t="str">
        <f aca="false">IF(IFERROR(INDEX(tsk_Name,(ROW()-ROW(MSPTasks[[#Headers],[ID]])))="",TRUE()),"",INDEX(tsk_Level,(ROW()-ROW(MSPTasks[[#Headers],[ID]]))))</f>
        <v/>
      </c>
      <c r="E178" s="23" t="str">
        <f aca="false">IF(IFERROR(INDEX(tsk_Name,(ROW()-ROW(MSPTasks[[#Headers],[ID]])))="",TRUE()),"",IF(INDEX(tsk_Mode,(ROW()-ROW(MSPTasks[[#Headers],[ID]])))="Manual","Manually Scheduled","Auto Scheduled"))</f>
        <v/>
      </c>
      <c r="F17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8" s="80" t="str">
        <f aca="false">IF(IFERROR(INDEX(tsk_Name,(ROW()-ROW(MSPTasks[[#Headers],[ID]])))="",TRUE()),"",INDEX(tsk_FcStart,(ROW()-ROW(MSPTasks[[#Headers],[ID]]))))</f>
        <v/>
      </c>
      <c r="H178" s="80" t="str">
        <f aca="false">IF(IFERROR(INDEX(tsk_Name,(ROW()-ROW(MSPTasks[[#Headers],[ID]])))="",TRUE()),"",INDEX(tsk_FcFinish,(ROW()-ROW(MSPTasks[[#Headers],[ID]]))))</f>
        <v/>
      </c>
      <c r="I17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8" s="80" t="str">
        <f aca="false">IF(IFERROR(INDEX(tsk_Name,(ROW()-ROW(MSPTasks[[#Headers],[ID]])))="",TRUE()),"",INDEX(tsk_PlanStart,(ROW()-ROW(MSPTasks[[#Headers],[ID]]))))</f>
        <v/>
      </c>
      <c r="P178" s="80" t="str">
        <f aca="false">IF(IFERROR(INDEX(tsk_Name,(ROW()-ROW(MSPTasks[[#Headers],[ID]])))="",TRUE()),"",INDEX(tsk_PlanFinish,(ROW()-ROW(MSPTasks[[#Headers],[ID]]))))</f>
        <v/>
      </c>
      <c r="Q17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8" s="23" t="str">
        <f aca="false">IF(IFERROR(INDEX(tsk_Name,(ROW()-ROW(MSPTasks[[#Headers],[ID]])))="",TRUE()),"",INDEX(tsk_Notes,(ROW()-ROW(MSPTasks[[#Headers],[ID]])))&amp;"")</f>
        <v/>
      </c>
    </row>
    <row r="179" customFormat="false" ht="15" hidden="false" customHeight="false" outlineLevel="0" collapsed="false">
      <c r="A179" s="23" t="str">
        <f aca="false">IF(IFERROR(INDEX(tsk_Name,(ROW()-ROW(MSPTasks[[#Headers],[ID]])))="",TRUE()),"",INDEX(tsk_ID,(ROW()-ROW(MSPTasks[[#Headers],[ID]]))))</f>
        <v/>
      </c>
      <c r="B179" s="23" t="str">
        <f aca="false">IF(IFERROR(INDEX(tsk_Name,(ROW()-ROW(MSPTasks[[#Headers],[ID]])))="",TRUE()),"",INDEX(tsk_UID,(ROW()-ROW(MSPTasks[[#Headers],[ID]]))))</f>
        <v/>
      </c>
      <c r="C179" s="23" t="str">
        <f aca="false">IF(IFERROR(INDEX(tsk_Name,(ROW()-ROW(MSPTasks[[#Headers],[ID]])))="",TRUE()),"",INDEX(tsk_Name,(ROW()-ROW(MSPTasks[[#Headers],[ID]]))))</f>
        <v/>
      </c>
      <c r="D179" s="23" t="str">
        <f aca="false">IF(IFERROR(INDEX(tsk_Name,(ROW()-ROW(MSPTasks[[#Headers],[ID]])))="",TRUE()),"",INDEX(tsk_Level,(ROW()-ROW(MSPTasks[[#Headers],[ID]]))))</f>
        <v/>
      </c>
      <c r="E179" s="23" t="str">
        <f aca="false">IF(IFERROR(INDEX(tsk_Name,(ROW()-ROW(MSPTasks[[#Headers],[ID]])))="",TRUE()),"",IF(INDEX(tsk_Mode,(ROW()-ROW(MSPTasks[[#Headers],[ID]])))="Manual","Manually Scheduled","Auto Scheduled"))</f>
        <v/>
      </c>
      <c r="F17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9" s="80" t="str">
        <f aca="false">IF(IFERROR(INDEX(tsk_Name,(ROW()-ROW(MSPTasks[[#Headers],[ID]])))="",TRUE()),"",INDEX(tsk_FcStart,(ROW()-ROW(MSPTasks[[#Headers],[ID]]))))</f>
        <v/>
      </c>
      <c r="H179" s="80" t="str">
        <f aca="false">IF(IFERROR(INDEX(tsk_Name,(ROW()-ROW(MSPTasks[[#Headers],[ID]])))="",TRUE()),"",INDEX(tsk_FcFinish,(ROW()-ROW(MSPTasks[[#Headers],[ID]]))))</f>
        <v/>
      </c>
      <c r="I17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9" s="80" t="str">
        <f aca="false">IF(IFERROR(INDEX(tsk_Name,(ROW()-ROW(MSPTasks[[#Headers],[ID]])))="",TRUE()),"",INDEX(tsk_PlanStart,(ROW()-ROW(MSPTasks[[#Headers],[ID]]))))</f>
        <v/>
      </c>
      <c r="P179" s="80" t="str">
        <f aca="false">IF(IFERROR(INDEX(tsk_Name,(ROW()-ROW(MSPTasks[[#Headers],[ID]])))="",TRUE()),"",INDEX(tsk_PlanFinish,(ROW()-ROW(MSPTasks[[#Headers],[ID]]))))</f>
        <v/>
      </c>
      <c r="Q17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9" s="23" t="str">
        <f aca="false">IF(IFERROR(INDEX(tsk_Name,(ROW()-ROW(MSPTasks[[#Headers],[ID]])))="",TRUE()),"",INDEX(tsk_Notes,(ROW()-ROW(MSPTasks[[#Headers],[ID]])))&amp;"")</f>
        <v/>
      </c>
    </row>
    <row r="180" customFormat="false" ht="15" hidden="false" customHeight="false" outlineLevel="0" collapsed="false">
      <c r="A180" s="23" t="str">
        <f aca="false">IF(IFERROR(INDEX(tsk_Name,(ROW()-ROW(MSPTasks[[#Headers],[ID]])))="",TRUE()),"",INDEX(tsk_ID,(ROW()-ROW(MSPTasks[[#Headers],[ID]]))))</f>
        <v/>
      </c>
      <c r="B180" s="23" t="str">
        <f aca="false">IF(IFERROR(INDEX(tsk_Name,(ROW()-ROW(MSPTasks[[#Headers],[ID]])))="",TRUE()),"",INDEX(tsk_UID,(ROW()-ROW(MSPTasks[[#Headers],[ID]]))))</f>
        <v/>
      </c>
      <c r="C180" s="23" t="str">
        <f aca="false">IF(IFERROR(INDEX(tsk_Name,(ROW()-ROW(MSPTasks[[#Headers],[ID]])))="",TRUE()),"",INDEX(tsk_Name,(ROW()-ROW(MSPTasks[[#Headers],[ID]]))))</f>
        <v/>
      </c>
      <c r="D180" s="23" t="str">
        <f aca="false">IF(IFERROR(INDEX(tsk_Name,(ROW()-ROW(MSPTasks[[#Headers],[ID]])))="",TRUE()),"",INDEX(tsk_Level,(ROW()-ROW(MSPTasks[[#Headers],[ID]]))))</f>
        <v/>
      </c>
      <c r="E180" s="23" t="str">
        <f aca="false">IF(IFERROR(INDEX(tsk_Name,(ROW()-ROW(MSPTasks[[#Headers],[ID]])))="",TRUE()),"",IF(INDEX(tsk_Mode,(ROW()-ROW(MSPTasks[[#Headers],[ID]])))="Manual","Manually Scheduled","Auto Scheduled"))</f>
        <v/>
      </c>
      <c r="F18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0" s="80" t="str">
        <f aca="false">IF(IFERROR(INDEX(tsk_Name,(ROW()-ROW(MSPTasks[[#Headers],[ID]])))="",TRUE()),"",INDEX(tsk_FcStart,(ROW()-ROW(MSPTasks[[#Headers],[ID]]))))</f>
        <v/>
      </c>
      <c r="H180" s="80" t="str">
        <f aca="false">IF(IFERROR(INDEX(tsk_Name,(ROW()-ROW(MSPTasks[[#Headers],[ID]])))="",TRUE()),"",INDEX(tsk_FcFinish,(ROW()-ROW(MSPTasks[[#Headers],[ID]]))))</f>
        <v/>
      </c>
      <c r="I18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0" s="80" t="str">
        <f aca="false">IF(IFERROR(INDEX(tsk_Name,(ROW()-ROW(MSPTasks[[#Headers],[ID]])))="",TRUE()),"",INDEX(tsk_PlanStart,(ROW()-ROW(MSPTasks[[#Headers],[ID]]))))</f>
        <v/>
      </c>
      <c r="P180" s="80" t="str">
        <f aca="false">IF(IFERROR(INDEX(tsk_Name,(ROW()-ROW(MSPTasks[[#Headers],[ID]])))="",TRUE()),"",INDEX(tsk_PlanFinish,(ROW()-ROW(MSPTasks[[#Headers],[ID]]))))</f>
        <v/>
      </c>
      <c r="Q18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0" s="23" t="str">
        <f aca="false">IF(IFERROR(INDEX(tsk_Name,(ROW()-ROW(MSPTasks[[#Headers],[ID]])))="",TRUE()),"",INDEX(tsk_Notes,(ROW()-ROW(MSPTasks[[#Headers],[ID]])))&amp;"")</f>
        <v/>
      </c>
    </row>
    <row r="181" customFormat="false" ht="15" hidden="false" customHeight="false" outlineLevel="0" collapsed="false">
      <c r="A181" s="23" t="str">
        <f aca="false">IF(IFERROR(INDEX(tsk_Name,(ROW()-ROW(MSPTasks[[#Headers],[ID]])))="",TRUE()),"",INDEX(tsk_ID,(ROW()-ROW(MSPTasks[[#Headers],[ID]]))))</f>
        <v/>
      </c>
      <c r="B181" s="23" t="str">
        <f aca="false">IF(IFERROR(INDEX(tsk_Name,(ROW()-ROW(MSPTasks[[#Headers],[ID]])))="",TRUE()),"",INDEX(tsk_UID,(ROW()-ROW(MSPTasks[[#Headers],[ID]]))))</f>
        <v/>
      </c>
      <c r="C181" s="23" t="str">
        <f aca="false">IF(IFERROR(INDEX(tsk_Name,(ROW()-ROW(MSPTasks[[#Headers],[ID]])))="",TRUE()),"",INDEX(tsk_Name,(ROW()-ROW(MSPTasks[[#Headers],[ID]]))))</f>
        <v/>
      </c>
      <c r="D181" s="23" t="str">
        <f aca="false">IF(IFERROR(INDEX(tsk_Name,(ROW()-ROW(MSPTasks[[#Headers],[ID]])))="",TRUE()),"",INDEX(tsk_Level,(ROW()-ROW(MSPTasks[[#Headers],[ID]]))))</f>
        <v/>
      </c>
      <c r="E181" s="23" t="str">
        <f aca="false">IF(IFERROR(INDEX(tsk_Name,(ROW()-ROW(MSPTasks[[#Headers],[ID]])))="",TRUE()),"",IF(INDEX(tsk_Mode,(ROW()-ROW(MSPTasks[[#Headers],[ID]])))="Manual","Manually Scheduled","Auto Scheduled"))</f>
        <v/>
      </c>
      <c r="F18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1" s="80" t="str">
        <f aca="false">IF(IFERROR(INDEX(tsk_Name,(ROW()-ROW(MSPTasks[[#Headers],[ID]])))="",TRUE()),"",INDEX(tsk_FcStart,(ROW()-ROW(MSPTasks[[#Headers],[ID]]))))</f>
        <v/>
      </c>
      <c r="H181" s="80" t="str">
        <f aca="false">IF(IFERROR(INDEX(tsk_Name,(ROW()-ROW(MSPTasks[[#Headers],[ID]])))="",TRUE()),"",INDEX(tsk_FcFinish,(ROW()-ROW(MSPTasks[[#Headers],[ID]]))))</f>
        <v/>
      </c>
      <c r="I18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1" s="80" t="str">
        <f aca="false">IF(IFERROR(INDEX(tsk_Name,(ROW()-ROW(MSPTasks[[#Headers],[ID]])))="",TRUE()),"",INDEX(tsk_PlanStart,(ROW()-ROW(MSPTasks[[#Headers],[ID]]))))</f>
        <v/>
      </c>
      <c r="P181" s="80" t="str">
        <f aca="false">IF(IFERROR(INDEX(tsk_Name,(ROW()-ROW(MSPTasks[[#Headers],[ID]])))="",TRUE()),"",INDEX(tsk_PlanFinish,(ROW()-ROW(MSPTasks[[#Headers],[ID]]))))</f>
        <v/>
      </c>
      <c r="Q18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1" s="23" t="str">
        <f aca="false">IF(IFERROR(INDEX(tsk_Name,(ROW()-ROW(MSPTasks[[#Headers],[ID]])))="",TRUE()),"",INDEX(tsk_Notes,(ROW()-ROW(MSPTasks[[#Headers],[ID]])))&amp;"")</f>
        <v/>
      </c>
    </row>
    <row r="182" customFormat="false" ht="15" hidden="false" customHeight="false" outlineLevel="0" collapsed="false">
      <c r="A182" s="23" t="str">
        <f aca="false">IF(IFERROR(INDEX(tsk_Name,(ROW()-ROW(MSPTasks[[#Headers],[ID]])))="",TRUE()),"",INDEX(tsk_ID,(ROW()-ROW(MSPTasks[[#Headers],[ID]]))))</f>
        <v/>
      </c>
      <c r="B182" s="23" t="str">
        <f aca="false">IF(IFERROR(INDEX(tsk_Name,(ROW()-ROW(MSPTasks[[#Headers],[ID]])))="",TRUE()),"",INDEX(tsk_UID,(ROW()-ROW(MSPTasks[[#Headers],[ID]]))))</f>
        <v/>
      </c>
      <c r="C182" s="23" t="str">
        <f aca="false">IF(IFERROR(INDEX(tsk_Name,(ROW()-ROW(MSPTasks[[#Headers],[ID]])))="",TRUE()),"",INDEX(tsk_Name,(ROW()-ROW(MSPTasks[[#Headers],[ID]]))))</f>
        <v/>
      </c>
      <c r="D182" s="23" t="str">
        <f aca="false">IF(IFERROR(INDEX(tsk_Name,(ROW()-ROW(MSPTasks[[#Headers],[ID]])))="",TRUE()),"",INDEX(tsk_Level,(ROW()-ROW(MSPTasks[[#Headers],[ID]]))))</f>
        <v/>
      </c>
      <c r="E182" s="23" t="str">
        <f aca="false">IF(IFERROR(INDEX(tsk_Name,(ROW()-ROW(MSPTasks[[#Headers],[ID]])))="",TRUE()),"",IF(INDEX(tsk_Mode,(ROW()-ROW(MSPTasks[[#Headers],[ID]])))="Manual","Manually Scheduled","Auto Scheduled"))</f>
        <v/>
      </c>
      <c r="F18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2" s="80" t="str">
        <f aca="false">IF(IFERROR(INDEX(tsk_Name,(ROW()-ROW(MSPTasks[[#Headers],[ID]])))="",TRUE()),"",INDEX(tsk_FcStart,(ROW()-ROW(MSPTasks[[#Headers],[ID]]))))</f>
        <v/>
      </c>
      <c r="H182" s="80" t="str">
        <f aca="false">IF(IFERROR(INDEX(tsk_Name,(ROW()-ROW(MSPTasks[[#Headers],[ID]])))="",TRUE()),"",INDEX(tsk_FcFinish,(ROW()-ROW(MSPTasks[[#Headers],[ID]]))))</f>
        <v/>
      </c>
      <c r="I18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2" s="80" t="str">
        <f aca="false">IF(IFERROR(INDEX(tsk_Name,(ROW()-ROW(MSPTasks[[#Headers],[ID]])))="",TRUE()),"",INDEX(tsk_PlanStart,(ROW()-ROW(MSPTasks[[#Headers],[ID]]))))</f>
        <v/>
      </c>
      <c r="P182" s="80" t="str">
        <f aca="false">IF(IFERROR(INDEX(tsk_Name,(ROW()-ROW(MSPTasks[[#Headers],[ID]])))="",TRUE()),"",INDEX(tsk_PlanFinish,(ROW()-ROW(MSPTasks[[#Headers],[ID]]))))</f>
        <v/>
      </c>
      <c r="Q18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2" s="23" t="str">
        <f aca="false">IF(IFERROR(INDEX(tsk_Name,(ROW()-ROW(MSPTasks[[#Headers],[ID]])))="",TRUE()),"",INDEX(tsk_Notes,(ROW()-ROW(MSPTasks[[#Headers],[ID]])))&amp;"")</f>
        <v/>
      </c>
    </row>
    <row r="183" customFormat="false" ht="15" hidden="false" customHeight="false" outlineLevel="0" collapsed="false">
      <c r="A183" s="23" t="str">
        <f aca="false">IF(IFERROR(INDEX(tsk_Name,(ROW()-ROW(MSPTasks[[#Headers],[ID]])))="",TRUE()),"",INDEX(tsk_ID,(ROW()-ROW(MSPTasks[[#Headers],[ID]]))))</f>
        <v/>
      </c>
      <c r="B183" s="23" t="str">
        <f aca="false">IF(IFERROR(INDEX(tsk_Name,(ROW()-ROW(MSPTasks[[#Headers],[ID]])))="",TRUE()),"",INDEX(tsk_UID,(ROW()-ROW(MSPTasks[[#Headers],[ID]]))))</f>
        <v/>
      </c>
      <c r="C183" s="23" t="str">
        <f aca="false">IF(IFERROR(INDEX(tsk_Name,(ROW()-ROW(MSPTasks[[#Headers],[ID]])))="",TRUE()),"",INDEX(tsk_Name,(ROW()-ROW(MSPTasks[[#Headers],[ID]]))))</f>
        <v/>
      </c>
      <c r="D183" s="23" t="str">
        <f aca="false">IF(IFERROR(INDEX(tsk_Name,(ROW()-ROW(MSPTasks[[#Headers],[ID]])))="",TRUE()),"",INDEX(tsk_Level,(ROW()-ROW(MSPTasks[[#Headers],[ID]]))))</f>
        <v/>
      </c>
      <c r="E183" s="23" t="str">
        <f aca="false">IF(IFERROR(INDEX(tsk_Name,(ROW()-ROW(MSPTasks[[#Headers],[ID]])))="",TRUE()),"",IF(INDEX(tsk_Mode,(ROW()-ROW(MSPTasks[[#Headers],[ID]])))="Manual","Manually Scheduled","Auto Scheduled"))</f>
        <v/>
      </c>
      <c r="F18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3" s="80" t="str">
        <f aca="false">IF(IFERROR(INDEX(tsk_Name,(ROW()-ROW(MSPTasks[[#Headers],[ID]])))="",TRUE()),"",INDEX(tsk_FcStart,(ROW()-ROW(MSPTasks[[#Headers],[ID]]))))</f>
        <v/>
      </c>
      <c r="H183" s="80" t="str">
        <f aca="false">IF(IFERROR(INDEX(tsk_Name,(ROW()-ROW(MSPTasks[[#Headers],[ID]])))="",TRUE()),"",INDEX(tsk_FcFinish,(ROW()-ROW(MSPTasks[[#Headers],[ID]]))))</f>
        <v/>
      </c>
      <c r="I18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3" s="80" t="str">
        <f aca="false">IF(IFERROR(INDEX(tsk_Name,(ROW()-ROW(MSPTasks[[#Headers],[ID]])))="",TRUE()),"",INDEX(tsk_PlanStart,(ROW()-ROW(MSPTasks[[#Headers],[ID]]))))</f>
        <v/>
      </c>
      <c r="P183" s="80" t="str">
        <f aca="false">IF(IFERROR(INDEX(tsk_Name,(ROW()-ROW(MSPTasks[[#Headers],[ID]])))="",TRUE()),"",INDEX(tsk_PlanFinish,(ROW()-ROW(MSPTasks[[#Headers],[ID]]))))</f>
        <v/>
      </c>
      <c r="Q18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3" s="23" t="str">
        <f aca="false">IF(IFERROR(INDEX(tsk_Name,(ROW()-ROW(MSPTasks[[#Headers],[ID]])))="",TRUE()),"",INDEX(tsk_Notes,(ROW()-ROW(MSPTasks[[#Headers],[ID]])))&amp;"")</f>
        <v/>
      </c>
    </row>
    <row r="184" customFormat="false" ht="15" hidden="false" customHeight="false" outlineLevel="0" collapsed="false">
      <c r="A184" s="23" t="str">
        <f aca="false">IF(IFERROR(INDEX(tsk_Name,(ROW()-ROW(MSPTasks[[#Headers],[ID]])))="",TRUE()),"",INDEX(tsk_ID,(ROW()-ROW(MSPTasks[[#Headers],[ID]]))))</f>
        <v/>
      </c>
      <c r="B184" s="23" t="str">
        <f aca="false">IF(IFERROR(INDEX(tsk_Name,(ROW()-ROW(MSPTasks[[#Headers],[ID]])))="",TRUE()),"",INDEX(tsk_UID,(ROW()-ROW(MSPTasks[[#Headers],[ID]]))))</f>
        <v/>
      </c>
      <c r="C184" s="23" t="str">
        <f aca="false">IF(IFERROR(INDEX(tsk_Name,(ROW()-ROW(MSPTasks[[#Headers],[ID]])))="",TRUE()),"",INDEX(tsk_Name,(ROW()-ROW(MSPTasks[[#Headers],[ID]]))))</f>
        <v/>
      </c>
      <c r="D184" s="23" t="str">
        <f aca="false">IF(IFERROR(INDEX(tsk_Name,(ROW()-ROW(MSPTasks[[#Headers],[ID]])))="",TRUE()),"",INDEX(tsk_Level,(ROW()-ROW(MSPTasks[[#Headers],[ID]]))))</f>
        <v/>
      </c>
      <c r="E184" s="23" t="str">
        <f aca="false">IF(IFERROR(INDEX(tsk_Name,(ROW()-ROW(MSPTasks[[#Headers],[ID]])))="",TRUE()),"",IF(INDEX(tsk_Mode,(ROW()-ROW(MSPTasks[[#Headers],[ID]])))="Manual","Manually Scheduled","Auto Scheduled"))</f>
        <v/>
      </c>
      <c r="F18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4" s="80" t="str">
        <f aca="false">IF(IFERROR(INDEX(tsk_Name,(ROW()-ROW(MSPTasks[[#Headers],[ID]])))="",TRUE()),"",INDEX(tsk_FcStart,(ROW()-ROW(MSPTasks[[#Headers],[ID]]))))</f>
        <v/>
      </c>
      <c r="H184" s="80" t="str">
        <f aca="false">IF(IFERROR(INDEX(tsk_Name,(ROW()-ROW(MSPTasks[[#Headers],[ID]])))="",TRUE()),"",INDEX(tsk_FcFinish,(ROW()-ROW(MSPTasks[[#Headers],[ID]]))))</f>
        <v/>
      </c>
      <c r="I18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4" s="80" t="str">
        <f aca="false">IF(IFERROR(INDEX(tsk_Name,(ROW()-ROW(MSPTasks[[#Headers],[ID]])))="",TRUE()),"",INDEX(tsk_PlanStart,(ROW()-ROW(MSPTasks[[#Headers],[ID]]))))</f>
        <v/>
      </c>
      <c r="P184" s="80" t="str">
        <f aca="false">IF(IFERROR(INDEX(tsk_Name,(ROW()-ROW(MSPTasks[[#Headers],[ID]])))="",TRUE()),"",INDEX(tsk_PlanFinish,(ROW()-ROW(MSPTasks[[#Headers],[ID]]))))</f>
        <v/>
      </c>
      <c r="Q18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4" s="23" t="str">
        <f aca="false">IF(IFERROR(INDEX(tsk_Name,(ROW()-ROW(MSPTasks[[#Headers],[ID]])))="",TRUE()),"",INDEX(tsk_Notes,(ROW()-ROW(MSPTasks[[#Headers],[ID]])))&amp;"")</f>
        <v/>
      </c>
    </row>
    <row r="185" customFormat="false" ht="15" hidden="false" customHeight="false" outlineLevel="0" collapsed="false">
      <c r="A185" s="23" t="str">
        <f aca="false">IF(IFERROR(INDEX(tsk_Name,(ROW()-ROW(MSPTasks[[#Headers],[ID]])))="",TRUE()),"",INDEX(tsk_ID,(ROW()-ROW(MSPTasks[[#Headers],[ID]]))))</f>
        <v/>
      </c>
      <c r="B185" s="23" t="str">
        <f aca="false">IF(IFERROR(INDEX(tsk_Name,(ROW()-ROW(MSPTasks[[#Headers],[ID]])))="",TRUE()),"",INDEX(tsk_UID,(ROW()-ROW(MSPTasks[[#Headers],[ID]]))))</f>
        <v/>
      </c>
      <c r="C185" s="23" t="str">
        <f aca="false">IF(IFERROR(INDEX(tsk_Name,(ROW()-ROW(MSPTasks[[#Headers],[ID]])))="",TRUE()),"",INDEX(tsk_Name,(ROW()-ROW(MSPTasks[[#Headers],[ID]]))))</f>
        <v/>
      </c>
      <c r="D185" s="23" t="str">
        <f aca="false">IF(IFERROR(INDEX(tsk_Name,(ROW()-ROW(MSPTasks[[#Headers],[ID]])))="",TRUE()),"",INDEX(tsk_Level,(ROW()-ROW(MSPTasks[[#Headers],[ID]]))))</f>
        <v/>
      </c>
      <c r="E185" s="23" t="str">
        <f aca="false">IF(IFERROR(INDEX(tsk_Name,(ROW()-ROW(MSPTasks[[#Headers],[ID]])))="",TRUE()),"",IF(INDEX(tsk_Mode,(ROW()-ROW(MSPTasks[[#Headers],[ID]])))="Manual","Manually Scheduled","Auto Scheduled"))</f>
        <v/>
      </c>
      <c r="F18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5" s="80" t="str">
        <f aca="false">IF(IFERROR(INDEX(tsk_Name,(ROW()-ROW(MSPTasks[[#Headers],[ID]])))="",TRUE()),"",INDEX(tsk_FcStart,(ROW()-ROW(MSPTasks[[#Headers],[ID]]))))</f>
        <v/>
      </c>
      <c r="H185" s="80" t="str">
        <f aca="false">IF(IFERROR(INDEX(tsk_Name,(ROW()-ROW(MSPTasks[[#Headers],[ID]])))="",TRUE()),"",INDEX(tsk_FcFinish,(ROW()-ROW(MSPTasks[[#Headers],[ID]]))))</f>
        <v/>
      </c>
      <c r="I18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5" s="80" t="str">
        <f aca="false">IF(IFERROR(INDEX(tsk_Name,(ROW()-ROW(MSPTasks[[#Headers],[ID]])))="",TRUE()),"",INDEX(tsk_PlanStart,(ROW()-ROW(MSPTasks[[#Headers],[ID]]))))</f>
        <v/>
      </c>
      <c r="P185" s="80" t="str">
        <f aca="false">IF(IFERROR(INDEX(tsk_Name,(ROW()-ROW(MSPTasks[[#Headers],[ID]])))="",TRUE()),"",INDEX(tsk_PlanFinish,(ROW()-ROW(MSPTasks[[#Headers],[ID]]))))</f>
        <v/>
      </c>
      <c r="Q18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5" s="23" t="str">
        <f aca="false">IF(IFERROR(INDEX(tsk_Name,(ROW()-ROW(MSPTasks[[#Headers],[ID]])))="",TRUE()),"",INDEX(tsk_Notes,(ROW()-ROW(MSPTasks[[#Headers],[ID]])))&amp;"")</f>
        <v/>
      </c>
    </row>
    <row r="186" customFormat="false" ht="15" hidden="false" customHeight="false" outlineLevel="0" collapsed="false">
      <c r="A186" s="23" t="str">
        <f aca="false">IF(IFERROR(INDEX(tsk_Name,(ROW()-ROW(MSPTasks[[#Headers],[ID]])))="",TRUE()),"",INDEX(tsk_ID,(ROW()-ROW(MSPTasks[[#Headers],[ID]]))))</f>
        <v/>
      </c>
      <c r="B186" s="23" t="str">
        <f aca="false">IF(IFERROR(INDEX(tsk_Name,(ROW()-ROW(MSPTasks[[#Headers],[ID]])))="",TRUE()),"",INDEX(tsk_UID,(ROW()-ROW(MSPTasks[[#Headers],[ID]]))))</f>
        <v/>
      </c>
      <c r="C186" s="23" t="str">
        <f aca="false">IF(IFERROR(INDEX(tsk_Name,(ROW()-ROW(MSPTasks[[#Headers],[ID]])))="",TRUE()),"",INDEX(tsk_Name,(ROW()-ROW(MSPTasks[[#Headers],[ID]]))))</f>
        <v/>
      </c>
      <c r="D186" s="23" t="str">
        <f aca="false">IF(IFERROR(INDEX(tsk_Name,(ROW()-ROW(MSPTasks[[#Headers],[ID]])))="",TRUE()),"",INDEX(tsk_Level,(ROW()-ROW(MSPTasks[[#Headers],[ID]]))))</f>
        <v/>
      </c>
      <c r="E186" s="23" t="str">
        <f aca="false">IF(IFERROR(INDEX(tsk_Name,(ROW()-ROW(MSPTasks[[#Headers],[ID]])))="",TRUE()),"",IF(INDEX(tsk_Mode,(ROW()-ROW(MSPTasks[[#Headers],[ID]])))="Manual","Manually Scheduled","Auto Scheduled"))</f>
        <v/>
      </c>
      <c r="F18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6" s="80" t="str">
        <f aca="false">IF(IFERROR(INDEX(tsk_Name,(ROW()-ROW(MSPTasks[[#Headers],[ID]])))="",TRUE()),"",INDEX(tsk_FcStart,(ROW()-ROW(MSPTasks[[#Headers],[ID]]))))</f>
        <v/>
      </c>
      <c r="H186" s="80" t="str">
        <f aca="false">IF(IFERROR(INDEX(tsk_Name,(ROW()-ROW(MSPTasks[[#Headers],[ID]])))="",TRUE()),"",INDEX(tsk_FcFinish,(ROW()-ROW(MSPTasks[[#Headers],[ID]]))))</f>
        <v/>
      </c>
      <c r="I18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6" s="80" t="str">
        <f aca="false">IF(IFERROR(INDEX(tsk_Name,(ROW()-ROW(MSPTasks[[#Headers],[ID]])))="",TRUE()),"",INDEX(tsk_PlanStart,(ROW()-ROW(MSPTasks[[#Headers],[ID]]))))</f>
        <v/>
      </c>
      <c r="P186" s="80" t="str">
        <f aca="false">IF(IFERROR(INDEX(tsk_Name,(ROW()-ROW(MSPTasks[[#Headers],[ID]])))="",TRUE()),"",INDEX(tsk_PlanFinish,(ROW()-ROW(MSPTasks[[#Headers],[ID]]))))</f>
        <v/>
      </c>
      <c r="Q18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6" s="23" t="str">
        <f aca="false">IF(IFERROR(INDEX(tsk_Name,(ROW()-ROW(MSPTasks[[#Headers],[ID]])))="",TRUE()),"",INDEX(tsk_Notes,(ROW()-ROW(MSPTasks[[#Headers],[ID]])))&amp;"")</f>
        <v/>
      </c>
    </row>
    <row r="187" customFormat="false" ht="15" hidden="false" customHeight="false" outlineLevel="0" collapsed="false">
      <c r="A187" s="23" t="str">
        <f aca="false">IF(IFERROR(INDEX(tsk_Name,(ROW()-ROW(MSPTasks[[#Headers],[ID]])))="",TRUE()),"",INDEX(tsk_ID,(ROW()-ROW(MSPTasks[[#Headers],[ID]]))))</f>
        <v/>
      </c>
      <c r="B187" s="23" t="str">
        <f aca="false">IF(IFERROR(INDEX(tsk_Name,(ROW()-ROW(MSPTasks[[#Headers],[ID]])))="",TRUE()),"",INDEX(tsk_UID,(ROW()-ROW(MSPTasks[[#Headers],[ID]]))))</f>
        <v/>
      </c>
      <c r="C187" s="23" t="str">
        <f aca="false">IF(IFERROR(INDEX(tsk_Name,(ROW()-ROW(MSPTasks[[#Headers],[ID]])))="",TRUE()),"",INDEX(tsk_Name,(ROW()-ROW(MSPTasks[[#Headers],[ID]]))))</f>
        <v/>
      </c>
      <c r="D187" s="23" t="str">
        <f aca="false">IF(IFERROR(INDEX(tsk_Name,(ROW()-ROW(MSPTasks[[#Headers],[ID]])))="",TRUE()),"",INDEX(tsk_Level,(ROW()-ROW(MSPTasks[[#Headers],[ID]]))))</f>
        <v/>
      </c>
      <c r="E187" s="23" t="str">
        <f aca="false">IF(IFERROR(INDEX(tsk_Name,(ROW()-ROW(MSPTasks[[#Headers],[ID]])))="",TRUE()),"",IF(INDEX(tsk_Mode,(ROW()-ROW(MSPTasks[[#Headers],[ID]])))="Manual","Manually Scheduled","Auto Scheduled"))</f>
        <v/>
      </c>
      <c r="F18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7" s="80" t="str">
        <f aca="false">IF(IFERROR(INDEX(tsk_Name,(ROW()-ROW(MSPTasks[[#Headers],[ID]])))="",TRUE()),"",INDEX(tsk_FcStart,(ROW()-ROW(MSPTasks[[#Headers],[ID]]))))</f>
        <v/>
      </c>
      <c r="H187" s="80" t="str">
        <f aca="false">IF(IFERROR(INDEX(tsk_Name,(ROW()-ROW(MSPTasks[[#Headers],[ID]])))="",TRUE()),"",INDEX(tsk_FcFinish,(ROW()-ROW(MSPTasks[[#Headers],[ID]]))))</f>
        <v/>
      </c>
      <c r="I18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7" s="80" t="str">
        <f aca="false">IF(IFERROR(INDEX(tsk_Name,(ROW()-ROW(MSPTasks[[#Headers],[ID]])))="",TRUE()),"",INDEX(tsk_PlanStart,(ROW()-ROW(MSPTasks[[#Headers],[ID]]))))</f>
        <v/>
      </c>
      <c r="P187" s="80" t="str">
        <f aca="false">IF(IFERROR(INDEX(tsk_Name,(ROW()-ROW(MSPTasks[[#Headers],[ID]])))="",TRUE()),"",INDEX(tsk_PlanFinish,(ROW()-ROW(MSPTasks[[#Headers],[ID]]))))</f>
        <v/>
      </c>
      <c r="Q18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7" s="23" t="str">
        <f aca="false">IF(IFERROR(INDEX(tsk_Name,(ROW()-ROW(MSPTasks[[#Headers],[ID]])))="",TRUE()),"",INDEX(tsk_Notes,(ROW()-ROW(MSPTasks[[#Headers],[ID]])))&amp;"")</f>
        <v/>
      </c>
    </row>
    <row r="188" customFormat="false" ht="15" hidden="false" customHeight="false" outlineLevel="0" collapsed="false">
      <c r="A188" s="23" t="str">
        <f aca="false">IF(IFERROR(INDEX(tsk_Name,(ROW()-ROW(MSPTasks[[#Headers],[ID]])))="",TRUE()),"",INDEX(tsk_ID,(ROW()-ROW(MSPTasks[[#Headers],[ID]]))))</f>
        <v/>
      </c>
      <c r="B188" s="23" t="str">
        <f aca="false">IF(IFERROR(INDEX(tsk_Name,(ROW()-ROW(MSPTasks[[#Headers],[ID]])))="",TRUE()),"",INDEX(tsk_UID,(ROW()-ROW(MSPTasks[[#Headers],[ID]]))))</f>
        <v/>
      </c>
      <c r="C188" s="23" t="str">
        <f aca="false">IF(IFERROR(INDEX(tsk_Name,(ROW()-ROW(MSPTasks[[#Headers],[ID]])))="",TRUE()),"",INDEX(tsk_Name,(ROW()-ROW(MSPTasks[[#Headers],[ID]]))))</f>
        <v/>
      </c>
      <c r="D188" s="23" t="str">
        <f aca="false">IF(IFERROR(INDEX(tsk_Name,(ROW()-ROW(MSPTasks[[#Headers],[ID]])))="",TRUE()),"",INDEX(tsk_Level,(ROW()-ROW(MSPTasks[[#Headers],[ID]]))))</f>
        <v/>
      </c>
      <c r="E188" s="23" t="str">
        <f aca="false">IF(IFERROR(INDEX(tsk_Name,(ROW()-ROW(MSPTasks[[#Headers],[ID]])))="",TRUE()),"",IF(INDEX(tsk_Mode,(ROW()-ROW(MSPTasks[[#Headers],[ID]])))="Manual","Manually Scheduled","Auto Scheduled"))</f>
        <v/>
      </c>
      <c r="F18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8" s="80" t="str">
        <f aca="false">IF(IFERROR(INDEX(tsk_Name,(ROW()-ROW(MSPTasks[[#Headers],[ID]])))="",TRUE()),"",INDEX(tsk_FcStart,(ROW()-ROW(MSPTasks[[#Headers],[ID]]))))</f>
        <v/>
      </c>
      <c r="H188" s="80" t="str">
        <f aca="false">IF(IFERROR(INDEX(tsk_Name,(ROW()-ROW(MSPTasks[[#Headers],[ID]])))="",TRUE()),"",INDEX(tsk_FcFinish,(ROW()-ROW(MSPTasks[[#Headers],[ID]]))))</f>
        <v/>
      </c>
      <c r="I18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8" s="80" t="str">
        <f aca="false">IF(IFERROR(INDEX(tsk_Name,(ROW()-ROW(MSPTasks[[#Headers],[ID]])))="",TRUE()),"",INDEX(tsk_PlanStart,(ROW()-ROW(MSPTasks[[#Headers],[ID]]))))</f>
        <v/>
      </c>
      <c r="P188" s="80" t="str">
        <f aca="false">IF(IFERROR(INDEX(tsk_Name,(ROW()-ROW(MSPTasks[[#Headers],[ID]])))="",TRUE()),"",INDEX(tsk_PlanFinish,(ROW()-ROW(MSPTasks[[#Headers],[ID]]))))</f>
        <v/>
      </c>
      <c r="Q18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8" s="23" t="str">
        <f aca="false">IF(IFERROR(INDEX(tsk_Name,(ROW()-ROW(MSPTasks[[#Headers],[ID]])))="",TRUE()),"",INDEX(tsk_Notes,(ROW()-ROW(MSPTasks[[#Headers],[ID]])))&amp;"")</f>
        <v/>
      </c>
    </row>
    <row r="189" customFormat="false" ht="15" hidden="false" customHeight="false" outlineLevel="0" collapsed="false">
      <c r="A189" s="23" t="str">
        <f aca="false">IF(IFERROR(INDEX(tsk_Name,(ROW()-ROW(MSPTasks[[#Headers],[ID]])))="",TRUE()),"",INDEX(tsk_ID,(ROW()-ROW(MSPTasks[[#Headers],[ID]]))))</f>
        <v/>
      </c>
      <c r="B189" s="23" t="str">
        <f aca="false">IF(IFERROR(INDEX(tsk_Name,(ROW()-ROW(MSPTasks[[#Headers],[ID]])))="",TRUE()),"",INDEX(tsk_UID,(ROW()-ROW(MSPTasks[[#Headers],[ID]]))))</f>
        <v/>
      </c>
      <c r="C189" s="23" t="str">
        <f aca="false">IF(IFERROR(INDEX(tsk_Name,(ROW()-ROW(MSPTasks[[#Headers],[ID]])))="",TRUE()),"",INDEX(tsk_Name,(ROW()-ROW(MSPTasks[[#Headers],[ID]]))))</f>
        <v/>
      </c>
      <c r="D189" s="23" t="str">
        <f aca="false">IF(IFERROR(INDEX(tsk_Name,(ROW()-ROW(MSPTasks[[#Headers],[ID]])))="",TRUE()),"",INDEX(tsk_Level,(ROW()-ROW(MSPTasks[[#Headers],[ID]]))))</f>
        <v/>
      </c>
      <c r="E189" s="23" t="str">
        <f aca="false">IF(IFERROR(INDEX(tsk_Name,(ROW()-ROW(MSPTasks[[#Headers],[ID]])))="",TRUE()),"",IF(INDEX(tsk_Mode,(ROW()-ROW(MSPTasks[[#Headers],[ID]])))="Manual","Manually Scheduled","Auto Scheduled"))</f>
        <v/>
      </c>
      <c r="F18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9" s="80" t="str">
        <f aca="false">IF(IFERROR(INDEX(tsk_Name,(ROW()-ROW(MSPTasks[[#Headers],[ID]])))="",TRUE()),"",INDEX(tsk_FcStart,(ROW()-ROW(MSPTasks[[#Headers],[ID]]))))</f>
        <v/>
      </c>
      <c r="H189" s="80" t="str">
        <f aca="false">IF(IFERROR(INDEX(tsk_Name,(ROW()-ROW(MSPTasks[[#Headers],[ID]])))="",TRUE()),"",INDEX(tsk_FcFinish,(ROW()-ROW(MSPTasks[[#Headers],[ID]]))))</f>
        <v/>
      </c>
      <c r="I18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9" s="80" t="str">
        <f aca="false">IF(IFERROR(INDEX(tsk_Name,(ROW()-ROW(MSPTasks[[#Headers],[ID]])))="",TRUE()),"",INDEX(tsk_PlanStart,(ROW()-ROW(MSPTasks[[#Headers],[ID]]))))</f>
        <v/>
      </c>
      <c r="P189" s="80" t="str">
        <f aca="false">IF(IFERROR(INDEX(tsk_Name,(ROW()-ROW(MSPTasks[[#Headers],[ID]])))="",TRUE()),"",INDEX(tsk_PlanFinish,(ROW()-ROW(MSPTasks[[#Headers],[ID]]))))</f>
        <v/>
      </c>
      <c r="Q18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9" s="23" t="str">
        <f aca="false">IF(IFERROR(INDEX(tsk_Name,(ROW()-ROW(MSPTasks[[#Headers],[ID]])))="",TRUE()),"",INDEX(tsk_Notes,(ROW()-ROW(MSPTasks[[#Headers],[ID]])))&amp;"")</f>
        <v/>
      </c>
    </row>
    <row r="190" customFormat="false" ht="15" hidden="false" customHeight="false" outlineLevel="0" collapsed="false">
      <c r="A190" s="23" t="str">
        <f aca="false">IF(IFERROR(INDEX(tsk_Name,(ROW()-ROW(MSPTasks[[#Headers],[ID]])))="",TRUE()),"",INDEX(tsk_ID,(ROW()-ROW(MSPTasks[[#Headers],[ID]]))))</f>
        <v/>
      </c>
      <c r="B190" s="23" t="str">
        <f aca="false">IF(IFERROR(INDEX(tsk_Name,(ROW()-ROW(MSPTasks[[#Headers],[ID]])))="",TRUE()),"",INDEX(tsk_UID,(ROW()-ROW(MSPTasks[[#Headers],[ID]]))))</f>
        <v/>
      </c>
      <c r="C190" s="23" t="str">
        <f aca="false">IF(IFERROR(INDEX(tsk_Name,(ROW()-ROW(MSPTasks[[#Headers],[ID]])))="",TRUE()),"",INDEX(tsk_Name,(ROW()-ROW(MSPTasks[[#Headers],[ID]]))))</f>
        <v/>
      </c>
      <c r="D190" s="23" t="str">
        <f aca="false">IF(IFERROR(INDEX(tsk_Name,(ROW()-ROW(MSPTasks[[#Headers],[ID]])))="",TRUE()),"",INDEX(tsk_Level,(ROW()-ROW(MSPTasks[[#Headers],[ID]]))))</f>
        <v/>
      </c>
      <c r="E190" s="23" t="str">
        <f aca="false">IF(IFERROR(INDEX(tsk_Name,(ROW()-ROW(MSPTasks[[#Headers],[ID]])))="",TRUE()),"",IF(INDEX(tsk_Mode,(ROW()-ROW(MSPTasks[[#Headers],[ID]])))="Manual","Manually Scheduled","Auto Scheduled"))</f>
        <v/>
      </c>
      <c r="F19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0" s="80" t="str">
        <f aca="false">IF(IFERROR(INDEX(tsk_Name,(ROW()-ROW(MSPTasks[[#Headers],[ID]])))="",TRUE()),"",INDEX(tsk_FcStart,(ROW()-ROW(MSPTasks[[#Headers],[ID]]))))</f>
        <v/>
      </c>
      <c r="H190" s="80" t="str">
        <f aca="false">IF(IFERROR(INDEX(tsk_Name,(ROW()-ROW(MSPTasks[[#Headers],[ID]])))="",TRUE()),"",INDEX(tsk_FcFinish,(ROW()-ROW(MSPTasks[[#Headers],[ID]]))))</f>
        <v/>
      </c>
      <c r="I19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0" s="80" t="str">
        <f aca="false">IF(IFERROR(INDEX(tsk_Name,(ROW()-ROW(MSPTasks[[#Headers],[ID]])))="",TRUE()),"",INDEX(tsk_PlanStart,(ROW()-ROW(MSPTasks[[#Headers],[ID]]))))</f>
        <v/>
      </c>
      <c r="P190" s="80" t="str">
        <f aca="false">IF(IFERROR(INDEX(tsk_Name,(ROW()-ROW(MSPTasks[[#Headers],[ID]])))="",TRUE()),"",INDEX(tsk_PlanFinish,(ROW()-ROW(MSPTasks[[#Headers],[ID]]))))</f>
        <v/>
      </c>
      <c r="Q19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0" s="23" t="str">
        <f aca="false">IF(IFERROR(INDEX(tsk_Name,(ROW()-ROW(MSPTasks[[#Headers],[ID]])))="",TRUE()),"",INDEX(tsk_Notes,(ROW()-ROW(MSPTasks[[#Headers],[ID]])))&amp;"")</f>
        <v/>
      </c>
    </row>
    <row r="191" customFormat="false" ht="15" hidden="false" customHeight="false" outlineLevel="0" collapsed="false">
      <c r="A191" s="23" t="str">
        <f aca="false">IF(IFERROR(INDEX(tsk_Name,(ROW()-ROW(MSPTasks[[#Headers],[ID]])))="",TRUE()),"",INDEX(tsk_ID,(ROW()-ROW(MSPTasks[[#Headers],[ID]]))))</f>
        <v/>
      </c>
      <c r="B191" s="23" t="str">
        <f aca="false">IF(IFERROR(INDEX(tsk_Name,(ROW()-ROW(MSPTasks[[#Headers],[ID]])))="",TRUE()),"",INDEX(tsk_UID,(ROW()-ROW(MSPTasks[[#Headers],[ID]]))))</f>
        <v/>
      </c>
      <c r="C191" s="23" t="str">
        <f aca="false">IF(IFERROR(INDEX(tsk_Name,(ROW()-ROW(MSPTasks[[#Headers],[ID]])))="",TRUE()),"",INDEX(tsk_Name,(ROW()-ROW(MSPTasks[[#Headers],[ID]]))))</f>
        <v/>
      </c>
      <c r="D191" s="23" t="str">
        <f aca="false">IF(IFERROR(INDEX(tsk_Name,(ROW()-ROW(MSPTasks[[#Headers],[ID]])))="",TRUE()),"",INDEX(tsk_Level,(ROW()-ROW(MSPTasks[[#Headers],[ID]]))))</f>
        <v/>
      </c>
      <c r="E191" s="23" t="str">
        <f aca="false">IF(IFERROR(INDEX(tsk_Name,(ROW()-ROW(MSPTasks[[#Headers],[ID]])))="",TRUE()),"",IF(INDEX(tsk_Mode,(ROW()-ROW(MSPTasks[[#Headers],[ID]])))="Manual","Manually Scheduled","Auto Scheduled"))</f>
        <v/>
      </c>
      <c r="F19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1" s="80" t="str">
        <f aca="false">IF(IFERROR(INDEX(tsk_Name,(ROW()-ROW(MSPTasks[[#Headers],[ID]])))="",TRUE()),"",INDEX(tsk_FcStart,(ROW()-ROW(MSPTasks[[#Headers],[ID]]))))</f>
        <v/>
      </c>
      <c r="H191" s="80" t="str">
        <f aca="false">IF(IFERROR(INDEX(tsk_Name,(ROW()-ROW(MSPTasks[[#Headers],[ID]])))="",TRUE()),"",INDEX(tsk_FcFinish,(ROW()-ROW(MSPTasks[[#Headers],[ID]]))))</f>
        <v/>
      </c>
      <c r="I19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1" s="80" t="str">
        <f aca="false">IF(IFERROR(INDEX(tsk_Name,(ROW()-ROW(MSPTasks[[#Headers],[ID]])))="",TRUE()),"",INDEX(tsk_PlanStart,(ROW()-ROW(MSPTasks[[#Headers],[ID]]))))</f>
        <v/>
      </c>
      <c r="P191" s="80" t="str">
        <f aca="false">IF(IFERROR(INDEX(tsk_Name,(ROW()-ROW(MSPTasks[[#Headers],[ID]])))="",TRUE()),"",INDEX(tsk_PlanFinish,(ROW()-ROW(MSPTasks[[#Headers],[ID]]))))</f>
        <v/>
      </c>
      <c r="Q19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1" s="23" t="str">
        <f aca="false">IF(IFERROR(INDEX(tsk_Name,(ROW()-ROW(MSPTasks[[#Headers],[ID]])))="",TRUE()),"",INDEX(tsk_Notes,(ROW()-ROW(MSPTasks[[#Headers],[ID]])))&amp;"")</f>
        <v/>
      </c>
    </row>
    <row r="192" customFormat="false" ht="15" hidden="false" customHeight="false" outlineLevel="0" collapsed="false">
      <c r="A192" s="23" t="str">
        <f aca="false">IF(IFERROR(INDEX(tsk_Name,(ROW()-ROW(MSPTasks[[#Headers],[ID]])))="",TRUE()),"",INDEX(tsk_ID,(ROW()-ROW(MSPTasks[[#Headers],[ID]]))))</f>
        <v/>
      </c>
      <c r="B192" s="23" t="str">
        <f aca="false">IF(IFERROR(INDEX(tsk_Name,(ROW()-ROW(MSPTasks[[#Headers],[ID]])))="",TRUE()),"",INDEX(tsk_UID,(ROW()-ROW(MSPTasks[[#Headers],[ID]]))))</f>
        <v/>
      </c>
      <c r="C192" s="23" t="str">
        <f aca="false">IF(IFERROR(INDEX(tsk_Name,(ROW()-ROW(MSPTasks[[#Headers],[ID]])))="",TRUE()),"",INDEX(tsk_Name,(ROW()-ROW(MSPTasks[[#Headers],[ID]]))))</f>
        <v/>
      </c>
      <c r="D192" s="23" t="str">
        <f aca="false">IF(IFERROR(INDEX(tsk_Name,(ROW()-ROW(MSPTasks[[#Headers],[ID]])))="",TRUE()),"",INDEX(tsk_Level,(ROW()-ROW(MSPTasks[[#Headers],[ID]]))))</f>
        <v/>
      </c>
      <c r="E192" s="23" t="str">
        <f aca="false">IF(IFERROR(INDEX(tsk_Name,(ROW()-ROW(MSPTasks[[#Headers],[ID]])))="",TRUE()),"",IF(INDEX(tsk_Mode,(ROW()-ROW(MSPTasks[[#Headers],[ID]])))="Manual","Manually Scheduled","Auto Scheduled"))</f>
        <v/>
      </c>
      <c r="F19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2" s="80" t="str">
        <f aca="false">IF(IFERROR(INDEX(tsk_Name,(ROW()-ROW(MSPTasks[[#Headers],[ID]])))="",TRUE()),"",INDEX(tsk_FcStart,(ROW()-ROW(MSPTasks[[#Headers],[ID]]))))</f>
        <v/>
      </c>
      <c r="H192" s="80" t="str">
        <f aca="false">IF(IFERROR(INDEX(tsk_Name,(ROW()-ROW(MSPTasks[[#Headers],[ID]])))="",TRUE()),"",INDEX(tsk_FcFinish,(ROW()-ROW(MSPTasks[[#Headers],[ID]]))))</f>
        <v/>
      </c>
      <c r="I19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2" s="80" t="str">
        <f aca="false">IF(IFERROR(INDEX(tsk_Name,(ROW()-ROW(MSPTasks[[#Headers],[ID]])))="",TRUE()),"",INDEX(tsk_PlanStart,(ROW()-ROW(MSPTasks[[#Headers],[ID]]))))</f>
        <v/>
      </c>
      <c r="P192" s="80" t="str">
        <f aca="false">IF(IFERROR(INDEX(tsk_Name,(ROW()-ROW(MSPTasks[[#Headers],[ID]])))="",TRUE()),"",INDEX(tsk_PlanFinish,(ROW()-ROW(MSPTasks[[#Headers],[ID]]))))</f>
        <v/>
      </c>
      <c r="Q19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2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2" s="23" t="str">
        <f aca="false">IF(IFERROR(INDEX(tsk_Name,(ROW()-ROW(MSPTasks[[#Headers],[ID]])))="",TRUE()),"",INDEX(tsk_Notes,(ROW()-ROW(MSPTasks[[#Headers],[ID]])))&amp;"")</f>
        <v/>
      </c>
    </row>
    <row r="193" customFormat="false" ht="15" hidden="false" customHeight="false" outlineLevel="0" collapsed="false">
      <c r="A193" s="23" t="str">
        <f aca="false">IF(IFERROR(INDEX(tsk_Name,(ROW()-ROW(MSPTasks[[#Headers],[ID]])))="",TRUE()),"",INDEX(tsk_ID,(ROW()-ROW(MSPTasks[[#Headers],[ID]]))))</f>
        <v/>
      </c>
      <c r="B193" s="23" t="str">
        <f aca="false">IF(IFERROR(INDEX(tsk_Name,(ROW()-ROW(MSPTasks[[#Headers],[ID]])))="",TRUE()),"",INDEX(tsk_UID,(ROW()-ROW(MSPTasks[[#Headers],[ID]]))))</f>
        <v/>
      </c>
      <c r="C193" s="23" t="str">
        <f aca="false">IF(IFERROR(INDEX(tsk_Name,(ROW()-ROW(MSPTasks[[#Headers],[ID]])))="",TRUE()),"",INDEX(tsk_Name,(ROW()-ROW(MSPTasks[[#Headers],[ID]]))))</f>
        <v/>
      </c>
      <c r="D193" s="23" t="str">
        <f aca="false">IF(IFERROR(INDEX(tsk_Name,(ROW()-ROW(MSPTasks[[#Headers],[ID]])))="",TRUE()),"",INDEX(tsk_Level,(ROW()-ROW(MSPTasks[[#Headers],[ID]]))))</f>
        <v/>
      </c>
      <c r="E193" s="23" t="str">
        <f aca="false">IF(IFERROR(INDEX(tsk_Name,(ROW()-ROW(MSPTasks[[#Headers],[ID]])))="",TRUE()),"",IF(INDEX(tsk_Mode,(ROW()-ROW(MSPTasks[[#Headers],[ID]])))="Manual","Manually Scheduled","Auto Scheduled"))</f>
        <v/>
      </c>
      <c r="F19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3" s="80" t="str">
        <f aca="false">IF(IFERROR(INDEX(tsk_Name,(ROW()-ROW(MSPTasks[[#Headers],[ID]])))="",TRUE()),"",INDEX(tsk_FcStart,(ROW()-ROW(MSPTasks[[#Headers],[ID]]))))</f>
        <v/>
      </c>
      <c r="H193" s="80" t="str">
        <f aca="false">IF(IFERROR(INDEX(tsk_Name,(ROW()-ROW(MSPTasks[[#Headers],[ID]])))="",TRUE()),"",INDEX(tsk_FcFinish,(ROW()-ROW(MSPTasks[[#Headers],[ID]]))))</f>
        <v/>
      </c>
      <c r="I19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3" s="80" t="str">
        <f aca="false">IF(IFERROR(INDEX(tsk_Name,(ROW()-ROW(MSPTasks[[#Headers],[ID]])))="",TRUE()),"",INDEX(tsk_PlanStart,(ROW()-ROW(MSPTasks[[#Headers],[ID]]))))</f>
        <v/>
      </c>
      <c r="P193" s="80" t="str">
        <f aca="false">IF(IFERROR(INDEX(tsk_Name,(ROW()-ROW(MSPTasks[[#Headers],[ID]])))="",TRUE()),"",INDEX(tsk_PlanFinish,(ROW()-ROW(MSPTasks[[#Headers],[ID]]))))</f>
        <v/>
      </c>
      <c r="Q19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3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3" s="23" t="str">
        <f aca="false">IF(IFERROR(INDEX(tsk_Name,(ROW()-ROW(MSPTasks[[#Headers],[ID]])))="",TRUE()),"",INDEX(tsk_Notes,(ROW()-ROW(MSPTasks[[#Headers],[ID]])))&amp;"")</f>
        <v/>
      </c>
    </row>
    <row r="194" customFormat="false" ht="15" hidden="false" customHeight="false" outlineLevel="0" collapsed="false">
      <c r="A194" s="23" t="str">
        <f aca="false">IF(IFERROR(INDEX(tsk_Name,(ROW()-ROW(MSPTasks[[#Headers],[ID]])))="",TRUE()),"",INDEX(tsk_ID,(ROW()-ROW(MSPTasks[[#Headers],[ID]]))))</f>
        <v/>
      </c>
      <c r="B194" s="23" t="str">
        <f aca="false">IF(IFERROR(INDEX(tsk_Name,(ROW()-ROW(MSPTasks[[#Headers],[ID]])))="",TRUE()),"",INDEX(tsk_UID,(ROW()-ROW(MSPTasks[[#Headers],[ID]]))))</f>
        <v/>
      </c>
      <c r="C194" s="23" t="str">
        <f aca="false">IF(IFERROR(INDEX(tsk_Name,(ROW()-ROW(MSPTasks[[#Headers],[ID]])))="",TRUE()),"",INDEX(tsk_Name,(ROW()-ROW(MSPTasks[[#Headers],[ID]]))))</f>
        <v/>
      </c>
      <c r="D194" s="23" t="str">
        <f aca="false">IF(IFERROR(INDEX(tsk_Name,(ROW()-ROW(MSPTasks[[#Headers],[ID]])))="",TRUE()),"",INDEX(tsk_Level,(ROW()-ROW(MSPTasks[[#Headers],[ID]]))))</f>
        <v/>
      </c>
      <c r="E194" s="23" t="str">
        <f aca="false">IF(IFERROR(INDEX(tsk_Name,(ROW()-ROW(MSPTasks[[#Headers],[ID]])))="",TRUE()),"",IF(INDEX(tsk_Mode,(ROW()-ROW(MSPTasks[[#Headers],[ID]])))="Manual","Manually Scheduled","Auto Scheduled"))</f>
        <v/>
      </c>
      <c r="F19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4" s="80" t="str">
        <f aca="false">IF(IFERROR(INDEX(tsk_Name,(ROW()-ROW(MSPTasks[[#Headers],[ID]])))="",TRUE()),"",INDEX(tsk_FcStart,(ROW()-ROW(MSPTasks[[#Headers],[ID]]))))</f>
        <v/>
      </c>
      <c r="H194" s="80" t="str">
        <f aca="false">IF(IFERROR(INDEX(tsk_Name,(ROW()-ROW(MSPTasks[[#Headers],[ID]])))="",TRUE()),"",INDEX(tsk_FcFinish,(ROW()-ROW(MSPTasks[[#Headers],[ID]]))))</f>
        <v/>
      </c>
      <c r="I19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4" s="80" t="str">
        <f aca="false">IF(IFERROR(INDEX(tsk_Name,(ROW()-ROW(MSPTasks[[#Headers],[ID]])))="",TRUE()),"",INDEX(tsk_PlanStart,(ROW()-ROW(MSPTasks[[#Headers],[ID]]))))</f>
        <v/>
      </c>
      <c r="P194" s="80" t="str">
        <f aca="false">IF(IFERROR(INDEX(tsk_Name,(ROW()-ROW(MSPTasks[[#Headers],[ID]])))="",TRUE()),"",INDEX(tsk_PlanFinish,(ROW()-ROW(MSPTasks[[#Headers],[ID]]))))</f>
        <v/>
      </c>
      <c r="Q19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4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4" s="23" t="str">
        <f aca="false">IF(IFERROR(INDEX(tsk_Name,(ROW()-ROW(MSPTasks[[#Headers],[ID]])))="",TRUE()),"",INDEX(tsk_Notes,(ROW()-ROW(MSPTasks[[#Headers],[ID]])))&amp;"")</f>
        <v/>
      </c>
    </row>
    <row r="195" customFormat="false" ht="15" hidden="false" customHeight="false" outlineLevel="0" collapsed="false">
      <c r="A195" s="23" t="str">
        <f aca="false">IF(IFERROR(INDEX(tsk_Name,(ROW()-ROW(MSPTasks[[#Headers],[ID]])))="",TRUE()),"",INDEX(tsk_ID,(ROW()-ROW(MSPTasks[[#Headers],[ID]]))))</f>
        <v/>
      </c>
      <c r="B195" s="23" t="str">
        <f aca="false">IF(IFERROR(INDEX(tsk_Name,(ROW()-ROW(MSPTasks[[#Headers],[ID]])))="",TRUE()),"",INDEX(tsk_UID,(ROW()-ROW(MSPTasks[[#Headers],[ID]]))))</f>
        <v/>
      </c>
      <c r="C195" s="23" t="str">
        <f aca="false">IF(IFERROR(INDEX(tsk_Name,(ROW()-ROW(MSPTasks[[#Headers],[ID]])))="",TRUE()),"",INDEX(tsk_Name,(ROW()-ROW(MSPTasks[[#Headers],[ID]]))))</f>
        <v/>
      </c>
      <c r="D195" s="23" t="str">
        <f aca="false">IF(IFERROR(INDEX(tsk_Name,(ROW()-ROW(MSPTasks[[#Headers],[ID]])))="",TRUE()),"",INDEX(tsk_Level,(ROW()-ROW(MSPTasks[[#Headers],[ID]]))))</f>
        <v/>
      </c>
      <c r="E195" s="23" t="str">
        <f aca="false">IF(IFERROR(INDEX(tsk_Name,(ROW()-ROW(MSPTasks[[#Headers],[ID]])))="",TRUE()),"",IF(INDEX(tsk_Mode,(ROW()-ROW(MSPTasks[[#Headers],[ID]])))="Manual","Manually Scheduled","Auto Scheduled"))</f>
        <v/>
      </c>
      <c r="F19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5" s="80" t="str">
        <f aca="false">IF(IFERROR(INDEX(tsk_Name,(ROW()-ROW(MSPTasks[[#Headers],[ID]])))="",TRUE()),"",INDEX(tsk_FcStart,(ROW()-ROW(MSPTasks[[#Headers],[ID]]))))</f>
        <v/>
      </c>
      <c r="H195" s="80" t="str">
        <f aca="false">IF(IFERROR(INDEX(tsk_Name,(ROW()-ROW(MSPTasks[[#Headers],[ID]])))="",TRUE()),"",INDEX(tsk_FcFinish,(ROW()-ROW(MSPTasks[[#Headers],[ID]]))))</f>
        <v/>
      </c>
      <c r="I19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5" s="80" t="str">
        <f aca="false">IF(IFERROR(INDEX(tsk_Name,(ROW()-ROW(MSPTasks[[#Headers],[ID]])))="",TRUE()),"",INDEX(tsk_PlanStart,(ROW()-ROW(MSPTasks[[#Headers],[ID]]))))</f>
        <v/>
      </c>
      <c r="P195" s="80" t="str">
        <f aca="false">IF(IFERROR(INDEX(tsk_Name,(ROW()-ROW(MSPTasks[[#Headers],[ID]])))="",TRUE()),"",INDEX(tsk_PlanFinish,(ROW()-ROW(MSPTasks[[#Headers],[ID]]))))</f>
        <v/>
      </c>
      <c r="Q19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5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5" s="23" t="str">
        <f aca="false">IF(IFERROR(INDEX(tsk_Name,(ROW()-ROW(MSPTasks[[#Headers],[ID]])))="",TRUE()),"",INDEX(tsk_Notes,(ROW()-ROW(MSPTasks[[#Headers],[ID]])))&amp;"")</f>
        <v/>
      </c>
    </row>
    <row r="196" customFormat="false" ht="15" hidden="false" customHeight="false" outlineLevel="0" collapsed="false">
      <c r="A196" s="23" t="str">
        <f aca="false">IF(IFERROR(INDEX(tsk_Name,(ROW()-ROW(MSPTasks[[#Headers],[ID]])))="",TRUE()),"",INDEX(tsk_ID,(ROW()-ROW(MSPTasks[[#Headers],[ID]]))))</f>
        <v/>
      </c>
      <c r="B196" s="23" t="str">
        <f aca="false">IF(IFERROR(INDEX(tsk_Name,(ROW()-ROW(MSPTasks[[#Headers],[ID]])))="",TRUE()),"",INDEX(tsk_UID,(ROW()-ROW(MSPTasks[[#Headers],[ID]]))))</f>
        <v/>
      </c>
      <c r="C196" s="23" t="str">
        <f aca="false">IF(IFERROR(INDEX(tsk_Name,(ROW()-ROW(MSPTasks[[#Headers],[ID]])))="",TRUE()),"",INDEX(tsk_Name,(ROW()-ROW(MSPTasks[[#Headers],[ID]]))))</f>
        <v/>
      </c>
      <c r="D196" s="23" t="str">
        <f aca="false">IF(IFERROR(INDEX(tsk_Name,(ROW()-ROW(MSPTasks[[#Headers],[ID]])))="",TRUE()),"",INDEX(tsk_Level,(ROW()-ROW(MSPTasks[[#Headers],[ID]]))))</f>
        <v/>
      </c>
      <c r="E196" s="23" t="str">
        <f aca="false">IF(IFERROR(INDEX(tsk_Name,(ROW()-ROW(MSPTasks[[#Headers],[ID]])))="",TRUE()),"",IF(INDEX(tsk_Mode,(ROW()-ROW(MSPTasks[[#Headers],[ID]])))="Manual","Manually Scheduled","Auto Scheduled"))</f>
        <v/>
      </c>
      <c r="F19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6" s="80" t="str">
        <f aca="false">IF(IFERROR(INDEX(tsk_Name,(ROW()-ROW(MSPTasks[[#Headers],[ID]])))="",TRUE()),"",INDEX(tsk_FcStart,(ROW()-ROW(MSPTasks[[#Headers],[ID]]))))</f>
        <v/>
      </c>
      <c r="H196" s="80" t="str">
        <f aca="false">IF(IFERROR(INDEX(tsk_Name,(ROW()-ROW(MSPTasks[[#Headers],[ID]])))="",TRUE()),"",INDEX(tsk_FcFinish,(ROW()-ROW(MSPTasks[[#Headers],[ID]]))))</f>
        <v/>
      </c>
      <c r="I19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6" s="80" t="str">
        <f aca="false">IF(IFERROR(INDEX(tsk_Name,(ROW()-ROW(MSPTasks[[#Headers],[ID]])))="",TRUE()),"",INDEX(tsk_PlanStart,(ROW()-ROW(MSPTasks[[#Headers],[ID]]))))</f>
        <v/>
      </c>
      <c r="P196" s="80" t="str">
        <f aca="false">IF(IFERROR(INDEX(tsk_Name,(ROW()-ROW(MSPTasks[[#Headers],[ID]])))="",TRUE()),"",INDEX(tsk_PlanFinish,(ROW()-ROW(MSPTasks[[#Headers],[ID]]))))</f>
        <v/>
      </c>
      <c r="Q19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6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6" s="23" t="str">
        <f aca="false">IF(IFERROR(INDEX(tsk_Name,(ROW()-ROW(MSPTasks[[#Headers],[ID]])))="",TRUE()),"",INDEX(tsk_Notes,(ROW()-ROW(MSPTasks[[#Headers],[ID]])))&amp;"")</f>
        <v/>
      </c>
    </row>
    <row r="197" customFormat="false" ht="15" hidden="false" customHeight="false" outlineLevel="0" collapsed="false">
      <c r="A197" s="23" t="str">
        <f aca="false">IF(IFERROR(INDEX(tsk_Name,(ROW()-ROW(MSPTasks[[#Headers],[ID]])))="",TRUE()),"",INDEX(tsk_ID,(ROW()-ROW(MSPTasks[[#Headers],[ID]]))))</f>
        <v/>
      </c>
      <c r="B197" s="23" t="str">
        <f aca="false">IF(IFERROR(INDEX(tsk_Name,(ROW()-ROW(MSPTasks[[#Headers],[ID]])))="",TRUE()),"",INDEX(tsk_UID,(ROW()-ROW(MSPTasks[[#Headers],[ID]]))))</f>
        <v/>
      </c>
      <c r="C197" s="23" t="str">
        <f aca="false">IF(IFERROR(INDEX(tsk_Name,(ROW()-ROW(MSPTasks[[#Headers],[ID]])))="",TRUE()),"",INDEX(tsk_Name,(ROW()-ROW(MSPTasks[[#Headers],[ID]]))))</f>
        <v/>
      </c>
      <c r="D197" s="23" t="str">
        <f aca="false">IF(IFERROR(INDEX(tsk_Name,(ROW()-ROW(MSPTasks[[#Headers],[ID]])))="",TRUE()),"",INDEX(tsk_Level,(ROW()-ROW(MSPTasks[[#Headers],[ID]]))))</f>
        <v/>
      </c>
      <c r="E197" s="23" t="str">
        <f aca="false">IF(IFERROR(INDEX(tsk_Name,(ROW()-ROW(MSPTasks[[#Headers],[ID]])))="",TRUE()),"",IF(INDEX(tsk_Mode,(ROW()-ROW(MSPTasks[[#Headers],[ID]])))="Manual","Manually Scheduled","Auto Scheduled"))</f>
        <v/>
      </c>
      <c r="F19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7" s="80" t="str">
        <f aca="false">IF(IFERROR(INDEX(tsk_Name,(ROW()-ROW(MSPTasks[[#Headers],[ID]])))="",TRUE()),"",INDEX(tsk_FcStart,(ROW()-ROW(MSPTasks[[#Headers],[ID]]))))</f>
        <v/>
      </c>
      <c r="H197" s="80" t="str">
        <f aca="false">IF(IFERROR(INDEX(tsk_Name,(ROW()-ROW(MSPTasks[[#Headers],[ID]])))="",TRUE()),"",INDEX(tsk_FcFinish,(ROW()-ROW(MSPTasks[[#Headers],[ID]]))))</f>
        <v/>
      </c>
      <c r="I19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7" s="80" t="str">
        <f aca="false">IF(IFERROR(INDEX(tsk_Name,(ROW()-ROW(MSPTasks[[#Headers],[ID]])))="",TRUE()),"",INDEX(tsk_PlanStart,(ROW()-ROW(MSPTasks[[#Headers],[ID]]))))</f>
        <v/>
      </c>
      <c r="P197" s="80" t="str">
        <f aca="false">IF(IFERROR(INDEX(tsk_Name,(ROW()-ROW(MSPTasks[[#Headers],[ID]])))="",TRUE()),"",INDEX(tsk_PlanFinish,(ROW()-ROW(MSPTasks[[#Headers],[ID]]))))</f>
        <v/>
      </c>
      <c r="Q19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7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7" s="23" t="str">
        <f aca="false">IF(IFERROR(INDEX(tsk_Name,(ROW()-ROW(MSPTasks[[#Headers],[ID]])))="",TRUE()),"",INDEX(tsk_Notes,(ROW()-ROW(MSPTasks[[#Headers],[ID]])))&amp;"")</f>
        <v/>
      </c>
    </row>
    <row r="198" customFormat="false" ht="15" hidden="false" customHeight="false" outlineLevel="0" collapsed="false">
      <c r="A198" s="23" t="str">
        <f aca="false">IF(IFERROR(INDEX(tsk_Name,(ROW()-ROW(MSPTasks[[#Headers],[ID]])))="",TRUE()),"",INDEX(tsk_ID,(ROW()-ROW(MSPTasks[[#Headers],[ID]]))))</f>
        <v/>
      </c>
      <c r="B198" s="23" t="str">
        <f aca="false">IF(IFERROR(INDEX(tsk_Name,(ROW()-ROW(MSPTasks[[#Headers],[ID]])))="",TRUE()),"",INDEX(tsk_UID,(ROW()-ROW(MSPTasks[[#Headers],[ID]]))))</f>
        <v/>
      </c>
      <c r="C198" s="23" t="str">
        <f aca="false">IF(IFERROR(INDEX(tsk_Name,(ROW()-ROW(MSPTasks[[#Headers],[ID]])))="",TRUE()),"",INDEX(tsk_Name,(ROW()-ROW(MSPTasks[[#Headers],[ID]]))))</f>
        <v/>
      </c>
      <c r="D198" s="23" t="str">
        <f aca="false">IF(IFERROR(INDEX(tsk_Name,(ROW()-ROW(MSPTasks[[#Headers],[ID]])))="",TRUE()),"",INDEX(tsk_Level,(ROW()-ROW(MSPTasks[[#Headers],[ID]]))))</f>
        <v/>
      </c>
      <c r="E198" s="23" t="str">
        <f aca="false">IF(IFERROR(INDEX(tsk_Name,(ROW()-ROW(MSPTasks[[#Headers],[ID]])))="",TRUE()),"",IF(INDEX(tsk_Mode,(ROW()-ROW(MSPTasks[[#Headers],[ID]])))="Manual","Manually Scheduled","Auto Scheduled"))</f>
        <v/>
      </c>
      <c r="F19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8" s="80" t="str">
        <f aca="false">IF(IFERROR(INDEX(tsk_Name,(ROW()-ROW(MSPTasks[[#Headers],[ID]])))="",TRUE()),"",INDEX(tsk_FcStart,(ROW()-ROW(MSPTasks[[#Headers],[ID]]))))</f>
        <v/>
      </c>
      <c r="H198" s="80" t="str">
        <f aca="false">IF(IFERROR(INDEX(tsk_Name,(ROW()-ROW(MSPTasks[[#Headers],[ID]])))="",TRUE()),"",INDEX(tsk_FcFinish,(ROW()-ROW(MSPTasks[[#Headers],[ID]]))))</f>
        <v/>
      </c>
      <c r="I19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8" s="80" t="str">
        <f aca="false">IF(IFERROR(INDEX(tsk_Name,(ROW()-ROW(MSPTasks[[#Headers],[ID]])))="",TRUE()),"",INDEX(tsk_PlanStart,(ROW()-ROW(MSPTasks[[#Headers],[ID]]))))</f>
        <v/>
      </c>
      <c r="P198" s="80" t="str">
        <f aca="false">IF(IFERROR(INDEX(tsk_Name,(ROW()-ROW(MSPTasks[[#Headers],[ID]])))="",TRUE()),"",INDEX(tsk_PlanFinish,(ROW()-ROW(MSPTasks[[#Headers],[ID]]))))</f>
        <v/>
      </c>
      <c r="Q19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8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8" s="23" t="str">
        <f aca="false">IF(IFERROR(INDEX(tsk_Name,(ROW()-ROW(MSPTasks[[#Headers],[ID]])))="",TRUE()),"",INDEX(tsk_Notes,(ROW()-ROW(MSPTasks[[#Headers],[ID]])))&amp;"")</f>
        <v/>
      </c>
    </row>
    <row r="199" customFormat="false" ht="15" hidden="false" customHeight="false" outlineLevel="0" collapsed="false">
      <c r="A199" s="23" t="str">
        <f aca="false">IF(IFERROR(INDEX(tsk_Name,(ROW()-ROW(MSPTasks[[#Headers],[ID]])))="",TRUE()),"",INDEX(tsk_ID,(ROW()-ROW(MSPTasks[[#Headers],[ID]]))))</f>
        <v/>
      </c>
      <c r="B199" s="23" t="str">
        <f aca="false">IF(IFERROR(INDEX(tsk_Name,(ROW()-ROW(MSPTasks[[#Headers],[ID]])))="",TRUE()),"",INDEX(tsk_UID,(ROW()-ROW(MSPTasks[[#Headers],[ID]]))))</f>
        <v/>
      </c>
      <c r="C199" s="23" t="str">
        <f aca="false">IF(IFERROR(INDEX(tsk_Name,(ROW()-ROW(MSPTasks[[#Headers],[ID]])))="",TRUE()),"",INDEX(tsk_Name,(ROW()-ROW(MSPTasks[[#Headers],[ID]]))))</f>
        <v/>
      </c>
      <c r="D199" s="23" t="str">
        <f aca="false">IF(IFERROR(INDEX(tsk_Name,(ROW()-ROW(MSPTasks[[#Headers],[ID]])))="",TRUE()),"",INDEX(tsk_Level,(ROW()-ROW(MSPTasks[[#Headers],[ID]]))))</f>
        <v/>
      </c>
      <c r="E199" s="23" t="str">
        <f aca="false">IF(IFERROR(INDEX(tsk_Name,(ROW()-ROW(MSPTasks[[#Headers],[ID]])))="",TRUE()),"",IF(INDEX(tsk_Mode,(ROW()-ROW(MSPTasks[[#Headers],[ID]])))="Manual","Manually Scheduled","Auto Scheduled"))</f>
        <v/>
      </c>
      <c r="F19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9" s="80" t="str">
        <f aca="false">IF(IFERROR(INDEX(tsk_Name,(ROW()-ROW(MSPTasks[[#Headers],[ID]])))="",TRUE()),"",INDEX(tsk_FcStart,(ROW()-ROW(MSPTasks[[#Headers],[ID]]))))</f>
        <v/>
      </c>
      <c r="H199" s="80" t="str">
        <f aca="false">IF(IFERROR(INDEX(tsk_Name,(ROW()-ROW(MSPTasks[[#Headers],[ID]])))="",TRUE()),"",INDEX(tsk_FcFinish,(ROW()-ROW(MSPTasks[[#Headers],[ID]]))))</f>
        <v/>
      </c>
      <c r="I19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9" s="80" t="str">
        <f aca="false">IF(IFERROR(INDEX(tsk_Name,(ROW()-ROW(MSPTasks[[#Headers],[ID]])))="",TRUE()),"",INDEX(tsk_PlanStart,(ROW()-ROW(MSPTasks[[#Headers],[ID]]))))</f>
        <v/>
      </c>
      <c r="P199" s="80" t="str">
        <f aca="false">IF(IFERROR(INDEX(tsk_Name,(ROW()-ROW(MSPTasks[[#Headers],[ID]])))="",TRUE()),"",INDEX(tsk_PlanFinish,(ROW()-ROW(MSPTasks[[#Headers],[ID]]))))</f>
        <v/>
      </c>
      <c r="Q19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9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9" s="23" t="str">
        <f aca="false">IF(IFERROR(INDEX(tsk_Name,(ROW()-ROW(MSPTasks[[#Headers],[ID]])))="",TRUE()),"",INDEX(tsk_Notes,(ROW()-ROW(MSPTasks[[#Headers],[ID]])))&amp;"")</f>
        <v/>
      </c>
    </row>
    <row r="200" customFormat="false" ht="15" hidden="false" customHeight="false" outlineLevel="0" collapsed="false">
      <c r="A200" s="23" t="str">
        <f aca="false">IF(IFERROR(INDEX(tsk_Name,(ROW()-ROW(MSPTasks[[#Headers],[ID]])))="",TRUE()),"",INDEX(tsk_ID,(ROW()-ROW(MSPTasks[[#Headers],[ID]]))))</f>
        <v/>
      </c>
      <c r="B200" s="23" t="str">
        <f aca="false">IF(IFERROR(INDEX(tsk_Name,(ROW()-ROW(MSPTasks[[#Headers],[ID]])))="",TRUE()),"",INDEX(tsk_UID,(ROW()-ROW(MSPTasks[[#Headers],[ID]]))))</f>
        <v/>
      </c>
      <c r="C200" s="23" t="str">
        <f aca="false">IF(IFERROR(INDEX(tsk_Name,(ROW()-ROW(MSPTasks[[#Headers],[ID]])))="",TRUE()),"",INDEX(tsk_Name,(ROW()-ROW(MSPTasks[[#Headers],[ID]]))))</f>
        <v/>
      </c>
      <c r="D200" s="23" t="str">
        <f aca="false">IF(IFERROR(INDEX(tsk_Name,(ROW()-ROW(MSPTasks[[#Headers],[ID]])))="",TRUE()),"",INDEX(tsk_Level,(ROW()-ROW(MSPTasks[[#Headers],[ID]]))))</f>
        <v/>
      </c>
      <c r="E200" s="23" t="str">
        <f aca="false">IF(IFERROR(INDEX(tsk_Name,(ROW()-ROW(MSPTasks[[#Headers],[ID]])))="",TRUE()),"",IF(INDEX(tsk_Mode,(ROW()-ROW(MSPTasks[[#Headers],[ID]])))="Manual","Manually Scheduled","Auto Scheduled"))</f>
        <v/>
      </c>
      <c r="F20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0" s="80" t="str">
        <f aca="false">IF(IFERROR(INDEX(tsk_Name,(ROW()-ROW(MSPTasks[[#Headers],[ID]])))="",TRUE()),"",INDEX(tsk_FcStart,(ROW()-ROW(MSPTasks[[#Headers],[ID]]))))</f>
        <v/>
      </c>
      <c r="H200" s="80" t="str">
        <f aca="false">IF(IFERROR(INDEX(tsk_Name,(ROW()-ROW(MSPTasks[[#Headers],[ID]])))="",TRUE()),"",INDEX(tsk_FcFinish,(ROW()-ROW(MSPTasks[[#Headers],[ID]]))))</f>
        <v/>
      </c>
      <c r="I20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0" s="80" t="str">
        <f aca="false">IF(IFERROR(INDEX(tsk_Name,(ROW()-ROW(MSPTasks[[#Headers],[ID]])))="",TRUE()),"",INDEX(tsk_PlanStart,(ROW()-ROW(MSPTasks[[#Headers],[ID]]))))</f>
        <v/>
      </c>
      <c r="P200" s="80" t="str">
        <f aca="false">IF(IFERROR(INDEX(tsk_Name,(ROW()-ROW(MSPTasks[[#Headers],[ID]])))="",TRUE()),"",INDEX(tsk_PlanFinish,(ROW()-ROW(MSPTasks[[#Headers],[ID]]))))</f>
        <v/>
      </c>
      <c r="Q20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00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0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0" s="23" t="str">
        <f aca="false">IF(IFERROR(INDEX(tsk_Name,(ROW()-ROW(MSPTasks[[#Headers],[ID]])))="",TRUE()),"",INDEX(tsk_Notes,(ROW()-ROW(MSPTasks[[#Headers],[ID]])))&amp;"")</f>
        <v/>
      </c>
    </row>
    <row r="201" customFormat="false" ht="15" hidden="false" customHeight="false" outlineLevel="0" collapsed="false">
      <c r="A201" s="23" t="str">
        <f aca="false">IF(IFERROR(INDEX(tsk_Name,(ROW()-ROW(MSPTasks[[#Headers],[ID]])))="",TRUE()),"",INDEX(tsk_ID,(ROW()-ROW(MSPTasks[[#Headers],[ID]]))))</f>
        <v/>
      </c>
      <c r="B201" s="23" t="str">
        <f aca="false">IF(IFERROR(INDEX(tsk_Name,(ROW()-ROW(MSPTasks[[#Headers],[ID]])))="",TRUE()),"",INDEX(tsk_UID,(ROW()-ROW(MSPTasks[[#Headers],[ID]]))))</f>
        <v/>
      </c>
      <c r="C201" s="23" t="str">
        <f aca="false">IF(IFERROR(INDEX(tsk_Name,(ROW()-ROW(MSPTasks[[#Headers],[ID]])))="",TRUE()),"",INDEX(tsk_Name,(ROW()-ROW(MSPTasks[[#Headers],[ID]]))))</f>
        <v/>
      </c>
      <c r="D201" s="23" t="str">
        <f aca="false">IF(IFERROR(INDEX(tsk_Name,(ROW()-ROW(MSPTasks[[#Headers],[ID]])))="",TRUE()),"",INDEX(tsk_Level,(ROW()-ROW(MSPTasks[[#Headers],[ID]]))))</f>
        <v/>
      </c>
      <c r="E201" s="23" t="str">
        <f aca="false">IF(IFERROR(INDEX(tsk_Name,(ROW()-ROW(MSPTasks[[#Headers],[ID]])))="",TRUE()),"",IF(INDEX(tsk_Mode,(ROW()-ROW(MSPTasks[[#Headers],[ID]])))="Manual","Manually Scheduled","Auto Scheduled"))</f>
        <v/>
      </c>
      <c r="F20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1" s="80" t="str">
        <f aca="false">IF(IFERROR(INDEX(tsk_Name,(ROW()-ROW(MSPTasks[[#Headers],[ID]])))="",TRUE()),"",INDEX(tsk_FcStart,(ROW()-ROW(MSPTasks[[#Headers],[ID]]))))</f>
        <v/>
      </c>
      <c r="H201" s="80" t="str">
        <f aca="false">IF(IFERROR(INDEX(tsk_Name,(ROW()-ROW(MSPTasks[[#Headers],[ID]])))="",TRUE()),"",INDEX(tsk_FcFinish,(ROW()-ROW(MSPTasks[[#Headers],[ID]]))))</f>
        <v/>
      </c>
      <c r="I20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1" s="80" t="str">
        <f aca="false">IF(IFERROR(INDEX(tsk_Name,(ROW()-ROW(MSPTasks[[#Headers],[ID]])))="",TRUE()),"",INDEX(tsk_PlanStart,(ROW()-ROW(MSPTasks[[#Headers],[ID]]))))</f>
        <v/>
      </c>
      <c r="P201" s="80" t="str">
        <f aca="false">IF(IFERROR(INDEX(tsk_Name,(ROW()-ROW(MSPTasks[[#Headers],[ID]])))="",TRUE()),"",INDEX(tsk_PlanFinish,(ROW()-ROW(MSPTasks[[#Headers],[ID]]))))</f>
        <v/>
      </c>
      <c r="Q20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01" s="80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0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1" s="23" t="str">
        <f aca="false">IF(IFERROR(INDEX(tsk_Name,(ROW()-ROW(MSPTasks[[#Headers],[ID]])))="",TRUE()),"",INDEX(tsk_Notes,(ROW()-ROW(MSPTasks[[#Headers],[ID]])))&amp;"")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9" t="s">
        <v>393</v>
      </c>
      <c r="B1" s="9" t="s">
        <v>333</v>
      </c>
      <c r="C1" s="9" t="s">
        <v>334</v>
      </c>
      <c r="D1" s="9" t="s">
        <v>335</v>
      </c>
      <c r="E1" s="9" t="s">
        <v>336</v>
      </c>
      <c r="F1" s="9" t="s">
        <v>401</v>
      </c>
      <c r="G1" s="9" t="s">
        <v>402</v>
      </c>
    </row>
    <row r="2" customFormat="false" ht="15" hidden="false" customHeight="false" outlineLevel="0" collapsed="false">
      <c r="A2" s="23" t="str">
        <f aca="false">IF(IFERROR(INDEX(res_Name,(ROW()-ROW(MSPResources[[#Headers],[Name]])))="",TRUE()),"",INDEX(res_Name,(ROW()-ROW(MSPResources[[#Headers],[Name]])))&amp;"")</f>
        <v>Priya Sharma</v>
      </c>
      <c r="B2" s="23" t="str">
        <f aca="false">IF(IFERROR(INDEX(res_Name,(ROW()-ROW(MSPResources[[#Headers],[Name]])))="",TRUE()),"",INDEX(res_Initials,(ROW()-ROW(MSPResources[[#Headers],[Name]])))&amp;"")</f>
        <v>PS</v>
      </c>
      <c r="C2" s="23" t="str">
        <f aca="false">IF(IFERROR(INDEX(res_Name,(ROW()-ROW(MSPResources[[#Headers],[Name]])))="",TRUE()),"",INDEX(res_Group,(ROW()-ROW(MSPResources[[#Headers],[Name]])))&amp;"")</f>
        <v>Project Manager</v>
      </c>
      <c r="D2" s="23" t="str">
        <f aca="false">IF(IFERROR(INDEX(res_Name,(ROW()-ROW(MSPResources[[#Headers],[Name]])))="",TRUE()),"",INDEX(res_Type,(ROW()-ROW(MSPResources[[#Headers],[Name]])))&amp;"")</f>
        <v>Work</v>
      </c>
      <c r="E2" s="23" t="str">
        <f aca="false">IF(IFERROR(INDEX(res_Name,(ROW()-ROW(MSPResources[[#Headers],[Name]])))="",TRUE()),"",ROUND(INDEX(res_MaxUnits,(ROW()-ROW(MSPResources[[#Headers],[Name]])))*100,0)&amp;"%")</f>
        <v>50%</v>
      </c>
      <c r="F2" s="23" t="str">
        <f aca="false">IF(IFERROR(INDEX(res_Name,(ROW()-ROW(MSPResources[[#Headers],[Name]])))="",TRUE()),"",INDEX(res_Rate,(ROW()-ROW(MSPResources[[#Headers],[Name]])))&amp;"/h")</f>
        <v>95/h</v>
      </c>
      <c r="G2" s="23" t="str">
        <f aca="false">IF(IFERROR(INDEX(res_Name,(ROW()-ROW(MSPResources[[#Headers],[Name]])))="",TRUE()),"",INDEX(res_Email,(ROW()-ROW(MSPResources[[#Headers],[Name]])))&amp;"")</f>
        <v>priya@example.com</v>
      </c>
    </row>
    <row r="3" customFormat="false" ht="15" hidden="false" customHeight="false" outlineLevel="0" collapsed="false">
      <c r="A3" s="23" t="str">
        <f aca="false">IF(IFERROR(INDEX(res_Name,(ROW()-ROW(MSPResources[[#Headers],[Name]])))="",TRUE()),"",INDEX(res_Name,(ROW()-ROW(MSPResources[[#Headers],[Name]])))&amp;"")</f>
        <v>Morgan Patel</v>
      </c>
      <c r="B3" s="23" t="str">
        <f aca="false">IF(IFERROR(INDEX(res_Name,(ROW()-ROW(MSPResources[[#Headers],[Name]])))="",TRUE()),"",INDEX(res_Initials,(ROW()-ROW(MSPResources[[#Headers],[Name]])))&amp;"")</f>
        <v>MP</v>
      </c>
      <c r="C3" s="23" t="str">
        <f aca="false">IF(IFERROR(INDEX(res_Name,(ROW()-ROW(MSPResources[[#Headers],[Name]])))="",TRUE()),"",INDEX(res_Group,(ROW()-ROW(MSPResources[[#Headers],[Name]])))&amp;"")</f>
        <v>Business Analyst</v>
      </c>
      <c r="D3" s="23" t="str">
        <f aca="false">IF(IFERROR(INDEX(res_Name,(ROW()-ROW(MSPResources[[#Headers],[Name]])))="",TRUE()),"",INDEX(res_Type,(ROW()-ROW(MSPResources[[#Headers],[Name]])))&amp;"")</f>
        <v>Work</v>
      </c>
      <c r="E3" s="23" t="str">
        <f aca="false">IF(IFERROR(INDEX(res_Name,(ROW()-ROW(MSPResources[[#Headers],[Name]])))="",TRUE()),"",ROUND(INDEX(res_MaxUnits,(ROW()-ROW(MSPResources[[#Headers],[Name]])))*100,0)&amp;"%")</f>
        <v>100%</v>
      </c>
      <c r="F3" s="23" t="str">
        <f aca="false">IF(IFERROR(INDEX(res_Name,(ROW()-ROW(MSPResources[[#Headers],[Name]])))="",TRUE()),"",INDEX(res_Rate,(ROW()-ROW(MSPResources[[#Headers],[Name]])))&amp;"/h")</f>
        <v>70/h</v>
      </c>
      <c r="G3" s="23" t="str">
        <f aca="false">IF(IFERROR(INDEX(res_Name,(ROW()-ROW(MSPResources[[#Headers],[Name]])))="",TRUE()),"",INDEX(res_Email,(ROW()-ROW(MSPResources[[#Headers],[Name]])))&amp;"")</f>
        <v>morgan@example.com</v>
      </c>
    </row>
    <row r="4" customFormat="false" ht="15" hidden="false" customHeight="false" outlineLevel="0" collapsed="false">
      <c r="A4" s="23" t="str">
        <f aca="false">IF(IFERROR(INDEX(res_Name,(ROW()-ROW(MSPResources[[#Headers],[Name]])))="",TRUE()),"",INDEX(res_Name,(ROW()-ROW(MSPResources[[#Headers],[Name]])))&amp;"")</f>
        <v>Alex Chen</v>
      </c>
      <c r="B4" s="23" t="str">
        <f aca="false">IF(IFERROR(INDEX(res_Name,(ROW()-ROW(MSPResources[[#Headers],[Name]])))="",TRUE()),"",INDEX(res_Initials,(ROW()-ROW(MSPResources[[#Headers],[Name]])))&amp;"")</f>
        <v>AC</v>
      </c>
      <c r="C4" s="23" t="str">
        <f aca="false">IF(IFERROR(INDEX(res_Name,(ROW()-ROW(MSPResources[[#Headers],[Name]])))="",TRUE()),"",INDEX(res_Group,(ROW()-ROW(MSPResources[[#Headers],[Name]])))&amp;"")</f>
        <v>Solution Architect</v>
      </c>
      <c r="D4" s="23" t="str">
        <f aca="false">IF(IFERROR(INDEX(res_Name,(ROW()-ROW(MSPResources[[#Headers],[Name]])))="",TRUE()),"",INDEX(res_Type,(ROW()-ROW(MSPResources[[#Headers],[Name]])))&amp;"")</f>
        <v>Work</v>
      </c>
      <c r="E4" s="23" t="str">
        <f aca="false">IF(IFERROR(INDEX(res_Name,(ROW()-ROW(MSPResources[[#Headers],[Name]])))="",TRUE()),"",ROUND(INDEX(res_MaxUnits,(ROW()-ROW(MSPResources[[#Headers],[Name]])))*100,0)&amp;"%")</f>
        <v>50%</v>
      </c>
      <c r="F4" s="23" t="str">
        <f aca="false">IF(IFERROR(INDEX(res_Name,(ROW()-ROW(MSPResources[[#Headers],[Name]])))="",TRUE()),"",INDEX(res_Rate,(ROW()-ROW(MSPResources[[#Headers],[Name]])))&amp;"/h")</f>
        <v>110/h</v>
      </c>
      <c r="G4" s="23" t="str">
        <f aca="false">IF(IFERROR(INDEX(res_Name,(ROW()-ROW(MSPResources[[#Headers],[Name]])))="",TRUE()),"",INDEX(res_Email,(ROW()-ROW(MSPResources[[#Headers],[Name]])))&amp;"")</f>
        <v>alex@example.com</v>
      </c>
    </row>
    <row r="5" customFormat="false" ht="15" hidden="false" customHeight="false" outlineLevel="0" collapsed="false">
      <c r="A5" s="23" t="str">
        <f aca="false">IF(IFERROR(INDEX(res_Name,(ROW()-ROW(MSPResources[[#Headers],[Name]])))="",TRUE()),"",INDEX(res_Name,(ROW()-ROW(MSPResources[[#Headers],[Name]])))&amp;"")</f>
        <v>Casey Kim</v>
      </c>
      <c r="B5" s="23" t="str">
        <f aca="false">IF(IFERROR(INDEX(res_Name,(ROW()-ROW(MSPResources[[#Headers],[Name]])))="",TRUE()),"",INDEX(res_Initials,(ROW()-ROW(MSPResources[[#Headers],[Name]])))&amp;"")</f>
        <v>CK</v>
      </c>
      <c r="C5" s="23" t="str">
        <f aca="false">IF(IFERROR(INDEX(res_Name,(ROW()-ROW(MSPResources[[#Headers],[Name]])))="",TRUE()),"",INDEX(res_Group,(ROW()-ROW(MSPResources[[#Headers],[Name]])))&amp;"")</f>
        <v>UX Designer</v>
      </c>
      <c r="D5" s="23" t="str">
        <f aca="false">IF(IFERROR(INDEX(res_Name,(ROW()-ROW(MSPResources[[#Headers],[Name]])))="",TRUE()),"",INDEX(res_Type,(ROW()-ROW(MSPResources[[#Headers],[Name]])))&amp;"")</f>
        <v>Work</v>
      </c>
      <c r="E5" s="23" t="str">
        <f aca="false">IF(IFERROR(INDEX(res_Name,(ROW()-ROW(MSPResources[[#Headers],[Name]])))="",TRUE()),"",ROUND(INDEX(res_MaxUnits,(ROW()-ROW(MSPResources[[#Headers],[Name]])))*100,0)&amp;"%")</f>
        <v>100%</v>
      </c>
      <c r="F5" s="23" t="str">
        <f aca="false">IF(IFERROR(INDEX(res_Name,(ROW()-ROW(MSPResources[[#Headers],[Name]])))="",TRUE()),"",INDEX(res_Rate,(ROW()-ROW(MSPResources[[#Headers],[Name]])))&amp;"/h")</f>
        <v>75/h</v>
      </c>
      <c r="G5" s="23" t="str">
        <f aca="false">IF(IFERROR(INDEX(res_Name,(ROW()-ROW(MSPResources[[#Headers],[Name]])))="",TRUE()),"",INDEX(res_Email,(ROW()-ROW(MSPResources[[#Headers],[Name]])))&amp;"")</f>
        <v>casey@example.com</v>
      </c>
    </row>
    <row r="6" customFormat="false" ht="15" hidden="false" customHeight="false" outlineLevel="0" collapsed="false">
      <c r="A6" s="23" t="str">
        <f aca="false">IF(IFERROR(INDEX(res_Name,(ROW()-ROW(MSPResources[[#Headers],[Name]])))="",TRUE()),"",INDEX(res_Name,(ROW()-ROW(MSPResources[[#Headers],[Name]])))&amp;"")</f>
        <v>Jordan Lee</v>
      </c>
      <c r="B6" s="23" t="str">
        <f aca="false">IF(IFERROR(INDEX(res_Name,(ROW()-ROW(MSPResources[[#Headers],[Name]])))="",TRUE()),"",INDEX(res_Initials,(ROW()-ROW(MSPResources[[#Headers],[Name]])))&amp;"")</f>
        <v>JL</v>
      </c>
      <c r="C6" s="23" t="str">
        <f aca="false">IF(IFERROR(INDEX(res_Name,(ROW()-ROW(MSPResources[[#Headers],[Name]])))="",TRUE()),"",INDEX(res_Group,(ROW()-ROW(MSPResources[[#Headers],[Name]])))&amp;"")</f>
        <v>Backend Developer</v>
      </c>
      <c r="D6" s="23" t="str">
        <f aca="false">IF(IFERROR(INDEX(res_Name,(ROW()-ROW(MSPResources[[#Headers],[Name]])))="",TRUE()),"",INDEX(res_Type,(ROW()-ROW(MSPResources[[#Headers],[Name]])))&amp;"")</f>
        <v>Work</v>
      </c>
      <c r="E6" s="23" t="str">
        <f aca="false">IF(IFERROR(INDEX(res_Name,(ROW()-ROW(MSPResources[[#Headers],[Name]])))="",TRUE()),"",ROUND(INDEX(res_MaxUnits,(ROW()-ROW(MSPResources[[#Headers],[Name]])))*100,0)&amp;"%")</f>
        <v>100%</v>
      </c>
      <c r="F6" s="23" t="str">
        <f aca="false">IF(IFERROR(INDEX(res_Name,(ROW()-ROW(MSPResources[[#Headers],[Name]])))="",TRUE()),"",INDEX(res_Rate,(ROW()-ROW(MSPResources[[#Headers],[Name]])))&amp;"/h")</f>
        <v>85/h</v>
      </c>
      <c r="G6" s="23" t="str">
        <f aca="false">IF(IFERROR(INDEX(res_Name,(ROW()-ROW(MSPResources[[#Headers],[Name]])))="",TRUE()),"",INDEX(res_Email,(ROW()-ROW(MSPResources[[#Headers],[Name]])))&amp;"")</f>
        <v>jordan@example.com</v>
      </c>
    </row>
    <row r="7" customFormat="false" ht="15" hidden="false" customHeight="false" outlineLevel="0" collapsed="false">
      <c r="A7" s="23" t="str">
        <f aca="false">IF(IFERROR(INDEX(res_Name,(ROW()-ROW(MSPResources[[#Headers],[Name]])))="",TRUE()),"",INDEX(res_Name,(ROW()-ROW(MSPResources[[#Headers],[Name]])))&amp;"")</f>
        <v>Sam Rivera</v>
      </c>
      <c r="B7" s="23" t="str">
        <f aca="false">IF(IFERROR(INDEX(res_Name,(ROW()-ROW(MSPResources[[#Headers],[Name]])))="",TRUE()),"",INDEX(res_Initials,(ROW()-ROW(MSPResources[[#Headers],[Name]])))&amp;"")</f>
        <v>SR</v>
      </c>
      <c r="C7" s="23" t="str">
        <f aca="false">IF(IFERROR(INDEX(res_Name,(ROW()-ROW(MSPResources[[#Headers],[Name]])))="",TRUE()),"",INDEX(res_Group,(ROW()-ROW(MSPResources[[#Headers],[Name]])))&amp;"")</f>
        <v>Frontend Developer</v>
      </c>
      <c r="D7" s="23" t="str">
        <f aca="false">IF(IFERROR(INDEX(res_Name,(ROW()-ROW(MSPResources[[#Headers],[Name]])))="",TRUE()),"",INDEX(res_Type,(ROW()-ROW(MSPResources[[#Headers],[Name]])))&amp;"")</f>
        <v>Work</v>
      </c>
      <c r="E7" s="23" t="str">
        <f aca="false">IF(IFERROR(INDEX(res_Name,(ROW()-ROW(MSPResources[[#Headers],[Name]])))="",TRUE()),"",ROUND(INDEX(res_MaxUnits,(ROW()-ROW(MSPResources[[#Headers],[Name]])))*100,0)&amp;"%")</f>
        <v>100%</v>
      </c>
      <c r="F7" s="23" t="str">
        <f aca="false">IF(IFERROR(INDEX(res_Name,(ROW()-ROW(MSPResources[[#Headers],[Name]])))="",TRUE()),"",INDEX(res_Rate,(ROW()-ROW(MSPResources[[#Headers],[Name]])))&amp;"/h")</f>
        <v>80/h</v>
      </c>
      <c r="G7" s="23" t="str">
        <f aca="false">IF(IFERROR(INDEX(res_Name,(ROW()-ROW(MSPResources[[#Headers],[Name]])))="",TRUE()),"",INDEX(res_Email,(ROW()-ROW(MSPResources[[#Headers],[Name]])))&amp;"")</f>
        <v>sam@example.com</v>
      </c>
    </row>
    <row r="8" customFormat="false" ht="15" hidden="false" customHeight="false" outlineLevel="0" collapsed="false">
      <c r="A8" s="23" t="str">
        <f aca="false">IF(IFERROR(INDEX(res_Name,(ROW()-ROW(MSPResources[[#Headers],[Name]])))="",TRUE()),"",INDEX(res_Name,(ROW()-ROW(MSPResources[[#Headers],[Name]])))&amp;"")</f>
        <v>Taylor Morgan</v>
      </c>
      <c r="B8" s="23" t="str">
        <f aca="false">IF(IFERROR(INDEX(res_Name,(ROW()-ROW(MSPResources[[#Headers],[Name]])))="",TRUE()),"",INDEX(res_Initials,(ROW()-ROW(MSPResources[[#Headers],[Name]])))&amp;"")</f>
        <v>TM</v>
      </c>
      <c r="C8" s="23" t="str">
        <f aca="false">IF(IFERROR(INDEX(res_Name,(ROW()-ROW(MSPResources[[#Headers],[Name]])))="",TRUE()),"",INDEX(res_Group,(ROW()-ROW(MSPResources[[#Headers],[Name]])))&amp;"")</f>
        <v>QA Engineer</v>
      </c>
      <c r="D8" s="23" t="str">
        <f aca="false">IF(IFERROR(INDEX(res_Name,(ROW()-ROW(MSPResources[[#Headers],[Name]])))="",TRUE()),"",INDEX(res_Type,(ROW()-ROW(MSPResources[[#Headers],[Name]])))&amp;"")</f>
        <v>Work</v>
      </c>
      <c r="E8" s="23" t="str">
        <f aca="false">IF(IFERROR(INDEX(res_Name,(ROW()-ROW(MSPResources[[#Headers],[Name]])))="",TRUE()),"",ROUND(INDEX(res_MaxUnits,(ROW()-ROW(MSPResources[[#Headers],[Name]])))*100,0)&amp;"%")</f>
        <v>100%</v>
      </c>
      <c r="F8" s="23" t="str">
        <f aca="false">IF(IFERROR(INDEX(res_Name,(ROW()-ROW(MSPResources[[#Headers],[Name]])))="",TRUE()),"",INDEX(res_Rate,(ROW()-ROW(MSPResources[[#Headers],[Name]])))&amp;"/h")</f>
        <v>65/h</v>
      </c>
      <c r="G8" s="23" t="str">
        <f aca="false">IF(IFERROR(INDEX(res_Name,(ROW()-ROW(MSPResources[[#Headers],[Name]])))="",TRUE()),"",INDEX(res_Email,(ROW()-ROW(MSPResources[[#Headers],[Name]])))&amp;"")</f>
        <v>taylor@example.com</v>
      </c>
    </row>
    <row r="9" customFormat="false" ht="15" hidden="false" customHeight="false" outlineLevel="0" collapsed="false">
      <c r="A9" s="23" t="str">
        <f aca="false">IF(IFERROR(INDEX(res_Name,(ROW()-ROW(MSPResources[[#Headers],[Name]])))="",TRUE()),"",INDEX(res_Name,(ROW()-ROW(MSPResources[[#Headers],[Name]])))&amp;"")</f>
        <v/>
      </c>
      <c r="B9" s="23" t="str">
        <f aca="false">IF(IFERROR(INDEX(res_Name,(ROW()-ROW(MSPResources[[#Headers],[Name]])))="",TRUE()),"",INDEX(res_Initials,(ROW()-ROW(MSPResources[[#Headers],[Name]])))&amp;"")</f>
        <v/>
      </c>
      <c r="C9" s="23" t="str">
        <f aca="false">IF(IFERROR(INDEX(res_Name,(ROW()-ROW(MSPResources[[#Headers],[Name]])))="",TRUE()),"",INDEX(res_Group,(ROW()-ROW(MSPResources[[#Headers],[Name]])))&amp;"")</f>
        <v/>
      </c>
      <c r="D9" s="23" t="str">
        <f aca="false">IF(IFERROR(INDEX(res_Name,(ROW()-ROW(MSPResources[[#Headers],[Name]])))="",TRUE()),"",INDEX(res_Type,(ROW()-ROW(MSPResources[[#Headers],[Name]])))&amp;"")</f>
        <v/>
      </c>
      <c r="E9" s="23" t="str">
        <f aca="false">IF(IFERROR(INDEX(res_Name,(ROW()-ROW(MSPResources[[#Headers],[Name]])))="",TRUE()),"",ROUND(INDEX(res_MaxUnits,(ROW()-ROW(MSPResources[[#Headers],[Name]])))*100,0)&amp;"%")</f>
        <v/>
      </c>
      <c r="F9" s="23" t="str">
        <f aca="false">IF(IFERROR(INDEX(res_Name,(ROW()-ROW(MSPResources[[#Headers],[Name]])))="",TRUE()),"",INDEX(res_Rate,(ROW()-ROW(MSPResources[[#Headers],[Name]])))&amp;"/h")</f>
        <v/>
      </c>
      <c r="G9" s="23" t="str">
        <f aca="false">IF(IFERROR(INDEX(res_Name,(ROW()-ROW(MSPResources[[#Headers],[Name]])))="",TRUE()),"",INDEX(res_Email,(ROW()-ROW(MSPResources[[#Headers],[Name]])))&amp;"")</f>
        <v/>
      </c>
    </row>
    <row r="10" customFormat="false" ht="15" hidden="false" customHeight="false" outlineLevel="0" collapsed="false">
      <c r="A10" s="23" t="str">
        <f aca="false">IF(IFERROR(INDEX(res_Name,(ROW()-ROW(MSPResources[[#Headers],[Name]])))="",TRUE()),"",INDEX(res_Name,(ROW()-ROW(MSPResources[[#Headers],[Name]])))&amp;"")</f>
        <v/>
      </c>
      <c r="B10" s="23" t="str">
        <f aca="false">IF(IFERROR(INDEX(res_Name,(ROW()-ROW(MSPResources[[#Headers],[Name]])))="",TRUE()),"",INDEX(res_Initials,(ROW()-ROW(MSPResources[[#Headers],[Name]])))&amp;"")</f>
        <v/>
      </c>
      <c r="C10" s="23" t="str">
        <f aca="false">IF(IFERROR(INDEX(res_Name,(ROW()-ROW(MSPResources[[#Headers],[Name]])))="",TRUE()),"",INDEX(res_Group,(ROW()-ROW(MSPResources[[#Headers],[Name]])))&amp;"")</f>
        <v/>
      </c>
      <c r="D10" s="23" t="str">
        <f aca="false">IF(IFERROR(INDEX(res_Name,(ROW()-ROW(MSPResources[[#Headers],[Name]])))="",TRUE()),"",INDEX(res_Type,(ROW()-ROW(MSPResources[[#Headers],[Name]])))&amp;"")</f>
        <v/>
      </c>
      <c r="E10" s="23" t="str">
        <f aca="false">IF(IFERROR(INDEX(res_Name,(ROW()-ROW(MSPResources[[#Headers],[Name]])))="",TRUE()),"",ROUND(INDEX(res_MaxUnits,(ROW()-ROW(MSPResources[[#Headers],[Name]])))*100,0)&amp;"%")</f>
        <v/>
      </c>
      <c r="F10" s="23" t="str">
        <f aca="false">IF(IFERROR(INDEX(res_Name,(ROW()-ROW(MSPResources[[#Headers],[Name]])))="",TRUE()),"",INDEX(res_Rate,(ROW()-ROW(MSPResources[[#Headers],[Name]])))&amp;"/h")</f>
        <v/>
      </c>
      <c r="G10" s="23" t="str">
        <f aca="false">IF(IFERROR(INDEX(res_Name,(ROW()-ROW(MSPResources[[#Headers],[Name]])))="",TRUE()),"",INDEX(res_Email,(ROW()-ROW(MSPResources[[#Headers],[Name]])))&amp;"")</f>
        <v/>
      </c>
    </row>
    <row r="11" customFormat="false" ht="15" hidden="false" customHeight="false" outlineLevel="0" collapsed="false">
      <c r="A11" s="23" t="str">
        <f aca="false">IF(IFERROR(INDEX(res_Name,(ROW()-ROW(MSPResources[[#Headers],[Name]])))="",TRUE()),"",INDEX(res_Name,(ROW()-ROW(MSPResources[[#Headers],[Name]])))&amp;"")</f>
        <v/>
      </c>
      <c r="B11" s="23" t="str">
        <f aca="false">IF(IFERROR(INDEX(res_Name,(ROW()-ROW(MSPResources[[#Headers],[Name]])))="",TRUE()),"",INDEX(res_Initials,(ROW()-ROW(MSPResources[[#Headers],[Name]])))&amp;"")</f>
        <v/>
      </c>
      <c r="C11" s="23" t="str">
        <f aca="false">IF(IFERROR(INDEX(res_Name,(ROW()-ROW(MSPResources[[#Headers],[Name]])))="",TRUE()),"",INDEX(res_Group,(ROW()-ROW(MSPResources[[#Headers],[Name]])))&amp;"")</f>
        <v/>
      </c>
      <c r="D11" s="23" t="str">
        <f aca="false">IF(IFERROR(INDEX(res_Name,(ROW()-ROW(MSPResources[[#Headers],[Name]])))="",TRUE()),"",INDEX(res_Type,(ROW()-ROW(MSPResources[[#Headers],[Name]])))&amp;"")</f>
        <v/>
      </c>
      <c r="E11" s="23" t="str">
        <f aca="false">IF(IFERROR(INDEX(res_Name,(ROW()-ROW(MSPResources[[#Headers],[Name]])))="",TRUE()),"",ROUND(INDEX(res_MaxUnits,(ROW()-ROW(MSPResources[[#Headers],[Name]])))*100,0)&amp;"%")</f>
        <v/>
      </c>
      <c r="F11" s="23" t="str">
        <f aca="false">IF(IFERROR(INDEX(res_Name,(ROW()-ROW(MSPResources[[#Headers],[Name]])))="",TRUE()),"",INDEX(res_Rate,(ROW()-ROW(MSPResources[[#Headers],[Name]])))&amp;"/h")</f>
        <v/>
      </c>
      <c r="G11" s="23" t="str">
        <f aca="false">IF(IFERROR(INDEX(res_Name,(ROW()-ROW(MSPResources[[#Headers],[Name]])))="",TRUE()),"",INDEX(res_Email,(ROW()-ROW(MSPResources[[#Headers],[Name]])))&amp;"")</f>
        <v/>
      </c>
    </row>
    <row r="12" customFormat="false" ht="15" hidden="false" customHeight="false" outlineLevel="0" collapsed="false">
      <c r="A12" s="23" t="str">
        <f aca="false">IF(IFERROR(INDEX(res_Name,(ROW()-ROW(MSPResources[[#Headers],[Name]])))="",TRUE()),"",INDEX(res_Name,(ROW()-ROW(MSPResources[[#Headers],[Name]])))&amp;"")</f>
        <v/>
      </c>
      <c r="B12" s="23" t="str">
        <f aca="false">IF(IFERROR(INDEX(res_Name,(ROW()-ROW(MSPResources[[#Headers],[Name]])))="",TRUE()),"",INDEX(res_Initials,(ROW()-ROW(MSPResources[[#Headers],[Name]])))&amp;"")</f>
        <v/>
      </c>
      <c r="C12" s="23" t="str">
        <f aca="false">IF(IFERROR(INDEX(res_Name,(ROW()-ROW(MSPResources[[#Headers],[Name]])))="",TRUE()),"",INDEX(res_Group,(ROW()-ROW(MSPResources[[#Headers],[Name]])))&amp;"")</f>
        <v/>
      </c>
      <c r="D12" s="23" t="str">
        <f aca="false">IF(IFERROR(INDEX(res_Name,(ROW()-ROW(MSPResources[[#Headers],[Name]])))="",TRUE()),"",INDEX(res_Type,(ROW()-ROW(MSPResources[[#Headers],[Name]])))&amp;"")</f>
        <v/>
      </c>
      <c r="E12" s="23" t="str">
        <f aca="false">IF(IFERROR(INDEX(res_Name,(ROW()-ROW(MSPResources[[#Headers],[Name]])))="",TRUE()),"",ROUND(INDEX(res_MaxUnits,(ROW()-ROW(MSPResources[[#Headers],[Name]])))*100,0)&amp;"%")</f>
        <v/>
      </c>
      <c r="F12" s="23" t="str">
        <f aca="false">IF(IFERROR(INDEX(res_Name,(ROW()-ROW(MSPResources[[#Headers],[Name]])))="",TRUE()),"",INDEX(res_Rate,(ROW()-ROW(MSPResources[[#Headers],[Name]])))&amp;"/h")</f>
        <v/>
      </c>
      <c r="G12" s="23" t="str">
        <f aca="false">IF(IFERROR(INDEX(res_Name,(ROW()-ROW(MSPResources[[#Headers],[Name]])))="",TRUE()),"",INDEX(res_Email,(ROW()-ROW(MSPResources[[#Headers],[Name]])))&amp;"")</f>
        <v/>
      </c>
    </row>
    <row r="13" customFormat="false" ht="15" hidden="false" customHeight="false" outlineLevel="0" collapsed="false">
      <c r="A13" s="23" t="str">
        <f aca="false">IF(IFERROR(INDEX(res_Name,(ROW()-ROW(MSPResources[[#Headers],[Name]])))="",TRUE()),"",INDEX(res_Name,(ROW()-ROW(MSPResources[[#Headers],[Name]])))&amp;"")</f>
        <v/>
      </c>
      <c r="B13" s="23" t="str">
        <f aca="false">IF(IFERROR(INDEX(res_Name,(ROW()-ROW(MSPResources[[#Headers],[Name]])))="",TRUE()),"",INDEX(res_Initials,(ROW()-ROW(MSPResources[[#Headers],[Name]])))&amp;"")</f>
        <v/>
      </c>
      <c r="C13" s="23" t="str">
        <f aca="false">IF(IFERROR(INDEX(res_Name,(ROW()-ROW(MSPResources[[#Headers],[Name]])))="",TRUE()),"",INDEX(res_Group,(ROW()-ROW(MSPResources[[#Headers],[Name]])))&amp;"")</f>
        <v/>
      </c>
      <c r="D13" s="23" t="str">
        <f aca="false">IF(IFERROR(INDEX(res_Name,(ROW()-ROW(MSPResources[[#Headers],[Name]])))="",TRUE()),"",INDEX(res_Type,(ROW()-ROW(MSPResources[[#Headers],[Name]])))&amp;"")</f>
        <v/>
      </c>
      <c r="E13" s="23" t="str">
        <f aca="false">IF(IFERROR(INDEX(res_Name,(ROW()-ROW(MSPResources[[#Headers],[Name]])))="",TRUE()),"",ROUND(INDEX(res_MaxUnits,(ROW()-ROW(MSPResources[[#Headers],[Name]])))*100,0)&amp;"%")</f>
        <v/>
      </c>
      <c r="F13" s="23" t="str">
        <f aca="false">IF(IFERROR(INDEX(res_Name,(ROW()-ROW(MSPResources[[#Headers],[Name]])))="",TRUE()),"",INDEX(res_Rate,(ROW()-ROW(MSPResources[[#Headers],[Name]])))&amp;"/h")</f>
        <v/>
      </c>
      <c r="G13" s="23" t="str">
        <f aca="false">IF(IFERROR(INDEX(res_Name,(ROW()-ROW(MSPResources[[#Headers],[Name]])))="",TRUE()),"",INDEX(res_Email,(ROW()-ROW(MSPResources[[#Headers],[Name]])))&amp;"")</f>
        <v/>
      </c>
    </row>
    <row r="14" customFormat="false" ht="15" hidden="false" customHeight="false" outlineLevel="0" collapsed="false">
      <c r="A14" s="23" t="str">
        <f aca="false">IF(IFERROR(INDEX(res_Name,(ROW()-ROW(MSPResources[[#Headers],[Name]])))="",TRUE()),"",INDEX(res_Name,(ROW()-ROW(MSPResources[[#Headers],[Name]])))&amp;"")</f>
        <v/>
      </c>
      <c r="B14" s="23" t="str">
        <f aca="false">IF(IFERROR(INDEX(res_Name,(ROW()-ROW(MSPResources[[#Headers],[Name]])))="",TRUE()),"",INDEX(res_Initials,(ROW()-ROW(MSPResources[[#Headers],[Name]])))&amp;"")</f>
        <v/>
      </c>
      <c r="C14" s="23" t="str">
        <f aca="false">IF(IFERROR(INDEX(res_Name,(ROW()-ROW(MSPResources[[#Headers],[Name]])))="",TRUE()),"",INDEX(res_Group,(ROW()-ROW(MSPResources[[#Headers],[Name]])))&amp;"")</f>
        <v/>
      </c>
      <c r="D14" s="23" t="str">
        <f aca="false">IF(IFERROR(INDEX(res_Name,(ROW()-ROW(MSPResources[[#Headers],[Name]])))="",TRUE()),"",INDEX(res_Type,(ROW()-ROW(MSPResources[[#Headers],[Name]])))&amp;"")</f>
        <v/>
      </c>
      <c r="E14" s="23" t="str">
        <f aca="false">IF(IFERROR(INDEX(res_Name,(ROW()-ROW(MSPResources[[#Headers],[Name]])))="",TRUE()),"",ROUND(INDEX(res_MaxUnits,(ROW()-ROW(MSPResources[[#Headers],[Name]])))*100,0)&amp;"%")</f>
        <v/>
      </c>
      <c r="F14" s="23" t="str">
        <f aca="false">IF(IFERROR(INDEX(res_Name,(ROW()-ROW(MSPResources[[#Headers],[Name]])))="",TRUE()),"",INDEX(res_Rate,(ROW()-ROW(MSPResources[[#Headers],[Name]])))&amp;"/h")</f>
        <v/>
      </c>
      <c r="G14" s="23" t="str">
        <f aca="false">IF(IFERROR(INDEX(res_Name,(ROW()-ROW(MSPResources[[#Headers],[Name]])))="",TRUE()),"",INDEX(res_Email,(ROW()-ROW(MSPResources[[#Headers],[Name]])))&amp;"")</f>
        <v/>
      </c>
    </row>
    <row r="15" customFormat="false" ht="15" hidden="false" customHeight="false" outlineLevel="0" collapsed="false">
      <c r="A15" s="23" t="str">
        <f aca="false">IF(IFERROR(INDEX(res_Name,(ROW()-ROW(MSPResources[[#Headers],[Name]])))="",TRUE()),"",INDEX(res_Name,(ROW()-ROW(MSPResources[[#Headers],[Name]])))&amp;"")</f>
        <v/>
      </c>
      <c r="B15" s="23" t="str">
        <f aca="false">IF(IFERROR(INDEX(res_Name,(ROW()-ROW(MSPResources[[#Headers],[Name]])))="",TRUE()),"",INDEX(res_Initials,(ROW()-ROW(MSPResources[[#Headers],[Name]])))&amp;"")</f>
        <v/>
      </c>
      <c r="C15" s="23" t="str">
        <f aca="false">IF(IFERROR(INDEX(res_Name,(ROW()-ROW(MSPResources[[#Headers],[Name]])))="",TRUE()),"",INDEX(res_Group,(ROW()-ROW(MSPResources[[#Headers],[Name]])))&amp;"")</f>
        <v/>
      </c>
      <c r="D15" s="23" t="str">
        <f aca="false">IF(IFERROR(INDEX(res_Name,(ROW()-ROW(MSPResources[[#Headers],[Name]])))="",TRUE()),"",INDEX(res_Type,(ROW()-ROW(MSPResources[[#Headers],[Name]])))&amp;"")</f>
        <v/>
      </c>
      <c r="E15" s="23" t="str">
        <f aca="false">IF(IFERROR(INDEX(res_Name,(ROW()-ROW(MSPResources[[#Headers],[Name]])))="",TRUE()),"",ROUND(INDEX(res_MaxUnits,(ROW()-ROW(MSPResources[[#Headers],[Name]])))*100,0)&amp;"%")</f>
        <v/>
      </c>
      <c r="F15" s="23" t="str">
        <f aca="false">IF(IFERROR(INDEX(res_Name,(ROW()-ROW(MSPResources[[#Headers],[Name]])))="",TRUE()),"",INDEX(res_Rate,(ROW()-ROW(MSPResources[[#Headers],[Name]])))&amp;"/h")</f>
        <v/>
      </c>
      <c r="G15" s="23" t="str">
        <f aca="false">IF(IFERROR(INDEX(res_Name,(ROW()-ROW(MSPResources[[#Headers],[Name]])))="",TRUE()),"",INDEX(res_Email,(ROW()-ROW(MSPResources[[#Headers],[Name]])))&amp;"")</f>
        <v/>
      </c>
    </row>
    <row r="16" customFormat="false" ht="15" hidden="false" customHeight="false" outlineLevel="0" collapsed="false">
      <c r="A16" s="23" t="str">
        <f aca="false">IF(IFERROR(INDEX(res_Name,(ROW()-ROW(MSPResources[[#Headers],[Name]])))="",TRUE()),"",INDEX(res_Name,(ROW()-ROW(MSPResources[[#Headers],[Name]])))&amp;"")</f>
        <v/>
      </c>
      <c r="B16" s="23" t="str">
        <f aca="false">IF(IFERROR(INDEX(res_Name,(ROW()-ROW(MSPResources[[#Headers],[Name]])))="",TRUE()),"",INDEX(res_Initials,(ROW()-ROW(MSPResources[[#Headers],[Name]])))&amp;"")</f>
        <v/>
      </c>
      <c r="C16" s="23" t="str">
        <f aca="false">IF(IFERROR(INDEX(res_Name,(ROW()-ROW(MSPResources[[#Headers],[Name]])))="",TRUE()),"",INDEX(res_Group,(ROW()-ROW(MSPResources[[#Headers],[Name]])))&amp;"")</f>
        <v/>
      </c>
      <c r="D16" s="23" t="str">
        <f aca="false">IF(IFERROR(INDEX(res_Name,(ROW()-ROW(MSPResources[[#Headers],[Name]])))="",TRUE()),"",INDEX(res_Type,(ROW()-ROW(MSPResources[[#Headers],[Name]])))&amp;"")</f>
        <v/>
      </c>
      <c r="E16" s="23" t="str">
        <f aca="false">IF(IFERROR(INDEX(res_Name,(ROW()-ROW(MSPResources[[#Headers],[Name]])))="",TRUE()),"",ROUND(INDEX(res_MaxUnits,(ROW()-ROW(MSPResources[[#Headers],[Name]])))*100,0)&amp;"%")</f>
        <v/>
      </c>
      <c r="F16" s="23" t="str">
        <f aca="false">IF(IFERROR(INDEX(res_Name,(ROW()-ROW(MSPResources[[#Headers],[Name]])))="",TRUE()),"",INDEX(res_Rate,(ROW()-ROW(MSPResources[[#Headers],[Name]])))&amp;"/h")</f>
        <v/>
      </c>
      <c r="G16" s="23" t="str">
        <f aca="false">IF(IFERROR(INDEX(res_Name,(ROW()-ROW(MSPResources[[#Headers],[Name]])))="",TRUE()),"",INDEX(res_Email,(ROW()-ROW(MSPResources[[#Headers],[Name]])))&amp;"")</f>
        <v/>
      </c>
    </row>
    <row r="17" customFormat="false" ht="15" hidden="false" customHeight="false" outlineLevel="0" collapsed="false">
      <c r="A17" s="23" t="str">
        <f aca="false">IF(IFERROR(INDEX(res_Name,(ROW()-ROW(MSPResources[[#Headers],[Name]])))="",TRUE()),"",INDEX(res_Name,(ROW()-ROW(MSPResources[[#Headers],[Name]])))&amp;"")</f>
        <v/>
      </c>
      <c r="B17" s="23" t="str">
        <f aca="false">IF(IFERROR(INDEX(res_Name,(ROW()-ROW(MSPResources[[#Headers],[Name]])))="",TRUE()),"",INDEX(res_Initials,(ROW()-ROW(MSPResources[[#Headers],[Name]])))&amp;"")</f>
        <v/>
      </c>
      <c r="C17" s="23" t="str">
        <f aca="false">IF(IFERROR(INDEX(res_Name,(ROW()-ROW(MSPResources[[#Headers],[Name]])))="",TRUE()),"",INDEX(res_Group,(ROW()-ROW(MSPResources[[#Headers],[Name]])))&amp;"")</f>
        <v/>
      </c>
      <c r="D17" s="23" t="str">
        <f aca="false">IF(IFERROR(INDEX(res_Name,(ROW()-ROW(MSPResources[[#Headers],[Name]])))="",TRUE()),"",INDEX(res_Type,(ROW()-ROW(MSPResources[[#Headers],[Name]])))&amp;"")</f>
        <v/>
      </c>
      <c r="E17" s="23" t="str">
        <f aca="false">IF(IFERROR(INDEX(res_Name,(ROW()-ROW(MSPResources[[#Headers],[Name]])))="",TRUE()),"",ROUND(INDEX(res_MaxUnits,(ROW()-ROW(MSPResources[[#Headers],[Name]])))*100,0)&amp;"%")</f>
        <v/>
      </c>
      <c r="F17" s="23" t="str">
        <f aca="false">IF(IFERROR(INDEX(res_Name,(ROW()-ROW(MSPResources[[#Headers],[Name]])))="",TRUE()),"",INDEX(res_Rate,(ROW()-ROW(MSPResources[[#Headers],[Name]])))&amp;"/h")</f>
        <v/>
      </c>
      <c r="G17" s="23" t="str">
        <f aca="false">IF(IFERROR(INDEX(res_Name,(ROW()-ROW(MSPResources[[#Headers],[Name]])))="",TRUE()),"",INDEX(res_Email,(ROW()-ROW(MSPResources[[#Headers],[Name]])))&amp;"")</f>
        <v/>
      </c>
    </row>
    <row r="18" customFormat="false" ht="15" hidden="false" customHeight="false" outlineLevel="0" collapsed="false">
      <c r="A18" s="23" t="str">
        <f aca="false">IF(IFERROR(INDEX(res_Name,(ROW()-ROW(MSPResources[[#Headers],[Name]])))="",TRUE()),"",INDEX(res_Name,(ROW()-ROW(MSPResources[[#Headers],[Name]])))&amp;"")</f>
        <v/>
      </c>
      <c r="B18" s="23" t="str">
        <f aca="false">IF(IFERROR(INDEX(res_Name,(ROW()-ROW(MSPResources[[#Headers],[Name]])))="",TRUE()),"",INDEX(res_Initials,(ROW()-ROW(MSPResources[[#Headers],[Name]])))&amp;"")</f>
        <v/>
      </c>
      <c r="C18" s="23" t="str">
        <f aca="false">IF(IFERROR(INDEX(res_Name,(ROW()-ROW(MSPResources[[#Headers],[Name]])))="",TRUE()),"",INDEX(res_Group,(ROW()-ROW(MSPResources[[#Headers],[Name]])))&amp;"")</f>
        <v/>
      </c>
      <c r="D18" s="23" t="str">
        <f aca="false">IF(IFERROR(INDEX(res_Name,(ROW()-ROW(MSPResources[[#Headers],[Name]])))="",TRUE()),"",INDEX(res_Type,(ROW()-ROW(MSPResources[[#Headers],[Name]])))&amp;"")</f>
        <v/>
      </c>
      <c r="E18" s="23" t="str">
        <f aca="false">IF(IFERROR(INDEX(res_Name,(ROW()-ROW(MSPResources[[#Headers],[Name]])))="",TRUE()),"",ROUND(INDEX(res_MaxUnits,(ROW()-ROW(MSPResources[[#Headers],[Name]])))*100,0)&amp;"%")</f>
        <v/>
      </c>
      <c r="F18" s="23" t="str">
        <f aca="false">IF(IFERROR(INDEX(res_Name,(ROW()-ROW(MSPResources[[#Headers],[Name]])))="",TRUE()),"",INDEX(res_Rate,(ROW()-ROW(MSPResources[[#Headers],[Name]])))&amp;"/h")</f>
        <v/>
      </c>
      <c r="G18" s="23" t="str">
        <f aca="false">IF(IFERROR(INDEX(res_Name,(ROW()-ROW(MSPResources[[#Headers],[Name]])))="",TRUE()),"",INDEX(res_Email,(ROW()-ROW(MSPResources[[#Headers],[Name]])))&amp;"")</f>
        <v/>
      </c>
    </row>
    <row r="19" customFormat="false" ht="15" hidden="false" customHeight="false" outlineLevel="0" collapsed="false">
      <c r="A19" s="23" t="str">
        <f aca="false">IF(IFERROR(INDEX(res_Name,(ROW()-ROW(MSPResources[[#Headers],[Name]])))="",TRUE()),"",INDEX(res_Name,(ROW()-ROW(MSPResources[[#Headers],[Name]])))&amp;"")</f>
        <v/>
      </c>
      <c r="B19" s="23" t="str">
        <f aca="false">IF(IFERROR(INDEX(res_Name,(ROW()-ROW(MSPResources[[#Headers],[Name]])))="",TRUE()),"",INDEX(res_Initials,(ROW()-ROW(MSPResources[[#Headers],[Name]])))&amp;"")</f>
        <v/>
      </c>
      <c r="C19" s="23" t="str">
        <f aca="false">IF(IFERROR(INDEX(res_Name,(ROW()-ROW(MSPResources[[#Headers],[Name]])))="",TRUE()),"",INDEX(res_Group,(ROW()-ROW(MSPResources[[#Headers],[Name]])))&amp;"")</f>
        <v/>
      </c>
      <c r="D19" s="23" t="str">
        <f aca="false">IF(IFERROR(INDEX(res_Name,(ROW()-ROW(MSPResources[[#Headers],[Name]])))="",TRUE()),"",INDEX(res_Type,(ROW()-ROW(MSPResources[[#Headers],[Name]])))&amp;"")</f>
        <v/>
      </c>
      <c r="E19" s="23" t="str">
        <f aca="false">IF(IFERROR(INDEX(res_Name,(ROW()-ROW(MSPResources[[#Headers],[Name]])))="",TRUE()),"",ROUND(INDEX(res_MaxUnits,(ROW()-ROW(MSPResources[[#Headers],[Name]])))*100,0)&amp;"%")</f>
        <v/>
      </c>
      <c r="F19" s="23" t="str">
        <f aca="false">IF(IFERROR(INDEX(res_Name,(ROW()-ROW(MSPResources[[#Headers],[Name]])))="",TRUE()),"",INDEX(res_Rate,(ROW()-ROW(MSPResources[[#Headers],[Name]])))&amp;"/h")</f>
        <v/>
      </c>
      <c r="G19" s="23" t="str">
        <f aca="false">IF(IFERROR(INDEX(res_Name,(ROW()-ROW(MSPResources[[#Headers],[Name]])))="",TRUE()),"",INDEX(res_Email,(ROW()-ROW(MSPResources[[#Headers],[Name]])))&amp;"")</f>
        <v/>
      </c>
    </row>
    <row r="20" customFormat="false" ht="15" hidden="false" customHeight="false" outlineLevel="0" collapsed="false">
      <c r="A20" s="23" t="str">
        <f aca="false">IF(IFERROR(INDEX(res_Name,(ROW()-ROW(MSPResources[[#Headers],[Name]])))="",TRUE()),"",INDEX(res_Name,(ROW()-ROW(MSPResources[[#Headers],[Name]])))&amp;"")</f>
        <v/>
      </c>
      <c r="B20" s="23" t="str">
        <f aca="false">IF(IFERROR(INDEX(res_Name,(ROW()-ROW(MSPResources[[#Headers],[Name]])))="",TRUE()),"",INDEX(res_Initials,(ROW()-ROW(MSPResources[[#Headers],[Name]])))&amp;"")</f>
        <v/>
      </c>
      <c r="C20" s="23" t="str">
        <f aca="false">IF(IFERROR(INDEX(res_Name,(ROW()-ROW(MSPResources[[#Headers],[Name]])))="",TRUE()),"",INDEX(res_Group,(ROW()-ROW(MSPResources[[#Headers],[Name]])))&amp;"")</f>
        <v/>
      </c>
      <c r="D20" s="23" t="str">
        <f aca="false">IF(IFERROR(INDEX(res_Name,(ROW()-ROW(MSPResources[[#Headers],[Name]])))="",TRUE()),"",INDEX(res_Type,(ROW()-ROW(MSPResources[[#Headers],[Name]])))&amp;"")</f>
        <v/>
      </c>
      <c r="E20" s="23" t="str">
        <f aca="false">IF(IFERROR(INDEX(res_Name,(ROW()-ROW(MSPResources[[#Headers],[Name]])))="",TRUE()),"",ROUND(INDEX(res_MaxUnits,(ROW()-ROW(MSPResources[[#Headers],[Name]])))*100,0)&amp;"%")</f>
        <v/>
      </c>
      <c r="F20" s="23" t="str">
        <f aca="false">IF(IFERROR(INDEX(res_Name,(ROW()-ROW(MSPResources[[#Headers],[Name]])))="",TRUE()),"",INDEX(res_Rate,(ROW()-ROW(MSPResources[[#Headers],[Name]])))&amp;"/h")</f>
        <v/>
      </c>
      <c r="G20" s="23" t="str">
        <f aca="false">IF(IFERROR(INDEX(res_Name,(ROW()-ROW(MSPResources[[#Headers],[Name]])))="",TRUE()),"",INDEX(res_Email,(ROW()-ROW(MSPResources[[#Headers],[Name]])))&amp;"")</f>
        <v/>
      </c>
    </row>
    <row r="21" customFormat="false" ht="15" hidden="false" customHeight="false" outlineLevel="0" collapsed="false">
      <c r="A21" s="23" t="str">
        <f aca="false">IF(IFERROR(INDEX(res_Name,(ROW()-ROW(MSPResources[[#Headers],[Name]])))="",TRUE()),"",INDEX(res_Name,(ROW()-ROW(MSPResources[[#Headers],[Name]])))&amp;"")</f>
        <v/>
      </c>
      <c r="B21" s="23" t="str">
        <f aca="false">IF(IFERROR(INDEX(res_Name,(ROW()-ROW(MSPResources[[#Headers],[Name]])))="",TRUE()),"",INDEX(res_Initials,(ROW()-ROW(MSPResources[[#Headers],[Name]])))&amp;"")</f>
        <v/>
      </c>
      <c r="C21" s="23" t="str">
        <f aca="false">IF(IFERROR(INDEX(res_Name,(ROW()-ROW(MSPResources[[#Headers],[Name]])))="",TRUE()),"",INDEX(res_Group,(ROW()-ROW(MSPResources[[#Headers],[Name]])))&amp;"")</f>
        <v/>
      </c>
      <c r="D21" s="23" t="str">
        <f aca="false">IF(IFERROR(INDEX(res_Name,(ROW()-ROW(MSPResources[[#Headers],[Name]])))="",TRUE()),"",INDEX(res_Type,(ROW()-ROW(MSPResources[[#Headers],[Name]])))&amp;"")</f>
        <v/>
      </c>
      <c r="E21" s="23" t="str">
        <f aca="false">IF(IFERROR(INDEX(res_Name,(ROW()-ROW(MSPResources[[#Headers],[Name]])))="",TRUE()),"",ROUND(INDEX(res_MaxUnits,(ROW()-ROW(MSPResources[[#Headers],[Name]])))*100,0)&amp;"%")</f>
        <v/>
      </c>
      <c r="F21" s="23" t="str">
        <f aca="false">IF(IFERROR(INDEX(res_Name,(ROW()-ROW(MSPResources[[#Headers],[Name]])))="",TRUE()),"",INDEX(res_Rate,(ROW()-ROW(MSPResources[[#Headers],[Name]])))&amp;"/h")</f>
        <v/>
      </c>
      <c r="G21" s="23" t="str">
        <f aca="false">IF(IFERROR(INDEX(res_Name,(ROW()-ROW(MSPResources[[#Headers],[Name]])))="",TRUE()),"",INDEX(res_Email,(ROW()-ROW(MSPResources[[#Headers],[Name]])))&amp;"")</f>
        <v/>
      </c>
    </row>
    <row r="22" customFormat="false" ht="15" hidden="false" customHeight="false" outlineLevel="0" collapsed="false">
      <c r="A22" s="23" t="str">
        <f aca="false">IF(IFERROR(INDEX(res_Name,(ROW()-ROW(MSPResources[[#Headers],[Name]])))="",TRUE()),"",INDEX(res_Name,(ROW()-ROW(MSPResources[[#Headers],[Name]])))&amp;"")</f>
        <v/>
      </c>
      <c r="B22" s="23" t="str">
        <f aca="false">IF(IFERROR(INDEX(res_Name,(ROW()-ROW(MSPResources[[#Headers],[Name]])))="",TRUE()),"",INDEX(res_Initials,(ROW()-ROW(MSPResources[[#Headers],[Name]])))&amp;"")</f>
        <v/>
      </c>
      <c r="C22" s="23" t="str">
        <f aca="false">IF(IFERROR(INDEX(res_Name,(ROW()-ROW(MSPResources[[#Headers],[Name]])))="",TRUE()),"",INDEX(res_Group,(ROW()-ROW(MSPResources[[#Headers],[Name]])))&amp;"")</f>
        <v/>
      </c>
      <c r="D22" s="23" t="str">
        <f aca="false">IF(IFERROR(INDEX(res_Name,(ROW()-ROW(MSPResources[[#Headers],[Name]])))="",TRUE()),"",INDEX(res_Type,(ROW()-ROW(MSPResources[[#Headers],[Name]])))&amp;"")</f>
        <v/>
      </c>
      <c r="E22" s="23" t="str">
        <f aca="false">IF(IFERROR(INDEX(res_Name,(ROW()-ROW(MSPResources[[#Headers],[Name]])))="",TRUE()),"",ROUND(INDEX(res_MaxUnits,(ROW()-ROW(MSPResources[[#Headers],[Name]])))*100,0)&amp;"%")</f>
        <v/>
      </c>
      <c r="F22" s="23" t="str">
        <f aca="false">IF(IFERROR(INDEX(res_Name,(ROW()-ROW(MSPResources[[#Headers],[Name]])))="",TRUE()),"",INDEX(res_Rate,(ROW()-ROW(MSPResources[[#Headers],[Name]])))&amp;"/h")</f>
        <v/>
      </c>
      <c r="G22" s="23" t="str">
        <f aca="false">IF(IFERROR(INDEX(res_Name,(ROW()-ROW(MSPResources[[#Headers],[Name]])))="",TRUE()),"",INDEX(res_Email,(ROW()-ROW(MSPResources[[#Headers],[Name]])))&amp;"")</f>
        <v/>
      </c>
    </row>
    <row r="23" customFormat="false" ht="15" hidden="false" customHeight="false" outlineLevel="0" collapsed="false">
      <c r="A23" s="23" t="str">
        <f aca="false">IF(IFERROR(INDEX(res_Name,(ROW()-ROW(MSPResources[[#Headers],[Name]])))="",TRUE()),"",INDEX(res_Name,(ROW()-ROW(MSPResources[[#Headers],[Name]])))&amp;"")</f>
        <v/>
      </c>
      <c r="B23" s="23" t="str">
        <f aca="false">IF(IFERROR(INDEX(res_Name,(ROW()-ROW(MSPResources[[#Headers],[Name]])))="",TRUE()),"",INDEX(res_Initials,(ROW()-ROW(MSPResources[[#Headers],[Name]])))&amp;"")</f>
        <v/>
      </c>
      <c r="C23" s="23" t="str">
        <f aca="false">IF(IFERROR(INDEX(res_Name,(ROW()-ROW(MSPResources[[#Headers],[Name]])))="",TRUE()),"",INDEX(res_Group,(ROW()-ROW(MSPResources[[#Headers],[Name]])))&amp;"")</f>
        <v/>
      </c>
      <c r="D23" s="23" t="str">
        <f aca="false">IF(IFERROR(INDEX(res_Name,(ROW()-ROW(MSPResources[[#Headers],[Name]])))="",TRUE()),"",INDEX(res_Type,(ROW()-ROW(MSPResources[[#Headers],[Name]])))&amp;"")</f>
        <v/>
      </c>
      <c r="E23" s="23" t="str">
        <f aca="false">IF(IFERROR(INDEX(res_Name,(ROW()-ROW(MSPResources[[#Headers],[Name]])))="",TRUE()),"",ROUND(INDEX(res_MaxUnits,(ROW()-ROW(MSPResources[[#Headers],[Name]])))*100,0)&amp;"%")</f>
        <v/>
      </c>
      <c r="F23" s="23" t="str">
        <f aca="false">IF(IFERROR(INDEX(res_Name,(ROW()-ROW(MSPResources[[#Headers],[Name]])))="",TRUE()),"",INDEX(res_Rate,(ROW()-ROW(MSPResources[[#Headers],[Name]])))&amp;"/h")</f>
        <v/>
      </c>
      <c r="G23" s="23" t="str">
        <f aca="false">IF(IFERROR(INDEX(res_Name,(ROW()-ROW(MSPResources[[#Headers],[Name]])))="",TRUE()),"",INDEX(res_Email,(ROW()-ROW(MSPResources[[#Headers],[Name]])))&amp;"")</f>
        <v/>
      </c>
    </row>
    <row r="24" customFormat="false" ht="15" hidden="false" customHeight="false" outlineLevel="0" collapsed="false">
      <c r="A24" s="23" t="str">
        <f aca="false">IF(IFERROR(INDEX(res_Name,(ROW()-ROW(MSPResources[[#Headers],[Name]])))="",TRUE()),"",INDEX(res_Name,(ROW()-ROW(MSPResources[[#Headers],[Name]])))&amp;"")</f>
        <v/>
      </c>
      <c r="B24" s="23" t="str">
        <f aca="false">IF(IFERROR(INDEX(res_Name,(ROW()-ROW(MSPResources[[#Headers],[Name]])))="",TRUE()),"",INDEX(res_Initials,(ROW()-ROW(MSPResources[[#Headers],[Name]])))&amp;"")</f>
        <v/>
      </c>
      <c r="C24" s="23" t="str">
        <f aca="false">IF(IFERROR(INDEX(res_Name,(ROW()-ROW(MSPResources[[#Headers],[Name]])))="",TRUE()),"",INDEX(res_Group,(ROW()-ROW(MSPResources[[#Headers],[Name]])))&amp;"")</f>
        <v/>
      </c>
      <c r="D24" s="23" t="str">
        <f aca="false">IF(IFERROR(INDEX(res_Name,(ROW()-ROW(MSPResources[[#Headers],[Name]])))="",TRUE()),"",INDEX(res_Type,(ROW()-ROW(MSPResources[[#Headers],[Name]])))&amp;"")</f>
        <v/>
      </c>
      <c r="E24" s="23" t="str">
        <f aca="false">IF(IFERROR(INDEX(res_Name,(ROW()-ROW(MSPResources[[#Headers],[Name]])))="",TRUE()),"",ROUND(INDEX(res_MaxUnits,(ROW()-ROW(MSPResources[[#Headers],[Name]])))*100,0)&amp;"%")</f>
        <v/>
      </c>
      <c r="F24" s="23" t="str">
        <f aca="false">IF(IFERROR(INDEX(res_Name,(ROW()-ROW(MSPResources[[#Headers],[Name]])))="",TRUE()),"",INDEX(res_Rate,(ROW()-ROW(MSPResources[[#Headers],[Name]])))&amp;"/h")</f>
        <v/>
      </c>
      <c r="G24" s="23" t="str">
        <f aca="false">IF(IFERROR(INDEX(res_Name,(ROW()-ROW(MSPResources[[#Headers],[Name]])))="",TRUE()),"",INDEX(res_Email,(ROW()-ROW(MSPResources[[#Headers],[Name]])))&amp;"")</f>
        <v/>
      </c>
    </row>
    <row r="25" customFormat="false" ht="15" hidden="false" customHeight="false" outlineLevel="0" collapsed="false">
      <c r="A25" s="23" t="str">
        <f aca="false">IF(IFERROR(INDEX(res_Name,(ROW()-ROW(MSPResources[[#Headers],[Name]])))="",TRUE()),"",INDEX(res_Name,(ROW()-ROW(MSPResources[[#Headers],[Name]])))&amp;"")</f>
        <v/>
      </c>
      <c r="B25" s="23" t="str">
        <f aca="false">IF(IFERROR(INDEX(res_Name,(ROW()-ROW(MSPResources[[#Headers],[Name]])))="",TRUE()),"",INDEX(res_Initials,(ROW()-ROW(MSPResources[[#Headers],[Name]])))&amp;"")</f>
        <v/>
      </c>
      <c r="C25" s="23" t="str">
        <f aca="false">IF(IFERROR(INDEX(res_Name,(ROW()-ROW(MSPResources[[#Headers],[Name]])))="",TRUE()),"",INDEX(res_Group,(ROW()-ROW(MSPResources[[#Headers],[Name]])))&amp;"")</f>
        <v/>
      </c>
      <c r="D25" s="23" t="str">
        <f aca="false">IF(IFERROR(INDEX(res_Name,(ROW()-ROW(MSPResources[[#Headers],[Name]])))="",TRUE()),"",INDEX(res_Type,(ROW()-ROW(MSPResources[[#Headers],[Name]])))&amp;"")</f>
        <v/>
      </c>
      <c r="E25" s="23" t="str">
        <f aca="false">IF(IFERROR(INDEX(res_Name,(ROW()-ROW(MSPResources[[#Headers],[Name]])))="",TRUE()),"",ROUND(INDEX(res_MaxUnits,(ROW()-ROW(MSPResources[[#Headers],[Name]])))*100,0)&amp;"%")</f>
        <v/>
      </c>
      <c r="F25" s="23" t="str">
        <f aca="false">IF(IFERROR(INDEX(res_Name,(ROW()-ROW(MSPResources[[#Headers],[Name]])))="",TRUE()),"",INDEX(res_Rate,(ROW()-ROW(MSPResources[[#Headers],[Name]])))&amp;"/h")</f>
        <v/>
      </c>
      <c r="G25" s="23" t="str">
        <f aca="false">IF(IFERROR(INDEX(res_Name,(ROW()-ROW(MSPResources[[#Headers],[Name]])))="",TRUE()),"",INDEX(res_Email,(ROW()-ROW(MSPResources[[#Headers],[Name]])))&amp;"")</f>
        <v/>
      </c>
    </row>
    <row r="26" customFormat="false" ht="15" hidden="false" customHeight="false" outlineLevel="0" collapsed="false">
      <c r="A26" s="23" t="str">
        <f aca="false">IF(IFERROR(INDEX(res_Name,(ROW()-ROW(MSPResources[[#Headers],[Name]])))="",TRUE()),"",INDEX(res_Name,(ROW()-ROW(MSPResources[[#Headers],[Name]])))&amp;"")</f>
        <v/>
      </c>
      <c r="B26" s="23" t="str">
        <f aca="false">IF(IFERROR(INDEX(res_Name,(ROW()-ROW(MSPResources[[#Headers],[Name]])))="",TRUE()),"",INDEX(res_Initials,(ROW()-ROW(MSPResources[[#Headers],[Name]])))&amp;"")</f>
        <v/>
      </c>
      <c r="C26" s="23" t="str">
        <f aca="false">IF(IFERROR(INDEX(res_Name,(ROW()-ROW(MSPResources[[#Headers],[Name]])))="",TRUE()),"",INDEX(res_Group,(ROW()-ROW(MSPResources[[#Headers],[Name]])))&amp;"")</f>
        <v/>
      </c>
      <c r="D26" s="23" t="str">
        <f aca="false">IF(IFERROR(INDEX(res_Name,(ROW()-ROW(MSPResources[[#Headers],[Name]])))="",TRUE()),"",INDEX(res_Type,(ROW()-ROW(MSPResources[[#Headers],[Name]])))&amp;"")</f>
        <v/>
      </c>
      <c r="E26" s="23" t="str">
        <f aca="false">IF(IFERROR(INDEX(res_Name,(ROW()-ROW(MSPResources[[#Headers],[Name]])))="",TRUE()),"",ROUND(INDEX(res_MaxUnits,(ROW()-ROW(MSPResources[[#Headers],[Name]])))*100,0)&amp;"%")</f>
        <v/>
      </c>
      <c r="F26" s="23" t="str">
        <f aca="false">IF(IFERROR(INDEX(res_Name,(ROW()-ROW(MSPResources[[#Headers],[Name]])))="",TRUE()),"",INDEX(res_Rate,(ROW()-ROW(MSPResources[[#Headers],[Name]])))&amp;"/h")</f>
        <v/>
      </c>
      <c r="G26" s="23" t="str">
        <f aca="false">IF(IFERROR(INDEX(res_Name,(ROW()-ROW(MSPResources[[#Headers],[Name]])))="",TRUE()),"",INDEX(res_Email,(ROW()-ROW(MSPResources[[#Headers],[Name]])))&amp;"")</f>
        <v/>
      </c>
    </row>
    <row r="27" customFormat="false" ht="15" hidden="false" customHeight="false" outlineLevel="0" collapsed="false">
      <c r="A27" s="23" t="str">
        <f aca="false">IF(IFERROR(INDEX(res_Name,(ROW()-ROW(MSPResources[[#Headers],[Name]])))="",TRUE()),"",INDEX(res_Name,(ROW()-ROW(MSPResources[[#Headers],[Name]])))&amp;"")</f>
        <v/>
      </c>
      <c r="B27" s="23" t="str">
        <f aca="false">IF(IFERROR(INDEX(res_Name,(ROW()-ROW(MSPResources[[#Headers],[Name]])))="",TRUE()),"",INDEX(res_Initials,(ROW()-ROW(MSPResources[[#Headers],[Name]])))&amp;"")</f>
        <v/>
      </c>
      <c r="C27" s="23" t="str">
        <f aca="false">IF(IFERROR(INDEX(res_Name,(ROW()-ROW(MSPResources[[#Headers],[Name]])))="",TRUE()),"",INDEX(res_Group,(ROW()-ROW(MSPResources[[#Headers],[Name]])))&amp;"")</f>
        <v/>
      </c>
      <c r="D27" s="23" t="str">
        <f aca="false">IF(IFERROR(INDEX(res_Name,(ROW()-ROW(MSPResources[[#Headers],[Name]])))="",TRUE()),"",INDEX(res_Type,(ROW()-ROW(MSPResources[[#Headers],[Name]])))&amp;"")</f>
        <v/>
      </c>
      <c r="E27" s="23" t="str">
        <f aca="false">IF(IFERROR(INDEX(res_Name,(ROW()-ROW(MSPResources[[#Headers],[Name]])))="",TRUE()),"",ROUND(INDEX(res_MaxUnits,(ROW()-ROW(MSPResources[[#Headers],[Name]])))*100,0)&amp;"%")</f>
        <v/>
      </c>
      <c r="F27" s="23" t="str">
        <f aca="false">IF(IFERROR(INDEX(res_Name,(ROW()-ROW(MSPResources[[#Headers],[Name]])))="",TRUE()),"",INDEX(res_Rate,(ROW()-ROW(MSPResources[[#Headers],[Name]])))&amp;"/h")</f>
        <v/>
      </c>
      <c r="G27" s="23" t="str">
        <f aca="false">IF(IFERROR(INDEX(res_Name,(ROW()-ROW(MSPResources[[#Headers],[Name]])))="",TRUE()),"",INDEX(res_Email,(ROW()-ROW(MSPResources[[#Headers],[Name]])))&amp;"")</f>
        <v/>
      </c>
    </row>
    <row r="28" customFormat="false" ht="15" hidden="false" customHeight="false" outlineLevel="0" collapsed="false">
      <c r="A28" s="23" t="str">
        <f aca="false">IF(IFERROR(INDEX(res_Name,(ROW()-ROW(MSPResources[[#Headers],[Name]])))="",TRUE()),"",INDEX(res_Name,(ROW()-ROW(MSPResources[[#Headers],[Name]])))&amp;"")</f>
        <v/>
      </c>
      <c r="B28" s="23" t="str">
        <f aca="false">IF(IFERROR(INDEX(res_Name,(ROW()-ROW(MSPResources[[#Headers],[Name]])))="",TRUE()),"",INDEX(res_Initials,(ROW()-ROW(MSPResources[[#Headers],[Name]])))&amp;"")</f>
        <v/>
      </c>
      <c r="C28" s="23" t="str">
        <f aca="false">IF(IFERROR(INDEX(res_Name,(ROW()-ROW(MSPResources[[#Headers],[Name]])))="",TRUE()),"",INDEX(res_Group,(ROW()-ROW(MSPResources[[#Headers],[Name]])))&amp;"")</f>
        <v/>
      </c>
      <c r="D28" s="23" t="str">
        <f aca="false">IF(IFERROR(INDEX(res_Name,(ROW()-ROW(MSPResources[[#Headers],[Name]])))="",TRUE()),"",INDEX(res_Type,(ROW()-ROW(MSPResources[[#Headers],[Name]])))&amp;"")</f>
        <v/>
      </c>
      <c r="E28" s="23" t="str">
        <f aca="false">IF(IFERROR(INDEX(res_Name,(ROW()-ROW(MSPResources[[#Headers],[Name]])))="",TRUE()),"",ROUND(INDEX(res_MaxUnits,(ROW()-ROW(MSPResources[[#Headers],[Name]])))*100,0)&amp;"%")</f>
        <v/>
      </c>
      <c r="F28" s="23" t="str">
        <f aca="false">IF(IFERROR(INDEX(res_Name,(ROW()-ROW(MSPResources[[#Headers],[Name]])))="",TRUE()),"",INDEX(res_Rate,(ROW()-ROW(MSPResources[[#Headers],[Name]])))&amp;"/h")</f>
        <v/>
      </c>
      <c r="G28" s="23" t="str">
        <f aca="false">IF(IFERROR(INDEX(res_Name,(ROW()-ROW(MSPResources[[#Headers],[Name]])))="",TRUE()),"",INDEX(res_Email,(ROW()-ROW(MSPResources[[#Headers],[Name]])))&amp;"")</f>
        <v/>
      </c>
    </row>
    <row r="29" customFormat="false" ht="15" hidden="false" customHeight="false" outlineLevel="0" collapsed="false">
      <c r="A29" s="23" t="str">
        <f aca="false">IF(IFERROR(INDEX(res_Name,(ROW()-ROW(MSPResources[[#Headers],[Name]])))="",TRUE()),"",INDEX(res_Name,(ROW()-ROW(MSPResources[[#Headers],[Name]])))&amp;"")</f>
        <v/>
      </c>
      <c r="B29" s="23" t="str">
        <f aca="false">IF(IFERROR(INDEX(res_Name,(ROW()-ROW(MSPResources[[#Headers],[Name]])))="",TRUE()),"",INDEX(res_Initials,(ROW()-ROW(MSPResources[[#Headers],[Name]])))&amp;"")</f>
        <v/>
      </c>
      <c r="C29" s="23" t="str">
        <f aca="false">IF(IFERROR(INDEX(res_Name,(ROW()-ROW(MSPResources[[#Headers],[Name]])))="",TRUE()),"",INDEX(res_Group,(ROW()-ROW(MSPResources[[#Headers],[Name]])))&amp;"")</f>
        <v/>
      </c>
      <c r="D29" s="23" t="str">
        <f aca="false">IF(IFERROR(INDEX(res_Name,(ROW()-ROW(MSPResources[[#Headers],[Name]])))="",TRUE()),"",INDEX(res_Type,(ROW()-ROW(MSPResources[[#Headers],[Name]])))&amp;"")</f>
        <v/>
      </c>
      <c r="E29" s="23" t="str">
        <f aca="false">IF(IFERROR(INDEX(res_Name,(ROW()-ROW(MSPResources[[#Headers],[Name]])))="",TRUE()),"",ROUND(INDEX(res_MaxUnits,(ROW()-ROW(MSPResources[[#Headers],[Name]])))*100,0)&amp;"%")</f>
        <v/>
      </c>
      <c r="F29" s="23" t="str">
        <f aca="false">IF(IFERROR(INDEX(res_Name,(ROW()-ROW(MSPResources[[#Headers],[Name]])))="",TRUE()),"",INDEX(res_Rate,(ROW()-ROW(MSPResources[[#Headers],[Name]])))&amp;"/h")</f>
        <v/>
      </c>
      <c r="G29" s="23" t="str">
        <f aca="false">IF(IFERROR(INDEX(res_Name,(ROW()-ROW(MSPResources[[#Headers],[Name]])))="",TRUE()),"",INDEX(res_Email,(ROW()-ROW(MSPResources[[#Headers],[Name]])))&amp;"")</f>
        <v/>
      </c>
    </row>
    <row r="30" customFormat="false" ht="15" hidden="false" customHeight="false" outlineLevel="0" collapsed="false">
      <c r="A30" s="23" t="str">
        <f aca="false">IF(IFERROR(INDEX(res_Name,(ROW()-ROW(MSPResources[[#Headers],[Name]])))="",TRUE()),"",INDEX(res_Name,(ROW()-ROW(MSPResources[[#Headers],[Name]])))&amp;"")</f>
        <v/>
      </c>
      <c r="B30" s="23" t="str">
        <f aca="false">IF(IFERROR(INDEX(res_Name,(ROW()-ROW(MSPResources[[#Headers],[Name]])))="",TRUE()),"",INDEX(res_Initials,(ROW()-ROW(MSPResources[[#Headers],[Name]])))&amp;"")</f>
        <v/>
      </c>
      <c r="C30" s="23" t="str">
        <f aca="false">IF(IFERROR(INDEX(res_Name,(ROW()-ROW(MSPResources[[#Headers],[Name]])))="",TRUE()),"",INDEX(res_Group,(ROW()-ROW(MSPResources[[#Headers],[Name]])))&amp;"")</f>
        <v/>
      </c>
      <c r="D30" s="23" t="str">
        <f aca="false">IF(IFERROR(INDEX(res_Name,(ROW()-ROW(MSPResources[[#Headers],[Name]])))="",TRUE()),"",INDEX(res_Type,(ROW()-ROW(MSPResources[[#Headers],[Name]])))&amp;"")</f>
        <v/>
      </c>
      <c r="E30" s="23" t="str">
        <f aca="false">IF(IFERROR(INDEX(res_Name,(ROW()-ROW(MSPResources[[#Headers],[Name]])))="",TRUE()),"",ROUND(INDEX(res_MaxUnits,(ROW()-ROW(MSPResources[[#Headers],[Name]])))*100,0)&amp;"%")</f>
        <v/>
      </c>
      <c r="F30" s="23" t="str">
        <f aca="false">IF(IFERROR(INDEX(res_Name,(ROW()-ROW(MSPResources[[#Headers],[Name]])))="",TRUE()),"",INDEX(res_Rate,(ROW()-ROW(MSPResources[[#Headers],[Name]])))&amp;"/h")</f>
        <v/>
      </c>
      <c r="G30" s="23" t="str">
        <f aca="false">IF(IFERROR(INDEX(res_Name,(ROW()-ROW(MSPResources[[#Headers],[Name]])))="",TRUE()),"",INDEX(res_Email,(ROW()-ROW(MSPResources[[#Headers],[Name]])))&amp;"")</f>
        <v/>
      </c>
    </row>
    <row r="31" customFormat="false" ht="15" hidden="false" customHeight="false" outlineLevel="0" collapsed="false">
      <c r="A31" s="23" t="str">
        <f aca="false">IF(IFERROR(INDEX(res_Name,(ROW()-ROW(MSPResources[[#Headers],[Name]])))="",TRUE()),"",INDEX(res_Name,(ROW()-ROW(MSPResources[[#Headers],[Name]])))&amp;"")</f>
        <v/>
      </c>
      <c r="B31" s="23" t="str">
        <f aca="false">IF(IFERROR(INDEX(res_Name,(ROW()-ROW(MSPResources[[#Headers],[Name]])))="",TRUE()),"",INDEX(res_Initials,(ROW()-ROW(MSPResources[[#Headers],[Name]])))&amp;"")</f>
        <v/>
      </c>
      <c r="C31" s="23" t="str">
        <f aca="false">IF(IFERROR(INDEX(res_Name,(ROW()-ROW(MSPResources[[#Headers],[Name]])))="",TRUE()),"",INDEX(res_Group,(ROW()-ROW(MSPResources[[#Headers],[Name]])))&amp;"")</f>
        <v/>
      </c>
      <c r="D31" s="23" t="str">
        <f aca="false">IF(IFERROR(INDEX(res_Name,(ROW()-ROW(MSPResources[[#Headers],[Name]])))="",TRUE()),"",INDEX(res_Type,(ROW()-ROW(MSPResources[[#Headers],[Name]])))&amp;"")</f>
        <v/>
      </c>
      <c r="E31" s="23" t="str">
        <f aca="false">IF(IFERROR(INDEX(res_Name,(ROW()-ROW(MSPResources[[#Headers],[Name]])))="",TRUE()),"",ROUND(INDEX(res_MaxUnits,(ROW()-ROW(MSPResources[[#Headers],[Name]])))*100,0)&amp;"%")</f>
        <v/>
      </c>
      <c r="F31" s="23" t="str">
        <f aca="false">IF(IFERROR(INDEX(res_Name,(ROW()-ROW(MSPResources[[#Headers],[Name]])))="",TRUE()),"",INDEX(res_Rate,(ROW()-ROW(MSPResources[[#Headers],[Name]])))&amp;"/h")</f>
        <v/>
      </c>
      <c r="G31" s="23" t="str">
        <f aca="false">IF(IFERROR(INDEX(res_Name,(ROW()-ROW(MSPResources[[#Headers],[Name]])))="",TRUE()),"",INDEX(res_Email,(ROW()-ROW(MSPResources[[#Headers],[Name]])))&amp;"")</f>
        <v/>
      </c>
    </row>
    <row r="32" customFormat="false" ht="15" hidden="false" customHeight="false" outlineLevel="0" collapsed="false">
      <c r="A32" s="23" t="str">
        <f aca="false">IF(IFERROR(INDEX(res_Name,(ROW()-ROW(MSPResources[[#Headers],[Name]])))="",TRUE()),"",INDEX(res_Name,(ROW()-ROW(MSPResources[[#Headers],[Name]])))&amp;"")</f>
        <v/>
      </c>
      <c r="B32" s="23" t="str">
        <f aca="false">IF(IFERROR(INDEX(res_Name,(ROW()-ROW(MSPResources[[#Headers],[Name]])))="",TRUE()),"",INDEX(res_Initials,(ROW()-ROW(MSPResources[[#Headers],[Name]])))&amp;"")</f>
        <v/>
      </c>
      <c r="C32" s="23" t="str">
        <f aca="false">IF(IFERROR(INDEX(res_Name,(ROW()-ROW(MSPResources[[#Headers],[Name]])))="",TRUE()),"",INDEX(res_Group,(ROW()-ROW(MSPResources[[#Headers],[Name]])))&amp;"")</f>
        <v/>
      </c>
      <c r="D32" s="23" t="str">
        <f aca="false">IF(IFERROR(INDEX(res_Name,(ROW()-ROW(MSPResources[[#Headers],[Name]])))="",TRUE()),"",INDEX(res_Type,(ROW()-ROW(MSPResources[[#Headers],[Name]])))&amp;"")</f>
        <v/>
      </c>
      <c r="E32" s="23" t="str">
        <f aca="false">IF(IFERROR(INDEX(res_Name,(ROW()-ROW(MSPResources[[#Headers],[Name]])))="",TRUE()),"",ROUND(INDEX(res_MaxUnits,(ROW()-ROW(MSPResources[[#Headers],[Name]])))*100,0)&amp;"%")</f>
        <v/>
      </c>
      <c r="F32" s="23" t="str">
        <f aca="false">IF(IFERROR(INDEX(res_Name,(ROW()-ROW(MSPResources[[#Headers],[Name]])))="",TRUE()),"",INDEX(res_Rate,(ROW()-ROW(MSPResources[[#Headers],[Name]])))&amp;"/h")</f>
        <v/>
      </c>
      <c r="G32" s="23" t="str">
        <f aca="false">IF(IFERROR(INDEX(res_Name,(ROW()-ROW(MSPResources[[#Headers],[Name]])))="",TRUE()),"",INDEX(res_Email,(ROW()-ROW(MSPResources[[#Headers],[Name]])))&amp;"")</f>
        <v/>
      </c>
    </row>
    <row r="33" customFormat="false" ht="15" hidden="false" customHeight="false" outlineLevel="0" collapsed="false">
      <c r="A33" s="23" t="str">
        <f aca="false">IF(IFERROR(INDEX(res_Name,(ROW()-ROW(MSPResources[[#Headers],[Name]])))="",TRUE()),"",INDEX(res_Name,(ROW()-ROW(MSPResources[[#Headers],[Name]])))&amp;"")</f>
        <v/>
      </c>
      <c r="B33" s="23" t="str">
        <f aca="false">IF(IFERROR(INDEX(res_Name,(ROW()-ROW(MSPResources[[#Headers],[Name]])))="",TRUE()),"",INDEX(res_Initials,(ROW()-ROW(MSPResources[[#Headers],[Name]])))&amp;"")</f>
        <v/>
      </c>
      <c r="C33" s="23" t="str">
        <f aca="false">IF(IFERROR(INDEX(res_Name,(ROW()-ROW(MSPResources[[#Headers],[Name]])))="",TRUE()),"",INDEX(res_Group,(ROW()-ROW(MSPResources[[#Headers],[Name]])))&amp;"")</f>
        <v/>
      </c>
      <c r="D33" s="23" t="str">
        <f aca="false">IF(IFERROR(INDEX(res_Name,(ROW()-ROW(MSPResources[[#Headers],[Name]])))="",TRUE()),"",INDEX(res_Type,(ROW()-ROW(MSPResources[[#Headers],[Name]])))&amp;"")</f>
        <v/>
      </c>
      <c r="E33" s="23" t="str">
        <f aca="false">IF(IFERROR(INDEX(res_Name,(ROW()-ROW(MSPResources[[#Headers],[Name]])))="",TRUE()),"",ROUND(INDEX(res_MaxUnits,(ROW()-ROW(MSPResources[[#Headers],[Name]])))*100,0)&amp;"%")</f>
        <v/>
      </c>
      <c r="F33" s="23" t="str">
        <f aca="false">IF(IFERROR(INDEX(res_Name,(ROW()-ROW(MSPResources[[#Headers],[Name]])))="",TRUE()),"",INDEX(res_Rate,(ROW()-ROW(MSPResources[[#Headers],[Name]])))&amp;"/h")</f>
        <v/>
      </c>
      <c r="G33" s="23" t="str">
        <f aca="false">IF(IFERROR(INDEX(res_Name,(ROW()-ROW(MSPResources[[#Headers],[Name]])))="",TRUE()),"",INDEX(res_Email,(ROW()-ROW(MSPResources[[#Headers],[Name]])))&amp;"")</f>
        <v/>
      </c>
    </row>
    <row r="34" customFormat="false" ht="15" hidden="false" customHeight="false" outlineLevel="0" collapsed="false">
      <c r="A34" s="23" t="str">
        <f aca="false">IF(IFERROR(INDEX(res_Name,(ROW()-ROW(MSPResources[[#Headers],[Name]])))="",TRUE()),"",INDEX(res_Name,(ROW()-ROW(MSPResources[[#Headers],[Name]])))&amp;"")</f>
        <v/>
      </c>
      <c r="B34" s="23" t="str">
        <f aca="false">IF(IFERROR(INDEX(res_Name,(ROW()-ROW(MSPResources[[#Headers],[Name]])))="",TRUE()),"",INDEX(res_Initials,(ROW()-ROW(MSPResources[[#Headers],[Name]])))&amp;"")</f>
        <v/>
      </c>
      <c r="C34" s="23" t="str">
        <f aca="false">IF(IFERROR(INDEX(res_Name,(ROW()-ROW(MSPResources[[#Headers],[Name]])))="",TRUE()),"",INDEX(res_Group,(ROW()-ROW(MSPResources[[#Headers],[Name]])))&amp;"")</f>
        <v/>
      </c>
      <c r="D34" s="23" t="str">
        <f aca="false">IF(IFERROR(INDEX(res_Name,(ROW()-ROW(MSPResources[[#Headers],[Name]])))="",TRUE()),"",INDEX(res_Type,(ROW()-ROW(MSPResources[[#Headers],[Name]])))&amp;"")</f>
        <v/>
      </c>
      <c r="E34" s="23" t="str">
        <f aca="false">IF(IFERROR(INDEX(res_Name,(ROW()-ROW(MSPResources[[#Headers],[Name]])))="",TRUE()),"",ROUND(INDEX(res_MaxUnits,(ROW()-ROW(MSPResources[[#Headers],[Name]])))*100,0)&amp;"%")</f>
        <v/>
      </c>
      <c r="F34" s="23" t="str">
        <f aca="false">IF(IFERROR(INDEX(res_Name,(ROW()-ROW(MSPResources[[#Headers],[Name]])))="",TRUE()),"",INDEX(res_Rate,(ROW()-ROW(MSPResources[[#Headers],[Name]])))&amp;"/h")</f>
        <v/>
      </c>
      <c r="G34" s="23" t="str">
        <f aca="false">IF(IFERROR(INDEX(res_Name,(ROW()-ROW(MSPResources[[#Headers],[Name]])))="",TRUE()),"",INDEX(res_Email,(ROW()-ROW(MSPResources[[#Headers],[Name]])))&amp;"")</f>
        <v/>
      </c>
    </row>
    <row r="35" customFormat="false" ht="15" hidden="false" customHeight="false" outlineLevel="0" collapsed="false">
      <c r="A35" s="23" t="str">
        <f aca="false">IF(IFERROR(INDEX(res_Name,(ROW()-ROW(MSPResources[[#Headers],[Name]])))="",TRUE()),"",INDEX(res_Name,(ROW()-ROW(MSPResources[[#Headers],[Name]])))&amp;"")</f>
        <v/>
      </c>
      <c r="B35" s="23" t="str">
        <f aca="false">IF(IFERROR(INDEX(res_Name,(ROW()-ROW(MSPResources[[#Headers],[Name]])))="",TRUE()),"",INDEX(res_Initials,(ROW()-ROW(MSPResources[[#Headers],[Name]])))&amp;"")</f>
        <v/>
      </c>
      <c r="C35" s="23" t="str">
        <f aca="false">IF(IFERROR(INDEX(res_Name,(ROW()-ROW(MSPResources[[#Headers],[Name]])))="",TRUE()),"",INDEX(res_Group,(ROW()-ROW(MSPResources[[#Headers],[Name]])))&amp;"")</f>
        <v/>
      </c>
      <c r="D35" s="23" t="str">
        <f aca="false">IF(IFERROR(INDEX(res_Name,(ROW()-ROW(MSPResources[[#Headers],[Name]])))="",TRUE()),"",INDEX(res_Type,(ROW()-ROW(MSPResources[[#Headers],[Name]])))&amp;"")</f>
        <v/>
      </c>
      <c r="E35" s="23" t="str">
        <f aca="false">IF(IFERROR(INDEX(res_Name,(ROW()-ROW(MSPResources[[#Headers],[Name]])))="",TRUE()),"",ROUND(INDEX(res_MaxUnits,(ROW()-ROW(MSPResources[[#Headers],[Name]])))*100,0)&amp;"%")</f>
        <v/>
      </c>
      <c r="F35" s="23" t="str">
        <f aca="false">IF(IFERROR(INDEX(res_Name,(ROW()-ROW(MSPResources[[#Headers],[Name]])))="",TRUE()),"",INDEX(res_Rate,(ROW()-ROW(MSPResources[[#Headers],[Name]])))&amp;"/h")</f>
        <v/>
      </c>
      <c r="G35" s="23" t="str">
        <f aca="false">IF(IFERROR(INDEX(res_Name,(ROW()-ROW(MSPResources[[#Headers],[Name]])))="",TRUE()),"",INDEX(res_Email,(ROW()-ROW(MSPResources[[#Headers],[Name]])))&amp;"")</f>
        <v/>
      </c>
    </row>
    <row r="36" customFormat="false" ht="15" hidden="false" customHeight="false" outlineLevel="0" collapsed="false">
      <c r="A36" s="23" t="str">
        <f aca="false">IF(IFERROR(INDEX(res_Name,(ROW()-ROW(MSPResources[[#Headers],[Name]])))="",TRUE()),"",INDEX(res_Name,(ROW()-ROW(MSPResources[[#Headers],[Name]])))&amp;"")</f>
        <v/>
      </c>
      <c r="B36" s="23" t="str">
        <f aca="false">IF(IFERROR(INDEX(res_Name,(ROW()-ROW(MSPResources[[#Headers],[Name]])))="",TRUE()),"",INDEX(res_Initials,(ROW()-ROW(MSPResources[[#Headers],[Name]])))&amp;"")</f>
        <v/>
      </c>
      <c r="C36" s="23" t="str">
        <f aca="false">IF(IFERROR(INDEX(res_Name,(ROW()-ROW(MSPResources[[#Headers],[Name]])))="",TRUE()),"",INDEX(res_Group,(ROW()-ROW(MSPResources[[#Headers],[Name]])))&amp;"")</f>
        <v/>
      </c>
      <c r="D36" s="23" t="str">
        <f aca="false">IF(IFERROR(INDEX(res_Name,(ROW()-ROW(MSPResources[[#Headers],[Name]])))="",TRUE()),"",INDEX(res_Type,(ROW()-ROW(MSPResources[[#Headers],[Name]])))&amp;"")</f>
        <v/>
      </c>
      <c r="E36" s="23" t="str">
        <f aca="false">IF(IFERROR(INDEX(res_Name,(ROW()-ROW(MSPResources[[#Headers],[Name]])))="",TRUE()),"",ROUND(INDEX(res_MaxUnits,(ROW()-ROW(MSPResources[[#Headers],[Name]])))*100,0)&amp;"%")</f>
        <v/>
      </c>
      <c r="F36" s="23" t="str">
        <f aca="false">IF(IFERROR(INDEX(res_Name,(ROW()-ROW(MSPResources[[#Headers],[Name]])))="",TRUE()),"",INDEX(res_Rate,(ROW()-ROW(MSPResources[[#Headers],[Name]])))&amp;"/h")</f>
        <v/>
      </c>
      <c r="G36" s="23" t="str">
        <f aca="false">IF(IFERROR(INDEX(res_Name,(ROW()-ROW(MSPResources[[#Headers],[Name]])))="",TRUE()),"",INDEX(res_Email,(ROW()-ROW(MSPResources[[#Headers],[Name]])))&amp;"")</f>
        <v/>
      </c>
    </row>
    <row r="37" customFormat="false" ht="15" hidden="false" customHeight="false" outlineLevel="0" collapsed="false">
      <c r="A37" s="23" t="str">
        <f aca="false">IF(IFERROR(INDEX(res_Name,(ROW()-ROW(MSPResources[[#Headers],[Name]])))="",TRUE()),"",INDEX(res_Name,(ROW()-ROW(MSPResources[[#Headers],[Name]])))&amp;"")</f>
        <v/>
      </c>
      <c r="B37" s="23" t="str">
        <f aca="false">IF(IFERROR(INDEX(res_Name,(ROW()-ROW(MSPResources[[#Headers],[Name]])))="",TRUE()),"",INDEX(res_Initials,(ROW()-ROW(MSPResources[[#Headers],[Name]])))&amp;"")</f>
        <v/>
      </c>
      <c r="C37" s="23" t="str">
        <f aca="false">IF(IFERROR(INDEX(res_Name,(ROW()-ROW(MSPResources[[#Headers],[Name]])))="",TRUE()),"",INDEX(res_Group,(ROW()-ROW(MSPResources[[#Headers],[Name]])))&amp;"")</f>
        <v/>
      </c>
      <c r="D37" s="23" t="str">
        <f aca="false">IF(IFERROR(INDEX(res_Name,(ROW()-ROW(MSPResources[[#Headers],[Name]])))="",TRUE()),"",INDEX(res_Type,(ROW()-ROW(MSPResources[[#Headers],[Name]])))&amp;"")</f>
        <v/>
      </c>
      <c r="E37" s="23" t="str">
        <f aca="false">IF(IFERROR(INDEX(res_Name,(ROW()-ROW(MSPResources[[#Headers],[Name]])))="",TRUE()),"",ROUND(INDEX(res_MaxUnits,(ROW()-ROW(MSPResources[[#Headers],[Name]])))*100,0)&amp;"%")</f>
        <v/>
      </c>
      <c r="F37" s="23" t="str">
        <f aca="false">IF(IFERROR(INDEX(res_Name,(ROW()-ROW(MSPResources[[#Headers],[Name]])))="",TRUE()),"",INDEX(res_Rate,(ROW()-ROW(MSPResources[[#Headers],[Name]])))&amp;"/h")</f>
        <v/>
      </c>
      <c r="G37" s="23" t="str">
        <f aca="false">IF(IFERROR(INDEX(res_Name,(ROW()-ROW(MSPResources[[#Headers],[Name]])))="",TRUE()),"",INDEX(res_Email,(ROW()-ROW(MSPResources[[#Headers],[Name]])))&amp;"")</f>
        <v/>
      </c>
    </row>
    <row r="38" customFormat="false" ht="15" hidden="false" customHeight="false" outlineLevel="0" collapsed="false">
      <c r="A38" s="23" t="str">
        <f aca="false">IF(IFERROR(INDEX(res_Name,(ROW()-ROW(MSPResources[[#Headers],[Name]])))="",TRUE()),"",INDEX(res_Name,(ROW()-ROW(MSPResources[[#Headers],[Name]])))&amp;"")</f>
        <v/>
      </c>
      <c r="B38" s="23" t="str">
        <f aca="false">IF(IFERROR(INDEX(res_Name,(ROW()-ROW(MSPResources[[#Headers],[Name]])))="",TRUE()),"",INDEX(res_Initials,(ROW()-ROW(MSPResources[[#Headers],[Name]])))&amp;"")</f>
        <v/>
      </c>
      <c r="C38" s="23" t="str">
        <f aca="false">IF(IFERROR(INDEX(res_Name,(ROW()-ROW(MSPResources[[#Headers],[Name]])))="",TRUE()),"",INDEX(res_Group,(ROW()-ROW(MSPResources[[#Headers],[Name]])))&amp;"")</f>
        <v/>
      </c>
      <c r="D38" s="23" t="str">
        <f aca="false">IF(IFERROR(INDEX(res_Name,(ROW()-ROW(MSPResources[[#Headers],[Name]])))="",TRUE()),"",INDEX(res_Type,(ROW()-ROW(MSPResources[[#Headers],[Name]])))&amp;"")</f>
        <v/>
      </c>
      <c r="E38" s="23" t="str">
        <f aca="false">IF(IFERROR(INDEX(res_Name,(ROW()-ROW(MSPResources[[#Headers],[Name]])))="",TRUE()),"",ROUND(INDEX(res_MaxUnits,(ROW()-ROW(MSPResources[[#Headers],[Name]])))*100,0)&amp;"%")</f>
        <v/>
      </c>
      <c r="F38" s="23" t="str">
        <f aca="false">IF(IFERROR(INDEX(res_Name,(ROW()-ROW(MSPResources[[#Headers],[Name]])))="",TRUE()),"",INDEX(res_Rate,(ROW()-ROW(MSPResources[[#Headers],[Name]])))&amp;"/h")</f>
        <v/>
      </c>
      <c r="G38" s="23" t="str">
        <f aca="false">IF(IFERROR(INDEX(res_Name,(ROW()-ROW(MSPResources[[#Headers],[Name]])))="",TRUE()),"",INDEX(res_Email,(ROW()-ROW(MSPResources[[#Headers],[Name]])))&amp;"")</f>
        <v/>
      </c>
    </row>
    <row r="39" customFormat="false" ht="15" hidden="false" customHeight="false" outlineLevel="0" collapsed="false">
      <c r="A39" s="23" t="str">
        <f aca="false">IF(IFERROR(INDEX(res_Name,(ROW()-ROW(MSPResources[[#Headers],[Name]])))="",TRUE()),"",INDEX(res_Name,(ROW()-ROW(MSPResources[[#Headers],[Name]])))&amp;"")</f>
        <v/>
      </c>
      <c r="B39" s="23" t="str">
        <f aca="false">IF(IFERROR(INDEX(res_Name,(ROW()-ROW(MSPResources[[#Headers],[Name]])))="",TRUE()),"",INDEX(res_Initials,(ROW()-ROW(MSPResources[[#Headers],[Name]])))&amp;"")</f>
        <v/>
      </c>
      <c r="C39" s="23" t="str">
        <f aca="false">IF(IFERROR(INDEX(res_Name,(ROW()-ROW(MSPResources[[#Headers],[Name]])))="",TRUE()),"",INDEX(res_Group,(ROW()-ROW(MSPResources[[#Headers],[Name]])))&amp;"")</f>
        <v/>
      </c>
      <c r="D39" s="23" t="str">
        <f aca="false">IF(IFERROR(INDEX(res_Name,(ROW()-ROW(MSPResources[[#Headers],[Name]])))="",TRUE()),"",INDEX(res_Type,(ROW()-ROW(MSPResources[[#Headers],[Name]])))&amp;"")</f>
        <v/>
      </c>
      <c r="E39" s="23" t="str">
        <f aca="false">IF(IFERROR(INDEX(res_Name,(ROW()-ROW(MSPResources[[#Headers],[Name]])))="",TRUE()),"",ROUND(INDEX(res_MaxUnits,(ROW()-ROW(MSPResources[[#Headers],[Name]])))*100,0)&amp;"%")</f>
        <v/>
      </c>
      <c r="F39" s="23" t="str">
        <f aca="false">IF(IFERROR(INDEX(res_Name,(ROW()-ROW(MSPResources[[#Headers],[Name]])))="",TRUE()),"",INDEX(res_Rate,(ROW()-ROW(MSPResources[[#Headers],[Name]])))&amp;"/h")</f>
        <v/>
      </c>
      <c r="G39" s="23" t="str">
        <f aca="false">IF(IFERROR(INDEX(res_Name,(ROW()-ROW(MSPResources[[#Headers],[Name]])))="",TRUE()),"",INDEX(res_Email,(ROW()-ROW(MSPResources[[#Headers],[Name]])))&amp;"")</f>
        <v/>
      </c>
    </row>
    <row r="40" customFormat="false" ht="15" hidden="false" customHeight="false" outlineLevel="0" collapsed="false">
      <c r="A40" s="23" t="str">
        <f aca="false">IF(IFERROR(INDEX(res_Name,(ROW()-ROW(MSPResources[[#Headers],[Name]])))="",TRUE()),"",INDEX(res_Name,(ROW()-ROW(MSPResources[[#Headers],[Name]])))&amp;"")</f>
        <v/>
      </c>
      <c r="B40" s="23" t="str">
        <f aca="false">IF(IFERROR(INDEX(res_Name,(ROW()-ROW(MSPResources[[#Headers],[Name]])))="",TRUE()),"",INDEX(res_Initials,(ROW()-ROW(MSPResources[[#Headers],[Name]])))&amp;"")</f>
        <v/>
      </c>
      <c r="C40" s="23" t="str">
        <f aca="false">IF(IFERROR(INDEX(res_Name,(ROW()-ROW(MSPResources[[#Headers],[Name]])))="",TRUE()),"",INDEX(res_Group,(ROW()-ROW(MSPResources[[#Headers],[Name]])))&amp;"")</f>
        <v/>
      </c>
      <c r="D40" s="23" t="str">
        <f aca="false">IF(IFERROR(INDEX(res_Name,(ROW()-ROW(MSPResources[[#Headers],[Name]])))="",TRUE()),"",INDEX(res_Type,(ROW()-ROW(MSPResources[[#Headers],[Name]])))&amp;"")</f>
        <v/>
      </c>
      <c r="E40" s="23" t="str">
        <f aca="false">IF(IFERROR(INDEX(res_Name,(ROW()-ROW(MSPResources[[#Headers],[Name]])))="",TRUE()),"",ROUND(INDEX(res_MaxUnits,(ROW()-ROW(MSPResources[[#Headers],[Name]])))*100,0)&amp;"%")</f>
        <v/>
      </c>
      <c r="F40" s="23" t="str">
        <f aca="false">IF(IFERROR(INDEX(res_Name,(ROW()-ROW(MSPResources[[#Headers],[Name]])))="",TRUE()),"",INDEX(res_Rate,(ROW()-ROW(MSPResources[[#Headers],[Name]])))&amp;"/h")</f>
        <v/>
      </c>
      <c r="G40" s="23" t="str">
        <f aca="false">IF(IFERROR(INDEX(res_Name,(ROW()-ROW(MSPResources[[#Headers],[Name]])))="",TRUE()),"",INDEX(res_Email,(ROW()-ROW(MSPResources[[#Headers],[Name]])))&amp;"")</f>
        <v/>
      </c>
    </row>
    <row r="41" customFormat="false" ht="15" hidden="false" customHeight="false" outlineLevel="0" collapsed="false">
      <c r="A41" s="23" t="str">
        <f aca="false">IF(IFERROR(INDEX(res_Name,(ROW()-ROW(MSPResources[[#Headers],[Name]])))="",TRUE()),"",INDEX(res_Name,(ROW()-ROW(MSPResources[[#Headers],[Name]])))&amp;"")</f>
        <v/>
      </c>
      <c r="B41" s="23" t="str">
        <f aca="false">IF(IFERROR(INDEX(res_Name,(ROW()-ROW(MSPResources[[#Headers],[Name]])))="",TRUE()),"",INDEX(res_Initials,(ROW()-ROW(MSPResources[[#Headers],[Name]])))&amp;"")</f>
        <v/>
      </c>
      <c r="C41" s="23" t="str">
        <f aca="false">IF(IFERROR(INDEX(res_Name,(ROW()-ROW(MSPResources[[#Headers],[Name]])))="",TRUE()),"",INDEX(res_Group,(ROW()-ROW(MSPResources[[#Headers],[Name]])))&amp;"")</f>
        <v/>
      </c>
      <c r="D41" s="23" t="str">
        <f aca="false">IF(IFERROR(INDEX(res_Name,(ROW()-ROW(MSPResources[[#Headers],[Name]])))="",TRUE()),"",INDEX(res_Type,(ROW()-ROW(MSPResources[[#Headers],[Name]])))&amp;"")</f>
        <v/>
      </c>
      <c r="E41" s="23" t="str">
        <f aca="false">IF(IFERROR(INDEX(res_Name,(ROW()-ROW(MSPResources[[#Headers],[Name]])))="",TRUE()),"",ROUND(INDEX(res_MaxUnits,(ROW()-ROW(MSPResources[[#Headers],[Name]])))*100,0)&amp;"%")</f>
        <v/>
      </c>
      <c r="F41" s="23" t="str">
        <f aca="false">IF(IFERROR(INDEX(res_Name,(ROW()-ROW(MSPResources[[#Headers],[Name]])))="",TRUE()),"",INDEX(res_Rate,(ROW()-ROW(MSPResources[[#Headers],[Name]])))&amp;"/h")</f>
        <v/>
      </c>
      <c r="G41" s="23" t="str">
        <f aca="false">IF(IFERROR(INDEX(res_Name,(ROW()-ROW(MSPResources[[#Headers],[Name]])))="",TRUE()),"",INDEX(res_Email,(ROW()-ROW(MSPResources[[#Headers],[Name]])))&amp;"")</f>
        <v/>
      </c>
    </row>
    <row r="42" customFormat="false" ht="15" hidden="false" customHeight="false" outlineLevel="0" collapsed="false">
      <c r="A42" s="23" t="str">
        <f aca="false">IF(IFERROR(INDEX(res_Name,(ROW()-ROW(MSPResources[[#Headers],[Name]])))="",TRUE()),"",INDEX(res_Name,(ROW()-ROW(MSPResources[[#Headers],[Name]])))&amp;"")</f>
        <v/>
      </c>
      <c r="B42" s="23" t="str">
        <f aca="false">IF(IFERROR(INDEX(res_Name,(ROW()-ROW(MSPResources[[#Headers],[Name]])))="",TRUE()),"",INDEX(res_Initials,(ROW()-ROW(MSPResources[[#Headers],[Name]])))&amp;"")</f>
        <v/>
      </c>
      <c r="C42" s="23" t="str">
        <f aca="false">IF(IFERROR(INDEX(res_Name,(ROW()-ROW(MSPResources[[#Headers],[Name]])))="",TRUE()),"",INDEX(res_Group,(ROW()-ROW(MSPResources[[#Headers],[Name]])))&amp;"")</f>
        <v/>
      </c>
      <c r="D42" s="23" t="str">
        <f aca="false">IF(IFERROR(INDEX(res_Name,(ROW()-ROW(MSPResources[[#Headers],[Name]])))="",TRUE()),"",INDEX(res_Type,(ROW()-ROW(MSPResources[[#Headers],[Name]])))&amp;"")</f>
        <v/>
      </c>
      <c r="E42" s="23" t="str">
        <f aca="false">IF(IFERROR(INDEX(res_Name,(ROW()-ROW(MSPResources[[#Headers],[Name]])))="",TRUE()),"",ROUND(INDEX(res_MaxUnits,(ROW()-ROW(MSPResources[[#Headers],[Name]])))*100,0)&amp;"%")</f>
        <v/>
      </c>
      <c r="F42" s="23" t="str">
        <f aca="false">IF(IFERROR(INDEX(res_Name,(ROW()-ROW(MSPResources[[#Headers],[Name]])))="",TRUE()),"",INDEX(res_Rate,(ROW()-ROW(MSPResources[[#Headers],[Name]])))&amp;"/h")</f>
        <v/>
      </c>
      <c r="G42" s="23" t="str">
        <f aca="false">IF(IFERROR(INDEX(res_Name,(ROW()-ROW(MSPResources[[#Headers],[Name]])))="",TRUE()),"",INDEX(res_Email,(ROW()-ROW(MSPResources[[#Headers],[Name]])))&amp;"")</f>
        <v/>
      </c>
    </row>
    <row r="43" customFormat="false" ht="15" hidden="false" customHeight="false" outlineLevel="0" collapsed="false">
      <c r="A43" s="23" t="str">
        <f aca="false">IF(IFERROR(INDEX(res_Name,(ROW()-ROW(MSPResources[[#Headers],[Name]])))="",TRUE()),"",INDEX(res_Name,(ROW()-ROW(MSPResources[[#Headers],[Name]])))&amp;"")</f>
        <v/>
      </c>
      <c r="B43" s="23" t="str">
        <f aca="false">IF(IFERROR(INDEX(res_Name,(ROW()-ROW(MSPResources[[#Headers],[Name]])))="",TRUE()),"",INDEX(res_Initials,(ROW()-ROW(MSPResources[[#Headers],[Name]])))&amp;"")</f>
        <v/>
      </c>
      <c r="C43" s="23" t="str">
        <f aca="false">IF(IFERROR(INDEX(res_Name,(ROW()-ROW(MSPResources[[#Headers],[Name]])))="",TRUE()),"",INDEX(res_Group,(ROW()-ROW(MSPResources[[#Headers],[Name]])))&amp;"")</f>
        <v/>
      </c>
      <c r="D43" s="23" t="str">
        <f aca="false">IF(IFERROR(INDEX(res_Name,(ROW()-ROW(MSPResources[[#Headers],[Name]])))="",TRUE()),"",INDEX(res_Type,(ROW()-ROW(MSPResources[[#Headers],[Name]])))&amp;"")</f>
        <v/>
      </c>
      <c r="E43" s="23" t="str">
        <f aca="false">IF(IFERROR(INDEX(res_Name,(ROW()-ROW(MSPResources[[#Headers],[Name]])))="",TRUE()),"",ROUND(INDEX(res_MaxUnits,(ROW()-ROW(MSPResources[[#Headers],[Name]])))*100,0)&amp;"%")</f>
        <v/>
      </c>
      <c r="F43" s="23" t="str">
        <f aca="false">IF(IFERROR(INDEX(res_Name,(ROW()-ROW(MSPResources[[#Headers],[Name]])))="",TRUE()),"",INDEX(res_Rate,(ROW()-ROW(MSPResources[[#Headers],[Name]])))&amp;"/h")</f>
        <v/>
      </c>
      <c r="G43" s="23" t="str">
        <f aca="false">IF(IFERROR(INDEX(res_Name,(ROW()-ROW(MSPResources[[#Headers],[Name]])))="",TRUE()),"",INDEX(res_Email,(ROW()-ROW(MSPResources[[#Headers],[Name]])))&amp;"")</f>
        <v/>
      </c>
    </row>
    <row r="44" customFormat="false" ht="15" hidden="false" customHeight="false" outlineLevel="0" collapsed="false">
      <c r="A44" s="23" t="str">
        <f aca="false">IF(IFERROR(INDEX(res_Name,(ROW()-ROW(MSPResources[[#Headers],[Name]])))="",TRUE()),"",INDEX(res_Name,(ROW()-ROW(MSPResources[[#Headers],[Name]])))&amp;"")</f>
        <v/>
      </c>
      <c r="B44" s="23" t="str">
        <f aca="false">IF(IFERROR(INDEX(res_Name,(ROW()-ROW(MSPResources[[#Headers],[Name]])))="",TRUE()),"",INDEX(res_Initials,(ROW()-ROW(MSPResources[[#Headers],[Name]])))&amp;"")</f>
        <v/>
      </c>
      <c r="C44" s="23" t="str">
        <f aca="false">IF(IFERROR(INDEX(res_Name,(ROW()-ROW(MSPResources[[#Headers],[Name]])))="",TRUE()),"",INDEX(res_Group,(ROW()-ROW(MSPResources[[#Headers],[Name]])))&amp;"")</f>
        <v/>
      </c>
      <c r="D44" s="23" t="str">
        <f aca="false">IF(IFERROR(INDEX(res_Name,(ROW()-ROW(MSPResources[[#Headers],[Name]])))="",TRUE()),"",INDEX(res_Type,(ROW()-ROW(MSPResources[[#Headers],[Name]])))&amp;"")</f>
        <v/>
      </c>
      <c r="E44" s="23" t="str">
        <f aca="false">IF(IFERROR(INDEX(res_Name,(ROW()-ROW(MSPResources[[#Headers],[Name]])))="",TRUE()),"",ROUND(INDEX(res_MaxUnits,(ROW()-ROW(MSPResources[[#Headers],[Name]])))*100,0)&amp;"%")</f>
        <v/>
      </c>
      <c r="F44" s="23" t="str">
        <f aca="false">IF(IFERROR(INDEX(res_Name,(ROW()-ROW(MSPResources[[#Headers],[Name]])))="",TRUE()),"",INDEX(res_Rate,(ROW()-ROW(MSPResources[[#Headers],[Name]])))&amp;"/h")</f>
        <v/>
      </c>
      <c r="G44" s="23" t="str">
        <f aca="false">IF(IFERROR(INDEX(res_Name,(ROW()-ROW(MSPResources[[#Headers],[Name]])))="",TRUE()),"",INDEX(res_Email,(ROW()-ROW(MSPResources[[#Headers],[Name]])))&amp;"")</f>
        <v/>
      </c>
    </row>
    <row r="45" customFormat="false" ht="15" hidden="false" customHeight="false" outlineLevel="0" collapsed="false">
      <c r="A45" s="23" t="str">
        <f aca="false">IF(IFERROR(INDEX(res_Name,(ROW()-ROW(MSPResources[[#Headers],[Name]])))="",TRUE()),"",INDEX(res_Name,(ROW()-ROW(MSPResources[[#Headers],[Name]])))&amp;"")</f>
        <v/>
      </c>
      <c r="B45" s="23" t="str">
        <f aca="false">IF(IFERROR(INDEX(res_Name,(ROW()-ROW(MSPResources[[#Headers],[Name]])))="",TRUE()),"",INDEX(res_Initials,(ROW()-ROW(MSPResources[[#Headers],[Name]])))&amp;"")</f>
        <v/>
      </c>
      <c r="C45" s="23" t="str">
        <f aca="false">IF(IFERROR(INDEX(res_Name,(ROW()-ROW(MSPResources[[#Headers],[Name]])))="",TRUE()),"",INDEX(res_Group,(ROW()-ROW(MSPResources[[#Headers],[Name]])))&amp;"")</f>
        <v/>
      </c>
      <c r="D45" s="23" t="str">
        <f aca="false">IF(IFERROR(INDEX(res_Name,(ROW()-ROW(MSPResources[[#Headers],[Name]])))="",TRUE()),"",INDEX(res_Type,(ROW()-ROW(MSPResources[[#Headers],[Name]])))&amp;"")</f>
        <v/>
      </c>
      <c r="E45" s="23" t="str">
        <f aca="false">IF(IFERROR(INDEX(res_Name,(ROW()-ROW(MSPResources[[#Headers],[Name]])))="",TRUE()),"",ROUND(INDEX(res_MaxUnits,(ROW()-ROW(MSPResources[[#Headers],[Name]])))*100,0)&amp;"%")</f>
        <v/>
      </c>
      <c r="F45" s="23" t="str">
        <f aca="false">IF(IFERROR(INDEX(res_Name,(ROW()-ROW(MSPResources[[#Headers],[Name]])))="",TRUE()),"",INDEX(res_Rate,(ROW()-ROW(MSPResources[[#Headers],[Name]])))&amp;"/h")</f>
        <v/>
      </c>
      <c r="G45" s="23" t="str">
        <f aca="false">IF(IFERROR(INDEX(res_Name,(ROW()-ROW(MSPResources[[#Headers],[Name]])))="",TRUE()),"",INDEX(res_Email,(ROW()-ROW(MSPResources[[#Headers],[Name]])))&amp;"")</f>
        <v/>
      </c>
    </row>
    <row r="46" customFormat="false" ht="15" hidden="false" customHeight="false" outlineLevel="0" collapsed="false">
      <c r="A46" s="23" t="str">
        <f aca="false">IF(IFERROR(INDEX(res_Name,(ROW()-ROW(MSPResources[[#Headers],[Name]])))="",TRUE()),"",INDEX(res_Name,(ROW()-ROW(MSPResources[[#Headers],[Name]])))&amp;"")</f>
        <v/>
      </c>
      <c r="B46" s="23" t="str">
        <f aca="false">IF(IFERROR(INDEX(res_Name,(ROW()-ROW(MSPResources[[#Headers],[Name]])))="",TRUE()),"",INDEX(res_Initials,(ROW()-ROW(MSPResources[[#Headers],[Name]])))&amp;"")</f>
        <v/>
      </c>
      <c r="C46" s="23" t="str">
        <f aca="false">IF(IFERROR(INDEX(res_Name,(ROW()-ROW(MSPResources[[#Headers],[Name]])))="",TRUE()),"",INDEX(res_Group,(ROW()-ROW(MSPResources[[#Headers],[Name]])))&amp;"")</f>
        <v/>
      </c>
      <c r="D46" s="23" t="str">
        <f aca="false">IF(IFERROR(INDEX(res_Name,(ROW()-ROW(MSPResources[[#Headers],[Name]])))="",TRUE()),"",INDEX(res_Type,(ROW()-ROW(MSPResources[[#Headers],[Name]])))&amp;"")</f>
        <v/>
      </c>
      <c r="E46" s="23" t="str">
        <f aca="false">IF(IFERROR(INDEX(res_Name,(ROW()-ROW(MSPResources[[#Headers],[Name]])))="",TRUE()),"",ROUND(INDEX(res_MaxUnits,(ROW()-ROW(MSPResources[[#Headers],[Name]])))*100,0)&amp;"%")</f>
        <v/>
      </c>
      <c r="F46" s="23" t="str">
        <f aca="false">IF(IFERROR(INDEX(res_Name,(ROW()-ROW(MSPResources[[#Headers],[Name]])))="",TRUE()),"",INDEX(res_Rate,(ROW()-ROW(MSPResources[[#Headers],[Name]])))&amp;"/h")</f>
        <v/>
      </c>
      <c r="G46" s="23" t="str">
        <f aca="false">IF(IFERROR(INDEX(res_Name,(ROW()-ROW(MSPResources[[#Headers],[Name]])))="",TRUE()),"",INDEX(res_Email,(ROW()-ROW(MSPResources[[#Headers],[Name]])))&amp;"")</f>
        <v/>
      </c>
    </row>
    <row r="47" customFormat="false" ht="15" hidden="false" customHeight="false" outlineLevel="0" collapsed="false">
      <c r="A47" s="23" t="str">
        <f aca="false">IF(IFERROR(INDEX(res_Name,(ROW()-ROW(MSPResources[[#Headers],[Name]])))="",TRUE()),"",INDEX(res_Name,(ROW()-ROW(MSPResources[[#Headers],[Name]])))&amp;"")</f>
        <v/>
      </c>
      <c r="B47" s="23" t="str">
        <f aca="false">IF(IFERROR(INDEX(res_Name,(ROW()-ROW(MSPResources[[#Headers],[Name]])))="",TRUE()),"",INDEX(res_Initials,(ROW()-ROW(MSPResources[[#Headers],[Name]])))&amp;"")</f>
        <v/>
      </c>
      <c r="C47" s="23" t="str">
        <f aca="false">IF(IFERROR(INDEX(res_Name,(ROW()-ROW(MSPResources[[#Headers],[Name]])))="",TRUE()),"",INDEX(res_Group,(ROW()-ROW(MSPResources[[#Headers],[Name]])))&amp;"")</f>
        <v/>
      </c>
      <c r="D47" s="23" t="str">
        <f aca="false">IF(IFERROR(INDEX(res_Name,(ROW()-ROW(MSPResources[[#Headers],[Name]])))="",TRUE()),"",INDEX(res_Type,(ROW()-ROW(MSPResources[[#Headers],[Name]])))&amp;"")</f>
        <v/>
      </c>
      <c r="E47" s="23" t="str">
        <f aca="false">IF(IFERROR(INDEX(res_Name,(ROW()-ROW(MSPResources[[#Headers],[Name]])))="",TRUE()),"",ROUND(INDEX(res_MaxUnits,(ROW()-ROW(MSPResources[[#Headers],[Name]])))*100,0)&amp;"%")</f>
        <v/>
      </c>
      <c r="F47" s="23" t="str">
        <f aca="false">IF(IFERROR(INDEX(res_Name,(ROW()-ROW(MSPResources[[#Headers],[Name]])))="",TRUE()),"",INDEX(res_Rate,(ROW()-ROW(MSPResources[[#Headers],[Name]])))&amp;"/h")</f>
        <v/>
      </c>
      <c r="G47" s="23" t="str">
        <f aca="false">IF(IFERROR(INDEX(res_Name,(ROW()-ROW(MSPResources[[#Headers],[Name]])))="",TRUE()),"",INDEX(res_Email,(ROW()-ROW(MSPResources[[#Headers],[Name]])))&amp;"")</f>
        <v/>
      </c>
    </row>
    <row r="48" customFormat="false" ht="15" hidden="false" customHeight="false" outlineLevel="0" collapsed="false">
      <c r="A48" s="23" t="str">
        <f aca="false">IF(IFERROR(INDEX(res_Name,(ROW()-ROW(MSPResources[[#Headers],[Name]])))="",TRUE()),"",INDEX(res_Name,(ROW()-ROW(MSPResources[[#Headers],[Name]])))&amp;"")</f>
        <v/>
      </c>
      <c r="B48" s="23" t="str">
        <f aca="false">IF(IFERROR(INDEX(res_Name,(ROW()-ROW(MSPResources[[#Headers],[Name]])))="",TRUE()),"",INDEX(res_Initials,(ROW()-ROW(MSPResources[[#Headers],[Name]])))&amp;"")</f>
        <v/>
      </c>
      <c r="C48" s="23" t="str">
        <f aca="false">IF(IFERROR(INDEX(res_Name,(ROW()-ROW(MSPResources[[#Headers],[Name]])))="",TRUE()),"",INDEX(res_Group,(ROW()-ROW(MSPResources[[#Headers],[Name]])))&amp;"")</f>
        <v/>
      </c>
      <c r="D48" s="23" t="str">
        <f aca="false">IF(IFERROR(INDEX(res_Name,(ROW()-ROW(MSPResources[[#Headers],[Name]])))="",TRUE()),"",INDEX(res_Type,(ROW()-ROW(MSPResources[[#Headers],[Name]])))&amp;"")</f>
        <v/>
      </c>
      <c r="E48" s="23" t="str">
        <f aca="false">IF(IFERROR(INDEX(res_Name,(ROW()-ROW(MSPResources[[#Headers],[Name]])))="",TRUE()),"",ROUND(INDEX(res_MaxUnits,(ROW()-ROW(MSPResources[[#Headers],[Name]])))*100,0)&amp;"%")</f>
        <v/>
      </c>
      <c r="F48" s="23" t="str">
        <f aca="false">IF(IFERROR(INDEX(res_Name,(ROW()-ROW(MSPResources[[#Headers],[Name]])))="",TRUE()),"",INDEX(res_Rate,(ROW()-ROW(MSPResources[[#Headers],[Name]])))&amp;"/h")</f>
        <v/>
      </c>
      <c r="G48" s="23" t="str">
        <f aca="false">IF(IFERROR(INDEX(res_Name,(ROW()-ROW(MSPResources[[#Headers],[Name]])))="",TRUE()),"",INDEX(res_Email,(ROW()-ROW(MSPResources[[#Headers],[Name]])))&amp;"")</f>
        <v/>
      </c>
    </row>
    <row r="49" customFormat="false" ht="15" hidden="false" customHeight="false" outlineLevel="0" collapsed="false">
      <c r="A49" s="23" t="str">
        <f aca="false">IF(IFERROR(INDEX(res_Name,(ROW()-ROW(MSPResources[[#Headers],[Name]])))="",TRUE()),"",INDEX(res_Name,(ROW()-ROW(MSPResources[[#Headers],[Name]])))&amp;"")</f>
        <v/>
      </c>
      <c r="B49" s="23" t="str">
        <f aca="false">IF(IFERROR(INDEX(res_Name,(ROW()-ROW(MSPResources[[#Headers],[Name]])))="",TRUE()),"",INDEX(res_Initials,(ROW()-ROW(MSPResources[[#Headers],[Name]])))&amp;"")</f>
        <v/>
      </c>
      <c r="C49" s="23" t="str">
        <f aca="false">IF(IFERROR(INDEX(res_Name,(ROW()-ROW(MSPResources[[#Headers],[Name]])))="",TRUE()),"",INDEX(res_Group,(ROW()-ROW(MSPResources[[#Headers],[Name]])))&amp;"")</f>
        <v/>
      </c>
      <c r="D49" s="23" t="str">
        <f aca="false">IF(IFERROR(INDEX(res_Name,(ROW()-ROW(MSPResources[[#Headers],[Name]])))="",TRUE()),"",INDEX(res_Type,(ROW()-ROW(MSPResources[[#Headers],[Name]])))&amp;"")</f>
        <v/>
      </c>
      <c r="E49" s="23" t="str">
        <f aca="false">IF(IFERROR(INDEX(res_Name,(ROW()-ROW(MSPResources[[#Headers],[Name]])))="",TRUE()),"",ROUND(INDEX(res_MaxUnits,(ROW()-ROW(MSPResources[[#Headers],[Name]])))*100,0)&amp;"%")</f>
        <v/>
      </c>
      <c r="F49" s="23" t="str">
        <f aca="false">IF(IFERROR(INDEX(res_Name,(ROW()-ROW(MSPResources[[#Headers],[Name]])))="",TRUE()),"",INDEX(res_Rate,(ROW()-ROW(MSPResources[[#Headers],[Name]])))&amp;"/h")</f>
        <v/>
      </c>
      <c r="G49" s="23" t="str">
        <f aca="false">IF(IFERROR(INDEX(res_Name,(ROW()-ROW(MSPResources[[#Headers],[Name]])))="",TRUE()),"",INDEX(res_Email,(ROW()-ROW(MSPResources[[#Headers],[Name]])))&amp;"")</f>
        <v/>
      </c>
    </row>
    <row r="50" customFormat="false" ht="15" hidden="false" customHeight="false" outlineLevel="0" collapsed="false">
      <c r="A50" s="23" t="str">
        <f aca="false">IF(IFERROR(INDEX(res_Name,(ROW()-ROW(MSPResources[[#Headers],[Name]])))="",TRUE()),"",INDEX(res_Name,(ROW()-ROW(MSPResources[[#Headers],[Name]])))&amp;"")</f>
        <v/>
      </c>
      <c r="B50" s="23" t="str">
        <f aca="false">IF(IFERROR(INDEX(res_Name,(ROW()-ROW(MSPResources[[#Headers],[Name]])))="",TRUE()),"",INDEX(res_Initials,(ROW()-ROW(MSPResources[[#Headers],[Name]])))&amp;"")</f>
        <v/>
      </c>
      <c r="C50" s="23" t="str">
        <f aca="false">IF(IFERROR(INDEX(res_Name,(ROW()-ROW(MSPResources[[#Headers],[Name]])))="",TRUE()),"",INDEX(res_Group,(ROW()-ROW(MSPResources[[#Headers],[Name]])))&amp;"")</f>
        <v/>
      </c>
      <c r="D50" s="23" t="str">
        <f aca="false">IF(IFERROR(INDEX(res_Name,(ROW()-ROW(MSPResources[[#Headers],[Name]])))="",TRUE()),"",INDEX(res_Type,(ROW()-ROW(MSPResources[[#Headers],[Name]])))&amp;"")</f>
        <v/>
      </c>
      <c r="E50" s="23" t="str">
        <f aca="false">IF(IFERROR(INDEX(res_Name,(ROW()-ROW(MSPResources[[#Headers],[Name]])))="",TRUE()),"",ROUND(INDEX(res_MaxUnits,(ROW()-ROW(MSPResources[[#Headers],[Name]])))*100,0)&amp;"%")</f>
        <v/>
      </c>
      <c r="F50" s="23" t="str">
        <f aca="false">IF(IFERROR(INDEX(res_Name,(ROW()-ROW(MSPResources[[#Headers],[Name]])))="",TRUE()),"",INDEX(res_Rate,(ROW()-ROW(MSPResources[[#Headers],[Name]])))&amp;"/h")</f>
        <v/>
      </c>
      <c r="G50" s="23" t="str">
        <f aca="false">IF(IFERROR(INDEX(res_Name,(ROW()-ROW(MSPResources[[#Headers],[Name]])))="",TRUE()),"",INDEX(res_Email,(ROW()-ROW(MSPResources[[#Headers],[Name]])))&amp;"")</f>
        <v/>
      </c>
    </row>
    <row r="51" customFormat="false" ht="15" hidden="false" customHeight="false" outlineLevel="0" collapsed="false">
      <c r="A51" s="23" t="str">
        <f aca="false">IF(IFERROR(INDEX(res_Name,(ROW()-ROW(MSPResources[[#Headers],[Name]])))="",TRUE()),"",INDEX(res_Name,(ROW()-ROW(MSPResources[[#Headers],[Name]])))&amp;"")</f>
        <v/>
      </c>
      <c r="B51" s="23" t="str">
        <f aca="false">IF(IFERROR(INDEX(res_Name,(ROW()-ROW(MSPResources[[#Headers],[Name]])))="",TRUE()),"",INDEX(res_Initials,(ROW()-ROW(MSPResources[[#Headers],[Name]])))&amp;"")</f>
        <v/>
      </c>
      <c r="C51" s="23" t="str">
        <f aca="false">IF(IFERROR(INDEX(res_Name,(ROW()-ROW(MSPResources[[#Headers],[Name]])))="",TRUE()),"",INDEX(res_Group,(ROW()-ROW(MSPResources[[#Headers],[Name]])))&amp;"")</f>
        <v/>
      </c>
      <c r="D51" s="23" t="str">
        <f aca="false">IF(IFERROR(INDEX(res_Name,(ROW()-ROW(MSPResources[[#Headers],[Name]])))="",TRUE()),"",INDEX(res_Type,(ROW()-ROW(MSPResources[[#Headers],[Name]])))&amp;"")</f>
        <v/>
      </c>
      <c r="E51" s="23" t="str">
        <f aca="false">IF(IFERROR(INDEX(res_Name,(ROW()-ROW(MSPResources[[#Headers],[Name]])))="",TRUE()),"",ROUND(INDEX(res_MaxUnits,(ROW()-ROW(MSPResources[[#Headers],[Name]])))*100,0)&amp;"%")</f>
        <v/>
      </c>
      <c r="F51" s="23" t="str">
        <f aca="false">IF(IFERROR(INDEX(res_Name,(ROW()-ROW(MSPResources[[#Headers],[Name]])))="",TRUE()),"",INDEX(res_Rate,(ROW()-ROW(MSPResources[[#Headers],[Name]])))&amp;"/h")</f>
        <v/>
      </c>
      <c r="G51" s="23" t="str">
        <f aca="false">IF(IFERROR(INDEX(res_Name,(ROW()-ROW(MSPResources[[#Headers],[Name]])))="",TRUE()),"",INDEX(res_Email,(ROW()-ROW(MSPResources[[#Headers],[Name]])))&amp;"")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16"/>
    <col collapsed="false" customWidth="true" hidden="false" outlineLevel="0" max="5" min="5" style="0" width="16"/>
    <col collapsed="false" customWidth="true" hidden="false" outlineLevel="0" max="7" min="7" style="0" width="16"/>
    <col collapsed="false" customWidth="true" hidden="false" outlineLevel="0" max="9" min="9" style="0" width="16"/>
  </cols>
  <sheetData>
    <row r="1" customFormat="false" ht="23.85" hidden="false" customHeight="false" outlineLevel="0" collapsed="false">
      <c r="A1" s="36" t="s">
        <v>403</v>
      </c>
      <c r="C1" s="36" t="s">
        <v>395</v>
      </c>
      <c r="E1" s="36" t="s">
        <v>404</v>
      </c>
      <c r="G1" s="36" t="s">
        <v>405</v>
      </c>
      <c r="I1" s="36" t="s">
        <v>406</v>
      </c>
    </row>
    <row r="2" customFormat="false" ht="15" hidden="false" customHeight="false" outlineLevel="0" collapsed="false">
      <c r="A2" s="41" t="s">
        <v>264</v>
      </c>
      <c r="C2" s="41" t="s">
        <v>259</v>
      </c>
      <c r="E2" s="41" t="s">
        <v>116</v>
      </c>
      <c r="G2" s="41" t="s">
        <v>206</v>
      </c>
      <c r="I2" s="41" t="n">
        <v>1</v>
      </c>
    </row>
    <row r="3" customFormat="false" ht="15" hidden="false" customHeight="false" outlineLevel="0" collapsed="false">
      <c r="A3" s="41" t="s">
        <v>271</v>
      </c>
      <c r="C3" s="41" t="s">
        <v>307</v>
      </c>
      <c r="E3" s="41" t="s">
        <v>137</v>
      </c>
      <c r="G3" s="41" t="s">
        <v>407</v>
      </c>
      <c r="I3" s="41" t="n">
        <v>7</v>
      </c>
    </row>
    <row r="4" customFormat="false" ht="15" hidden="false" customHeight="false" outlineLevel="0" collapsed="false">
      <c r="A4" s="41" t="s">
        <v>291</v>
      </c>
      <c r="G4" s="41" t="s">
        <v>207</v>
      </c>
    </row>
    <row r="5" customFormat="false" ht="15" hidden="false" customHeight="false" outlineLevel="0" collapsed="false">
      <c r="A5" s="41" t="s">
        <v>408</v>
      </c>
    </row>
    <row r="7" customFormat="false" ht="15" hidden="false" customHeight="false" outlineLevel="0" collapsed="false">
      <c r="A7" s="8" t="s">
        <v>409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2026-10-26T10:23:35Z</dcterms:created>
  <dc:creator>openpyxl</dc:creator>
  <dc:description/>
  <dc:language>en-US</dc:language>
  <cp:lastModifiedBy/>
  <dcterms:modified xsi:type="dcterms:W3CDTF">2026-10-26T10:23:36Z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